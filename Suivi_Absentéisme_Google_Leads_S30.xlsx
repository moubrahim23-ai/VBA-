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OUBRAHMO\Desktop\"/>
    </mc:Choice>
  </mc:AlternateContent>
  <xr:revisionPtr revIDLastSave="0" documentId="13_ncr:1_{AAF39E35-921B-4A9B-BE43-36CAB4C3766F}" xr6:coauthVersionLast="47" xr6:coauthVersionMax="47" xr10:uidLastSave="{00000000-0000-0000-0000-000000000000}"/>
  <bookViews>
    <workbookView xWindow="-120" yWindow="-120" windowWidth="29040" windowHeight="15720" tabRatio="803" xr2:uid="{00000000-000D-0000-FFFF-FFFF00000000}"/>
  </bookViews>
  <sheets>
    <sheet name="Google Leads " sheetId="9" r:id="rId1"/>
    <sheet name="log" sheetId="21" state="hidden" r:id="rId2"/>
    <sheet name="trame" sheetId="19" r:id="rId3"/>
    <sheet name="Source CC pulse" sheetId="18" state="hidden" r:id="rId4"/>
    <sheet name="Planning" sheetId="14" r:id="rId5"/>
    <sheet name="Annuaire_roster" sheetId="10" r:id="rId6"/>
    <sheet name="Contrôle des heures" sheetId="16" r:id="rId7"/>
    <sheet name="Contrôle des jours" sheetId="15" r:id="rId8"/>
    <sheet name="Feuil1" sheetId="20" r:id="rId9"/>
    <sheet name="Suivi des justificatifs" sheetId="17" r:id="rId10"/>
    <sheet name="Connexions" sheetId="22" r:id="rId11"/>
    <sheet name="Mapping_Noms" sheetId="23" r:id="rId12"/>
    <sheet name="Planning Pauses Dej" sheetId="24" r:id="rId13"/>
  </sheets>
  <externalReferences>
    <externalReference r:id="rId14"/>
  </externalReferences>
  <definedNames>
    <definedName name="_xlnm._FilterDatabase" localSheetId="5" hidden="1">Annuaire_roster!$A$1:$I$90</definedName>
    <definedName name="_xlnm._FilterDatabase" localSheetId="0" hidden="1">'Google Leads '!$A$1:$AG$225</definedName>
    <definedName name="_xlnm._FilterDatabase" localSheetId="4" hidden="1">Planning!#REF!</definedName>
    <definedName name="_xlnm._FilterDatabase" localSheetId="2" hidden="1">trame!$A$1:$I$33</definedName>
    <definedName name="Business">" "</definedName>
    <definedName name="Data" localSheetId="10">OFFSET('[1]Google Leads '!$A$1,,,COUNTA('[1]Google Leads '!$B:$B),COUNTA('[1]Google Leads '!$1:$1))</definedName>
    <definedName name="Data" localSheetId="11">OFFSET('[1]Google Leads '!$A$1,,,COUNTA('[1]Google Leads '!$B:$B),COUNTA('[1]Google Leads '!$1:$1))</definedName>
    <definedName name="Data" localSheetId="12">OFFSET('[1]Google Leads '!$A$1,,,COUNTA('[1]Google Leads '!$B:$B),COUNTA('[1]Google Leads '!$1:$1))</definedName>
    <definedName name="Data">OFFSET('Google Leads '!$A$1,,,COUNTA('Google Leads '!$B:$B),COUNTA('Google Leads '!$1:$1))</definedName>
    <definedName name="Matricules">" "</definedName>
    <definedName name="Nom_complet">" "</definedName>
    <definedName name="Pause_déjeuner" localSheetId="10">[1]Annuaire_roster!#REF!</definedName>
    <definedName name="Pause_déjeuner" localSheetId="11">[1]Annuaire_roster!#REF!</definedName>
    <definedName name="Pause_déjeuner" localSheetId="12">[1]Annuaire_roster!#REF!</definedName>
    <definedName name="Pause_déjeuner">Annuaire_roster!#REF!</definedName>
    <definedName name="Pausette" localSheetId="10">[1]Annuaire_roster!#REF!</definedName>
    <definedName name="Pausette" localSheetId="11">[1]Annuaire_roster!#REF!</definedName>
    <definedName name="Pausette" localSheetId="12">[1]Annuaire_roster!#REF!</definedName>
    <definedName name="Pausette">Annuaire_roster!#REF!</definedName>
    <definedName name="PL_Date">Planning!$B:$B</definedName>
    <definedName name="PL_Entrée">Planning!$C:$C</definedName>
    <definedName name="PL_Nom">Planning!$A:$A</definedName>
    <definedName name="PL_Sortie">Planning!$D:$D</definedName>
    <definedName name="Segment">" "</definedName>
    <definedName name="Segment_Business12" localSheetId="10">#N/A</definedName>
    <definedName name="Segment_Business12" localSheetId="11">#N/A</definedName>
    <definedName name="Segment_Business12" localSheetId="12">#N/A</definedName>
    <definedName name="Segment_Business12">#N/A</definedName>
    <definedName name="Segment_Business141" localSheetId="10">#N/A</definedName>
    <definedName name="Segment_Business141" localSheetId="11">#N/A</definedName>
    <definedName name="Segment_Business141" localSheetId="12">#N/A</definedName>
    <definedName name="Segment_Business141">#N/A</definedName>
    <definedName name="Segment_Mois12" localSheetId="10">#N/A</definedName>
    <definedName name="Segment_Mois12" localSheetId="11">#N/A</definedName>
    <definedName name="Segment_Mois12" localSheetId="12">#N/A</definedName>
    <definedName name="Segment_Mois12">#N/A</definedName>
    <definedName name="Segment_Mois141" localSheetId="10">#N/A</definedName>
    <definedName name="Segment_Mois141" localSheetId="11">#N/A</definedName>
    <definedName name="Segment_Mois141" localSheetId="12">#N/A</definedName>
    <definedName name="Segment_Mois141">#N/A</definedName>
    <definedName name="Segment_Segment12" localSheetId="10">#N/A</definedName>
    <definedName name="Segment_Segment12" localSheetId="11">#N/A</definedName>
    <definedName name="Segment_Segment12" localSheetId="12">#N/A</definedName>
    <definedName name="Segment_Segment12">#N/A</definedName>
    <definedName name="Segment_Segment141" localSheetId="10">#N/A</definedName>
    <definedName name="Segment_Segment141" localSheetId="11">#N/A</definedName>
    <definedName name="Segment_Segment141" localSheetId="12">#N/A</definedName>
    <definedName name="Segment_Segment141">#N/A</definedName>
    <definedName name="Segment_Semaine12" localSheetId="10">#N/A</definedName>
    <definedName name="Segment_Semaine12" localSheetId="11">#N/A</definedName>
    <definedName name="Segment_Semaine12" localSheetId="12">#N/A</definedName>
    <definedName name="Segment_Semaine12">#N/A</definedName>
    <definedName name="Segment_Semaine141" localSheetId="10">#N/A</definedName>
    <definedName name="Segment_Semaine141" localSheetId="11">#N/A</definedName>
    <definedName name="Segment_Semaine141" localSheetId="12">#N/A</definedName>
    <definedName name="Segment_Semaine141">#N/A</definedName>
    <definedName name="Team">" "</definedName>
  </definedNames>
  <calcPr calcId="191029" iterateDelta="1E-4"/>
  <pivotCaches>
    <pivotCache cacheId="0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22" l="1"/>
  <c r="E62" i="9"/>
  <c r="E77" i="9"/>
  <c r="E127" i="9"/>
  <c r="E130" i="9"/>
  <c r="E134" i="9"/>
  <c r="E137" i="9"/>
  <c r="E142" i="9"/>
  <c r="E157" i="9"/>
  <c r="E158" i="9"/>
  <c r="E209" i="9"/>
  <c r="C26" i="9"/>
  <c r="C29" i="9"/>
  <c r="C58" i="9"/>
  <c r="C60" i="9"/>
  <c r="C62" i="9"/>
  <c r="C63" i="9"/>
  <c r="C64" i="9"/>
  <c r="C73" i="9"/>
  <c r="C78" i="9"/>
  <c r="C112" i="9"/>
  <c r="C125" i="9"/>
  <c r="C127" i="9"/>
  <c r="C130" i="9"/>
  <c r="C134" i="9"/>
  <c r="C137" i="9"/>
  <c r="C157" i="9"/>
  <c r="C158" i="9"/>
  <c r="C182" i="9"/>
  <c r="C185" i="9"/>
  <c r="C195" i="9"/>
  <c r="C209" i="9"/>
  <c r="C216" i="9"/>
  <c r="K3378" i="22"/>
  <c r="L3378" i="22"/>
  <c r="M3378" i="22"/>
  <c r="N3378" i="22"/>
  <c r="O3378" i="22"/>
  <c r="P3378" i="22"/>
  <c r="Q3378" i="22" s="1"/>
  <c r="K3379" i="22"/>
  <c r="L3379" i="22"/>
  <c r="M3379" i="22"/>
  <c r="N3379" i="22"/>
  <c r="O3379" i="22"/>
  <c r="K3380" i="22"/>
  <c r="L3380" i="22"/>
  <c r="M3380" i="22"/>
  <c r="N3380" i="22"/>
  <c r="O3380" i="22"/>
  <c r="K3381" i="22"/>
  <c r="P3381" i="22" s="1"/>
  <c r="Q3381" i="22" s="1"/>
  <c r="L3381" i="22"/>
  <c r="M3381" i="22"/>
  <c r="N3381" i="22"/>
  <c r="O3381" i="22"/>
  <c r="K3382" i="22"/>
  <c r="L3382" i="22"/>
  <c r="M3382" i="22"/>
  <c r="N3382" i="22"/>
  <c r="O3382" i="22"/>
  <c r="P3382" i="22" s="1"/>
  <c r="Q3382" i="22" s="1"/>
  <c r="K3383" i="22"/>
  <c r="L3383" i="22"/>
  <c r="M3383" i="22"/>
  <c r="N3383" i="22"/>
  <c r="O3383" i="22"/>
  <c r="K3384" i="22"/>
  <c r="L3384" i="22"/>
  <c r="M3384" i="22"/>
  <c r="N3384" i="22"/>
  <c r="O3384" i="22"/>
  <c r="K3385" i="22"/>
  <c r="L3385" i="22"/>
  <c r="M3385" i="22"/>
  <c r="N3385" i="22"/>
  <c r="O3385" i="22"/>
  <c r="K3386" i="22"/>
  <c r="L3386" i="22"/>
  <c r="M3386" i="22"/>
  <c r="N3386" i="22"/>
  <c r="O3386" i="22"/>
  <c r="K3387" i="22"/>
  <c r="L3387" i="22"/>
  <c r="M3387" i="22"/>
  <c r="N3387" i="22"/>
  <c r="O3387" i="22"/>
  <c r="K3388" i="22"/>
  <c r="L3388" i="22"/>
  <c r="M3388" i="22"/>
  <c r="N3388" i="22"/>
  <c r="O3388" i="22"/>
  <c r="K3389" i="22"/>
  <c r="L3389" i="22"/>
  <c r="M3389" i="22"/>
  <c r="N3389" i="22"/>
  <c r="O3389" i="22"/>
  <c r="K3390" i="22"/>
  <c r="L3390" i="22"/>
  <c r="M3390" i="22"/>
  <c r="N3390" i="22"/>
  <c r="O3390" i="22"/>
  <c r="K3391" i="22"/>
  <c r="P3391" i="22" s="1"/>
  <c r="Q3391" i="22" s="1"/>
  <c r="L3391" i="22"/>
  <c r="M3391" i="22"/>
  <c r="N3391" i="22"/>
  <c r="O3391" i="22"/>
  <c r="K3392" i="22"/>
  <c r="L3392" i="22"/>
  <c r="M3392" i="22"/>
  <c r="N3392" i="22"/>
  <c r="O3392" i="22"/>
  <c r="K3393" i="22"/>
  <c r="L3393" i="22"/>
  <c r="M3393" i="22"/>
  <c r="N3393" i="22"/>
  <c r="O3393" i="22"/>
  <c r="K3394" i="22"/>
  <c r="L3394" i="22"/>
  <c r="M3394" i="22"/>
  <c r="N3394" i="22"/>
  <c r="O3394" i="22"/>
  <c r="K3395" i="22"/>
  <c r="L3395" i="22"/>
  <c r="M3395" i="22"/>
  <c r="N3395" i="22"/>
  <c r="O3395" i="22"/>
  <c r="K3396" i="22"/>
  <c r="L3396" i="22"/>
  <c r="M3396" i="22"/>
  <c r="N3396" i="22"/>
  <c r="O3396" i="22"/>
  <c r="K3397" i="22"/>
  <c r="L3397" i="22"/>
  <c r="M3397" i="22"/>
  <c r="N3397" i="22"/>
  <c r="O3397" i="22"/>
  <c r="K3398" i="22"/>
  <c r="P3398" i="22" s="1"/>
  <c r="Q3398" i="22" s="1"/>
  <c r="L3398" i="22"/>
  <c r="M3398" i="22"/>
  <c r="N3398" i="22"/>
  <c r="O3398" i="22"/>
  <c r="K3399" i="22"/>
  <c r="L3399" i="22"/>
  <c r="M3399" i="22"/>
  <c r="N3399" i="22"/>
  <c r="O3399" i="22"/>
  <c r="K3400" i="22"/>
  <c r="L3400" i="22"/>
  <c r="M3400" i="22"/>
  <c r="N3400" i="22"/>
  <c r="O3400" i="22"/>
  <c r="K3401" i="22"/>
  <c r="L3401" i="22"/>
  <c r="M3401" i="22"/>
  <c r="N3401" i="22"/>
  <c r="O3401" i="22"/>
  <c r="K3402" i="22"/>
  <c r="L3402" i="22"/>
  <c r="M3402" i="22"/>
  <c r="N3402" i="22"/>
  <c r="O3402" i="22"/>
  <c r="K3403" i="22"/>
  <c r="L3403" i="22"/>
  <c r="M3403" i="22"/>
  <c r="N3403" i="22"/>
  <c r="O3403" i="22"/>
  <c r="K3404" i="22"/>
  <c r="L3404" i="22"/>
  <c r="M3404" i="22"/>
  <c r="N3404" i="22"/>
  <c r="O3404" i="22"/>
  <c r="P3404" i="22"/>
  <c r="Q3404" i="22" s="1"/>
  <c r="K3405" i="22"/>
  <c r="L3405" i="22"/>
  <c r="M3405" i="22"/>
  <c r="N3405" i="22"/>
  <c r="O3405" i="22"/>
  <c r="K3406" i="22"/>
  <c r="L3406" i="22"/>
  <c r="M3406" i="22"/>
  <c r="N3406" i="22"/>
  <c r="O3406" i="22"/>
  <c r="K3407" i="22"/>
  <c r="L3407" i="22"/>
  <c r="M3407" i="22"/>
  <c r="N3407" i="22"/>
  <c r="O3407" i="22"/>
  <c r="K3408" i="22"/>
  <c r="L3408" i="22"/>
  <c r="M3408" i="22"/>
  <c r="N3408" i="22"/>
  <c r="O3408" i="22"/>
  <c r="K3409" i="22"/>
  <c r="L3409" i="22"/>
  <c r="M3409" i="22"/>
  <c r="N3409" i="22"/>
  <c r="O3409" i="22"/>
  <c r="K3410" i="22"/>
  <c r="P3410" i="22" s="1"/>
  <c r="Q3410" i="22" s="1"/>
  <c r="L3410" i="22"/>
  <c r="M3410" i="22"/>
  <c r="N3410" i="22"/>
  <c r="O3410" i="22"/>
  <c r="K3411" i="22"/>
  <c r="L3411" i="22"/>
  <c r="M3411" i="22"/>
  <c r="N3411" i="22"/>
  <c r="O3411" i="22"/>
  <c r="K3412" i="22"/>
  <c r="L3412" i="22"/>
  <c r="M3412" i="22"/>
  <c r="N3412" i="22"/>
  <c r="O3412" i="22"/>
  <c r="K3413" i="22"/>
  <c r="L3413" i="22"/>
  <c r="M3413" i="22"/>
  <c r="N3413" i="22"/>
  <c r="O3413" i="22"/>
  <c r="K3414" i="22"/>
  <c r="L3414" i="22"/>
  <c r="M3414" i="22"/>
  <c r="N3414" i="22"/>
  <c r="O3414" i="22"/>
  <c r="K3415" i="22"/>
  <c r="L3415" i="22"/>
  <c r="M3415" i="22"/>
  <c r="N3415" i="22"/>
  <c r="O3415" i="22"/>
  <c r="K3416" i="22"/>
  <c r="L3416" i="22"/>
  <c r="M3416" i="22"/>
  <c r="N3416" i="22"/>
  <c r="O3416" i="22"/>
  <c r="K3417" i="22"/>
  <c r="L3417" i="22"/>
  <c r="M3417" i="22"/>
  <c r="N3417" i="22"/>
  <c r="O3417" i="22"/>
  <c r="K3418" i="22"/>
  <c r="L3418" i="22"/>
  <c r="M3418" i="22"/>
  <c r="N3418" i="22"/>
  <c r="O3418" i="22"/>
  <c r="K3419" i="22"/>
  <c r="P3419" i="22" s="1"/>
  <c r="Q3419" i="22" s="1"/>
  <c r="L3419" i="22"/>
  <c r="M3419" i="22"/>
  <c r="N3419" i="22"/>
  <c r="O3419" i="22"/>
  <c r="K3420" i="22"/>
  <c r="P3420" i="22" s="1"/>
  <c r="Q3420" i="22" s="1"/>
  <c r="L3420" i="22"/>
  <c r="M3420" i="22"/>
  <c r="N3420" i="22"/>
  <c r="O3420" i="22"/>
  <c r="K3421" i="22"/>
  <c r="L3421" i="22"/>
  <c r="M3421" i="22"/>
  <c r="N3421" i="22"/>
  <c r="O3421" i="22"/>
  <c r="P3421" i="22" s="1"/>
  <c r="Q3421" i="22" s="1"/>
  <c r="K3422" i="22"/>
  <c r="L3422" i="22"/>
  <c r="M3422" i="22"/>
  <c r="N3422" i="22"/>
  <c r="O3422" i="22"/>
  <c r="K3423" i="22"/>
  <c r="L3423" i="22"/>
  <c r="M3423" i="22"/>
  <c r="N3423" i="22"/>
  <c r="O3423" i="22"/>
  <c r="K3424" i="22"/>
  <c r="L3424" i="22"/>
  <c r="M3424" i="22"/>
  <c r="N3424" i="22"/>
  <c r="O3424" i="22"/>
  <c r="K3425" i="22"/>
  <c r="L3425" i="22"/>
  <c r="M3425" i="22"/>
  <c r="N3425" i="22"/>
  <c r="O3425" i="22"/>
  <c r="K3426" i="22"/>
  <c r="L3426" i="22"/>
  <c r="M3426" i="22"/>
  <c r="N3426" i="22"/>
  <c r="O3426" i="22"/>
  <c r="K3427" i="22"/>
  <c r="L3427" i="22"/>
  <c r="M3427" i="22"/>
  <c r="N3427" i="22"/>
  <c r="O3427" i="22"/>
  <c r="K3428" i="22"/>
  <c r="L3428" i="22"/>
  <c r="M3428" i="22"/>
  <c r="N3428" i="22"/>
  <c r="O3428" i="22"/>
  <c r="K3429" i="22"/>
  <c r="L3429" i="22"/>
  <c r="M3429" i="22"/>
  <c r="N3429" i="22"/>
  <c r="O3429" i="22"/>
  <c r="K3430" i="22"/>
  <c r="L3430" i="22"/>
  <c r="M3430" i="22"/>
  <c r="N3430" i="22"/>
  <c r="O3430" i="22"/>
  <c r="K3431" i="22"/>
  <c r="L3431" i="22"/>
  <c r="M3431" i="22"/>
  <c r="N3431" i="22"/>
  <c r="O3431" i="22"/>
  <c r="K3432" i="22"/>
  <c r="L3432" i="22"/>
  <c r="M3432" i="22"/>
  <c r="N3432" i="22"/>
  <c r="O3432" i="22"/>
  <c r="P3432" i="22"/>
  <c r="Q3432" i="22" s="1"/>
  <c r="K3433" i="22"/>
  <c r="L3433" i="22"/>
  <c r="M3433" i="22"/>
  <c r="N3433" i="22"/>
  <c r="O3433" i="22"/>
  <c r="K3434" i="22"/>
  <c r="L3434" i="22"/>
  <c r="M3434" i="22"/>
  <c r="N3434" i="22"/>
  <c r="O3434" i="22"/>
  <c r="K3435" i="22"/>
  <c r="L3435" i="22"/>
  <c r="M3435" i="22"/>
  <c r="N3435" i="22"/>
  <c r="O3435" i="22"/>
  <c r="K3436" i="22"/>
  <c r="L3436" i="22"/>
  <c r="M3436" i="22"/>
  <c r="N3436" i="22"/>
  <c r="O3436" i="22"/>
  <c r="K3437" i="22"/>
  <c r="L3437" i="22"/>
  <c r="M3437" i="22"/>
  <c r="N3437" i="22"/>
  <c r="O3437" i="22"/>
  <c r="K3438" i="22"/>
  <c r="L3438" i="22"/>
  <c r="M3438" i="22"/>
  <c r="N3438" i="22"/>
  <c r="O3438" i="22"/>
  <c r="K3439" i="22"/>
  <c r="L3439" i="22"/>
  <c r="M3439" i="22"/>
  <c r="N3439" i="22"/>
  <c r="O3439" i="22"/>
  <c r="K3440" i="22"/>
  <c r="L3440" i="22"/>
  <c r="M3440" i="22"/>
  <c r="N3440" i="22"/>
  <c r="O3440" i="22"/>
  <c r="K3441" i="22"/>
  <c r="L3441" i="22"/>
  <c r="M3441" i="22"/>
  <c r="N3441" i="22"/>
  <c r="O3441" i="22"/>
  <c r="K3442" i="22"/>
  <c r="L3442" i="22"/>
  <c r="M3442" i="22"/>
  <c r="N3442" i="22"/>
  <c r="O3442" i="22"/>
  <c r="K3443" i="22"/>
  <c r="L3443" i="22"/>
  <c r="M3443" i="22"/>
  <c r="N3443" i="22"/>
  <c r="O3443" i="22"/>
  <c r="K3444" i="22"/>
  <c r="L3444" i="22"/>
  <c r="M3444" i="22"/>
  <c r="N3444" i="22"/>
  <c r="O3444" i="22"/>
  <c r="K3445" i="22"/>
  <c r="L3445" i="22"/>
  <c r="M3445" i="22"/>
  <c r="N3445" i="22"/>
  <c r="O3445" i="22"/>
  <c r="K3446" i="22"/>
  <c r="L3446" i="22"/>
  <c r="M3446" i="22"/>
  <c r="N3446" i="22"/>
  <c r="O3446" i="22"/>
  <c r="K3447" i="22"/>
  <c r="L3447" i="22"/>
  <c r="M3447" i="22"/>
  <c r="N3447" i="22"/>
  <c r="O3447" i="22"/>
  <c r="K3448" i="22"/>
  <c r="L3448" i="22"/>
  <c r="M3448" i="22"/>
  <c r="N3448" i="22"/>
  <c r="O3448" i="22"/>
  <c r="K3449" i="22"/>
  <c r="L3449" i="22"/>
  <c r="M3449" i="22"/>
  <c r="N3449" i="22"/>
  <c r="O3449" i="22"/>
  <c r="K3450" i="22"/>
  <c r="L3450" i="22"/>
  <c r="M3450" i="22"/>
  <c r="N3450" i="22"/>
  <c r="O3450" i="22"/>
  <c r="K3451" i="22"/>
  <c r="L3451" i="22"/>
  <c r="M3451" i="22"/>
  <c r="N3451" i="22"/>
  <c r="O3451" i="22"/>
  <c r="K3452" i="22"/>
  <c r="L3452" i="22"/>
  <c r="M3452" i="22"/>
  <c r="N3452" i="22"/>
  <c r="O3452" i="22"/>
  <c r="K3453" i="22"/>
  <c r="L3453" i="22"/>
  <c r="M3453" i="22"/>
  <c r="N3453" i="22"/>
  <c r="O3453" i="22"/>
  <c r="K3454" i="22"/>
  <c r="L3454" i="22"/>
  <c r="M3454" i="22"/>
  <c r="N3454" i="22"/>
  <c r="O3454" i="22"/>
  <c r="K3455" i="22"/>
  <c r="L3455" i="22"/>
  <c r="M3455" i="22"/>
  <c r="N3455" i="22"/>
  <c r="O3455" i="22"/>
  <c r="K3456" i="22"/>
  <c r="L3456" i="22"/>
  <c r="M3456" i="22"/>
  <c r="N3456" i="22"/>
  <c r="O3456" i="22"/>
  <c r="K3457" i="22"/>
  <c r="L3457" i="22"/>
  <c r="M3457" i="22"/>
  <c r="N3457" i="22"/>
  <c r="O3457" i="22"/>
  <c r="K3458" i="22"/>
  <c r="L3458" i="22"/>
  <c r="M3458" i="22"/>
  <c r="N3458" i="22"/>
  <c r="O3458" i="22"/>
  <c r="K3459" i="22"/>
  <c r="L3459" i="22"/>
  <c r="M3459" i="22"/>
  <c r="N3459" i="22"/>
  <c r="O3459" i="22"/>
  <c r="K3460" i="22"/>
  <c r="P3460" i="22" s="1"/>
  <c r="Q3460" i="22" s="1"/>
  <c r="L3460" i="22"/>
  <c r="M3460" i="22"/>
  <c r="N3460" i="22"/>
  <c r="O3460" i="22"/>
  <c r="K3461" i="22"/>
  <c r="L3461" i="22"/>
  <c r="M3461" i="22"/>
  <c r="N3461" i="22"/>
  <c r="O3461" i="22"/>
  <c r="K3462" i="22"/>
  <c r="L3462" i="22"/>
  <c r="M3462" i="22"/>
  <c r="N3462" i="22"/>
  <c r="O3462" i="22"/>
  <c r="K3463" i="22"/>
  <c r="L3463" i="22"/>
  <c r="M3463" i="22"/>
  <c r="N3463" i="22"/>
  <c r="O3463" i="22"/>
  <c r="K3464" i="22"/>
  <c r="L3464" i="22"/>
  <c r="M3464" i="22"/>
  <c r="N3464" i="22"/>
  <c r="O3464" i="22"/>
  <c r="K3465" i="22"/>
  <c r="L3465" i="22"/>
  <c r="M3465" i="22"/>
  <c r="N3465" i="22"/>
  <c r="O3465" i="22"/>
  <c r="K3466" i="22"/>
  <c r="L3466" i="22"/>
  <c r="M3466" i="22"/>
  <c r="N3466" i="22"/>
  <c r="O3466" i="22"/>
  <c r="K3467" i="22"/>
  <c r="L3467" i="22"/>
  <c r="M3467" i="22"/>
  <c r="N3467" i="22"/>
  <c r="O3467" i="22"/>
  <c r="K3468" i="22"/>
  <c r="L3468" i="22"/>
  <c r="M3468" i="22"/>
  <c r="N3468" i="22"/>
  <c r="O3468" i="22"/>
  <c r="K3469" i="22"/>
  <c r="P3469" i="22" s="1"/>
  <c r="Q3469" i="22" s="1"/>
  <c r="L3469" i="22"/>
  <c r="M3469" i="22"/>
  <c r="N3469" i="22"/>
  <c r="O3469" i="22"/>
  <c r="K3470" i="22"/>
  <c r="L3470" i="22"/>
  <c r="M3470" i="22"/>
  <c r="N3470" i="22"/>
  <c r="O3470" i="22"/>
  <c r="K3471" i="22"/>
  <c r="L3471" i="22"/>
  <c r="M3471" i="22"/>
  <c r="N3471" i="22"/>
  <c r="O3471" i="22"/>
  <c r="K3472" i="22"/>
  <c r="P3472" i="22" s="1"/>
  <c r="Q3472" i="22" s="1"/>
  <c r="L3472" i="22"/>
  <c r="M3472" i="22"/>
  <c r="N3472" i="22"/>
  <c r="O3472" i="22"/>
  <c r="K3473" i="22"/>
  <c r="L3473" i="22"/>
  <c r="M3473" i="22"/>
  <c r="N3473" i="22"/>
  <c r="O3473" i="22"/>
  <c r="K3474" i="22"/>
  <c r="L3474" i="22"/>
  <c r="M3474" i="22"/>
  <c r="N3474" i="22"/>
  <c r="O3474" i="22"/>
  <c r="K3475" i="22"/>
  <c r="L3475" i="22"/>
  <c r="M3475" i="22"/>
  <c r="N3475" i="22"/>
  <c r="O3475" i="22"/>
  <c r="K3476" i="22"/>
  <c r="L3476" i="22"/>
  <c r="M3476" i="22"/>
  <c r="N3476" i="22"/>
  <c r="O3476" i="22"/>
  <c r="K3477" i="22"/>
  <c r="L3477" i="22"/>
  <c r="M3477" i="22"/>
  <c r="N3477" i="22"/>
  <c r="O3477" i="22"/>
  <c r="K3478" i="22"/>
  <c r="L3478" i="22"/>
  <c r="M3478" i="22"/>
  <c r="N3478" i="22"/>
  <c r="O3478" i="22"/>
  <c r="K3479" i="22"/>
  <c r="L3479" i="22"/>
  <c r="M3479" i="22"/>
  <c r="N3479" i="22"/>
  <c r="O3479" i="22"/>
  <c r="K3480" i="22"/>
  <c r="L3480" i="22"/>
  <c r="M3480" i="22"/>
  <c r="N3480" i="22"/>
  <c r="O3480" i="22"/>
  <c r="K3481" i="22"/>
  <c r="L3481" i="22"/>
  <c r="M3481" i="22"/>
  <c r="N3481" i="22"/>
  <c r="O3481" i="22"/>
  <c r="K3482" i="22"/>
  <c r="L3482" i="22"/>
  <c r="M3482" i="22"/>
  <c r="N3482" i="22"/>
  <c r="O3482" i="22"/>
  <c r="K3483" i="22"/>
  <c r="L3483" i="22"/>
  <c r="M3483" i="22"/>
  <c r="N3483" i="22"/>
  <c r="O3483" i="22"/>
  <c r="K3484" i="22"/>
  <c r="L3484" i="22"/>
  <c r="M3484" i="22"/>
  <c r="N3484" i="22"/>
  <c r="O3484" i="22"/>
  <c r="K3485" i="22"/>
  <c r="P3485" i="22" s="1"/>
  <c r="Q3485" i="22" s="1"/>
  <c r="L3485" i="22"/>
  <c r="M3485" i="22"/>
  <c r="N3485" i="22"/>
  <c r="O3485" i="22"/>
  <c r="K3486" i="22"/>
  <c r="L3486" i="22"/>
  <c r="M3486" i="22"/>
  <c r="N3486" i="22"/>
  <c r="O3486" i="22"/>
  <c r="K3487" i="22"/>
  <c r="L3487" i="22"/>
  <c r="M3487" i="22"/>
  <c r="N3487" i="22"/>
  <c r="O3487" i="22"/>
  <c r="K3488" i="22"/>
  <c r="L3488" i="22"/>
  <c r="M3488" i="22"/>
  <c r="N3488" i="22"/>
  <c r="O3488" i="22"/>
  <c r="K3489" i="22"/>
  <c r="L3489" i="22"/>
  <c r="M3489" i="22"/>
  <c r="N3489" i="22"/>
  <c r="O3489" i="22"/>
  <c r="K3490" i="22"/>
  <c r="L3490" i="22"/>
  <c r="M3490" i="22"/>
  <c r="N3490" i="22"/>
  <c r="O3490" i="22"/>
  <c r="K3491" i="22"/>
  <c r="L3491" i="22"/>
  <c r="M3491" i="22"/>
  <c r="N3491" i="22"/>
  <c r="O3491" i="22"/>
  <c r="K3492" i="22"/>
  <c r="L3492" i="22"/>
  <c r="M3492" i="22"/>
  <c r="N3492" i="22"/>
  <c r="O3492" i="22"/>
  <c r="K3493" i="22"/>
  <c r="L3493" i="22"/>
  <c r="M3493" i="22"/>
  <c r="N3493" i="22"/>
  <c r="O3493" i="22"/>
  <c r="K3494" i="22"/>
  <c r="L3494" i="22"/>
  <c r="M3494" i="22"/>
  <c r="N3494" i="22"/>
  <c r="O3494" i="22"/>
  <c r="K3495" i="22"/>
  <c r="L3495" i="22"/>
  <c r="M3495" i="22"/>
  <c r="N3495" i="22"/>
  <c r="O3495" i="22"/>
  <c r="K3496" i="22"/>
  <c r="L3496" i="22"/>
  <c r="M3496" i="22"/>
  <c r="N3496" i="22"/>
  <c r="O3496" i="22"/>
  <c r="K3497" i="22"/>
  <c r="P3497" i="22" s="1"/>
  <c r="Q3497" i="22" s="1"/>
  <c r="L3497" i="22"/>
  <c r="M3497" i="22"/>
  <c r="N3497" i="22"/>
  <c r="O3497" i="22"/>
  <c r="K3498" i="22"/>
  <c r="L3498" i="22"/>
  <c r="M3498" i="22"/>
  <c r="N3498" i="22"/>
  <c r="O3498" i="22"/>
  <c r="K3499" i="22"/>
  <c r="L3499" i="22"/>
  <c r="M3499" i="22"/>
  <c r="N3499" i="22"/>
  <c r="O3499" i="22"/>
  <c r="K3500" i="22"/>
  <c r="L3500" i="22"/>
  <c r="M3500" i="22"/>
  <c r="N3500" i="22"/>
  <c r="O3500" i="22"/>
  <c r="K3501" i="22"/>
  <c r="L3501" i="22"/>
  <c r="M3501" i="22"/>
  <c r="N3501" i="22"/>
  <c r="O3501" i="22"/>
  <c r="K3502" i="22"/>
  <c r="L3502" i="22"/>
  <c r="M3502" i="22"/>
  <c r="N3502" i="22"/>
  <c r="O3502" i="22"/>
  <c r="K3503" i="22"/>
  <c r="L3503" i="22"/>
  <c r="M3503" i="22"/>
  <c r="N3503" i="22"/>
  <c r="O3503" i="22"/>
  <c r="K3504" i="22"/>
  <c r="L3504" i="22"/>
  <c r="M3504" i="22"/>
  <c r="N3504" i="22"/>
  <c r="O3504" i="22"/>
  <c r="K3505" i="22"/>
  <c r="L3505" i="22"/>
  <c r="M3505" i="22"/>
  <c r="N3505" i="22"/>
  <c r="O3505" i="22"/>
  <c r="K3506" i="22"/>
  <c r="L3506" i="22"/>
  <c r="M3506" i="22"/>
  <c r="N3506" i="22"/>
  <c r="O3506" i="22"/>
  <c r="K3507" i="22"/>
  <c r="L3507" i="22"/>
  <c r="M3507" i="22"/>
  <c r="N3507" i="22"/>
  <c r="O3507" i="22"/>
  <c r="K3508" i="22"/>
  <c r="L3508" i="22"/>
  <c r="M3508" i="22"/>
  <c r="N3508" i="22"/>
  <c r="O3508" i="22"/>
  <c r="K3509" i="22"/>
  <c r="L3509" i="22"/>
  <c r="M3509" i="22"/>
  <c r="N3509" i="22"/>
  <c r="O3509" i="22"/>
  <c r="K3510" i="22"/>
  <c r="L3510" i="22"/>
  <c r="M3510" i="22"/>
  <c r="N3510" i="22"/>
  <c r="O3510" i="22"/>
  <c r="K3511" i="22"/>
  <c r="L3511" i="22"/>
  <c r="M3511" i="22"/>
  <c r="N3511" i="22"/>
  <c r="O3511" i="22"/>
  <c r="K3512" i="22"/>
  <c r="L3512" i="22"/>
  <c r="M3512" i="22"/>
  <c r="N3512" i="22"/>
  <c r="O3512" i="22"/>
  <c r="K3513" i="22"/>
  <c r="L3513" i="22"/>
  <c r="M3513" i="22"/>
  <c r="N3513" i="22"/>
  <c r="O3513" i="22"/>
  <c r="K3514" i="22"/>
  <c r="L3514" i="22"/>
  <c r="M3514" i="22"/>
  <c r="N3514" i="22"/>
  <c r="O3514" i="22"/>
  <c r="K3515" i="22"/>
  <c r="L3515" i="22"/>
  <c r="M3515" i="22"/>
  <c r="N3515" i="22"/>
  <c r="O3515" i="22"/>
  <c r="K3516" i="22"/>
  <c r="L3516" i="22"/>
  <c r="M3516" i="22"/>
  <c r="N3516" i="22"/>
  <c r="O3516" i="22"/>
  <c r="K3517" i="22"/>
  <c r="L3517" i="22"/>
  <c r="M3517" i="22"/>
  <c r="N3517" i="22"/>
  <c r="O3517" i="22"/>
  <c r="K3518" i="22"/>
  <c r="L3518" i="22"/>
  <c r="M3518" i="22"/>
  <c r="N3518" i="22"/>
  <c r="O3518" i="22"/>
  <c r="K3519" i="22"/>
  <c r="L3519" i="22"/>
  <c r="M3519" i="22"/>
  <c r="N3519" i="22"/>
  <c r="O3519" i="22"/>
  <c r="K3520" i="22"/>
  <c r="L3520" i="22"/>
  <c r="M3520" i="22"/>
  <c r="N3520" i="22"/>
  <c r="O3520" i="22"/>
  <c r="K3521" i="22"/>
  <c r="P3521" i="22" s="1"/>
  <c r="Q3521" i="22" s="1"/>
  <c r="L3521" i="22"/>
  <c r="M3521" i="22"/>
  <c r="N3521" i="22"/>
  <c r="O3521" i="22"/>
  <c r="K3522" i="22"/>
  <c r="L3522" i="22"/>
  <c r="M3522" i="22"/>
  <c r="N3522" i="22"/>
  <c r="O3522" i="22"/>
  <c r="K3523" i="22"/>
  <c r="P3522" i="22" s="1"/>
  <c r="Q3522" i="22" s="1"/>
  <c r="L3523" i="22"/>
  <c r="M3523" i="22"/>
  <c r="N3523" i="22"/>
  <c r="O3523" i="22"/>
  <c r="K3524" i="22"/>
  <c r="L3524" i="22"/>
  <c r="M3524" i="22"/>
  <c r="N3524" i="22"/>
  <c r="O3524" i="22"/>
  <c r="K3525" i="22"/>
  <c r="L3525" i="22"/>
  <c r="M3525" i="22"/>
  <c r="N3525" i="22"/>
  <c r="O3525" i="22"/>
  <c r="K3526" i="22"/>
  <c r="L3526" i="22"/>
  <c r="M3526" i="22"/>
  <c r="N3526" i="22"/>
  <c r="O3526" i="22"/>
  <c r="K3527" i="22"/>
  <c r="L3527" i="22"/>
  <c r="M3527" i="22"/>
  <c r="N3527" i="22"/>
  <c r="O3527" i="22"/>
  <c r="K3528" i="22"/>
  <c r="L3528" i="22"/>
  <c r="M3528" i="22"/>
  <c r="N3528" i="22"/>
  <c r="O3528" i="22"/>
  <c r="K3529" i="22"/>
  <c r="L3529" i="22"/>
  <c r="M3529" i="22"/>
  <c r="N3529" i="22"/>
  <c r="O3529" i="22"/>
  <c r="K3530" i="22"/>
  <c r="L3530" i="22"/>
  <c r="M3530" i="22"/>
  <c r="N3530" i="22"/>
  <c r="O3530" i="22"/>
  <c r="K3531" i="22"/>
  <c r="L3531" i="22"/>
  <c r="M3531" i="22"/>
  <c r="N3531" i="22"/>
  <c r="O3531" i="22"/>
  <c r="K3532" i="22"/>
  <c r="L3532" i="22"/>
  <c r="M3532" i="22"/>
  <c r="N3532" i="22"/>
  <c r="O3532" i="22"/>
  <c r="K3533" i="22"/>
  <c r="P3533" i="22" s="1"/>
  <c r="Q3533" i="22" s="1"/>
  <c r="L3533" i="22"/>
  <c r="M3533" i="22"/>
  <c r="N3533" i="22"/>
  <c r="O3533" i="22"/>
  <c r="K3534" i="22"/>
  <c r="L3534" i="22"/>
  <c r="M3534" i="22"/>
  <c r="N3534" i="22"/>
  <c r="O3534" i="22"/>
  <c r="K3535" i="22"/>
  <c r="P3535" i="22" s="1"/>
  <c r="Q3535" i="22" s="1"/>
  <c r="L3535" i="22"/>
  <c r="M3535" i="22"/>
  <c r="N3535" i="22"/>
  <c r="O3535" i="22"/>
  <c r="K3536" i="22"/>
  <c r="L3536" i="22"/>
  <c r="M3536" i="22"/>
  <c r="N3536" i="22"/>
  <c r="O3536" i="22"/>
  <c r="K3537" i="22"/>
  <c r="L3537" i="22"/>
  <c r="M3537" i="22"/>
  <c r="N3537" i="22"/>
  <c r="O3537" i="22"/>
  <c r="K3538" i="22"/>
  <c r="L3538" i="22"/>
  <c r="M3538" i="22"/>
  <c r="N3538" i="22"/>
  <c r="O3538" i="22"/>
  <c r="K3539" i="22"/>
  <c r="L3539" i="22"/>
  <c r="M3539" i="22"/>
  <c r="N3539" i="22"/>
  <c r="O3539" i="22"/>
  <c r="K3540" i="22"/>
  <c r="L3540" i="22"/>
  <c r="M3540" i="22"/>
  <c r="N3540" i="22"/>
  <c r="O3540" i="22"/>
  <c r="K3541" i="22"/>
  <c r="L3541" i="22"/>
  <c r="M3541" i="22"/>
  <c r="N3541" i="22"/>
  <c r="O3541" i="22"/>
  <c r="K3542" i="22"/>
  <c r="L3542" i="22"/>
  <c r="M3542" i="22"/>
  <c r="N3542" i="22"/>
  <c r="O3542" i="22"/>
  <c r="K3543" i="22"/>
  <c r="L3543" i="22"/>
  <c r="M3543" i="22"/>
  <c r="N3543" i="22"/>
  <c r="O3543" i="22"/>
  <c r="K3544" i="22"/>
  <c r="L3544" i="22"/>
  <c r="M3544" i="22"/>
  <c r="N3544" i="22"/>
  <c r="O3544" i="22"/>
  <c r="K3545" i="22"/>
  <c r="L3545" i="22"/>
  <c r="M3545" i="22"/>
  <c r="N3545" i="22"/>
  <c r="O3545" i="22"/>
  <c r="K3546" i="22"/>
  <c r="L3546" i="22"/>
  <c r="M3546" i="22"/>
  <c r="N3546" i="22"/>
  <c r="O3546" i="22"/>
  <c r="P3546" i="22"/>
  <c r="Q3546" i="22" s="1"/>
  <c r="K3547" i="22"/>
  <c r="P3547" i="22" s="1"/>
  <c r="Q3547" i="22" s="1"/>
  <c r="L3547" i="22"/>
  <c r="M3547" i="22"/>
  <c r="N3547" i="22"/>
  <c r="O3547" i="22"/>
  <c r="K3548" i="22"/>
  <c r="L3548" i="22"/>
  <c r="M3548" i="22"/>
  <c r="N3548" i="22"/>
  <c r="O3548" i="22"/>
  <c r="K3549" i="22"/>
  <c r="L3549" i="22"/>
  <c r="M3549" i="22"/>
  <c r="N3549" i="22"/>
  <c r="O3549" i="22"/>
  <c r="K3550" i="22"/>
  <c r="L3550" i="22"/>
  <c r="M3550" i="22"/>
  <c r="N3550" i="22"/>
  <c r="O3550" i="22"/>
  <c r="K3551" i="22"/>
  <c r="L3551" i="22"/>
  <c r="M3551" i="22"/>
  <c r="N3551" i="22"/>
  <c r="O3551" i="22"/>
  <c r="K3552" i="22"/>
  <c r="L3552" i="22"/>
  <c r="M3552" i="22"/>
  <c r="N3552" i="22"/>
  <c r="O3552" i="22"/>
  <c r="K3553" i="22"/>
  <c r="L3553" i="22"/>
  <c r="M3553" i="22"/>
  <c r="N3553" i="22"/>
  <c r="O3553" i="22"/>
  <c r="K3554" i="22"/>
  <c r="L3554" i="22"/>
  <c r="M3554" i="22"/>
  <c r="N3554" i="22"/>
  <c r="O3554" i="22"/>
  <c r="K3555" i="22"/>
  <c r="L3555" i="22"/>
  <c r="M3555" i="22"/>
  <c r="N3555" i="22"/>
  <c r="O3555" i="22"/>
  <c r="K3556" i="22"/>
  <c r="L3556" i="22"/>
  <c r="M3556" i="22"/>
  <c r="N3556" i="22"/>
  <c r="O3556" i="22"/>
  <c r="K3557" i="22"/>
  <c r="L3557" i="22"/>
  <c r="M3557" i="22"/>
  <c r="N3557" i="22"/>
  <c r="O3557" i="22"/>
  <c r="K3558" i="22"/>
  <c r="L3558" i="22"/>
  <c r="M3558" i="22"/>
  <c r="N3558" i="22"/>
  <c r="O3558" i="22"/>
  <c r="K3559" i="22"/>
  <c r="P3559" i="22" s="1"/>
  <c r="Q3559" i="22" s="1"/>
  <c r="L3559" i="22"/>
  <c r="M3559" i="22"/>
  <c r="N3559" i="22"/>
  <c r="O3559" i="22"/>
  <c r="K3560" i="22"/>
  <c r="L3560" i="22"/>
  <c r="M3560" i="22"/>
  <c r="N3560" i="22"/>
  <c r="O3560" i="22"/>
  <c r="K3561" i="22"/>
  <c r="L3561" i="22"/>
  <c r="M3561" i="22"/>
  <c r="N3561" i="22"/>
  <c r="O3561" i="22"/>
  <c r="K3562" i="22"/>
  <c r="L3562" i="22"/>
  <c r="M3562" i="22"/>
  <c r="N3562" i="22"/>
  <c r="O3562" i="22"/>
  <c r="K3563" i="22"/>
  <c r="L3563" i="22"/>
  <c r="M3563" i="22"/>
  <c r="N3563" i="22"/>
  <c r="O3563" i="22"/>
  <c r="K3564" i="22"/>
  <c r="L3564" i="22"/>
  <c r="M3564" i="22"/>
  <c r="N3564" i="22"/>
  <c r="O3564" i="22"/>
  <c r="P3564" i="22"/>
  <c r="Q3564" i="22" s="1"/>
  <c r="K3565" i="22"/>
  <c r="L3565" i="22"/>
  <c r="M3565" i="22"/>
  <c r="N3565" i="22"/>
  <c r="O3565" i="22"/>
  <c r="K3566" i="22"/>
  <c r="L3566" i="22"/>
  <c r="M3566" i="22"/>
  <c r="N3566" i="22"/>
  <c r="O3566" i="22"/>
  <c r="K3567" i="22"/>
  <c r="L3567" i="22"/>
  <c r="M3567" i="22"/>
  <c r="N3567" i="22"/>
  <c r="O3567" i="22"/>
  <c r="K3568" i="22"/>
  <c r="L3568" i="22"/>
  <c r="M3568" i="22"/>
  <c r="N3568" i="22"/>
  <c r="O3568" i="22"/>
  <c r="K3569" i="22"/>
  <c r="P3569" i="22" s="1"/>
  <c r="Q3569" i="22" s="1"/>
  <c r="L3569" i="22"/>
  <c r="M3569" i="22"/>
  <c r="N3569" i="22"/>
  <c r="O3569" i="22"/>
  <c r="K3570" i="22"/>
  <c r="L3570" i="22"/>
  <c r="M3570" i="22"/>
  <c r="N3570" i="22"/>
  <c r="O3570" i="22"/>
  <c r="K3571" i="22"/>
  <c r="L3571" i="22"/>
  <c r="M3571" i="22"/>
  <c r="N3571" i="22"/>
  <c r="O3571" i="22"/>
  <c r="K3572" i="22"/>
  <c r="L3572" i="22"/>
  <c r="M3572" i="22"/>
  <c r="N3572" i="22"/>
  <c r="O3572" i="22"/>
  <c r="K3573" i="22"/>
  <c r="L3573" i="22"/>
  <c r="M3573" i="22"/>
  <c r="N3573" i="22"/>
  <c r="O3573" i="22"/>
  <c r="K3574" i="22"/>
  <c r="L3574" i="22"/>
  <c r="M3574" i="22"/>
  <c r="N3574" i="22"/>
  <c r="O3574" i="22"/>
  <c r="K3575" i="22"/>
  <c r="P3575" i="22" s="1"/>
  <c r="Q3575" i="22" s="1"/>
  <c r="L3575" i="22"/>
  <c r="M3575" i="22"/>
  <c r="N3575" i="22"/>
  <c r="O3575" i="22"/>
  <c r="K3576" i="22"/>
  <c r="L3576" i="22"/>
  <c r="M3576" i="22"/>
  <c r="N3576" i="22"/>
  <c r="O3576" i="22"/>
  <c r="K3577" i="22"/>
  <c r="L3577" i="22"/>
  <c r="M3577" i="22"/>
  <c r="N3577" i="22"/>
  <c r="O3577" i="22"/>
  <c r="K3578" i="22"/>
  <c r="L3578" i="22"/>
  <c r="M3578" i="22"/>
  <c r="N3578" i="22"/>
  <c r="O3578" i="22"/>
  <c r="K3579" i="22"/>
  <c r="L3579" i="22"/>
  <c r="M3579" i="22"/>
  <c r="N3579" i="22"/>
  <c r="O3579" i="22"/>
  <c r="K3580" i="22"/>
  <c r="L3580" i="22"/>
  <c r="M3580" i="22"/>
  <c r="N3580" i="22"/>
  <c r="O3580" i="22"/>
  <c r="K3581" i="22"/>
  <c r="L3581" i="22"/>
  <c r="M3581" i="22"/>
  <c r="N3581" i="22"/>
  <c r="O3581" i="22"/>
  <c r="K3582" i="22"/>
  <c r="L3582" i="22"/>
  <c r="M3582" i="22"/>
  <c r="N3582" i="22"/>
  <c r="O3582" i="22"/>
  <c r="K3583" i="22"/>
  <c r="L3583" i="22"/>
  <c r="M3583" i="22"/>
  <c r="N3583" i="22"/>
  <c r="O3583" i="22"/>
  <c r="K3584" i="22"/>
  <c r="L3584" i="22"/>
  <c r="M3584" i="22"/>
  <c r="N3584" i="22"/>
  <c r="O3584" i="22"/>
  <c r="K3585" i="22"/>
  <c r="L3585" i="22"/>
  <c r="M3585" i="22"/>
  <c r="N3585" i="22"/>
  <c r="O3585" i="22"/>
  <c r="K3586" i="22"/>
  <c r="L3586" i="22"/>
  <c r="M3586" i="22"/>
  <c r="N3586" i="22"/>
  <c r="O3586" i="22"/>
  <c r="K3587" i="22"/>
  <c r="L3587" i="22"/>
  <c r="M3587" i="22"/>
  <c r="N3587" i="22"/>
  <c r="O3587" i="22"/>
  <c r="K3588" i="22"/>
  <c r="L3588" i="22"/>
  <c r="M3588" i="22"/>
  <c r="N3588" i="22"/>
  <c r="O3588" i="22"/>
  <c r="K3589" i="22"/>
  <c r="P3589" i="22" s="1"/>
  <c r="Q3589" i="22" s="1"/>
  <c r="L3589" i="22"/>
  <c r="M3589" i="22"/>
  <c r="N3589" i="22"/>
  <c r="O3589" i="22"/>
  <c r="K3590" i="22"/>
  <c r="L3590" i="22"/>
  <c r="M3590" i="22"/>
  <c r="N3590" i="22"/>
  <c r="O3590" i="22"/>
  <c r="K3591" i="22"/>
  <c r="L3591" i="22"/>
  <c r="M3591" i="22"/>
  <c r="N3591" i="22"/>
  <c r="O3591" i="22"/>
  <c r="K3592" i="22"/>
  <c r="L3592" i="22"/>
  <c r="M3592" i="22"/>
  <c r="N3592" i="22"/>
  <c r="O3592" i="22"/>
  <c r="K3593" i="22"/>
  <c r="L3593" i="22"/>
  <c r="M3593" i="22"/>
  <c r="N3593" i="22"/>
  <c r="O3593" i="22"/>
  <c r="K3594" i="22"/>
  <c r="L3594" i="22"/>
  <c r="M3594" i="22"/>
  <c r="N3594" i="22"/>
  <c r="O3594" i="22"/>
  <c r="K3595" i="22"/>
  <c r="P3595" i="22" s="1"/>
  <c r="Q3595" i="22" s="1"/>
  <c r="L3595" i="22"/>
  <c r="M3595" i="22"/>
  <c r="N3595" i="22"/>
  <c r="O3595" i="22"/>
  <c r="K3596" i="22"/>
  <c r="L3596" i="22"/>
  <c r="M3596" i="22"/>
  <c r="N3596" i="22"/>
  <c r="O3596" i="22"/>
  <c r="K3597" i="22"/>
  <c r="L3597" i="22"/>
  <c r="M3597" i="22"/>
  <c r="N3597" i="22"/>
  <c r="O3597" i="22"/>
  <c r="K3598" i="22"/>
  <c r="L3598" i="22"/>
  <c r="M3598" i="22"/>
  <c r="N3598" i="22"/>
  <c r="O3598" i="22"/>
  <c r="K3599" i="22"/>
  <c r="L3599" i="22"/>
  <c r="M3599" i="22"/>
  <c r="N3599" i="22"/>
  <c r="O3599" i="22"/>
  <c r="K3600" i="22"/>
  <c r="L3600" i="22"/>
  <c r="M3600" i="22"/>
  <c r="N3600" i="22"/>
  <c r="O3600" i="22"/>
  <c r="K3601" i="22"/>
  <c r="P3601" i="22" s="1"/>
  <c r="Q3601" i="22" s="1"/>
  <c r="L3601" i="22"/>
  <c r="M3601" i="22"/>
  <c r="N3601" i="22"/>
  <c r="O3601" i="22"/>
  <c r="K3602" i="22"/>
  <c r="L3602" i="22"/>
  <c r="M3602" i="22"/>
  <c r="N3602" i="22"/>
  <c r="O3602" i="22"/>
  <c r="K3603" i="22"/>
  <c r="L3603" i="22"/>
  <c r="M3603" i="22"/>
  <c r="N3603" i="22"/>
  <c r="O3603" i="22"/>
  <c r="K3604" i="22"/>
  <c r="L3604" i="22"/>
  <c r="M3604" i="22"/>
  <c r="N3604" i="22"/>
  <c r="O3604" i="22"/>
  <c r="K3605" i="22"/>
  <c r="L3605" i="22"/>
  <c r="M3605" i="22"/>
  <c r="N3605" i="22"/>
  <c r="O3605" i="22"/>
  <c r="K3606" i="22"/>
  <c r="L3606" i="22"/>
  <c r="M3606" i="22"/>
  <c r="N3606" i="22"/>
  <c r="O3606" i="22"/>
  <c r="K3607" i="22"/>
  <c r="L3607" i="22"/>
  <c r="M3607" i="22"/>
  <c r="N3607" i="22"/>
  <c r="O3607" i="22"/>
  <c r="K3608" i="22"/>
  <c r="L3608" i="22"/>
  <c r="M3608" i="22"/>
  <c r="N3608" i="22"/>
  <c r="O3608" i="22"/>
  <c r="K3609" i="22"/>
  <c r="L3609" i="22"/>
  <c r="M3609" i="22"/>
  <c r="N3609" i="22"/>
  <c r="O3609" i="22"/>
  <c r="K3610" i="22"/>
  <c r="L3610" i="22"/>
  <c r="M3610" i="22"/>
  <c r="N3610" i="22"/>
  <c r="O3610" i="22"/>
  <c r="K3611" i="22"/>
  <c r="L3611" i="22"/>
  <c r="M3611" i="22"/>
  <c r="N3611" i="22"/>
  <c r="O3611" i="22"/>
  <c r="K3612" i="22"/>
  <c r="L3612" i="22"/>
  <c r="M3612" i="22"/>
  <c r="N3612" i="22"/>
  <c r="O3612" i="22"/>
  <c r="K3613" i="22"/>
  <c r="L3613" i="22"/>
  <c r="M3613" i="22"/>
  <c r="N3613" i="22"/>
  <c r="O3613" i="22"/>
  <c r="K3614" i="22"/>
  <c r="P3614" i="22" s="1"/>
  <c r="Q3614" i="22" s="1"/>
  <c r="L3614" i="22"/>
  <c r="M3614" i="22"/>
  <c r="N3614" i="22"/>
  <c r="O3614" i="22"/>
  <c r="K3615" i="22"/>
  <c r="L3615" i="22"/>
  <c r="M3615" i="22"/>
  <c r="N3615" i="22"/>
  <c r="O3615" i="22"/>
  <c r="K3616" i="22"/>
  <c r="L3616" i="22"/>
  <c r="M3616" i="22"/>
  <c r="N3616" i="22"/>
  <c r="O3616" i="22"/>
  <c r="K3617" i="22"/>
  <c r="L3617" i="22"/>
  <c r="M3617" i="22"/>
  <c r="N3617" i="22"/>
  <c r="O3617" i="22"/>
  <c r="K3618" i="22"/>
  <c r="L3618" i="22"/>
  <c r="M3618" i="22"/>
  <c r="N3618" i="22"/>
  <c r="O3618" i="22"/>
  <c r="K3619" i="22"/>
  <c r="L3619" i="22"/>
  <c r="M3619" i="22"/>
  <c r="N3619" i="22"/>
  <c r="O3619" i="22"/>
  <c r="K3620" i="22"/>
  <c r="L3620" i="22"/>
  <c r="M3620" i="22"/>
  <c r="N3620" i="22"/>
  <c r="O3620" i="22"/>
  <c r="K3621" i="22"/>
  <c r="L3621" i="22"/>
  <c r="M3621" i="22"/>
  <c r="N3621" i="22"/>
  <c r="O3621" i="22"/>
  <c r="K3622" i="22"/>
  <c r="L3622" i="22"/>
  <c r="M3622" i="22"/>
  <c r="N3622" i="22"/>
  <c r="O3622" i="22"/>
  <c r="K3623" i="22"/>
  <c r="L3623" i="22"/>
  <c r="M3623" i="22"/>
  <c r="N3623" i="22"/>
  <c r="O3623" i="22"/>
  <c r="K3624" i="22"/>
  <c r="L3624" i="22"/>
  <c r="M3624" i="22"/>
  <c r="N3624" i="22"/>
  <c r="O3624" i="22"/>
  <c r="K3625" i="22"/>
  <c r="L3625" i="22"/>
  <c r="M3625" i="22"/>
  <c r="N3625" i="22"/>
  <c r="O3625" i="22"/>
  <c r="K3626" i="22"/>
  <c r="P3626" i="22" s="1"/>
  <c r="Q3626" i="22" s="1"/>
  <c r="L3626" i="22"/>
  <c r="M3626" i="22"/>
  <c r="N3626" i="22"/>
  <c r="O3626" i="22"/>
  <c r="K3627" i="22"/>
  <c r="L3627" i="22"/>
  <c r="M3627" i="22"/>
  <c r="N3627" i="22"/>
  <c r="O3627" i="22"/>
  <c r="K3628" i="22"/>
  <c r="L3628" i="22"/>
  <c r="M3628" i="22"/>
  <c r="N3628" i="22"/>
  <c r="O3628" i="22"/>
  <c r="K3629" i="22"/>
  <c r="L3629" i="22"/>
  <c r="M3629" i="22"/>
  <c r="N3629" i="22"/>
  <c r="O3629" i="22"/>
  <c r="K3630" i="22"/>
  <c r="L3630" i="22"/>
  <c r="M3630" i="22"/>
  <c r="N3630" i="22"/>
  <c r="O3630" i="22"/>
  <c r="K3631" i="22"/>
  <c r="L3631" i="22"/>
  <c r="M3631" i="22"/>
  <c r="N3631" i="22"/>
  <c r="O3631" i="22"/>
  <c r="K3632" i="22"/>
  <c r="L3632" i="22"/>
  <c r="M3632" i="22"/>
  <c r="N3632" i="22"/>
  <c r="O3632" i="22"/>
  <c r="K3633" i="22"/>
  <c r="L3633" i="22"/>
  <c r="M3633" i="22"/>
  <c r="N3633" i="22"/>
  <c r="O3633" i="22"/>
  <c r="K3634" i="22"/>
  <c r="L3634" i="22"/>
  <c r="M3634" i="22"/>
  <c r="N3634" i="22"/>
  <c r="O3634" i="22"/>
  <c r="K3635" i="22"/>
  <c r="L3635" i="22"/>
  <c r="M3635" i="22"/>
  <c r="N3635" i="22"/>
  <c r="O3635" i="22"/>
  <c r="K3636" i="22"/>
  <c r="L3636" i="22"/>
  <c r="M3636" i="22"/>
  <c r="N3636" i="22"/>
  <c r="O3636" i="22"/>
  <c r="K3637" i="22"/>
  <c r="L3637" i="22"/>
  <c r="M3637" i="22"/>
  <c r="N3637" i="22"/>
  <c r="O3637" i="22"/>
  <c r="K3638" i="22"/>
  <c r="L3638" i="22"/>
  <c r="M3638" i="22"/>
  <c r="N3638" i="22"/>
  <c r="O3638" i="22"/>
  <c r="K3639" i="22"/>
  <c r="L3639" i="22"/>
  <c r="M3639" i="22"/>
  <c r="N3639" i="22"/>
  <c r="O3639" i="22"/>
  <c r="K3640" i="22"/>
  <c r="L3640" i="22"/>
  <c r="M3640" i="22"/>
  <c r="N3640" i="22"/>
  <c r="O3640" i="22"/>
  <c r="K3641" i="22"/>
  <c r="L3641" i="22"/>
  <c r="M3641" i="22"/>
  <c r="N3641" i="22"/>
  <c r="O3641" i="22"/>
  <c r="K3642" i="22"/>
  <c r="L3642" i="22"/>
  <c r="M3642" i="22"/>
  <c r="N3642" i="22"/>
  <c r="O3642" i="22"/>
  <c r="K3643" i="22"/>
  <c r="L3643" i="22"/>
  <c r="M3643" i="22"/>
  <c r="N3643" i="22"/>
  <c r="O3643" i="22"/>
  <c r="K3644" i="22"/>
  <c r="L3644" i="22"/>
  <c r="M3644" i="22"/>
  <c r="N3644" i="22"/>
  <c r="O3644" i="22"/>
  <c r="K3645" i="22"/>
  <c r="L3645" i="22"/>
  <c r="M3645" i="22"/>
  <c r="N3645" i="22"/>
  <c r="O3645" i="22"/>
  <c r="K3646" i="22"/>
  <c r="L3646" i="22"/>
  <c r="M3646" i="22"/>
  <c r="N3646" i="22"/>
  <c r="O3646" i="22"/>
  <c r="K3647" i="22"/>
  <c r="L3647" i="22"/>
  <c r="M3647" i="22"/>
  <c r="N3647" i="22"/>
  <c r="O3647" i="22"/>
  <c r="K3648" i="22"/>
  <c r="L3648" i="22"/>
  <c r="M3648" i="22"/>
  <c r="N3648" i="22"/>
  <c r="O3648" i="22"/>
  <c r="K3649" i="22"/>
  <c r="L3649" i="22"/>
  <c r="M3649" i="22"/>
  <c r="N3649" i="22"/>
  <c r="O3649" i="22"/>
  <c r="K3650" i="22"/>
  <c r="L3650" i="22"/>
  <c r="M3650" i="22"/>
  <c r="N3650" i="22"/>
  <c r="O3650" i="22"/>
  <c r="K3651" i="22"/>
  <c r="L3651" i="22"/>
  <c r="M3651" i="22"/>
  <c r="N3651" i="22"/>
  <c r="O3651" i="22"/>
  <c r="K3652" i="22"/>
  <c r="L3652" i="22"/>
  <c r="M3652" i="22"/>
  <c r="N3652" i="22"/>
  <c r="O3652" i="22"/>
  <c r="K3653" i="22"/>
  <c r="L3653" i="22"/>
  <c r="M3653" i="22"/>
  <c r="N3653" i="22"/>
  <c r="O3653" i="22"/>
  <c r="K3654" i="22"/>
  <c r="L3654" i="22"/>
  <c r="M3654" i="22"/>
  <c r="N3654" i="22"/>
  <c r="O3654" i="22"/>
  <c r="P3654" i="22"/>
  <c r="Q3654" i="22" s="1"/>
  <c r="K3655" i="22"/>
  <c r="L3655" i="22"/>
  <c r="M3655" i="22"/>
  <c r="N3655" i="22"/>
  <c r="O3655" i="22"/>
  <c r="K3656" i="22"/>
  <c r="L3656" i="22"/>
  <c r="M3656" i="22"/>
  <c r="N3656" i="22"/>
  <c r="O3656" i="22"/>
  <c r="K3657" i="22"/>
  <c r="L3657" i="22"/>
  <c r="M3657" i="22"/>
  <c r="N3657" i="22"/>
  <c r="O3657" i="22"/>
  <c r="K3658" i="22"/>
  <c r="L3658" i="22"/>
  <c r="M3658" i="22"/>
  <c r="N3658" i="22"/>
  <c r="O3658" i="22"/>
  <c r="K3659" i="22"/>
  <c r="L3659" i="22"/>
  <c r="M3659" i="22"/>
  <c r="N3659" i="22"/>
  <c r="O3659" i="22"/>
  <c r="K3660" i="22"/>
  <c r="L3660" i="22"/>
  <c r="M3660" i="22"/>
  <c r="N3660" i="22"/>
  <c r="O3660" i="22"/>
  <c r="K3661" i="22"/>
  <c r="L3661" i="22"/>
  <c r="M3661" i="22"/>
  <c r="N3661" i="22"/>
  <c r="O3661" i="22"/>
  <c r="K3662" i="22"/>
  <c r="L3662" i="22"/>
  <c r="M3662" i="22"/>
  <c r="N3662" i="22"/>
  <c r="O3662" i="22"/>
  <c r="K3663" i="22"/>
  <c r="L3663" i="22"/>
  <c r="M3663" i="22"/>
  <c r="N3663" i="22"/>
  <c r="O3663" i="22"/>
  <c r="K3664" i="22"/>
  <c r="L3664" i="22"/>
  <c r="M3664" i="22"/>
  <c r="N3664" i="22"/>
  <c r="O3664" i="22"/>
  <c r="K3665" i="22"/>
  <c r="P3665" i="22" s="1"/>
  <c r="Q3665" i="22" s="1"/>
  <c r="L3665" i="22"/>
  <c r="M3665" i="22"/>
  <c r="N3665" i="22"/>
  <c r="O3665" i="22"/>
  <c r="K3666" i="22"/>
  <c r="L3666" i="22"/>
  <c r="M3666" i="22"/>
  <c r="N3666" i="22"/>
  <c r="O3666" i="22"/>
  <c r="K3667" i="22"/>
  <c r="L3667" i="22"/>
  <c r="M3667" i="22"/>
  <c r="N3667" i="22"/>
  <c r="O3667" i="22"/>
  <c r="K3668" i="22"/>
  <c r="L3668" i="22"/>
  <c r="M3668" i="22"/>
  <c r="N3668" i="22"/>
  <c r="O3668" i="22"/>
  <c r="K3669" i="22"/>
  <c r="L3669" i="22"/>
  <c r="M3669" i="22"/>
  <c r="N3669" i="22"/>
  <c r="O3669" i="22"/>
  <c r="K3670" i="22"/>
  <c r="L3670" i="22"/>
  <c r="M3670" i="22"/>
  <c r="N3670" i="22"/>
  <c r="O3670" i="22"/>
  <c r="K3671" i="22"/>
  <c r="P3671" i="22" s="1"/>
  <c r="L3671" i="22"/>
  <c r="M3671" i="22"/>
  <c r="N3671" i="22"/>
  <c r="O3671" i="22"/>
  <c r="Q3671" i="22"/>
  <c r="K3672" i="22"/>
  <c r="L3672" i="22"/>
  <c r="M3672" i="22"/>
  <c r="N3672" i="22"/>
  <c r="O3672" i="22"/>
  <c r="K3673" i="22"/>
  <c r="L3673" i="22"/>
  <c r="M3673" i="22"/>
  <c r="N3673" i="22"/>
  <c r="O3673" i="22"/>
  <c r="K3674" i="22"/>
  <c r="L3674" i="22"/>
  <c r="M3674" i="22"/>
  <c r="N3674" i="22"/>
  <c r="O3674" i="22"/>
  <c r="K3675" i="22"/>
  <c r="L3675" i="22"/>
  <c r="M3675" i="22"/>
  <c r="N3675" i="22"/>
  <c r="O3675" i="22"/>
  <c r="K3676" i="22"/>
  <c r="L3676" i="22"/>
  <c r="M3676" i="22"/>
  <c r="N3676" i="22"/>
  <c r="O3676" i="22"/>
  <c r="K3677" i="22"/>
  <c r="L3677" i="22"/>
  <c r="M3677" i="22"/>
  <c r="N3677" i="22"/>
  <c r="O3677" i="22"/>
  <c r="K3678" i="22"/>
  <c r="L3678" i="22"/>
  <c r="M3678" i="22"/>
  <c r="N3678" i="22"/>
  <c r="O3678" i="22"/>
  <c r="K3679" i="22"/>
  <c r="P3679" i="22" s="1"/>
  <c r="Q3679" i="22" s="1"/>
  <c r="L3679" i="22"/>
  <c r="M3679" i="22"/>
  <c r="N3679" i="22"/>
  <c r="O3679" i="22"/>
  <c r="K3680" i="22"/>
  <c r="L3680" i="22"/>
  <c r="M3680" i="22"/>
  <c r="N3680" i="22"/>
  <c r="O3680" i="22"/>
  <c r="K3681" i="22"/>
  <c r="L3681" i="22"/>
  <c r="M3681" i="22"/>
  <c r="N3681" i="22"/>
  <c r="O3681" i="22"/>
  <c r="K3682" i="22"/>
  <c r="L3682" i="22"/>
  <c r="M3682" i="22"/>
  <c r="N3682" i="22"/>
  <c r="O3682" i="22"/>
  <c r="K3683" i="22"/>
  <c r="L3683" i="22"/>
  <c r="M3683" i="22"/>
  <c r="N3683" i="22"/>
  <c r="O3683" i="22"/>
  <c r="K3684" i="22"/>
  <c r="L3684" i="22"/>
  <c r="M3684" i="22"/>
  <c r="N3684" i="22"/>
  <c r="O3684" i="22"/>
  <c r="K3685" i="22"/>
  <c r="L3685" i="22"/>
  <c r="M3685" i="22"/>
  <c r="N3685" i="22"/>
  <c r="O3685" i="22"/>
  <c r="K3686" i="22"/>
  <c r="L3686" i="22"/>
  <c r="M3686" i="22"/>
  <c r="N3686" i="22"/>
  <c r="O3686" i="22"/>
  <c r="K3687" i="22"/>
  <c r="L3687" i="22"/>
  <c r="M3687" i="22"/>
  <c r="N3687" i="22"/>
  <c r="O3687" i="22"/>
  <c r="K3688" i="22"/>
  <c r="L3688" i="22"/>
  <c r="M3688" i="22"/>
  <c r="N3688" i="22"/>
  <c r="O3688" i="22"/>
  <c r="K3689" i="22"/>
  <c r="L3689" i="22"/>
  <c r="M3689" i="22"/>
  <c r="N3689" i="22"/>
  <c r="O3689" i="22"/>
  <c r="K3690" i="22"/>
  <c r="L3690" i="22"/>
  <c r="M3690" i="22"/>
  <c r="N3690" i="22"/>
  <c r="O3690" i="22"/>
  <c r="K3691" i="22"/>
  <c r="P3691" i="22" s="1"/>
  <c r="Q3691" i="22" s="1"/>
  <c r="L3691" i="22"/>
  <c r="M3691" i="22"/>
  <c r="N3691" i="22"/>
  <c r="O3691" i="22"/>
  <c r="K3692" i="22"/>
  <c r="L3692" i="22"/>
  <c r="M3692" i="22"/>
  <c r="N3692" i="22"/>
  <c r="O3692" i="22"/>
  <c r="K3693" i="22"/>
  <c r="L3693" i="22"/>
  <c r="M3693" i="22"/>
  <c r="N3693" i="22"/>
  <c r="O3693" i="22"/>
  <c r="K3694" i="22"/>
  <c r="L3694" i="22"/>
  <c r="M3694" i="22"/>
  <c r="N3694" i="22"/>
  <c r="O3694" i="22"/>
  <c r="K3695" i="22"/>
  <c r="L3695" i="22"/>
  <c r="M3695" i="22"/>
  <c r="N3695" i="22"/>
  <c r="O3695" i="22"/>
  <c r="K3696" i="22"/>
  <c r="L3696" i="22"/>
  <c r="M3696" i="22"/>
  <c r="N3696" i="22"/>
  <c r="O3696" i="22"/>
  <c r="K3697" i="22"/>
  <c r="L3697" i="22"/>
  <c r="M3697" i="22"/>
  <c r="N3697" i="22"/>
  <c r="O3697" i="22"/>
  <c r="K3698" i="22"/>
  <c r="P3698" i="22" s="1"/>
  <c r="Q3698" i="22" s="1"/>
  <c r="L3698" i="22"/>
  <c r="M3698" i="22"/>
  <c r="N3698" i="22"/>
  <c r="O3698" i="22"/>
  <c r="K3699" i="22"/>
  <c r="L3699" i="22"/>
  <c r="M3699" i="22"/>
  <c r="N3699" i="22"/>
  <c r="O3699" i="22"/>
  <c r="K3700" i="22"/>
  <c r="L3700" i="22"/>
  <c r="M3700" i="22"/>
  <c r="N3700" i="22"/>
  <c r="O3700" i="22"/>
  <c r="K3701" i="22"/>
  <c r="P3701" i="22" s="1"/>
  <c r="Q3701" i="22" s="1"/>
  <c r="L3701" i="22"/>
  <c r="M3701" i="22"/>
  <c r="N3701" i="22"/>
  <c r="O3701" i="22"/>
  <c r="K3702" i="22"/>
  <c r="L3702" i="22"/>
  <c r="M3702" i="22"/>
  <c r="N3702" i="22"/>
  <c r="O3702" i="22"/>
  <c r="K3703" i="22"/>
  <c r="P3702" i="22" s="1"/>
  <c r="Q3702" i="22" s="1"/>
  <c r="L3703" i="22"/>
  <c r="M3703" i="22"/>
  <c r="N3703" i="22"/>
  <c r="O3703" i="22"/>
  <c r="K3704" i="22"/>
  <c r="L3704" i="22"/>
  <c r="M3704" i="22"/>
  <c r="N3704" i="22"/>
  <c r="O3704" i="22"/>
  <c r="K3705" i="22"/>
  <c r="L3705" i="22"/>
  <c r="M3705" i="22"/>
  <c r="N3705" i="22"/>
  <c r="O3705" i="22"/>
  <c r="K3706" i="22"/>
  <c r="L3706" i="22"/>
  <c r="M3706" i="22"/>
  <c r="N3706" i="22"/>
  <c r="O3706" i="22"/>
  <c r="K3707" i="22"/>
  <c r="L3707" i="22"/>
  <c r="M3707" i="22"/>
  <c r="N3707" i="22"/>
  <c r="O3707" i="22"/>
  <c r="K3708" i="22"/>
  <c r="L3708" i="22"/>
  <c r="M3708" i="22"/>
  <c r="N3708" i="22"/>
  <c r="O3708" i="22"/>
  <c r="K3709" i="22"/>
  <c r="L3709" i="22"/>
  <c r="M3709" i="22"/>
  <c r="N3709" i="22"/>
  <c r="O3709" i="22"/>
  <c r="K3710" i="22"/>
  <c r="L3710" i="22"/>
  <c r="M3710" i="22"/>
  <c r="N3710" i="22"/>
  <c r="O3710" i="22"/>
  <c r="K3711" i="22"/>
  <c r="L3711" i="22"/>
  <c r="M3711" i="22"/>
  <c r="N3711" i="22"/>
  <c r="O3711" i="22"/>
  <c r="K3712" i="22"/>
  <c r="L3712" i="22"/>
  <c r="M3712" i="22"/>
  <c r="N3712" i="22"/>
  <c r="O3712" i="22"/>
  <c r="K3713" i="22"/>
  <c r="L3713" i="22"/>
  <c r="M3713" i="22"/>
  <c r="N3713" i="22"/>
  <c r="O3713" i="22"/>
  <c r="K3714" i="22"/>
  <c r="L3714" i="22"/>
  <c r="M3714" i="22"/>
  <c r="N3714" i="22"/>
  <c r="O3714" i="22"/>
  <c r="P3714" i="22"/>
  <c r="Q3714" i="22" s="1"/>
  <c r="K3715" i="22"/>
  <c r="L3715" i="22"/>
  <c r="M3715" i="22"/>
  <c r="N3715" i="22"/>
  <c r="O3715" i="22"/>
  <c r="K3716" i="22"/>
  <c r="L3716" i="22"/>
  <c r="M3716" i="22"/>
  <c r="N3716" i="22"/>
  <c r="O3716" i="22"/>
  <c r="K3717" i="22"/>
  <c r="L3717" i="22"/>
  <c r="M3717" i="22"/>
  <c r="N3717" i="22"/>
  <c r="O3717" i="22"/>
  <c r="K3718" i="22"/>
  <c r="L3718" i="22"/>
  <c r="M3718" i="22"/>
  <c r="N3718" i="22"/>
  <c r="O3718" i="22"/>
  <c r="P3718" i="22" s="1"/>
  <c r="Q3718" i="22" s="1"/>
  <c r="K3719" i="22"/>
  <c r="P3719" i="22" s="1"/>
  <c r="Q3719" i="22" s="1"/>
  <c r="L3719" i="22"/>
  <c r="M3719" i="22"/>
  <c r="N3719" i="22"/>
  <c r="O3719" i="22"/>
  <c r="K3720" i="22"/>
  <c r="L3720" i="22"/>
  <c r="M3720" i="22"/>
  <c r="N3720" i="22"/>
  <c r="O3720" i="22"/>
  <c r="P3720" i="22"/>
  <c r="Q3720" i="22" s="1"/>
  <c r="K3721" i="22"/>
  <c r="P3721" i="22" s="1"/>
  <c r="Q3721" i="22" s="1"/>
  <c r="L3721" i="22"/>
  <c r="M3721" i="22"/>
  <c r="N3721" i="22"/>
  <c r="O3721" i="22"/>
  <c r="K3722" i="22"/>
  <c r="L3722" i="22"/>
  <c r="M3722" i="22"/>
  <c r="N3722" i="22"/>
  <c r="O3722" i="22"/>
  <c r="K3723" i="22"/>
  <c r="L3723" i="22"/>
  <c r="M3723" i="22"/>
  <c r="N3723" i="22"/>
  <c r="O3723" i="22"/>
  <c r="K3724" i="22"/>
  <c r="L3724" i="22"/>
  <c r="M3724" i="22"/>
  <c r="N3724" i="22"/>
  <c r="O3724" i="22"/>
  <c r="K3725" i="22"/>
  <c r="L3725" i="22"/>
  <c r="M3725" i="22"/>
  <c r="N3725" i="22"/>
  <c r="O3725" i="22"/>
  <c r="K3726" i="22"/>
  <c r="L3726" i="22"/>
  <c r="M3726" i="22"/>
  <c r="N3726" i="22"/>
  <c r="O3726" i="22"/>
  <c r="K3727" i="22"/>
  <c r="L3727" i="22"/>
  <c r="M3727" i="22"/>
  <c r="N3727" i="22"/>
  <c r="O3727" i="22"/>
  <c r="K3728" i="22"/>
  <c r="L3728" i="22"/>
  <c r="M3728" i="22"/>
  <c r="N3728" i="22"/>
  <c r="O3728" i="22"/>
  <c r="K3729" i="22"/>
  <c r="L3729" i="22"/>
  <c r="M3729" i="22"/>
  <c r="N3729" i="22"/>
  <c r="O3729" i="22"/>
  <c r="K3730" i="22"/>
  <c r="L3730" i="22"/>
  <c r="M3730" i="22"/>
  <c r="N3730" i="22"/>
  <c r="O3730" i="22"/>
  <c r="K3731" i="22"/>
  <c r="L3731" i="22"/>
  <c r="M3731" i="22"/>
  <c r="N3731" i="22"/>
  <c r="O3731" i="22"/>
  <c r="K3732" i="22"/>
  <c r="L3732" i="22"/>
  <c r="M3732" i="22"/>
  <c r="N3732" i="22"/>
  <c r="O3732" i="22"/>
  <c r="K3733" i="22"/>
  <c r="L3733" i="22"/>
  <c r="M3733" i="22"/>
  <c r="N3733" i="22"/>
  <c r="O3733" i="22"/>
  <c r="K3734" i="22"/>
  <c r="P3734" i="22" s="1"/>
  <c r="Q3734" i="22" s="1"/>
  <c r="L3734" i="22"/>
  <c r="M3734" i="22"/>
  <c r="N3734" i="22"/>
  <c r="O3734" i="22"/>
  <c r="K3735" i="22"/>
  <c r="L3735" i="22"/>
  <c r="M3735" i="22"/>
  <c r="N3735" i="22"/>
  <c r="O3735" i="22"/>
  <c r="K3736" i="22"/>
  <c r="L3736" i="22"/>
  <c r="M3736" i="22"/>
  <c r="N3736" i="22"/>
  <c r="O3736" i="22"/>
  <c r="K3737" i="22"/>
  <c r="L3737" i="22"/>
  <c r="M3737" i="22"/>
  <c r="N3737" i="22"/>
  <c r="O3737" i="22"/>
  <c r="K3738" i="22"/>
  <c r="P3738" i="22" s="1"/>
  <c r="Q3738" i="22" s="1"/>
  <c r="L3738" i="22"/>
  <c r="M3738" i="22"/>
  <c r="N3738" i="22"/>
  <c r="O3738" i="22"/>
  <c r="K3739" i="22"/>
  <c r="L3739" i="22"/>
  <c r="M3739" i="22"/>
  <c r="N3739" i="22"/>
  <c r="O3739" i="22"/>
  <c r="K3740" i="22"/>
  <c r="P3740" i="22" s="1"/>
  <c r="Q3740" i="22" s="1"/>
  <c r="L3740" i="22"/>
  <c r="M3740" i="22"/>
  <c r="N3740" i="22"/>
  <c r="O3740" i="22"/>
  <c r="K3741" i="22"/>
  <c r="L3741" i="22"/>
  <c r="M3741" i="22"/>
  <c r="N3741" i="22"/>
  <c r="O3741" i="22"/>
  <c r="K3742" i="22"/>
  <c r="P3742" i="22" s="1"/>
  <c r="Q3742" i="22" s="1"/>
  <c r="L3742" i="22"/>
  <c r="M3742" i="22"/>
  <c r="N3742" i="22"/>
  <c r="O3742" i="22"/>
  <c r="K3743" i="22"/>
  <c r="L3743" i="22"/>
  <c r="M3743" i="22"/>
  <c r="N3743" i="22"/>
  <c r="O3743" i="22"/>
  <c r="K3744" i="22"/>
  <c r="P3744" i="22" s="1"/>
  <c r="Q3744" i="22" s="1"/>
  <c r="L3744" i="22"/>
  <c r="M3744" i="22"/>
  <c r="N3744" i="22"/>
  <c r="O3744" i="22"/>
  <c r="K3745" i="22"/>
  <c r="L3745" i="22"/>
  <c r="M3745" i="22"/>
  <c r="N3745" i="22"/>
  <c r="O3745" i="22"/>
  <c r="K3746" i="22"/>
  <c r="L3746" i="22"/>
  <c r="M3746" i="22"/>
  <c r="N3746" i="22"/>
  <c r="O3746" i="22"/>
  <c r="K3747" i="22"/>
  <c r="L3747" i="22"/>
  <c r="M3747" i="22"/>
  <c r="N3747" i="22"/>
  <c r="O3747" i="22"/>
  <c r="K3748" i="22"/>
  <c r="L3748" i="22"/>
  <c r="M3748" i="22"/>
  <c r="N3748" i="22"/>
  <c r="O3748" i="22"/>
  <c r="K3749" i="22"/>
  <c r="L3749" i="22"/>
  <c r="M3749" i="22"/>
  <c r="N3749" i="22"/>
  <c r="O3749" i="22"/>
  <c r="K3750" i="22"/>
  <c r="L3750" i="22"/>
  <c r="M3750" i="22"/>
  <c r="N3750" i="22"/>
  <c r="O3750" i="22"/>
  <c r="P3750" i="22"/>
  <c r="Q3750" i="22" s="1"/>
  <c r="K3751" i="22"/>
  <c r="L3751" i="22"/>
  <c r="M3751" i="22"/>
  <c r="N3751" i="22"/>
  <c r="O3751" i="22"/>
  <c r="K3752" i="22"/>
  <c r="L3752" i="22"/>
  <c r="M3752" i="22"/>
  <c r="N3752" i="22"/>
  <c r="O3752" i="22"/>
  <c r="P3752" i="22"/>
  <c r="Q3752" i="22" s="1"/>
  <c r="K3753" i="22"/>
  <c r="L3753" i="22"/>
  <c r="M3753" i="22"/>
  <c r="N3753" i="22"/>
  <c r="O3753" i="22"/>
  <c r="K3754" i="22"/>
  <c r="L3754" i="22"/>
  <c r="M3754" i="22"/>
  <c r="N3754" i="22"/>
  <c r="O3754" i="22"/>
  <c r="P3754" i="22"/>
  <c r="Q3754" i="22"/>
  <c r="K3755" i="22"/>
  <c r="L3755" i="22"/>
  <c r="M3755" i="22"/>
  <c r="N3755" i="22"/>
  <c r="O3755" i="22"/>
  <c r="K3756" i="22"/>
  <c r="L3756" i="22"/>
  <c r="M3756" i="22"/>
  <c r="N3756" i="22"/>
  <c r="O3756" i="22"/>
  <c r="P3756" i="22"/>
  <c r="Q3756" i="22" s="1"/>
  <c r="K3757" i="22"/>
  <c r="L3757" i="22"/>
  <c r="M3757" i="22"/>
  <c r="N3757" i="22"/>
  <c r="O3757" i="22"/>
  <c r="K3758" i="22"/>
  <c r="L3758" i="22"/>
  <c r="M3758" i="22"/>
  <c r="N3758" i="22"/>
  <c r="O3758" i="22"/>
  <c r="K3759" i="22"/>
  <c r="L3759" i="22"/>
  <c r="M3759" i="22"/>
  <c r="N3759" i="22"/>
  <c r="O3759" i="22"/>
  <c r="K3760" i="22"/>
  <c r="L3760" i="22"/>
  <c r="M3760" i="22"/>
  <c r="N3760" i="22"/>
  <c r="O3760" i="22"/>
  <c r="K3761" i="22"/>
  <c r="L3761" i="22"/>
  <c r="M3761" i="22"/>
  <c r="N3761" i="22"/>
  <c r="O3761" i="22"/>
  <c r="K3762" i="22"/>
  <c r="L3762" i="22"/>
  <c r="M3762" i="22"/>
  <c r="N3762" i="22"/>
  <c r="O3762" i="22"/>
  <c r="K3763" i="22"/>
  <c r="L3763" i="22"/>
  <c r="M3763" i="22"/>
  <c r="N3763" i="22"/>
  <c r="O3763" i="22"/>
  <c r="K3764" i="22"/>
  <c r="L3764" i="22"/>
  <c r="M3764" i="22"/>
  <c r="N3764" i="22"/>
  <c r="O3764" i="22"/>
  <c r="K3765" i="22"/>
  <c r="L3765" i="22"/>
  <c r="M3765" i="22"/>
  <c r="N3765" i="22"/>
  <c r="O3765" i="22"/>
  <c r="K3766" i="22"/>
  <c r="L3766" i="22"/>
  <c r="M3766" i="22"/>
  <c r="N3766" i="22"/>
  <c r="O3766" i="22"/>
  <c r="K3767" i="22"/>
  <c r="L3767" i="22"/>
  <c r="M3767" i="22"/>
  <c r="N3767" i="22"/>
  <c r="O3767" i="22"/>
  <c r="K3768" i="22"/>
  <c r="L3768" i="22"/>
  <c r="M3768" i="22"/>
  <c r="N3768" i="22"/>
  <c r="O3768" i="22"/>
  <c r="K3769" i="22"/>
  <c r="L3769" i="22"/>
  <c r="M3769" i="22"/>
  <c r="N3769" i="22"/>
  <c r="O3769" i="22"/>
  <c r="K3770" i="22"/>
  <c r="L3770" i="22"/>
  <c r="M3770" i="22"/>
  <c r="N3770" i="22"/>
  <c r="O3770" i="22"/>
  <c r="K3771" i="22"/>
  <c r="L3771" i="22"/>
  <c r="M3771" i="22"/>
  <c r="N3771" i="22"/>
  <c r="O3771" i="22"/>
  <c r="K3772" i="22"/>
  <c r="L3772" i="22"/>
  <c r="M3772" i="22"/>
  <c r="N3772" i="22"/>
  <c r="O3772" i="22"/>
  <c r="K3773" i="22"/>
  <c r="L3773" i="22"/>
  <c r="M3773" i="22"/>
  <c r="N3773" i="22"/>
  <c r="O3773" i="22"/>
  <c r="K3774" i="22"/>
  <c r="L3774" i="22"/>
  <c r="M3774" i="22"/>
  <c r="N3774" i="22"/>
  <c r="O3774" i="22"/>
  <c r="K3775" i="22"/>
  <c r="L3775" i="22"/>
  <c r="M3775" i="22"/>
  <c r="N3775" i="22"/>
  <c r="O3775" i="22"/>
  <c r="K3776" i="22"/>
  <c r="L3776" i="22"/>
  <c r="M3776" i="22"/>
  <c r="N3776" i="22"/>
  <c r="O3776" i="22"/>
  <c r="K3777" i="22"/>
  <c r="L3777" i="22"/>
  <c r="M3777" i="22"/>
  <c r="N3777" i="22"/>
  <c r="O3777" i="22"/>
  <c r="K3778" i="22"/>
  <c r="L3778" i="22"/>
  <c r="M3778" i="22"/>
  <c r="N3778" i="22"/>
  <c r="O3778" i="22"/>
  <c r="K3779" i="22"/>
  <c r="P3779" i="22" s="1"/>
  <c r="Q3779" i="22" s="1"/>
  <c r="L3779" i="22"/>
  <c r="M3779" i="22"/>
  <c r="N3779" i="22"/>
  <c r="O3779" i="22"/>
  <c r="K3780" i="22"/>
  <c r="L3780" i="22"/>
  <c r="M3780" i="22"/>
  <c r="N3780" i="22"/>
  <c r="O3780" i="22"/>
  <c r="P3780" i="22" s="1"/>
  <c r="Q3780" i="22" s="1"/>
  <c r="K3781" i="22"/>
  <c r="P3781" i="22" s="1"/>
  <c r="Q3781" i="22" s="1"/>
  <c r="L3781" i="22"/>
  <c r="M3781" i="22"/>
  <c r="N3781" i="22"/>
  <c r="O3781" i="22"/>
  <c r="K3782" i="22"/>
  <c r="L3782" i="22"/>
  <c r="M3782" i="22"/>
  <c r="N3782" i="22"/>
  <c r="O3782" i="22"/>
  <c r="K3783" i="22"/>
  <c r="L3783" i="22"/>
  <c r="M3783" i="22"/>
  <c r="N3783" i="22"/>
  <c r="O3783" i="22"/>
  <c r="K3784" i="22"/>
  <c r="L3784" i="22"/>
  <c r="M3784" i="22"/>
  <c r="N3784" i="22"/>
  <c r="O3784" i="22"/>
  <c r="K3785" i="22"/>
  <c r="L3785" i="22"/>
  <c r="M3785" i="22"/>
  <c r="N3785" i="22"/>
  <c r="O3785" i="22"/>
  <c r="K3786" i="22"/>
  <c r="P3786" i="22" s="1"/>
  <c r="Q3786" i="22" s="1"/>
  <c r="L3786" i="22"/>
  <c r="M3786" i="22"/>
  <c r="N3786" i="22"/>
  <c r="O3786" i="22"/>
  <c r="K3787" i="22"/>
  <c r="L3787" i="22"/>
  <c r="M3787" i="22"/>
  <c r="N3787" i="22"/>
  <c r="O3787" i="22"/>
  <c r="K3788" i="22"/>
  <c r="P3788" i="22" s="1"/>
  <c r="Q3788" i="22" s="1"/>
  <c r="L3788" i="22"/>
  <c r="M3788" i="22"/>
  <c r="N3788" i="22"/>
  <c r="O3788" i="22"/>
  <c r="K3789" i="22"/>
  <c r="L3789" i="22"/>
  <c r="M3789" i="22"/>
  <c r="N3789" i="22"/>
  <c r="O3789" i="22"/>
  <c r="K3790" i="22"/>
  <c r="P3790" i="22" s="1"/>
  <c r="Q3790" i="22" s="1"/>
  <c r="L3790" i="22"/>
  <c r="M3790" i="22"/>
  <c r="N3790" i="22"/>
  <c r="O3790" i="22"/>
  <c r="K3791" i="22"/>
  <c r="L3791" i="22"/>
  <c r="M3791" i="22"/>
  <c r="N3791" i="22"/>
  <c r="O3791" i="22"/>
  <c r="K3792" i="22"/>
  <c r="P3792" i="22" s="1"/>
  <c r="Q3792" i="22" s="1"/>
  <c r="L3792" i="22"/>
  <c r="M3792" i="22"/>
  <c r="N3792" i="22"/>
  <c r="O3792" i="22"/>
  <c r="K3793" i="22"/>
  <c r="L3793" i="22"/>
  <c r="M3793" i="22"/>
  <c r="N3793" i="22"/>
  <c r="O3793" i="22"/>
  <c r="K3794" i="22"/>
  <c r="L3794" i="22"/>
  <c r="M3794" i="22"/>
  <c r="N3794" i="22"/>
  <c r="O3794" i="22"/>
  <c r="K3795" i="22"/>
  <c r="L3795" i="22"/>
  <c r="M3795" i="22"/>
  <c r="N3795" i="22"/>
  <c r="O3795" i="22"/>
  <c r="K3796" i="22"/>
  <c r="L3796" i="22"/>
  <c r="M3796" i="22"/>
  <c r="N3796" i="22"/>
  <c r="O3796" i="22"/>
  <c r="K3797" i="22"/>
  <c r="L3797" i="22"/>
  <c r="M3797" i="22"/>
  <c r="N3797" i="22"/>
  <c r="O3797" i="22"/>
  <c r="K3798" i="22"/>
  <c r="L3798" i="22"/>
  <c r="M3798" i="22"/>
  <c r="N3798" i="22"/>
  <c r="O3798" i="22"/>
  <c r="K3799" i="22"/>
  <c r="L3799" i="22"/>
  <c r="M3799" i="22"/>
  <c r="N3799" i="22"/>
  <c r="O3799" i="22"/>
  <c r="K3800" i="22"/>
  <c r="L3800" i="22"/>
  <c r="M3800" i="22"/>
  <c r="N3800" i="22"/>
  <c r="O3800" i="22"/>
  <c r="K3801" i="22"/>
  <c r="P3801" i="22" s="1"/>
  <c r="Q3801" i="22" s="1"/>
  <c r="L3801" i="22"/>
  <c r="M3801" i="22"/>
  <c r="N3801" i="22"/>
  <c r="O3801" i="22"/>
  <c r="K3802" i="22"/>
  <c r="L3802" i="22"/>
  <c r="M3802" i="22"/>
  <c r="N3802" i="22"/>
  <c r="O3802" i="22"/>
  <c r="K3803" i="22"/>
  <c r="L3803" i="22"/>
  <c r="M3803" i="22"/>
  <c r="N3803" i="22"/>
  <c r="O3803" i="22"/>
  <c r="K3804" i="22"/>
  <c r="L3804" i="22"/>
  <c r="M3804" i="22"/>
  <c r="N3804" i="22"/>
  <c r="O3804" i="22"/>
  <c r="K3805" i="22"/>
  <c r="L3805" i="22"/>
  <c r="M3805" i="22"/>
  <c r="N3805" i="22"/>
  <c r="O3805" i="22"/>
  <c r="K3806" i="22"/>
  <c r="L3806" i="22"/>
  <c r="M3806" i="22"/>
  <c r="N3806" i="22"/>
  <c r="O3806" i="22"/>
  <c r="K3807" i="22"/>
  <c r="L3807" i="22"/>
  <c r="M3807" i="22"/>
  <c r="N3807" i="22"/>
  <c r="O3807" i="22"/>
  <c r="K3808" i="22"/>
  <c r="L3808" i="22"/>
  <c r="M3808" i="22"/>
  <c r="N3808" i="22"/>
  <c r="O3808" i="22"/>
  <c r="K3809" i="22"/>
  <c r="L3809" i="22"/>
  <c r="M3809" i="22"/>
  <c r="N3809" i="22"/>
  <c r="O3809" i="22"/>
  <c r="K3810" i="22"/>
  <c r="P3810" i="22" s="1"/>
  <c r="Q3810" i="22" s="1"/>
  <c r="L3810" i="22"/>
  <c r="M3810" i="22"/>
  <c r="N3810" i="22"/>
  <c r="O3810" i="22"/>
  <c r="K3811" i="22"/>
  <c r="L3811" i="22"/>
  <c r="M3811" i="22"/>
  <c r="N3811" i="22"/>
  <c r="O3811" i="22"/>
  <c r="K3812" i="22"/>
  <c r="L3812" i="22"/>
  <c r="M3812" i="22"/>
  <c r="N3812" i="22"/>
  <c r="O3812" i="22"/>
  <c r="P3812" i="22"/>
  <c r="Q3812" i="22" s="1"/>
  <c r="K3813" i="22"/>
  <c r="L3813" i="22"/>
  <c r="M3813" i="22"/>
  <c r="N3813" i="22"/>
  <c r="O3813" i="22"/>
  <c r="K3814" i="22"/>
  <c r="L3814" i="22"/>
  <c r="M3814" i="22"/>
  <c r="N3814" i="22"/>
  <c r="O3814" i="22"/>
  <c r="P3814" i="22"/>
  <c r="Q3814" i="22" s="1"/>
  <c r="K3815" i="22"/>
  <c r="L3815" i="22"/>
  <c r="M3815" i="22"/>
  <c r="N3815" i="22"/>
  <c r="O3815" i="22"/>
  <c r="K3816" i="22"/>
  <c r="L3816" i="22"/>
  <c r="M3816" i="22"/>
  <c r="N3816" i="22"/>
  <c r="O3816" i="22"/>
  <c r="K3817" i="22"/>
  <c r="L3817" i="22"/>
  <c r="M3817" i="22"/>
  <c r="N3817" i="22"/>
  <c r="O3817" i="22"/>
  <c r="K3818" i="22"/>
  <c r="L3818" i="22"/>
  <c r="M3818" i="22"/>
  <c r="N3818" i="22"/>
  <c r="O3818" i="22"/>
  <c r="K3819" i="22"/>
  <c r="L3819" i="22"/>
  <c r="M3819" i="22"/>
  <c r="N3819" i="22"/>
  <c r="O3819" i="22"/>
  <c r="K3820" i="22"/>
  <c r="L3820" i="22"/>
  <c r="M3820" i="22"/>
  <c r="N3820" i="22"/>
  <c r="O3820" i="22"/>
  <c r="K3821" i="22"/>
  <c r="L3821" i="22"/>
  <c r="M3821" i="22"/>
  <c r="N3821" i="22"/>
  <c r="O3821" i="22"/>
  <c r="K3822" i="22"/>
  <c r="L3822" i="22"/>
  <c r="M3822" i="22"/>
  <c r="N3822" i="22"/>
  <c r="O3822" i="22"/>
  <c r="P3822" i="22"/>
  <c r="Q3822" i="22" s="1"/>
  <c r="K3823" i="22"/>
  <c r="L3823" i="22"/>
  <c r="M3823" i="22"/>
  <c r="N3823" i="22"/>
  <c r="O3823" i="22"/>
  <c r="K3824" i="22"/>
  <c r="P3824" i="22" s="1"/>
  <c r="Q3824" i="22" s="1"/>
  <c r="L3824" i="22"/>
  <c r="M3824" i="22"/>
  <c r="N3824" i="22"/>
  <c r="O3824" i="22"/>
  <c r="K3825" i="22"/>
  <c r="L3825" i="22"/>
  <c r="M3825" i="22"/>
  <c r="N3825" i="22"/>
  <c r="O3825" i="22"/>
  <c r="K3826" i="22"/>
  <c r="P3826" i="22" s="1"/>
  <c r="Q3826" i="22" s="1"/>
  <c r="L3826" i="22"/>
  <c r="M3826" i="22"/>
  <c r="N3826" i="22"/>
  <c r="O3826" i="22"/>
  <c r="K3827" i="22"/>
  <c r="L3827" i="22"/>
  <c r="M3827" i="22"/>
  <c r="N3827" i="22"/>
  <c r="O3827" i="22"/>
  <c r="K3828" i="22"/>
  <c r="L3828" i="22"/>
  <c r="M3828" i="22"/>
  <c r="N3828" i="22"/>
  <c r="O3828" i="22"/>
  <c r="P3828" i="22"/>
  <c r="Q3828" i="22" s="1"/>
  <c r="K3829" i="22"/>
  <c r="L3829" i="22"/>
  <c r="M3829" i="22"/>
  <c r="N3829" i="22"/>
  <c r="O3829" i="22"/>
  <c r="K3830" i="22"/>
  <c r="L3830" i="22"/>
  <c r="M3830" i="22"/>
  <c r="N3830" i="22"/>
  <c r="O3830" i="22"/>
  <c r="K3831" i="22"/>
  <c r="L3831" i="22"/>
  <c r="M3831" i="22"/>
  <c r="N3831" i="22"/>
  <c r="O3831" i="22"/>
  <c r="K3832" i="22"/>
  <c r="L3832" i="22"/>
  <c r="M3832" i="22"/>
  <c r="N3832" i="22"/>
  <c r="O3832" i="22"/>
  <c r="K3833" i="22"/>
  <c r="L3833" i="22"/>
  <c r="M3833" i="22"/>
  <c r="N3833" i="22"/>
  <c r="O3833" i="22"/>
  <c r="K3834" i="22"/>
  <c r="L3834" i="22"/>
  <c r="M3834" i="22"/>
  <c r="N3834" i="22"/>
  <c r="O3834" i="22"/>
  <c r="K3835" i="22"/>
  <c r="L3835" i="22"/>
  <c r="M3835" i="22"/>
  <c r="N3835" i="22"/>
  <c r="O3835" i="22"/>
  <c r="K3836" i="22"/>
  <c r="L3836" i="22"/>
  <c r="M3836" i="22"/>
  <c r="N3836" i="22"/>
  <c r="O3836" i="22"/>
  <c r="K3837" i="22"/>
  <c r="L3837" i="22"/>
  <c r="M3837" i="22"/>
  <c r="N3837" i="22"/>
  <c r="O3837" i="22"/>
  <c r="K3838" i="22"/>
  <c r="L3838" i="22"/>
  <c r="M3838" i="22"/>
  <c r="N3838" i="22"/>
  <c r="O3838" i="22"/>
  <c r="K3839" i="22"/>
  <c r="L3839" i="22"/>
  <c r="M3839" i="22"/>
  <c r="N3839" i="22"/>
  <c r="O3839" i="22"/>
  <c r="K3840" i="22"/>
  <c r="L3840" i="22"/>
  <c r="M3840" i="22"/>
  <c r="N3840" i="22"/>
  <c r="O3840" i="22"/>
  <c r="K3841" i="22"/>
  <c r="L3841" i="22"/>
  <c r="M3841" i="22"/>
  <c r="N3841" i="22"/>
  <c r="O3841" i="22"/>
  <c r="K3842" i="22"/>
  <c r="L3842" i="22"/>
  <c r="M3842" i="22"/>
  <c r="N3842" i="22"/>
  <c r="O3842" i="22"/>
  <c r="K3843" i="22"/>
  <c r="L3843" i="22"/>
  <c r="M3843" i="22"/>
  <c r="N3843" i="22"/>
  <c r="O3843" i="22"/>
  <c r="K3844" i="22"/>
  <c r="P3848" i="22" s="1"/>
  <c r="Q3848" i="22" s="1"/>
  <c r="L3844" i="22"/>
  <c r="M3844" i="22"/>
  <c r="N3844" i="22"/>
  <c r="O3844" i="22"/>
  <c r="K3845" i="22"/>
  <c r="L3845" i="22"/>
  <c r="M3845" i="22"/>
  <c r="N3845" i="22"/>
  <c r="O3845" i="22"/>
  <c r="K3846" i="22"/>
  <c r="L3846" i="22"/>
  <c r="M3846" i="22"/>
  <c r="N3846" i="22"/>
  <c r="O3846" i="22"/>
  <c r="K3847" i="22"/>
  <c r="L3847" i="22"/>
  <c r="M3847" i="22"/>
  <c r="N3847" i="22"/>
  <c r="O3847" i="22"/>
  <c r="K3848" i="22"/>
  <c r="L3848" i="22"/>
  <c r="M3848" i="22"/>
  <c r="N3848" i="22"/>
  <c r="O3848" i="22"/>
  <c r="K3849" i="22"/>
  <c r="P3849" i="22" s="1"/>
  <c r="Q3849" i="22" s="1"/>
  <c r="L3849" i="22"/>
  <c r="M3849" i="22"/>
  <c r="N3849" i="22"/>
  <c r="O3849" i="22"/>
  <c r="K3850" i="22"/>
  <c r="L3850" i="22"/>
  <c r="M3850" i="22"/>
  <c r="N3850" i="22"/>
  <c r="O3850" i="22"/>
  <c r="K3851" i="22"/>
  <c r="P3851" i="22" s="1"/>
  <c r="Q3851" i="22" s="1"/>
  <c r="L3851" i="22"/>
  <c r="M3851" i="22"/>
  <c r="N3851" i="22"/>
  <c r="O3851" i="22"/>
  <c r="K3852" i="22"/>
  <c r="L3852" i="22"/>
  <c r="M3852" i="22"/>
  <c r="N3852" i="22"/>
  <c r="O3852" i="22"/>
  <c r="K3853" i="22"/>
  <c r="L3853" i="22"/>
  <c r="M3853" i="22"/>
  <c r="N3853" i="22"/>
  <c r="O3853" i="22"/>
  <c r="K3854" i="22"/>
  <c r="L3854" i="22"/>
  <c r="M3854" i="22"/>
  <c r="N3854" i="22"/>
  <c r="O3854" i="22"/>
  <c r="K3855" i="22"/>
  <c r="L3855" i="22"/>
  <c r="M3855" i="22"/>
  <c r="N3855" i="22"/>
  <c r="O3855" i="22"/>
  <c r="K3856" i="22"/>
  <c r="L3856" i="22"/>
  <c r="M3856" i="22"/>
  <c r="N3856" i="22"/>
  <c r="O3856" i="22"/>
  <c r="K3857" i="22"/>
  <c r="L3857" i="22"/>
  <c r="M3857" i="22"/>
  <c r="N3857" i="22"/>
  <c r="O3857" i="22"/>
  <c r="K3858" i="22"/>
  <c r="P3858" i="22" s="1"/>
  <c r="Q3858" i="22" s="1"/>
  <c r="L3858" i="22"/>
  <c r="M3858" i="22"/>
  <c r="N3858" i="22"/>
  <c r="O3858" i="22"/>
  <c r="K3859" i="22"/>
  <c r="P3859" i="22" s="1"/>
  <c r="Q3859" i="22" s="1"/>
  <c r="L3859" i="22"/>
  <c r="M3859" i="22"/>
  <c r="N3859" i="22"/>
  <c r="O3859" i="22"/>
  <c r="K3860" i="22"/>
  <c r="P3860" i="22" s="1"/>
  <c r="Q3860" i="22" s="1"/>
  <c r="L3860" i="22"/>
  <c r="M3860" i="22"/>
  <c r="N3860" i="22"/>
  <c r="O3860" i="22"/>
  <c r="K3861" i="22"/>
  <c r="P3861" i="22" s="1"/>
  <c r="Q3861" i="22" s="1"/>
  <c r="L3861" i="22"/>
  <c r="M3861" i="22"/>
  <c r="N3861" i="22"/>
  <c r="O3861" i="22"/>
  <c r="K3862" i="22"/>
  <c r="P3862" i="22" s="1"/>
  <c r="Q3862" i="22" s="1"/>
  <c r="L3862" i="22"/>
  <c r="M3862" i="22"/>
  <c r="N3862" i="22"/>
  <c r="O3862" i="22"/>
  <c r="K3863" i="22"/>
  <c r="P3863" i="22" s="1"/>
  <c r="L3863" i="22"/>
  <c r="M3863" i="22"/>
  <c r="N3863" i="22"/>
  <c r="O3863" i="22"/>
  <c r="Q3863" i="22"/>
  <c r="K3864" i="22"/>
  <c r="P3864" i="22" s="1"/>
  <c r="Q3864" i="22" s="1"/>
  <c r="L3864" i="22"/>
  <c r="M3864" i="22"/>
  <c r="N3864" i="22"/>
  <c r="O3864" i="22"/>
  <c r="K3865" i="22"/>
  <c r="P3865" i="22" s="1"/>
  <c r="Q3865" i="22" s="1"/>
  <c r="L3865" i="22"/>
  <c r="M3865" i="22"/>
  <c r="N3865" i="22"/>
  <c r="O3865" i="22"/>
  <c r="K3866" i="22"/>
  <c r="L3866" i="22"/>
  <c r="M3866" i="22"/>
  <c r="N3866" i="22"/>
  <c r="O3866" i="22"/>
  <c r="K3867" i="22"/>
  <c r="L3867" i="22"/>
  <c r="M3867" i="22"/>
  <c r="N3867" i="22"/>
  <c r="O3867" i="22"/>
  <c r="K3868" i="22"/>
  <c r="L3868" i="22"/>
  <c r="M3868" i="22"/>
  <c r="N3868" i="22"/>
  <c r="O3868" i="22"/>
  <c r="K3869" i="22"/>
  <c r="L3869" i="22"/>
  <c r="M3869" i="22"/>
  <c r="N3869" i="22"/>
  <c r="O3869" i="22"/>
  <c r="K3870" i="22"/>
  <c r="L3870" i="22"/>
  <c r="M3870" i="22"/>
  <c r="N3870" i="22"/>
  <c r="O3870" i="22"/>
  <c r="K3871" i="22"/>
  <c r="L3871" i="22"/>
  <c r="M3871" i="22"/>
  <c r="N3871" i="22"/>
  <c r="O3871" i="22"/>
  <c r="K3872" i="22"/>
  <c r="L3872" i="22"/>
  <c r="M3872" i="22"/>
  <c r="N3872" i="22"/>
  <c r="O3872" i="22"/>
  <c r="K3873" i="22"/>
  <c r="L3873" i="22"/>
  <c r="M3873" i="22"/>
  <c r="N3873" i="22"/>
  <c r="O3873" i="22"/>
  <c r="K3874" i="22"/>
  <c r="L3874" i="22"/>
  <c r="M3874" i="22"/>
  <c r="N3874" i="22"/>
  <c r="O3874" i="22"/>
  <c r="K3875" i="22"/>
  <c r="L3875" i="22"/>
  <c r="M3875" i="22"/>
  <c r="N3875" i="22"/>
  <c r="O3875" i="22"/>
  <c r="K3876" i="22"/>
  <c r="L3876" i="22"/>
  <c r="M3876" i="22"/>
  <c r="N3876" i="22"/>
  <c r="O3876" i="22"/>
  <c r="K3877" i="22"/>
  <c r="L3877" i="22"/>
  <c r="M3877" i="22"/>
  <c r="N3877" i="22"/>
  <c r="O3877" i="22"/>
  <c r="K3878" i="22"/>
  <c r="P3878" i="22" s="1"/>
  <c r="Q3878" i="22" s="1"/>
  <c r="L3878" i="22"/>
  <c r="M3878" i="22"/>
  <c r="N3878" i="22"/>
  <c r="O3878" i="22"/>
  <c r="K3879" i="22"/>
  <c r="L3879" i="22"/>
  <c r="M3879" i="22"/>
  <c r="N3879" i="22"/>
  <c r="O3879" i="22"/>
  <c r="K3880" i="22"/>
  <c r="L3880" i="22"/>
  <c r="M3880" i="22"/>
  <c r="N3880" i="22"/>
  <c r="O3880" i="22"/>
  <c r="K3881" i="22"/>
  <c r="P3881" i="22" s="1"/>
  <c r="Q3881" i="22" s="1"/>
  <c r="L3881" i="22"/>
  <c r="M3881" i="22"/>
  <c r="N3881" i="22"/>
  <c r="O3881" i="22"/>
  <c r="K3882" i="22"/>
  <c r="L3882" i="22"/>
  <c r="M3882" i="22"/>
  <c r="N3882" i="22"/>
  <c r="O3882" i="22"/>
  <c r="P3882" i="22"/>
  <c r="Q3882" i="22" s="1"/>
  <c r="K3883" i="22"/>
  <c r="P3883" i="22" s="1"/>
  <c r="Q3883" i="22" s="1"/>
  <c r="L3883" i="22"/>
  <c r="M3883" i="22"/>
  <c r="N3883" i="22"/>
  <c r="O3883" i="22"/>
  <c r="K3884" i="22"/>
  <c r="L3884" i="22"/>
  <c r="M3884" i="22"/>
  <c r="N3884" i="22"/>
  <c r="O3884" i="22"/>
  <c r="P3884" i="22"/>
  <c r="Q3884" i="22" s="1"/>
  <c r="K3885" i="22"/>
  <c r="P3885" i="22" s="1"/>
  <c r="Q3885" i="22" s="1"/>
  <c r="L3885" i="22"/>
  <c r="M3885" i="22"/>
  <c r="N3885" i="22"/>
  <c r="O3885" i="22"/>
  <c r="K3886" i="22"/>
  <c r="L3886" i="22"/>
  <c r="M3886" i="22"/>
  <c r="N3886" i="22"/>
  <c r="O3886" i="22"/>
  <c r="K3887" i="22"/>
  <c r="L3887" i="22"/>
  <c r="M3887" i="22"/>
  <c r="N3887" i="22"/>
  <c r="O3887" i="22"/>
  <c r="K3888" i="22"/>
  <c r="L3888" i="22"/>
  <c r="M3888" i="22"/>
  <c r="N3888" i="22"/>
  <c r="O3888" i="22"/>
  <c r="K3889" i="22"/>
  <c r="L3889" i="22"/>
  <c r="M3889" i="22"/>
  <c r="N3889" i="22"/>
  <c r="O3889" i="22"/>
  <c r="P3889" i="22" s="1"/>
  <c r="Q3889" i="22" s="1"/>
  <c r="K3890" i="22"/>
  <c r="L3890" i="22"/>
  <c r="M3890" i="22"/>
  <c r="N3890" i="22"/>
  <c r="O3890" i="22"/>
  <c r="K3891" i="22"/>
  <c r="L3891" i="22"/>
  <c r="M3891" i="22"/>
  <c r="N3891" i="22"/>
  <c r="O3891" i="22"/>
  <c r="K3892" i="22"/>
  <c r="L3892" i="22"/>
  <c r="M3892" i="22"/>
  <c r="N3892" i="22"/>
  <c r="O3892" i="22"/>
  <c r="K3893" i="22"/>
  <c r="L3893" i="22"/>
  <c r="M3893" i="22"/>
  <c r="N3893" i="22"/>
  <c r="O3893" i="22"/>
  <c r="K3894" i="22"/>
  <c r="L3894" i="22"/>
  <c r="M3894" i="22"/>
  <c r="N3894" i="22"/>
  <c r="O3894" i="22"/>
  <c r="P3894" i="22"/>
  <c r="Q3894" i="22" s="1"/>
  <c r="K3895" i="22"/>
  <c r="L3895" i="22"/>
  <c r="M3895" i="22"/>
  <c r="N3895" i="22"/>
  <c r="O3895" i="22"/>
  <c r="P3895" i="22"/>
  <c r="Q3895" i="22" s="1"/>
  <c r="K3896" i="22"/>
  <c r="L3896" i="22"/>
  <c r="M3896" i="22"/>
  <c r="N3896" i="22"/>
  <c r="O3896" i="22"/>
  <c r="P3896" i="22" s="1"/>
  <c r="Q3896" i="22" s="1"/>
  <c r="K3897" i="22"/>
  <c r="L3897" i="22"/>
  <c r="M3897" i="22"/>
  <c r="N3897" i="22"/>
  <c r="O3897" i="22"/>
  <c r="K3898" i="22"/>
  <c r="L3898" i="22"/>
  <c r="M3898" i="22"/>
  <c r="N3898" i="22"/>
  <c r="O3898" i="22"/>
  <c r="K3899" i="22"/>
  <c r="L3899" i="22"/>
  <c r="M3899" i="22"/>
  <c r="N3899" i="22"/>
  <c r="O3899" i="22"/>
  <c r="K3900" i="22"/>
  <c r="L3900" i="22"/>
  <c r="M3900" i="22"/>
  <c r="N3900" i="22"/>
  <c r="O3900" i="22"/>
  <c r="K3901" i="22"/>
  <c r="L3901" i="22"/>
  <c r="M3901" i="22"/>
  <c r="N3901" i="22"/>
  <c r="O3901" i="22"/>
  <c r="K3902" i="22"/>
  <c r="L3902" i="22"/>
  <c r="M3902" i="22"/>
  <c r="N3902" i="22"/>
  <c r="O3902" i="22"/>
  <c r="K3903" i="22"/>
  <c r="L3903" i="22"/>
  <c r="M3903" i="22"/>
  <c r="N3903" i="22"/>
  <c r="O3903" i="22"/>
  <c r="K3904" i="22"/>
  <c r="L3904" i="22"/>
  <c r="M3904" i="22"/>
  <c r="N3904" i="22"/>
  <c r="O3904" i="22"/>
  <c r="K3905" i="22"/>
  <c r="L3905" i="22"/>
  <c r="M3905" i="22"/>
  <c r="N3905" i="22"/>
  <c r="O3905" i="22"/>
  <c r="K3906" i="22"/>
  <c r="L3906" i="22"/>
  <c r="M3906" i="22"/>
  <c r="N3906" i="22"/>
  <c r="O3906" i="22"/>
  <c r="K3907" i="22"/>
  <c r="L3907" i="22"/>
  <c r="M3907" i="22"/>
  <c r="N3907" i="22"/>
  <c r="O3907" i="22"/>
  <c r="K3908" i="22"/>
  <c r="L3908" i="22"/>
  <c r="M3908" i="22"/>
  <c r="N3908" i="22"/>
  <c r="O3908" i="22"/>
  <c r="K3909" i="22"/>
  <c r="L3909" i="22"/>
  <c r="M3909" i="22"/>
  <c r="N3909" i="22"/>
  <c r="O3909" i="22"/>
  <c r="K3910" i="22"/>
  <c r="L3910" i="22"/>
  <c r="M3910" i="22"/>
  <c r="N3910" i="22"/>
  <c r="O3910" i="22"/>
  <c r="K3911" i="22"/>
  <c r="L3911" i="22"/>
  <c r="M3911" i="22"/>
  <c r="N3911" i="22"/>
  <c r="O3911" i="22"/>
  <c r="K3912" i="22"/>
  <c r="L3912" i="22"/>
  <c r="M3912" i="22"/>
  <c r="N3912" i="22"/>
  <c r="O3912" i="22"/>
  <c r="K3913" i="22"/>
  <c r="L3913" i="22"/>
  <c r="M3913" i="22"/>
  <c r="N3913" i="22"/>
  <c r="O3913" i="22"/>
  <c r="K3914" i="22"/>
  <c r="L3914" i="22"/>
  <c r="M3914" i="22"/>
  <c r="N3914" i="22"/>
  <c r="O3914" i="22"/>
  <c r="K3915" i="22"/>
  <c r="L3915" i="22"/>
  <c r="M3915" i="22"/>
  <c r="N3915" i="22"/>
  <c r="O3915" i="22"/>
  <c r="K3916" i="22"/>
  <c r="L3916" i="22"/>
  <c r="M3916" i="22"/>
  <c r="N3916" i="22"/>
  <c r="O3916" i="22"/>
  <c r="K3917" i="22"/>
  <c r="L3917" i="22"/>
  <c r="M3917" i="22"/>
  <c r="N3917" i="22"/>
  <c r="O3917" i="22"/>
  <c r="K3918" i="22"/>
  <c r="L3918" i="22"/>
  <c r="M3918" i="22"/>
  <c r="N3918" i="22"/>
  <c r="O3918" i="22"/>
  <c r="K3919" i="22"/>
  <c r="L3919" i="22"/>
  <c r="M3919" i="22"/>
  <c r="N3919" i="22"/>
  <c r="O3919" i="22"/>
  <c r="K3920" i="22"/>
  <c r="L3920" i="22"/>
  <c r="M3920" i="22"/>
  <c r="N3920" i="22"/>
  <c r="O3920" i="22"/>
  <c r="K3921" i="22"/>
  <c r="L3921" i="22"/>
  <c r="M3921" i="22"/>
  <c r="N3921" i="22"/>
  <c r="O3921" i="22"/>
  <c r="K3922" i="22"/>
  <c r="L3922" i="22"/>
  <c r="M3922" i="22"/>
  <c r="N3922" i="22"/>
  <c r="O3922" i="22"/>
  <c r="K3923" i="22"/>
  <c r="L3923" i="22"/>
  <c r="M3923" i="22"/>
  <c r="N3923" i="22"/>
  <c r="O3923" i="22"/>
  <c r="K3924" i="22"/>
  <c r="P3924" i="22" s="1"/>
  <c r="Q3924" i="22" s="1"/>
  <c r="L3924" i="22"/>
  <c r="M3924" i="22"/>
  <c r="N3924" i="22"/>
  <c r="O3924" i="22"/>
  <c r="K3925" i="22"/>
  <c r="L3925" i="22"/>
  <c r="M3925" i="22"/>
  <c r="N3925" i="22"/>
  <c r="O3925" i="22"/>
  <c r="K3926" i="22"/>
  <c r="L3926" i="22"/>
  <c r="M3926" i="22"/>
  <c r="N3926" i="22"/>
  <c r="O3926" i="22"/>
  <c r="P3926" i="22" s="1"/>
  <c r="Q3926" i="22" s="1"/>
  <c r="K3927" i="22"/>
  <c r="L3927" i="22"/>
  <c r="M3927" i="22"/>
  <c r="N3927" i="22"/>
  <c r="O3927" i="22"/>
  <c r="K3928" i="22"/>
  <c r="L3928" i="22"/>
  <c r="M3928" i="22"/>
  <c r="N3928" i="22"/>
  <c r="O3928" i="22"/>
  <c r="K3929" i="22"/>
  <c r="L3929" i="22"/>
  <c r="M3929" i="22"/>
  <c r="N3929" i="22"/>
  <c r="O3929" i="22"/>
  <c r="K3930" i="22"/>
  <c r="P3930" i="22" s="1"/>
  <c r="Q3930" i="22" s="1"/>
  <c r="L3930" i="22"/>
  <c r="M3930" i="22"/>
  <c r="N3930" i="22"/>
  <c r="O3930" i="22"/>
  <c r="K3931" i="22"/>
  <c r="L3931" i="22"/>
  <c r="M3931" i="22"/>
  <c r="N3931" i="22"/>
  <c r="O3931" i="22"/>
  <c r="P3931" i="22"/>
  <c r="Q3931" i="22" s="1"/>
  <c r="K3932" i="22"/>
  <c r="L3932" i="22"/>
  <c r="M3932" i="22"/>
  <c r="N3932" i="22"/>
  <c r="O3932" i="22"/>
  <c r="K3933" i="22"/>
  <c r="L3933" i="22"/>
  <c r="M3933" i="22"/>
  <c r="N3933" i="22"/>
  <c r="O3933" i="22"/>
  <c r="K3934" i="22"/>
  <c r="L3934" i="22"/>
  <c r="M3934" i="22"/>
  <c r="N3934" i="22"/>
  <c r="O3934" i="22"/>
  <c r="K3935" i="22"/>
  <c r="P3935" i="22" s="1"/>
  <c r="Q3935" i="22" s="1"/>
  <c r="L3935" i="22"/>
  <c r="M3935" i="22"/>
  <c r="N3935" i="22"/>
  <c r="O3935" i="22"/>
  <c r="K3936" i="22"/>
  <c r="L3936" i="22"/>
  <c r="M3936" i="22"/>
  <c r="N3936" i="22"/>
  <c r="O3936" i="22"/>
  <c r="K3937" i="22"/>
  <c r="L3937" i="22"/>
  <c r="M3937" i="22"/>
  <c r="N3937" i="22"/>
  <c r="O3937" i="22"/>
  <c r="K3938" i="22"/>
  <c r="L3938" i="22"/>
  <c r="M3938" i="22"/>
  <c r="N3938" i="22"/>
  <c r="O3938" i="22"/>
  <c r="P3938" i="22" s="1"/>
  <c r="Q3938" i="22" s="1"/>
  <c r="K3939" i="22"/>
  <c r="L3939" i="22"/>
  <c r="M3939" i="22"/>
  <c r="N3939" i="22"/>
  <c r="O3939" i="22"/>
  <c r="K3940" i="22"/>
  <c r="L3940" i="22"/>
  <c r="M3940" i="22"/>
  <c r="N3940" i="22"/>
  <c r="O3940" i="22"/>
  <c r="K3941" i="22"/>
  <c r="L3941" i="22"/>
  <c r="M3941" i="22"/>
  <c r="N3941" i="22"/>
  <c r="O3941" i="22"/>
  <c r="K3942" i="22"/>
  <c r="P3942" i="22" s="1"/>
  <c r="Q3942" i="22" s="1"/>
  <c r="L3942" i="22"/>
  <c r="M3942" i="22"/>
  <c r="N3942" i="22"/>
  <c r="O3942" i="22"/>
  <c r="K3943" i="22"/>
  <c r="L3943" i="22"/>
  <c r="M3943" i="22"/>
  <c r="N3943" i="22"/>
  <c r="O3943" i="22"/>
  <c r="P3943" i="22"/>
  <c r="Q3943" i="22" s="1"/>
  <c r="K3944" i="22"/>
  <c r="P3944" i="22" s="1"/>
  <c r="Q3944" i="22" s="1"/>
  <c r="L3944" i="22"/>
  <c r="M3944" i="22"/>
  <c r="N3944" i="22"/>
  <c r="O3944" i="22"/>
  <c r="K3945" i="22"/>
  <c r="L3945" i="22"/>
  <c r="M3945" i="22"/>
  <c r="N3945" i="22"/>
  <c r="O3945" i="22"/>
  <c r="K3946" i="22"/>
  <c r="P3946" i="22" s="1"/>
  <c r="Q3946" i="22" s="1"/>
  <c r="L3946" i="22"/>
  <c r="M3946" i="22"/>
  <c r="N3946" i="22"/>
  <c r="O3946" i="22"/>
  <c r="K3947" i="22"/>
  <c r="L3947" i="22"/>
  <c r="M3947" i="22"/>
  <c r="N3947" i="22"/>
  <c r="O3947" i="22"/>
  <c r="K3948" i="22"/>
  <c r="P3948" i="22" s="1"/>
  <c r="Q3948" i="22" s="1"/>
  <c r="L3948" i="22"/>
  <c r="M3948" i="22"/>
  <c r="N3948" i="22"/>
  <c r="O3948" i="22"/>
  <c r="K3949" i="22"/>
  <c r="L3949" i="22"/>
  <c r="M3949" i="22"/>
  <c r="N3949" i="22"/>
  <c r="O3949" i="22"/>
  <c r="K3950" i="22"/>
  <c r="L3950" i="22"/>
  <c r="M3950" i="22"/>
  <c r="N3950" i="22"/>
  <c r="O3950" i="22"/>
  <c r="K3951" i="22"/>
  <c r="L3951" i="22"/>
  <c r="M3951" i="22"/>
  <c r="N3951" i="22"/>
  <c r="O3951" i="22"/>
  <c r="K3952" i="22"/>
  <c r="L3952" i="22"/>
  <c r="M3952" i="22"/>
  <c r="N3952" i="22"/>
  <c r="O3952" i="22"/>
  <c r="K3953" i="22"/>
  <c r="L3953" i="22"/>
  <c r="M3953" i="22"/>
  <c r="N3953" i="22"/>
  <c r="O3953" i="22"/>
  <c r="K3954" i="22"/>
  <c r="L3954" i="22"/>
  <c r="M3954" i="22"/>
  <c r="N3954" i="22"/>
  <c r="O3954" i="22"/>
  <c r="P3954" i="22"/>
  <c r="Q3954" i="22" s="1"/>
  <c r="K3955" i="22"/>
  <c r="P3955" i="22" s="1"/>
  <c r="Q3955" i="22" s="1"/>
  <c r="L3955" i="22"/>
  <c r="M3955" i="22"/>
  <c r="N3955" i="22"/>
  <c r="O3955" i="22"/>
  <c r="K3956" i="22"/>
  <c r="L3956" i="22"/>
  <c r="M3956" i="22"/>
  <c r="N3956" i="22"/>
  <c r="O3956" i="22"/>
  <c r="P3956" i="22"/>
  <c r="Q3956" i="22" s="1"/>
  <c r="K3957" i="22"/>
  <c r="P3957" i="22" s="1"/>
  <c r="Q3957" i="22" s="1"/>
  <c r="L3957" i="22"/>
  <c r="M3957" i="22"/>
  <c r="N3957" i="22"/>
  <c r="O3957" i="22"/>
  <c r="K3958" i="22"/>
  <c r="L3958" i="22"/>
  <c r="M3958" i="22"/>
  <c r="N3958" i="22"/>
  <c r="O3958" i="22"/>
  <c r="K3959" i="22"/>
  <c r="L3959" i="22"/>
  <c r="M3959" i="22"/>
  <c r="N3959" i="22"/>
  <c r="O3959" i="22"/>
  <c r="K3960" i="22"/>
  <c r="L3960" i="22"/>
  <c r="M3960" i="22"/>
  <c r="N3960" i="22"/>
  <c r="O3960" i="22"/>
  <c r="K3961" i="22"/>
  <c r="L3961" i="22"/>
  <c r="M3961" i="22"/>
  <c r="N3961" i="22"/>
  <c r="O3961" i="22"/>
  <c r="K3962" i="22"/>
  <c r="L3962" i="22"/>
  <c r="M3962" i="22"/>
  <c r="N3962" i="22"/>
  <c r="O3962" i="22"/>
  <c r="K3963" i="22"/>
  <c r="L3963" i="22"/>
  <c r="M3963" i="22"/>
  <c r="N3963" i="22"/>
  <c r="O3963" i="22"/>
  <c r="K3964" i="22"/>
  <c r="L3964" i="22"/>
  <c r="M3964" i="22"/>
  <c r="N3964" i="22"/>
  <c r="O3964" i="22"/>
  <c r="K3965" i="22"/>
  <c r="L3965" i="22"/>
  <c r="M3965" i="22"/>
  <c r="N3965" i="22"/>
  <c r="O3965" i="22"/>
  <c r="K3966" i="22"/>
  <c r="L3966" i="22"/>
  <c r="M3966" i="22"/>
  <c r="N3966" i="22"/>
  <c r="O3966" i="22"/>
  <c r="P3966" i="22"/>
  <c r="Q3966" i="22" s="1"/>
  <c r="K3967" i="22"/>
  <c r="L3967" i="22"/>
  <c r="M3967" i="22"/>
  <c r="N3967" i="22"/>
  <c r="O3967" i="22"/>
  <c r="P3967" i="22"/>
  <c r="Q3967" i="22" s="1"/>
  <c r="K3968" i="22"/>
  <c r="L3968" i="22"/>
  <c r="M3968" i="22"/>
  <c r="N3968" i="22"/>
  <c r="O3968" i="22"/>
  <c r="P3968" i="22" s="1"/>
  <c r="Q3968" i="22" s="1"/>
  <c r="K3969" i="22"/>
  <c r="L3969" i="22"/>
  <c r="M3969" i="22"/>
  <c r="N3969" i="22"/>
  <c r="O3969" i="22"/>
  <c r="K3970" i="22"/>
  <c r="L3970" i="22"/>
  <c r="M3970" i="22"/>
  <c r="N3970" i="22"/>
  <c r="O3970" i="22"/>
  <c r="K3971" i="22"/>
  <c r="P3971" i="22" s="1"/>
  <c r="Q3971" i="22" s="1"/>
  <c r="L3971" i="22"/>
  <c r="M3971" i="22"/>
  <c r="N3971" i="22"/>
  <c r="O3971" i="22"/>
  <c r="K3972" i="22"/>
  <c r="L3972" i="22"/>
  <c r="M3972" i="22"/>
  <c r="N3972" i="22"/>
  <c r="O3972" i="22"/>
  <c r="K3973" i="22"/>
  <c r="L3973" i="22"/>
  <c r="M3973" i="22"/>
  <c r="N3973" i="22"/>
  <c r="O3973" i="22"/>
  <c r="K3974" i="22"/>
  <c r="L3974" i="22"/>
  <c r="M3974" i="22"/>
  <c r="N3974" i="22"/>
  <c r="O3974" i="22"/>
  <c r="P3974" i="22" s="1"/>
  <c r="Q3974" i="22" s="1"/>
  <c r="K3975" i="22"/>
  <c r="L3975" i="22"/>
  <c r="M3975" i="22"/>
  <c r="N3975" i="22"/>
  <c r="O3975" i="22"/>
  <c r="K3976" i="22"/>
  <c r="L3976" i="22"/>
  <c r="M3976" i="22"/>
  <c r="N3976" i="22"/>
  <c r="O3976" i="22"/>
  <c r="K3977" i="22"/>
  <c r="L3977" i="22"/>
  <c r="M3977" i="22"/>
  <c r="N3977" i="22"/>
  <c r="O3977" i="22"/>
  <c r="K3978" i="22"/>
  <c r="L3978" i="22"/>
  <c r="M3978" i="22"/>
  <c r="N3978" i="22"/>
  <c r="O3978" i="22"/>
  <c r="K3979" i="22"/>
  <c r="L3979" i="22"/>
  <c r="M3979" i="22"/>
  <c r="N3979" i="22"/>
  <c r="O3979" i="22"/>
  <c r="K3980" i="22"/>
  <c r="L3980" i="22"/>
  <c r="M3980" i="22"/>
  <c r="N3980" i="22"/>
  <c r="O3980" i="22"/>
  <c r="K3981" i="22"/>
  <c r="L3981" i="22"/>
  <c r="M3981" i="22"/>
  <c r="N3981" i="22"/>
  <c r="O3981" i="22"/>
  <c r="K3982" i="22"/>
  <c r="L3982" i="22"/>
  <c r="M3982" i="22"/>
  <c r="N3982" i="22"/>
  <c r="O3982" i="22"/>
  <c r="K3983" i="22"/>
  <c r="L3983" i="22"/>
  <c r="M3983" i="22"/>
  <c r="N3983" i="22"/>
  <c r="O3983" i="22"/>
  <c r="K3984" i="22"/>
  <c r="L3984" i="22"/>
  <c r="M3984" i="22"/>
  <c r="N3984" i="22"/>
  <c r="O3984" i="22"/>
  <c r="K3985" i="22"/>
  <c r="L3985" i="22"/>
  <c r="M3985" i="22"/>
  <c r="N3985" i="22"/>
  <c r="O3985" i="22"/>
  <c r="K3986" i="22"/>
  <c r="L3986" i="22"/>
  <c r="M3986" i="22"/>
  <c r="N3986" i="22"/>
  <c r="O3986" i="22"/>
  <c r="K3987" i="22"/>
  <c r="L3987" i="22"/>
  <c r="M3987" i="22"/>
  <c r="N3987" i="22"/>
  <c r="O3987" i="22"/>
  <c r="K3988" i="22"/>
  <c r="L3988" i="22"/>
  <c r="M3988" i="22"/>
  <c r="N3988" i="22"/>
  <c r="O3988" i="22"/>
  <c r="K3989" i="22"/>
  <c r="L3989" i="22"/>
  <c r="M3989" i="22"/>
  <c r="N3989" i="22"/>
  <c r="O3989" i="22"/>
  <c r="K3990" i="22"/>
  <c r="L3990" i="22"/>
  <c r="M3990" i="22"/>
  <c r="N3990" i="22"/>
  <c r="O3990" i="22"/>
  <c r="K3991" i="22"/>
  <c r="L3991" i="22"/>
  <c r="M3991" i="22"/>
  <c r="N3991" i="22"/>
  <c r="O3991" i="22"/>
  <c r="K3992" i="22"/>
  <c r="L3992" i="22"/>
  <c r="M3992" i="22"/>
  <c r="N3992" i="22"/>
  <c r="O3992" i="22"/>
  <c r="K3993" i="22"/>
  <c r="L3993" i="22"/>
  <c r="M3993" i="22"/>
  <c r="N3993" i="22"/>
  <c r="O3993" i="22"/>
  <c r="K3994" i="22"/>
  <c r="L3994" i="22"/>
  <c r="M3994" i="22"/>
  <c r="N3994" i="22"/>
  <c r="O3994" i="22"/>
  <c r="K3995" i="22"/>
  <c r="L3995" i="22"/>
  <c r="M3995" i="22"/>
  <c r="N3995" i="22"/>
  <c r="O3995" i="22"/>
  <c r="K3996" i="22"/>
  <c r="L3996" i="22"/>
  <c r="M3996" i="22"/>
  <c r="N3996" i="22"/>
  <c r="O3996" i="22"/>
  <c r="K3997" i="22"/>
  <c r="L3997" i="22"/>
  <c r="M3997" i="22"/>
  <c r="N3997" i="22"/>
  <c r="O3997" i="22"/>
  <c r="P3997" i="22" s="1"/>
  <c r="Q3997" i="22" s="1"/>
  <c r="K3998" i="22"/>
  <c r="L3998" i="22"/>
  <c r="M3998" i="22"/>
  <c r="N3998" i="22"/>
  <c r="O3998" i="22"/>
  <c r="K3999" i="22"/>
  <c r="L3999" i="22"/>
  <c r="M3999" i="22"/>
  <c r="N3999" i="22"/>
  <c r="O3999" i="22"/>
  <c r="K4000" i="22"/>
  <c r="L4000" i="22"/>
  <c r="M4000" i="22"/>
  <c r="N4000" i="22"/>
  <c r="O4000" i="22"/>
  <c r="K4001" i="22"/>
  <c r="L4001" i="22"/>
  <c r="M4001" i="22"/>
  <c r="N4001" i="22"/>
  <c r="O4001" i="22"/>
  <c r="K4002" i="22"/>
  <c r="P4002" i="22" s="1"/>
  <c r="Q4002" i="22" s="1"/>
  <c r="L4002" i="22"/>
  <c r="M4002" i="22"/>
  <c r="N4002" i="22"/>
  <c r="O4002" i="22"/>
  <c r="K4003" i="22"/>
  <c r="L4003" i="22"/>
  <c r="M4003" i="22"/>
  <c r="N4003" i="22"/>
  <c r="O4003" i="22"/>
  <c r="K4004" i="22"/>
  <c r="L4004" i="22"/>
  <c r="M4004" i="22"/>
  <c r="N4004" i="22"/>
  <c r="O4004" i="22"/>
  <c r="K4005" i="22"/>
  <c r="L4005" i="22"/>
  <c r="M4005" i="22"/>
  <c r="N4005" i="22"/>
  <c r="O4005" i="22"/>
  <c r="K4006" i="22"/>
  <c r="L4006" i="22"/>
  <c r="M4006" i="22"/>
  <c r="N4006" i="22"/>
  <c r="O4006" i="22"/>
  <c r="K4007" i="22"/>
  <c r="L4007" i="22"/>
  <c r="M4007" i="22"/>
  <c r="N4007" i="22"/>
  <c r="O4007" i="22"/>
  <c r="K4008" i="22"/>
  <c r="L4008" i="22"/>
  <c r="M4008" i="22"/>
  <c r="N4008" i="22"/>
  <c r="O4008" i="22"/>
  <c r="K4009" i="22"/>
  <c r="L4009" i="22"/>
  <c r="M4009" i="22"/>
  <c r="N4009" i="22"/>
  <c r="O4009" i="22"/>
  <c r="K4010" i="22"/>
  <c r="L4010" i="22"/>
  <c r="M4010" i="22"/>
  <c r="N4010" i="22"/>
  <c r="O4010" i="22"/>
  <c r="P4010" i="22" s="1"/>
  <c r="Q4010" i="22" s="1"/>
  <c r="K4011" i="22"/>
  <c r="L4011" i="22"/>
  <c r="M4011" i="22"/>
  <c r="N4011" i="22"/>
  <c r="O4011" i="22"/>
  <c r="K4012" i="22"/>
  <c r="L4012" i="22"/>
  <c r="M4012" i="22"/>
  <c r="N4012" i="22"/>
  <c r="O4012" i="22"/>
  <c r="K4013" i="22"/>
  <c r="L4013" i="22"/>
  <c r="M4013" i="22"/>
  <c r="N4013" i="22"/>
  <c r="O4013" i="22"/>
  <c r="K4014" i="22"/>
  <c r="P4014" i="22" s="1"/>
  <c r="Q4014" i="22" s="1"/>
  <c r="L4014" i="22"/>
  <c r="M4014" i="22"/>
  <c r="N4014" i="22"/>
  <c r="O4014" i="22"/>
  <c r="K4015" i="22"/>
  <c r="L4015" i="22"/>
  <c r="M4015" i="22"/>
  <c r="N4015" i="22"/>
  <c r="O4015" i="22"/>
  <c r="K4016" i="22"/>
  <c r="L4016" i="22"/>
  <c r="M4016" i="22"/>
  <c r="N4016" i="22"/>
  <c r="O4016" i="22"/>
  <c r="K4017" i="22"/>
  <c r="L4017" i="22"/>
  <c r="M4017" i="22"/>
  <c r="N4017" i="22"/>
  <c r="O4017" i="22"/>
  <c r="K4018" i="22"/>
  <c r="L4018" i="22"/>
  <c r="M4018" i="22"/>
  <c r="N4018" i="22"/>
  <c r="O4018" i="22"/>
  <c r="K4019" i="22"/>
  <c r="L4019" i="22"/>
  <c r="M4019" i="22"/>
  <c r="N4019" i="22"/>
  <c r="O4019" i="22"/>
  <c r="K4020" i="22"/>
  <c r="L4020" i="22"/>
  <c r="M4020" i="22"/>
  <c r="N4020" i="22"/>
  <c r="O4020" i="22"/>
  <c r="K4021" i="22"/>
  <c r="L4021" i="22"/>
  <c r="M4021" i="22"/>
  <c r="N4021" i="22"/>
  <c r="O4021" i="22"/>
  <c r="K4022" i="22"/>
  <c r="L4022" i="22"/>
  <c r="M4022" i="22"/>
  <c r="N4022" i="22"/>
  <c r="O4022" i="22"/>
  <c r="K4023" i="22"/>
  <c r="L4023" i="22"/>
  <c r="M4023" i="22"/>
  <c r="N4023" i="22"/>
  <c r="O4023" i="22"/>
  <c r="K4024" i="22"/>
  <c r="L4024" i="22"/>
  <c r="M4024" i="22"/>
  <c r="N4024" i="22"/>
  <c r="O4024" i="22"/>
  <c r="K4025" i="22"/>
  <c r="L4025" i="22"/>
  <c r="M4025" i="22"/>
  <c r="N4025" i="22"/>
  <c r="O4025" i="22"/>
  <c r="K4026" i="22"/>
  <c r="L4026" i="22"/>
  <c r="M4026" i="22"/>
  <c r="N4026" i="22"/>
  <c r="O4026" i="22"/>
  <c r="K4027" i="22"/>
  <c r="L4027" i="22"/>
  <c r="M4027" i="22"/>
  <c r="N4027" i="22"/>
  <c r="O4027" i="22"/>
  <c r="K4028" i="22"/>
  <c r="L4028" i="22"/>
  <c r="M4028" i="22"/>
  <c r="N4028" i="22"/>
  <c r="O4028" i="22"/>
  <c r="K4029" i="22"/>
  <c r="L4029" i="22"/>
  <c r="M4029" i="22"/>
  <c r="N4029" i="22"/>
  <c r="O4029" i="22"/>
  <c r="K4030" i="22"/>
  <c r="L4030" i="22"/>
  <c r="M4030" i="22"/>
  <c r="N4030" i="22"/>
  <c r="O4030" i="22"/>
  <c r="K4031" i="22"/>
  <c r="L4031" i="22"/>
  <c r="M4031" i="22"/>
  <c r="N4031" i="22"/>
  <c r="O4031" i="22"/>
  <c r="K4032" i="22"/>
  <c r="L4032" i="22"/>
  <c r="M4032" i="22"/>
  <c r="N4032" i="22"/>
  <c r="O4032" i="22"/>
  <c r="K4033" i="22"/>
  <c r="L4033" i="22"/>
  <c r="M4033" i="22"/>
  <c r="N4033" i="22"/>
  <c r="O4033" i="22"/>
  <c r="F225" i="24"/>
  <c r="E225" i="24"/>
  <c r="F224" i="24"/>
  <c r="E224" i="24"/>
  <c r="F223" i="24"/>
  <c r="E223" i="24"/>
  <c r="F222" i="24"/>
  <c r="E222" i="24"/>
  <c r="F221" i="24"/>
  <c r="E221" i="24"/>
  <c r="F220" i="24"/>
  <c r="E220" i="24"/>
  <c r="F219" i="24"/>
  <c r="E219" i="24"/>
  <c r="F218" i="24"/>
  <c r="E218" i="24"/>
  <c r="F217" i="24"/>
  <c r="E217" i="24"/>
  <c r="F216" i="24"/>
  <c r="E216" i="24"/>
  <c r="F215" i="24"/>
  <c r="E215" i="24"/>
  <c r="F214" i="24"/>
  <c r="E214" i="24"/>
  <c r="F213" i="24"/>
  <c r="E213" i="24"/>
  <c r="F212" i="24"/>
  <c r="E212" i="24"/>
  <c r="F211" i="24"/>
  <c r="E211" i="24"/>
  <c r="F210" i="24"/>
  <c r="E210" i="24"/>
  <c r="F209" i="24"/>
  <c r="E209" i="24"/>
  <c r="F208" i="24"/>
  <c r="E208" i="24"/>
  <c r="F207" i="24"/>
  <c r="E207" i="24"/>
  <c r="F206" i="24"/>
  <c r="E206" i="24"/>
  <c r="F205" i="24"/>
  <c r="E205" i="24"/>
  <c r="F204" i="24"/>
  <c r="E204" i="24"/>
  <c r="F203" i="24"/>
  <c r="E203" i="24"/>
  <c r="F202" i="24"/>
  <c r="E202" i="24"/>
  <c r="F201" i="24"/>
  <c r="E201" i="24"/>
  <c r="F200" i="24"/>
  <c r="E200" i="24"/>
  <c r="F199" i="24"/>
  <c r="E199" i="24"/>
  <c r="F198" i="24"/>
  <c r="E198" i="24"/>
  <c r="F197" i="24"/>
  <c r="E197" i="24"/>
  <c r="F196" i="24"/>
  <c r="E196" i="24"/>
  <c r="F195" i="24"/>
  <c r="E195" i="24"/>
  <c r="F194" i="24"/>
  <c r="E194" i="24"/>
  <c r="F193" i="24"/>
  <c r="E193" i="24"/>
  <c r="F192" i="24"/>
  <c r="E192" i="24"/>
  <c r="F191" i="24"/>
  <c r="E191" i="24"/>
  <c r="F190" i="24"/>
  <c r="E190" i="24"/>
  <c r="F189" i="24"/>
  <c r="E189" i="24"/>
  <c r="F188" i="24"/>
  <c r="E188" i="24"/>
  <c r="F187" i="24"/>
  <c r="E187" i="24"/>
  <c r="F186" i="24"/>
  <c r="E186" i="24"/>
  <c r="F185" i="24"/>
  <c r="E185" i="24"/>
  <c r="F184" i="24"/>
  <c r="E184" i="24"/>
  <c r="F183" i="24"/>
  <c r="E183" i="24"/>
  <c r="F182" i="24"/>
  <c r="E182" i="24"/>
  <c r="F181" i="24"/>
  <c r="E181" i="24"/>
  <c r="F180" i="24"/>
  <c r="E180" i="24"/>
  <c r="F179" i="24"/>
  <c r="E179" i="24"/>
  <c r="F178" i="24"/>
  <c r="E178" i="24"/>
  <c r="F177" i="24"/>
  <c r="E177" i="24"/>
  <c r="F176" i="24"/>
  <c r="E176" i="24"/>
  <c r="F175" i="24"/>
  <c r="E175" i="24"/>
  <c r="F174" i="24"/>
  <c r="E174" i="24"/>
  <c r="F173" i="24"/>
  <c r="E173" i="24"/>
  <c r="F172" i="24"/>
  <c r="E172" i="24"/>
  <c r="F171" i="24"/>
  <c r="E171" i="24"/>
  <c r="F170" i="24"/>
  <c r="E170" i="24"/>
  <c r="F169" i="24"/>
  <c r="E169" i="24"/>
  <c r="F168" i="24"/>
  <c r="E168" i="24"/>
  <c r="F167" i="24"/>
  <c r="E167" i="24"/>
  <c r="F166" i="24"/>
  <c r="E166" i="24"/>
  <c r="F165" i="24"/>
  <c r="E165" i="24"/>
  <c r="F164" i="24"/>
  <c r="E164" i="24"/>
  <c r="F163" i="24"/>
  <c r="E163" i="24"/>
  <c r="F162" i="24"/>
  <c r="E162" i="24"/>
  <c r="F161" i="24"/>
  <c r="E161" i="24"/>
  <c r="F160" i="24"/>
  <c r="E160" i="24"/>
  <c r="F159" i="24"/>
  <c r="E159" i="24"/>
  <c r="F158" i="24"/>
  <c r="E158" i="24"/>
  <c r="F157" i="24"/>
  <c r="E157" i="24"/>
  <c r="F156" i="24"/>
  <c r="E156" i="24"/>
  <c r="F155" i="24"/>
  <c r="E155" i="24"/>
  <c r="F154" i="24"/>
  <c r="E154" i="24"/>
  <c r="F153" i="24"/>
  <c r="E153" i="24"/>
  <c r="F152" i="24"/>
  <c r="E152" i="24"/>
  <c r="F151" i="24"/>
  <c r="E151" i="24"/>
  <c r="F150" i="24"/>
  <c r="E150" i="24"/>
  <c r="F149" i="24"/>
  <c r="E149" i="24"/>
  <c r="F148" i="24"/>
  <c r="E148" i="24"/>
  <c r="F147" i="24"/>
  <c r="E147" i="24"/>
  <c r="F146" i="24"/>
  <c r="E146" i="24"/>
  <c r="F145" i="24"/>
  <c r="E145" i="24"/>
  <c r="F144" i="24"/>
  <c r="E144" i="24"/>
  <c r="F143" i="24"/>
  <c r="E143" i="24"/>
  <c r="F142" i="24"/>
  <c r="E142" i="24"/>
  <c r="F141" i="24"/>
  <c r="E141" i="24"/>
  <c r="F140" i="24"/>
  <c r="E140" i="24"/>
  <c r="F139" i="24"/>
  <c r="E139" i="24"/>
  <c r="F138" i="24"/>
  <c r="E138" i="24"/>
  <c r="F137" i="24"/>
  <c r="E137" i="24"/>
  <c r="F136" i="24"/>
  <c r="E136" i="24"/>
  <c r="F135" i="24"/>
  <c r="E135" i="24"/>
  <c r="F134" i="24"/>
  <c r="E134" i="24"/>
  <c r="F133" i="24"/>
  <c r="E133" i="24"/>
  <c r="F132" i="24"/>
  <c r="E132" i="24"/>
  <c r="F131" i="24"/>
  <c r="E131" i="24"/>
  <c r="F130" i="24"/>
  <c r="E130" i="24"/>
  <c r="F129" i="24"/>
  <c r="E129" i="24"/>
  <c r="F128" i="24"/>
  <c r="E128" i="24"/>
  <c r="F127" i="24"/>
  <c r="E127" i="24"/>
  <c r="F126" i="24"/>
  <c r="E126" i="24"/>
  <c r="F125" i="24"/>
  <c r="E125" i="24"/>
  <c r="F124" i="24"/>
  <c r="E124" i="24"/>
  <c r="F123" i="24"/>
  <c r="E123" i="24"/>
  <c r="F122" i="24"/>
  <c r="E122" i="24"/>
  <c r="F121" i="24"/>
  <c r="E121" i="24"/>
  <c r="F120" i="24"/>
  <c r="E120" i="24"/>
  <c r="F119" i="24"/>
  <c r="E119" i="24"/>
  <c r="F118" i="24"/>
  <c r="E118" i="24"/>
  <c r="F117" i="24"/>
  <c r="E117" i="24"/>
  <c r="F116" i="24"/>
  <c r="E116" i="24"/>
  <c r="F115" i="24"/>
  <c r="E115" i="24"/>
  <c r="F114" i="24"/>
  <c r="E114" i="24"/>
  <c r="F113" i="24"/>
  <c r="E113" i="24"/>
  <c r="F112" i="24"/>
  <c r="E112" i="24"/>
  <c r="F111" i="24"/>
  <c r="E111" i="24"/>
  <c r="F110" i="24"/>
  <c r="E110" i="24"/>
  <c r="F109" i="24"/>
  <c r="E109" i="24"/>
  <c r="F108" i="24"/>
  <c r="E108" i="24"/>
  <c r="F107" i="24"/>
  <c r="E107" i="24"/>
  <c r="F106" i="24"/>
  <c r="E106" i="24"/>
  <c r="F105" i="24"/>
  <c r="E105" i="24"/>
  <c r="F104" i="24"/>
  <c r="E104" i="24"/>
  <c r="F103" i="24"/>
  <c r="E103" i="24"/>
  <c r="F102" i="24"/>
  <c r="E102" i="24"/>
  <c r="F101" i="24"/>
  <c r="E101" i="24"/>
  <c r="F100" i="24"/>
  <c r="E100" i="24"/>
  <c r="F99" i="24"/>
  <c r="E99" i="24"/>
  <c r="F98" i="24"/>
  <c r="E98" i="24"/>
  <c r="F97" i="24"/>
  <c r="E97" i="24"/>
  <c r="F96" i="24"/>
  <c r="E96" i="24"/>
  <c r="F95" i="24"/>
  <c r="E95" i="24"/>
  <c r="F94" i="24"/>
  <c r="E94" i="24"/>
  <c r="F93" i="24"/>
  <c r="E93" i="24"/>
  <c r="F92" i="24"/>
  <c r="E92" i="24"/>
  <c r="F91" i="24"/>
  <c r="E91" i="24"/>
  <c r="F90" i="24"/>
  <c r="E90" i="24"/>
  <c r="F89" i="24"/>
  <c r="E89" i="24"/>
  <c r="F88" i="24"/>
  <c r="E88" i="24"/>
  <c r="F87" i="24"/>
  <c r="E87" i="24"/>
  <c r="F86" i="24"/>
  <c r="E86" i="24"/>
  <c r="F85" i="24"/>
  <c r="E85" i="24"/>
  <c r="F84" i="24"/>
  <c r="E84" i="24"/>
  <c r="F83" i="24"/>
  <c r="E83" i="24"/>
  <c r="F82" i="24"/>
  <c r="E82" i="24"/>
  <c r="F81" i="24"/>
  <c r="E81" i="24"/>
  <c r="F80" i="24"/>
  <c r="E80" i="24"/>
  <c r="F79" i="24"/>
  <c r="E79" i="24"/>
  <c r="F78" i="24"/>
  <c r="E78" i="24"/>
  <c r="F77" i="24"/>
  <c r="E77" i="24"/>
  <c r="F76" i="24"/>
  <c r="E76" i="24"/>
  <c r="F75" i="24"/>
  <c r="E75" i="24"/>
  <c r="F74" i="24"/>
  <c r="E74" i="24"/>
  <c r="F73" i="24"/>
  <c r="E73" i="24"/>
  <c r="F72" i="24"/>
  <c r="E72" i="24"/>
  <c r="F71" i="24"/>
  <c r="E71" i="24"/>
  <c r="F70" i="24"/>
  <c r="E70" i="24"/>
  <c r="F69" i="24"/>
  <c r="E69" i="24"/>
  <c r="F68" i="24"/>
  <c r="E68" i="24"/>
  <c r="F67" i="24"/>
  <c r="E67" i="24"/>
  <c r="F66" i="24"/>
  <c r="E66" i="24"/>
  <c r="F65" i="24"/>
  <c r="E65" i="24"/>
  <c r="F64" i="24"/>
  <c r="E64" i="24"/>
  <c r="F63" i="24"/>
  <c r="E63" i="24"/>
  <c r="F62" i="24"/>
  <c r="E62" i="24"/>
  <c r="F61" i="24"/>
  <c r="E61" i="24"/>
  <c r="F60" i="24"/>
  <c r="E60" i="24"/>
  <c r="F59" i="24"/>
  <c r="E59" i="24"/>
  <c r="F58" i="24"/>
  <c r="E58" i="24"/>
  <c r="F57" i="24"/>
  <c r="E57" i="24"/>
  <c r="F56" i="24"/>
  <c r="E56" i="24"/>
  <c r="F55" i="24"/>
  <c r="E55" i="24"/>
  <c r="F54" i="24"/>
  <c r="E54" i="24"/>
  <c r="F53" i="24"/>
  <c r="E53" i="24"/>
  <c r="F52" i="24"/>
  <c r="E52" i="24"/>
  <c r="F51" i="24"/>
  <c r="E51" i="24"/>
  <c r="F50" i="24"/>
  <c r="E50" i="24"/>
  <c r="F49" i="24"/>
  <c r="E49" i="24"/>
  <c r="F48" i="24"/>
  <c r="E48" i="24"/>
  <c r="F47" i="24"/>
  <c r="E47" i="24"/>
  <c r="F46" i="24"/>
  <c r="E46" i="24"/>
  <c r="F45" i="24"/>
  <c r="E45" i="24"/>
  <c r="F44" i="24"/>
  <c r="E44" i="24"/>
  <c r="F43" i="24"/>
  <c r="E43" i="24"/>
  <c r="F42" i="24"/>
  <c r="E42" i="24"/>
  <c r="F41" i="24"/>
  <c r="E41" i="24"/>
  <c r="F40" i="24"/>
  <c r="E40" i="24"/>
  <c r="F39" i="24"/>
  <c r="E39" i="24"/>
  <c r="F38" i="24"/>
  <c r="E38" i="24"/>
  <c r="F37" i="24"/>
  <c r="E37" i="24"/>
  <c r="F36" i="24"/>
  <c r="E36" i="24"/>
  <c r="F35" i="24"/>
  <c r="E35" i="24"/>
  <c r="F34" i="24"/>
  <c r="E34" i="24"/>
  <c r="F33" i="24"/>
  <c r="E33" i="24"/>
  <c r="F32" i="24"/>
  <c r="E32" i="24"/>
  <c r="F31" i="24"/>
  <c r="E31" i="24"/>
  <c r="F30" i="24"/>
  <c r="E30" i="24"/>
  <c r="F29" i="24"/>
  <c r="E29" i="24"/>
  <c r="F28" i="24"/>
  <c r="E28" i="24"/>
  <c r="F27" i="24"/>
  <c r="E27" i="24"/>
  <c r="F26" i="24"/>
  <c r="E26" i="24"/>
  <c r="F25" i="24"/>
  <c r="E25" i="24"/>
  <c r="F24" i="24"/>
  <c r="E24" i="24"/>
  <c r="F23" i="24"/>
  <c r="E23" i="24"/>
  <c r="F22" i="24"/>
  <c r="E22" i="24"/>
  <c r="F21" i="24"/>
  <c r="E21" i="24"/>
  <c r="F20" i="24"/>
  <c r="E20" i="24"/>
  <c r="F19" i="24"/>
  <c r="E19" i="24"/>
  <c r="F18" i="24"/>
  <c r="E18" i="24"/>
  <c r="F17" i="24"/>
  <c r="E17" i="24"/>
  <c r="F16" i="24"/>
  <c r="E16" i="24"/>
  <c r="F15" i="24"/>
  <c r="E15" i="24"/>
  <c r="F14" i="24"/>
  <c r="E14" i="24"/>
  <c r="F13" i="24"/>
  <c r="E13" i="24"/>
  <c r="F12" i="24"/>
  <c r="E12" i="24"/>
  <c r="F11" i="24"/>
  <c r="E11" i="24"/>
  <c r="F10" i="24"/>
  <c r="E10" i="24"/>
  <c r="F9" i="24"/>
  <c r="E9" i="24"/>
  <c r="F8" i="24"/>
  <c r="E8" i="24"/>
  <c r="F7" i="24"/>
  <c r="E7" i="24"/>
  <c r="F6" i="24"/>
  <c r="E6" i="24"/>
  <c r="F5" i="24"/>
  <c r="E5" i="24"/>
  <c r="F4" i="24"/>
  <c r="E4" i="24"/>
  <c r="F3" i="24"/>
  <c r="E3" i="24"/>
  <c r="F2" i="24"/>
  <c r="E2" i="24"/>
  <c r="O3377" i="22"/>
  <c r="N3377" i="22"/>
  <c r="M3377" i="22"/>
  <c r="L3377" i="22"/>
  <c r="K3377" i="22"/>
  <c r="O3376" i="22"/>
  <c r="N3376" i="22"/>
  <c r="M3376" i="22"/>
  <c r="L3376" i="22"/>
  <c r="K3376" i="22"/>
  <c r="O3375" i="22"/>
  <c r="N3375" i="22"/>
  <c r="M3375" i="22"/>
  <c r="L3375" i="22"/>
  <c r="K3375" i="22"/>
  <c r="O3374" i="22"/>
  <c r="N3374" i="22"/>
  <c r="M3374" i="22"/>
  <c r="L3374" i="22"/>
  <c r="K3374" i="22"/>
  <c r="O3373" i="22"/>
  <c r="N3373" i="22"/>
  <c r="M3373" i="22"/>
  <c r="L3373" i="22"/>
  <c r="K3373" i="22"/>
  <c r="O3372" i="22"/>
  <c r="N3372" i="22"/>
  <c r="M3372" i="22"/>
  <c r="L3372" i="22"/>
  <c r="K3372" i="22"/>
  <c r="O3371" i="22"/>
  <c r="N3371" i="22"/>
  <c r="M3371" i="22"/>
  <c r="L3371" i="22"/>
  <c r="K3371" i="22"/>
  <c r="O3370" i="22"/>
  <c r="N3370" i="22"/>
  <c r="M3370" i="22"/>
  <c r="L3370" i="22"/>
  <c r="K3370" i="22"/>
  <c r="O3369" i="22"/>
  <c r="N3369" i="22"/>
  <c r="M3369" i="22"/>
  <c r="L3369" i="22"/>
  <c r="K3369" i="22"/>
  <c r="O3368" i="22"/>
  <c r="N3368" i="22"/>
  <c r="M3368" i="22"/>
  <c r="L3368" i="22"/>
  <c r="K3368" i="22"/>
  <c r="O3367" i="22"/>
  <c r="N3367" i="22"/>
  <c r="M3367" i="22"/>
  <c r="L3367" i="22"/>
  <c r="K3367" i="22"/>
  <c r="O3366" i="22"/>
  <c r="N3366" i="22"/>
  <c r="M3366" i="22"/>
  <c r="L3366" i="22"/>
  <c r="K3366" i="22"/>
  <c r="O3365" i="22"/>
  <c r="N3365" i="22"/>
  <c r="M3365" i="22"/>
  <c r="L3365" i="22"/>
  <c r="K3365" i="22"/>
  <c r="O3364" i="22"/>
  <c r="N3364" i="22"/>
  <c r="M3364" i="22"/>
  <c r="L3364" i="22"/>
  <c r="K3364" i="22"/>
  <c r="O3363" i="22"/>
  <c r="N3363" i="22"/>
  <c r="M3363" i="22"/>
  <c r="L3363" i="22"/>
  <c r="K3363" i="22"/>
  <c r="O3362" i="22"/>
  <c r="N3362" i="22"/>
  <c r="M3362" i="22"/>
  <c r="L3362" i="22"/>
  <c r="K3362" i="22"/>
  <c r="O3361" i="22"/>
  <c r="N3361" i="22"/>
  <c r="M3361" i="22"/>
  <c r="L3361" i="22"/>
  <c r="K3361" i="22"/>
  <c r="O3360" i="22"/>
  <c r="N3360" i="22"/>
  <c r="M3360" i="22"/>
  <c r="L3360" i="22"/>
  <c r="K3360" i="22"/>
  <c r="O3359" i="22"/>
  <c r="N3359" i="22"/>
  <c r="M3359" i="22"/>
  <c r="L3359" i="22"/>
  <c r="K3359" i="22"/>
  <c r="O3358" i="22"/>
  <c r="N3358" i="22"/>
  <c r="M3358" i="22"/>
  <c r="L3358" i="22"/>
  <c r="K3358" i="22"/>
  <c r="O3357" i="22"/>
  <c r="N3357" i="22"/>
  <c r="M3357" i="22"/>
  <c r="L3357" i="22"/>
  <c r="K3357" i="22"/>
  <c r="O3356" i="22"/>
  <c r="N3356" i="22"/>
  <c r="M3356" i="22"/>
  <c r="L3356" i="22"/>
  <c r="K3356" i="22"/>
  <c r="O3355" i="22"/>
  <c r="N3355" i="22"/>
  <c r="M3355" i="22"/>
  <c r="L3355" i="22"/>
  <c r="K3355" i="22"/>
  <c r="O3354" i="22"/>
  <c r="N3354" i="22"/>
  <c r="M3354" i="22"/>
  <c r="L3354" i="22"/>
  <c r="K3354" i="22"/>
  <c r="O3353" i="22"/>
  <c r="N3353" i="22"/>
  <c r="M3353" i="22"/>
  <c r="L3353" i="22"/>
  <c r="K3353" i="22"/>
  <c r="O3352" i="22"/>
  <c r="N3352" i="22"/>
  <c r="M3352" i="22"/>
  <c r="L3352" i="22"/>
  <c r="K3352" i="22"/>
  <c r="O3351" i="22"/>
  <c r="N3351" i="22"/>
  <c r="M3351" i="22"/>
  <c r="L3351" i="22"/>
  <c r="K3351" i="22"/>
  <c r="O3350" i="22"/>
  <c r="N3350" i="22"/>
  <c r="M3350" i="22"/>
  <c r="L3350" i="22"/>
  <c r="K3350" i="22"/>
  <c r="O3349" i="22"/>
  <c r="N3349" i="22"/>
  <c r="M3349" i="22"/>
  <c r="L3349" i="22"/>
  <c r="K3349" i="22"/>
  <c r="O3348" i="22"/>
  <c r="N3348" i="22"/>
  <c r="M3348" i="22"/>
  <c r="L3348" i="22"/>
  <c r="K3348" i="22"/>
  <c r="O3347" i="22"/>
  <c r="N3347" i="22"/>
  <c r="M3347" i="22"/>
  <c r="L3347" i="22"/>
  <c r="K3347" i="22"/>
  <c r="O3346" i="22"/>
  <c r="N3346" i="22"/>
  <c r="M3346" i="22"/>
  <c r="L3346" i="22"/>
  <c r="K3346" i="22"/>
  <c r="O3345" i="22"/>
  <c r="N3345" i="22"/>
  <c r="M3345" i="22"/>
  <c r="L3345" i="22"/>
  <c r="K3345" i="22"/>
  <c r="O3344" i="22"/>
  <c r="N3344" i="22"/>
  <c r="M3344" i="22"/>
  <c r="L3344" i="22"/>
  <c r="K3344" i="22"/>
  <c r="O3343" i="22"/>
  <c r="N3343" i="22"/>
  <c r="M3343" i="22"/>
  <c r="L3343" i="22"/>
  <c r="K3343" i="22"/>
  <c r="O3342" i="22"/>
  <c r="N3342" i="22"/>
  <c r="M3342" i="22"/>
  <c r="L3342" i="22"/>
  <c r="K3342" i="22"/>
  <c r="O3341" i="22"/>
  <c r="N3341" i="22"/>
  <c r="M3341" i="22"/>
  <c r="L3341" i="22"/>
  <c r="K3341" i="22"/>
  <c r="O3340" i="22"/>
  <c r="N3340" i="22"/>
  <c r="M3340" i="22"/>
  <c r="L3340" i="22"/>
  <c r="K3340" i="22"/>
  <c r="O3339" i="22"/>
  <c r="N3339" i="22"/>
  <c r="M3339" i="22"/>
  <c r="L3339" i="22"/>
  <c r="K3339" i="22"/>
  <c r="O3338" i="22"/>
  <c r="N3338" i="22"/>
  <c r="M3338" i="22"/>
  <c r="L3338" i="22"/>
  <c r="K3338" i="22"/>
  <c r="O3337" i="22"/>
  <c r="N3337" i="22"/>
  <c r="M3337" i="22"/>
  <c r="L3337" i="22"/>
  <c r="K3337" i="22"/>
  <c r="O3336" i="22"/>
  <c r="N3336" i="22"/>
  <c r="M3336" i="22"/>
  <c r="L3336" i="22"/>
  <c r="K3336" i="22"/>
  <c r="O3335" i="22"/>
  <c r="N3335" i="22"/>
  <c r="M3335" i="22"/>
  <c r="L3335" i="22"/>
  <c r="K3335" i="22"/>
  <c r="O3334" i="22"/>
  <c r="N3334" i="22"/>
  <c r="M3334" i="22"/>
  <c r="L3334" i="22"/>
  <c r="K3334" i="22"/>
  <c r="O3333" i="22"/>
  <c r="N3333" i="22"/>
  <c r="M3333" i="22"/>
  <c r="L3333" i="22"/>
  <c r="K3333" i="22"/>
  <c r="O3332" i="22"/>
  <c r="N3332" i="22"/>
  <c r="M3332" i="22"/>
  <c r="L3332" i="22"/>
  <c r="K3332" i="22"/>
  <c r="O3331" i="22"/>
  <c r="N3331" i="22"/>
  <c r="M3331" i="22"/>
  <c r="L3331" i="22"/>
  <c r="K3331" i="22"/>
  <c r="O3330" i="22"/>
  <c r="N3330" i="22"/>
  <c r="M3330" i="22"/>
  <c r="L3330" i="22"/>
  <c r="K3330" i="22"/>
  <c r="O3329" i="22"/>
  <c r="N3329" i="22"/>
  <c r="M3329" i="22"/>
  <c r="L3329" i="22"/>
  <c r="K3329" i="22"/>
  <c r="O3328" i="22"/>
  <c r="N3328" i="22"/>
  <c r="M3328" i="22"/>
  <c r="L3328" i="22"/>
  <c r="K3328" i="22"/>
  <c r="O3327" i="22"/>
  <c r="N3327" i="22"/>
  <c r="M3327" i="22"/>
  <c r="L3327" i="22"/>
  <c r="K3327" i="22"/>
  <c r="O3326" i="22"/>
  <c r="N3326" i="22"/>
  <c r="M3326" i="22"/>
  <c r="L3326" i="22"/>
  <c r="K3326" i="22"/>
  <c r="O3325" i="22"/>
  <c r="N3325" i="22"/>
  <c r="M3325" i="22"/>
  <c r="L3325" i="22"/>
  <c r="K3325" i="22"/>
  <c r="O3324" i="22"/>
  <c r="N3324" i="22"/>
  <c r="M3324" i="22"/>
  <c r="L3324" i="22"/>
  <c r="K3324" i="22"/>
  <c r="O3323" i="22"/>
  <c r="N3323" i="22"/>
  <c r="M3323" i="22"/>
  <c r="L3323" i="22"/>
  <c r="K3323" i="22"/>
  <c r="O3322" i="22"/>
  <c r="N3322" i="22"/>
  <c r="M3322" i="22"/>
  <c r="L3322" i="22"/>
  <c r="K3322" i="22"/>
  <c r="O3321" i="22"/>
  <c r="N3321" i="22"/>
  <c r="M3321" i="22"/>
  <c r="L3321" i="22"/>
  <c r="K3321" i="22"/>
  <c r="O3320" i="22"/>
  <c r="N3320" i="22"/>
  <c r="M3320" i="22"/>
  <c r="L3320" i="22"/>
  <c r="K3320" i="22"/>
  <c r="O3319" i="22"/>
  <c r="N3319" i="22"/>
  <c r="M3319" i="22"/>
  <c r="L3319" i="22"/>
  <c r="K3319" i="22"/>
  <c r="O3318" i="22"/>
  <c r="N3318" i="22"/>
  <c r="M3318" i="22"/>
  <c r="L3318" i="22"/>
  <c r="K3318" i="22"/>
  <c r="O3317" i="22"/>
  <c r="N3317" i="22"/>
  <c r="M3317" i="22"/>
  <c r="L3317" i="22"/>
  <c r="K3317" i="22"/>
  <c r="O3316" i="22"/>
  <c r="N3316" i="22"/>
  <c r="M3316" i="22"/>
  <c r="L3316" i="22"/>
  <c r="K3316" i="22"/>
  <c r="O3315" i="22"/>
  <c r="N3315" i="22"/>
  <c r="M3315" i="22"/>
  <c r="L3315" i="22"/>
  <c r="K3315" i="22"/>
  <c r="O3314" i="22"/>
  <c r="N3314" i="22"/>
  <c r="M3314" i="22"/>
  <c r="L3314" i="22"/>
  <c r="K3314" i="22"/>
  <c r="O3313" i="22"/>
  <c r="N3313" i="22"/>
  <c r="M3313" i="22"/>
  <c r="L3313" i="22"/>
  <c r="K3313" i="22"/>
  <c r="O3312" i="22"/>
  <c r="N3312" i="22"/>
  <c r="M3312" i="22"/>
  <c r="L3312" i="22"/>
  <c r="K3312" i="22"/>
  <c r="O3311" i="22"/>
  <c r="N3311" i="22"/>
  <c r="M3311" i="22"/>
  <c r="L3311" i="22"/>
  <c r="K3311" i="22"/>
  <c r="O3310" i="22"/>
  <c r="N3310" i="22"/>
  <c r="M3310" i="22"/>
  <c r="L3310" i="22"/>
  <c r="K3310" i="22"/>
  <c r="O3309" i="22"/>
  <c r="N3309" i="22"/>
  <c r="M3309" i="22"/>
  <c r="L3309" i="22"/>
  <c r="K3309" i="22"/>
  <c r="O3308" i="22"/>
  <c r="N3308" i="22"/>
  <c r="M3308" i="22"/>
  <c r="L3308" i="22"/>
  <c r="K3308" i="22"/>
  <c r="O3307" i="22"/>
  <c r="N3307" i="22"/>
  <c r="M3307" i="22"/>
  <c r="L3307" i="22"/>
  <c r="K3307" i="22"/>
  <c r="O3306" i="22"/>
  <c r="N3306" i="22"/>
  <c r="M3306" i="22"/>
  <c r="L3306" i="22"/>
  <c r="K3306" i="22"/>
  <c r="O3305" i="22"/>
  <c r="N3305" i="22"/>
  <c r="M3305" i="22"/>
  <c r="L3305" i="22"/>
  <c r="K3305" i="22"/>
  <c r="O3304" i="22"/>
  <c r="N3304" i="22"/>
  <c r="M3304" i="22"/>
  <c r="L3304" i="22"/>
  <c r="K3304" i="22"/>
  <c r="O3303" i="22"/>
  <c r="N3303" i="22"/>
  <c r="M3303" i="22"/>
  <c r="L3303" i="22"/>
  <c r="K3303" i="22"/>
  <c r="O3302" i="22"/>
  <c r="N3302" i="22"/>
  <c r="M3302" i="22"/>
  <c r="L3302" i="22"/>
  <c r="K3302" i="22"/>
  <c r="O3301" i="22"/>
  <c r="N3301" i="22"/>
  <c r="M3301" i="22"/>
  <c r="L3301" i="22"/>
  <c r="K3301" i="22"/>
  <c r="O3300" i="22"/>
  <c r="N3300" i="22"/>
  <c r="M3300" i="22"/>
  <c r="L3300" i="22"/>
  <c r="K3300" i="22"/>
  <c r="O3299" i="22"/>
  <c r="N3299" i="22"/>
  <c r="M3299" i="22"/>
  <c r="L3299" i="22"/>
  <c r="K3299" i="22"/>
  <c r="O3298" i="22"/>
  <c r="N3298" i="22"/>
  <c r="M3298" i="22"/>
  <c r="L3298" i="22"/>
  <c r="K3298" i="22"/>
  <c r="O3297" i="22"/>
  <c r="N3297" i="22"/>
  <c r="M3297" i="22"/>
  <c r="L3297" i="22"/>
  <c r="K3297" i="22"/>
  <c r="O3296" i="22"/>
  <c r="N3296" i="22"/>
  <c r="M3296" i="22"/>
  <c r="L3296" i="22"/>
  <c r="K3296" i="22"/>
  <c r="O3295" i="22"/>
  <c r="N3295" i="22"/>
  <c r="M3295" i="22"/>
  <c r="L3295" i="22"/>
  <c r="K3295" i="22"/>
  <c r="O3294" i="22"/>
  <c r="N3294" i="22"/>
  <c r="M3294" i="22"/>
  <c r="L3294" i="22"/>
  <c r="K3294" i="22"/>
  <c r="O3293" i="22"/>
  <c r="N3293" i="22"/>
  <c r="M3293" i="22"/>
  <c r="L3293" i="22"/>
  <c r="K3293" i="22"/>
  <c r="O3292" i="22"/>
  <c r="N3292" i="22"/>
  <c r="M3292" i="22"/>
  <c r="L3292" i="22"/>
  <c r="K3292" i="22"/>
  <c r="O3291" i="22"/>
  <c r="N3291" i="22"/>
  <c r="M3291" i="22"/>
  <c r="L3291" i="22"/>
  <c r="K3291" i="22"/>
  <c r="O3290" i="22"/>
  <c r="N3290" i="22"/>
  <c r="M3290" i="22"/>
  <c r="L3290" i="22"/>
  <c r="K3290" i="22"/>
  <c r="O3289" i="22"/>
  <c r="N3289" i="22"/>
  <c r="M3289" i="22"/>
  <c r="L3289" i="22"/>
  <c r="K3289" i="22"/>
  <c r="O3288" i="22"/>
  <c r="N3288" i="22"/>
  <c r="M3288" i="22"/>
  <c r="L3288" i="22"/>
  <c r="K3288" i="22"/>
  <c r="O3287" i="22"/>
  <c r="N3287" i="22"/>
  <c r="M3287" i="22"/>
  <c r="L3287" i="22"/>
  <c r="K3287" i="22"/>
  <c r="O3286" i="22"/>
  <c r="N3286" i="22"/>
  <c r="M3286" i="22"/>
  <c r="L3286" i="22"/>
  <c r="K3286" i="22"/>
  <c r="O3285" i="22"/>
  <c r="N3285" i="22"/>
  <c r="M3285" i="22"/>
  <c r="L3285" i="22"/>
  <c r="K3285" i="22"/>
  <c r="O3284" i="22"/>
  <c r="N3284" i="22"/>
  <c r="M3284" i="22"/>
  <c r="L3284" i="22"/>
  <c r="K3284" i="22"/>
  <c r="O3283" i="22"/>
  <c r="N3283" i="22"/>
  <c r="M3283" i="22"/>
  <c r="L3283" i="22"/>
  <c r="K3283" i="22"/>
  <c r="O3282" i="22"/>
  <c r="N3282" i="22"/>
  <c r="M3282" i="22"/>
  <c r="L3282" i="22"/>
  <c r="K3282" i="22"/>
  <c r="O3281" i="22"/>
  <c r="N3281" i="22"/>
  <c r="M3281" i="22"/>
  <c r="L3281" i="22"/>
  <c r="K3281" i="22"/>
  <c r="O3280" i="22"/>
  <c r="N3280" i="22"/>
  <c r="M3280" i="22"/>
  <c r="L3280" i="22"/>
  <c r="K3280" i="22"/>
  <c r="O3279" i="22"/>
  <c r="N3279" i="22"/>
  <c r="M3279" i="22"/>
  <c r="L3279" i="22"/>
  <c r="K3279" i="22"/>
  <c r="O3278" i="22"/>
  <c r="N3278" i="22"/>
  <c r="M3278" i="22"/>
  <c r="L3278" i="22"/>
  <c r="K3278" i="22"/>
  <c r="O3277" i="22"/>
  <c r="N3277" i="22"/>
  <c r="M3277" i="22"/>
  <c r="L3277" i="22"/>
  <c r="K3277" i="22"/>
  <c r="O3276" i="22"/>
  <c r="N3276" i="22"/>
  <c r="M3276" i="22"/>
  <c r="L3276" i="22"/>
  <c r="K3276" i="22"/>
  <c r="O3275" i="22"/>
  <c r="N3275" i="22"/>
  <c r="M3275" i="22"/>
  <c r="L3275" i="22"/>
  <c r="K3275" i="22"/>
  <c r="O3274" i="22"/>
  <c r="N3274" i="22"/>
  <c r="M3274" i="22"/>
  <c r="L3274" i="22"/>
  <c r="K3274" i="22"/>
  <c r="O3273" i="22"/>
  <c r="N3273" i="22"/>
  <c r="M3273" i="22"/>
  <c r="L3273" i="22"/>
  <c r="K3273" i="22"/>
  <c r="O3272" i="22"/>
  <c r="N3272" i="22"/>
  <c r="M3272" i="22"/>
  <c r="L3272" i="22"/>
  <c r="K3272" i="22"/>
  <c r="O3271" i="22"/>
  <c r="N3271" i="22"/>
  <c r="M3271" i="22"/>
  <c r="L3271" i="22"/>
  <c r="K3271" i="22"/>
  <c r="O3270" i="22"/>
  <c r="N3270" i="22"/>
  <c r="M3270" i="22"/>
  <c r="L3270" i="22"/>
  <c r="K3270" i="22"/>
  <c r="O3269" i="22"/>
  <c r="N3269" i="22"/>
  <c r="M3269" i="22"/>
  <c r="L3269" i="22"/>
  <c r="K3269" i="22"/>
  <c r="O3268" i="22"/>
  <c r="N3268" i="22"/>
  <c r="M3268" i="22"/>
  <c r="L3268" i="22"/>
  <c r="K3268" i="22"/>
  <c r="O3267" i="22"/>
  <c r="N3267" i="22"/>
  <c r="M3267" i="22"/>
  <c r="L3267" i="22"/>
  <c r="K3267" i="22"/>
  <c r="O3266" i="22"/>
  <c r="N3266" i="22"/>
  <c r="M3266" i="22"/>
  <c r="L3266" i="22"/>
  <c r="K3266" i="22"/>
  <c r="O3265" i="22"/>
  <c r="N3265" i="22"/>
  <c r="M3265" i="22"/>
  <c r="L3265" i="22"/>
  <c r="K3265" i="22"/>
  <c r="O3264" i="22"/>
  <c r="N3264" i="22"/>
  <c r="M3264" i="22"/>
  <c r="L3264" i="22"/>
  <c r="K3264" i="22"/>
  <c r="O3263" i="22"/>
  <c r="N3263" i="22"/>
  <c r="M3263" i="22"/>
  <c r="L3263" i="22"/>
  <c r="K3263" i="22"/>
  <c r="O3262" i="22"/>
  <c r="N3262" i="22"/>
  <c r="M3262" i="22"/>
  <c r="L3262" i="22"/>
  <c r="K3262" i="22"/>
  <c r="O3261" i="22"/>
  <c r="N3261" i="22"/>
  <c r="M3261" i="22"/>
  <c r="L3261" i="22"/>
  <c r="K3261" i="22"/>
  <c r="O3260" i="22"/>
  <c r="N3260" i="22"/>
  <c r="M3260" i="22"/>
  <c r="L3260" i="22"/>
  <c r="K3260" i="22"/>
  <c r="O3259" i="22"/>
  <c r="N3259" i="22"/>
  <c r="M3259" i="22"/>
  <c r="L3259" i="22"/>
  <c r="K3259" i="22"/>
  <c r="O3258" i="22"/>
  <c r="N3258" i="22"/>
  <c r="M3258" i="22"/>
  <c r="L3258" i="22"/>
  <c r="K3258" i="22"/>
  <c r="O3257" i="22"/>
  <c r="N3257" i="22"/>
  <c r="M3257" i="22"/>
  <c r="L3257" i="22"/>
  <c r="K3257" i="22"/>
  <c r="O3256" i="22"/>
  <c r="N3256" i="22"/>
  <c r="M3256" i="22"/>
  <c r="L3256" i="22"/>
  <c r="K3256" i="22"/>
  <c r="O3255" i="22"/>
  <c r="N3255" i="22"/>
  <c r="M3255" i="22"/>
  <c r="L3255" i="22"/>
  <c r="K3255" i="22"/>
  <c r="O3254" i="22"/>
  <c r="N3254" i="22"/>
  <c r="M3254" i="22"/>
  <c r="L3254" i="22"/>
  <c r="K3254" i="22"/>
  <c r="O3253" i="22"/>
  <c r="N3253" i="22"/>
  <c r="M3253" i="22"/>
  <c r="L3253" i="22"/>
  <c r="K3253" i="22"/>
  <c r="O3252" i="22"/>
  <c r="N3252" i="22"/>
  <c r="M3252" i="22"/>
  <c r="L3252" i="22"/>
  <c r="K3252" i="22"/>
  <c r="O3251" i="22"/>
  <c r="N3251" i="22"/>
  <c r="M3251" i="22"/>
  <c r="L3251" i="22"/>
  <c r="K3251" i="22"/>
  <c r="O3250" i="22"/>
  <c r="N3250" i="22"/>
  <c r="M3250" i="22"/>
  <c r="L3250" i="22"/>
  <c r="K3250" i="22"/>
  <c r="O3249" i="22"/>
  <c r="N3249" i="22"/>
  <c r="M3249" i="22"/>
  <c r="L3249" i="22"/>
  <c r="K3249" i="22"/>
  <c r="O3248" i="22"/>
  <c r="N3248" i="22"/>
  <c r="M3248" i="22"/>
  <c r="L3248" i="22"/>
  <c r="K3248" i="22"/>
  <c r="O3247" i="22"/>
  <c r="N3247" i="22"/>
  <c r="M3247" i="22"/>
  <c r="L3247" i="22"/>
  <c r="K3247" i="22"/>
  <c r="O3246" i="22"/>
  <c r="N3246" i="22"/>
  <c r="M3246" i="22"/>
  <c r="L3246" i="22"/>
  <c r="K3246" i="22"/>
  <c r="O3245" i="22"/>
  <c r="N3245" i="22"/>
  <c r="M3245" i="22"/>
  <c r="L3245" i="22"/>
  <c r="K3245" i="22"/>
  <c r="O3244" i="22"/>
  <c r="N3244" i="22"/>
  <c r="M3244" i="22"/>
  <c r="L3244" i="22"/>
  <c r="K3244" i="22"/>
  <c r="O3243" i="22"/>
  <c r="N3243" i="22"/>
  <c r="M3243" i="22"/>
  <c r="L3243" i="22"/>
  <c r="K3243" i="22"/>
  <c r="O3242" i="22"/>
  <c r="N3242" i="22"/>
  <c r="M3242" i="22"/>
  <c r="L3242" i="22"/>
  <c r="K3242" i="22"/>
  <c r="O3241" i="22"/>
  <c r="N3241" i="22"/>
  <c r="M3241" i="22"/>
  <c r="L3241" i="22"/>
  <c r="K3241" i="22"/>
  <c r="O3240" i="22"/>
  <c r="N3240" i="22"/>
  <c r="M3240" i="22"/>
  <c r="L3240" i="22"/>
  <c r="K3240" i="22"/>
  <c r="O3239" i="22"/>
  <c r="N3239" i="22"/>
  <c r="M3239" i="22"/>
  <c r="L3239" i="22"/>
  <c r="K3239" i="22"/>
  <c r="O3238" i="22"/>
  <c r="N3238" i="22"/>
  <c r="M3238" i="22"/>
  <c r="L3238" i="22"/>
  <c r="K3238" i="22"/>
  <c r="O3237" i="22"/>
  <c r="N3237" i="22"/>
  <c r="M3237" i="22"/>
  <c r="L3237" i="22"/>
  <c r="K3237" i="22"/>
  <c r="O3236" i="22"/>
  <c r="N3236" i="22"/>
  <c r="M3236" i="22"/>
  <c r="L3236" i="22"/>
  <c r="K3236" i="22"/>
  <c r="O3235" i="22"/>
  <c r="N3235" i="22"/>
  <c r="M3235" i="22"/>
  <c r="L3235" i="22"/>
  <c r="K3235" i="22"/>
  <c r="O3234" i="22"/>
  <c r="N3234" i="22"/>
  <c r="M3234" i="22"/>
  <c r="L3234" i="22"/>
  <c r="K3234" i="22"/>
  <c r="O3233" i="22"/>
  <c r="N3233" i="22"/>
  <c r="M3233" i="22"/>
  <c r="L3233" i="22"/>
  <c r="K3233" i="22"/>
  <c r="O3232" i="22"/>
  <c r="N3232" i="22"/>
  <c r="M3232" i="22"/>
  <c r="L3232" i="22"/>
  <c r="K3232" i="22"/>
  <c r="O3231" i="22"/>
  <c r="N3231" i="22"/>
  <c r="M3231" i="22"/>
  <c r="L3231" i="22"/>
  <c r="K3231" i="22"/>
  <c r="O3230" i="22"/>
  <c r="N3230" i="22"/>
  <c r="M3230" i="22"/>
  <c r="L3230" i="22"/>
  <c r="K3230" i="22"/>
  <c r="O3229" i="22"/>
  <c r="N3229" i="22"/>
  <c r="M3229" i="22"/>
  <c r="L3229" i="22"/>
  <c r="K3229" i="22"/>
  <c r="O3228" i="22"/>
  <c r="N3228" i="22"/>
  <c r="M3228" i="22"/>
  <c r="L3228" i="22"/>
  <c r="K3228" i="22"/>
  <c r="O3227" i="22"/>
  <c r="N3227" i="22"/>
  <c r="M3227" i="22"/>
  <c r="L3227" i="22"/>
  <c r="K3227" i="22"/>
  <c r="O3226" i="22"/>
  <c r="N3226" i="22"/>
  <c r="M3226" i="22"/>
  <c r="L3226" i="22"/>
  <c r="K3226" i="22"/>
  <c r="O3225" i="22"/>
  <c r="N3225" i="22"/>
  <c r="M3225" i="22"/>
  <c r="L3225" i="22"/>
  <c r="K3225" i="22"/>
  <c r="O3224" i="22"/>
  <c r="N3224" i="22"/>
  <c r="M3224" i="22"/>
  <c r="L3224" i="22"/>
  <c r="K3224" i="22"/>
  <c r="O3223" i="22"/>
  <c r="N3223" i="22"/>
  <c r="M3223" i="22"/>
  <c r="L3223" i="22"/>
  <c r="K3223" i="22"/>
  <c r="O3222" i="22"/>
  <c r="N3222" i="22"/>
  <c r="M3222" i="22"/>
  <c r="L3222" i="22"/>
  <c r="K3222" i="22"/>
  <c r="O3221" i="22"/>
  <c r="N3221" i="22"/>
  <c r="M3221" i="22"/>
  <c r="L3221" i="22"/>
  <c r="K3221" i="22"/>
  <c r="O3220" i="22"/>
  <c r="N3220" i="22"/>
  <c r="M3220" i="22"/>
  <c r="L3220" i="22"/>
  <c r="K3220" i="22"/>
  <c r="O3219" i="22"/>
  <c r="N3219" i="22"/>
  <c r="M3219" i="22"/>
  <c r="L3219" i="22"/>
  <c r="K3219" i="22"/>
  <c r="O3218" i="22"/>
  <c r="N3218" i="22"/>
  <c r="M3218" i="22"/>
  <c r="L3218" i="22"/>
  <c r="K3218" i="22"/>
  <c r="O3217" i="22"/>
  <c r="N3217" i="22"/>
  <c r="M3217" i="22"/>
  <c r="L3217" i="22"/>
  <c r="K3217" i="22"/>
  <c r="O3216" i="22"/>
  <c r="N3216" i="22"/>
  <c r="M3216" i="22"/>
  <c r="L3216" i="22"/>
  <c r="K3216" i="22"/>
  <c r="O3215" i="22"/>
  <c r="N3215" i="22"/>
  <c r="M3215" i="22"/>
  <c r="L3215" i="22"/>
  <c r="K3215" i="22"/>
  <c r="O3214" i="22"/>
  <c r="N3214" i="22"/>
  <c r="M3214" i="22"/>
  <c r="L3214" i="22"/>
  <c r="K3214" i="22"/>
  <c r="O3213" i="22"/>
  <c r="N3213" i="22"/>
  <c r="M3213" i="22"/>
  <c r="L3213" i="22"/>
  <c r="K3213" i="22"/>
  <c r="O3212" i="22"/>
  <c r="N3212" i="22"/>
  <c r="M3212" i="22"/>
  <c r="L3212" i="22"/>
  <c r="K3212" i="22"/>
  <c r="O3211" i="22"/>
  <c r="N3211" i="22"/>
  <c r="M3211" i="22"/>
  <c r="L3211" i="22"/>
  <c r="K3211" i="22"/>
  <c r="O3210" i="22"/>
  <c r="N3210" i="22"/>
  <c r="M3210" i="22"/>
  <c r="L3210" i="22"/>
  <c r="K3210" i="22"/>
  <c r="O3209" i="22"/>
  <c r="N3209" i="22"/>
  <c r="M3209" i="22"/>
  <c r="L3209" i="22"/>
  <c r="K3209" i="22"/>
  <c r="O3208" i="22"/>
  <c r="N3208" i="22"/>
  <c r="M3208" i="22"/>
  <c r="L3208" i="22"/>
  <c r="K3208" i="22"/>
  <c r="O3207" i="22"/>
  <c r="N3207" i="22"/>
  <c r="M3207" i="22"/>
  <c r="L3207" i="22"/>
  <c r="K3207" i="22"/>
  <c r="O3206" i="22"/>
  <c r="N3206" i="22"/>
  <c r="M3206" i="22"/>
  <c r="L3206" i="22"/>
  <c r="K3206" i="22"/>
  <c r="O3205" i="22"/>
  <c r="N3205" i="22"/>
  <c r="M3205" i="22"/>
  <c r="L3205" i="22"/>
  <c r="K3205" i="22"/>
  <c r="O3204" i="22"/>
  <c r="N3204" i="22"/>
  <c r="M3204" i="22"/>
  <c r="L3204" i="22"/>
  <c r="K3204" i="22"/>
  <c r="O3203" i="22"/>
  <c r="N3203" i="22"/>
  <c r="M3203" i="22"/>
  <c r="L3203" i="22"/>
  <c r="K3203" i="22"/>
  <c r="O3202" i="22"/>
  <c r="N3202" i="22"/>
  <c r="M3202" i="22"/>
  <c r="L3202" i="22"/>
  <c r="K3202" i="22"/>
  <c r="O3201" i="22"/>
  <c r="N3201" i="22"/>
  <c r="M3201" i="22"/>
  <c r="L3201" i="22"/>
  <c r="K3201" i="22"/>
  <c r="O3200" i="22"/>
  <c r="N3200" i="22"/>
  <c r="M3200" i="22"/>
  <c r="L3200" i="22"/>
  <c r="K3200" i="22"/>
  <c r="O3199" i="22"/>
  <c r="N3199" i="22"/>
  <c r="M3199" i="22"/>
  <c r="L3199" i="22"/>
  <c r="K3199" i="22"/>
  <c r="O3198" i="22"/>
  <c r="N3198" i="22"/>
  <c r="M3198" i="22"/>
  <c r="L3198" i="22"/>
  <c r="K3198" i="22"/>
  <c r="O3197" i="22"/>
  <c r="N3197" i="22"/>
  <c r="M3197" i="22"/>
  <c r="L3197" i="22"/>
  <c r="K3197" i="22"/>
  <c r="O3196" i="22"/>
  <c r="N3196" i="22"/>
  <c r="M3196" i="22"/>
  <c r="L3196" i="22"/>
  <c r="K3196" i="22"/>
  <c r="O3195" i="22"/>
  <c r="N3195" i="22"/>
  <c r="M3195" i="22"/>
  <c r="L3195" i="22"/>
  <c r="K3195" i="22"/>
  <c r="O3194" i="22"/>
  <c r="N3194" i="22"/>
  <c r="M3194" i="22"/>
  <c r="L3194" i="22"/>
  <c r="K3194" i="22"/>
  <c r="O3193" i="22"/>
  <c r="N3193" i="22"/>
  <c r="M3193" i="22"/>
  <c r="L3193" i="22"/>
  <c r="K3193" i="22"/>
  <c r="O3192" i="22"/>
  <c r="N3192" i="22"/>
  <c r="M3192" i="22"/>
  <c r="L3192" i="22"/>
  <c r="K3192" i="22"/>
  <c r="O3191" i="22"/>
  <c r="N3191" i="22"/>
  <c r="M3191" i="22"/>
  <c r="L3191" i="22"/>
  <c r="K3191" i="22"/>
  <c r="O3190" i="22"/>
  <c r="N3190" i="22"/>
  <c r="M3190" i="22"/>
  <c r="L3190" i="22"/>
  <c r="K3190" i="22"/>
  <c r="O3189" i="22"/>
  <c r="N3189" i="22"/>
  <c r="M3189" i="22"/>
  <c r="L3189" i="22"/>
  <c r="K3189" i="22"/>
  <c r="O3188" i="22"/>
  <c r="N3188" i="22"/>
  <c r="M3188" i="22"/>
  <c r="L3188" i="22"/>
  <c r="K3188" i="22"/>
  <c r="O3187" i="22"/>
  <c r="N3187" i="22"/>
  <c r="M3187" i="22"/>
  <c r="L3187" i="22"/>
  <c r="K3187" i="22"/>
  <c r="O3186" i="22"/>
  <c r="N3186" i="22"/>
  <c r="M3186" i="22"/>
  <c r="L3186" i="22"/>
  <c r="K3186" i="22"/>
  <c r="O3185" i="22"/>
  <c r="N3185" i="22"/>
  <c r="M3185" i="22"/>
  <c r="L3185" i="22"/>
  <c r="K3185" i="22"/>
  <c r="O3184" i="22"/>
  <c r="N3184" i="22"/>
  <c r="M3184" i="22"/>
  <c r="L3184" i="22"/>
  <c r="K3184" i="22"/>
  <c r="O3183" i="22"/>
  <c r="N3183" i="22"/>
  <c r="M3183" i="22"/>
  <c r="L3183" i="22"/>
  <c r="K3183" i="22"/>
  <c r="O3182" i="22"/>
  <c r="N3182" i="22"/>
  <c r="M3182" i="22"/>
  <c r="L3182" i="22"/>
  <c r="K3182" i="22"/>
  <c r="O3181" i="22"/>
  <c r="N3181" i="22"/>
  <c r="M3181" i="22"/>
  <c r="L3181" i="22"/>
  <c r="K3181" i="22"/>
  <c r="O3180" i="22"/>
  <c r="N3180" i="22"/>
  <c r="M3180" i="22"/>
  <c r="L3180" i="22"/>
  <c r="K3180" i="22"/>
  <c r="O3179" i="22"/>
  <c r="N3179" i="22"/>
  <c r="M3179" i="22"/>
  <c r="L3179" i="22"/>
  <c r="K3179" i="22"/>
  <c r="O3178" i="22"/>
  <c r="N3178" i="22"/>
  <c r="M3178" i="22"/>
  <c r="L3178" i="22"/>
  <c r="K3178" i="22"/>
  <c r="O3177" i="22"/>
  <c r="N3177" i="22"/>
  <c r="M3177" i="22"/>
  <c r="L3177" i="22"/>
  <c r="K3177" i="22"/>
  <c r="O3176" i="22"/>
  <c r="N3176" i="22"/>
  <c r="M3176" i="22"/>
  <c r="L3176" i="22"/>
  <c r="K3176" i="22"/>
  <c r="O3175" i="22"/>
  <c r="N3175" i="22"/>
  <c r="M3175" i="22"/>
  <c r="L3175" i="22"/>
  <c r="K3175" i="22"/>
  <c r="O3174" i="22"/>
  <c r="N3174" i="22"/>
  <c r="M3174" i="22"/>
  <c r="L3174" i="22"/>
  <c r="K3174" i="22"/>
  <c r="O3173" i="22"/>
  <c r="N3173" i="22"/>
  <c r="M3173" i="22"/>
  <c r="L3173" i="22"/>
  <c r="K3173" i="22"/>
  <c r="O3172" i="22"/>
  <c r="N3172" i="22"/>
  <c r="M3172" i="22"/>
  <c r="L3172" i="22"/>
  <c r="K3172" i="22"/>
  <c r="O3171" i="22"/>
  <c r="N3171" i="22"/>
  <c r="M3171" i="22"/>
  <c r="L3171" i="22"/>
  <c r="K3171" i="22"/>
  <c r="O3170" i="22"/>
  <c r="N3170" i="22"/>
  <c r="M3170" i="22"/>
  <c r="L3170" i="22"/>
  <c r="K3170" i="22"/>
  <c r="O3169" i="22"/>
  <c r="N3169" i="22"/>
  <c r="M3169" i="22"/>
  <c r="L3169" i="22"/>
  <c r="K3169" i="22"/>
  <c r="O3168" i="22"/>
  <c r="N3168" i="22"/>
  <c r="M3168" i="22"/>
  <c r="L3168" i="22"/>
  <c r="K3168" i="22"/>
  <c r="O3167" i="22"/>
  <c r="N3167" i="22"/>
  <c r="M3167" i="22"/>
  <c r="L3167" i="22"/>
  <c r="K3167" i="22"/>
  <c r="O3166" i="22"/>
  <c r="N3166" i="22"/>
  <c r="M3166" i="22"/>
  <c r="L3166" i="22"/>
  <c r="K3166" i="22"/>
  <c r="O3165" i="22"/>
  <c r="N3165" i="22"/>
  <c r="M3165" i="22"/>
  <c r="L3165" i="22"/>
  <c r="K3165" i="22"/>
  <c r="O3164" i="22"/>
  <c r="N3164" i="22"/>
  <c r="M3164" i="22"/>
  <c r="L3164" i="22"/>
  <c r="K3164" i="22"/>
  <c r="O3163" i="22"/>
  <c r="N3163" i="22"/>
  <c r="M3163" i="22"/>
  <c r="L3163" i="22"/>
  <c r="K3163" i="22"/>
  <c r="O3162" i="22"/>
  <c r="N3162" i="22"/>
  <c r="M3162" i="22"/>
  <c r="L3162" i="22"/>
  <c r="K3162" i="22"/>
  <c r="O3161" i="22"/>
  <c r="N3161" i="22"/>
  <c r="M3161" i="22"/>
  <c r="L3161" i="22"/>
  <c r="K3161" i="22"/>
  <c r="O3160" i="22"/>
  <c r="N3160" i="22"/>
  <c r="M3160" i="22"/>
  <c r="L3160" i="22"/>
  <c r="K3160" i="22"/>
  <c r="O3159" i="22"/>
  <c r="N3159" i="22"/>
  <c r="M3159" i="22"/>
  <c r="L3159" i="22"/>
  <c r="K3159" i="22"/>
  <c r="O3158" i="22"/>
  <c r="N3158" i="22"/>
  <c r="M3158" i="22"/>
  <c r="L3158" i="22"/>
  <c r="K3158" i="22"/>
  <c r="O3157" i="22"/>
  <c r="N3157" i="22"/>
  <c r="M3157" i="22"/>
  <c r="L3157" i="22"/>
  <c r="K3157" i="22"/>
  <c r="O3156" i="22"/>
  <c r="N3156" i="22"/>
  <c r="M3156" i="22"/>
  <c r="L3156" i="22"/>
  <c r="K3156" i="22"/>
  <c r="O3155" i="22"/>
  <c r="N3155" i="22"/>
  <c r="M3155" i="22"/>
  <c r="L3155" i="22"/>
  <c r="K3155" i="22"/>
  <c r="O3154" i="22"/>
  <c r="N3154" i="22"/>
  <c r="M3154" i="22"/>
  <c r="L3154" i="22"/>
  <c r="K3154" i="22"/>
  <c r="O3153" i="22"/>
  <c r="N3153" i="22"/>
  <c r="M3153" i="22"/>
  <c r="L3153" i="22"/>
  <c r="K3153" i="22"/>
  <c r="O3152" i="22"/>
  <c r="N3152" i="22"/>
  <c r="M3152" i="22"/>
  <c r="L3152" i="22"/>
  <c r="K3152" i="22"/>
  <c r="O3151" i="22"/>
  <c r="N3151" i="22"/>
  <c r="M3151" i="22"/>
  <c r="L3151" i="22"/>
  <c r="K3151" i="22"/>
  <c r="O3150" i="22"/>
  <c r="N3150" i="22"/>
  <c r="M3150" i="22"/>
  <c r="L3150" i="22"/>
  <c r="K3150" i="22"/>
  <c r="O3149" i="22"/>
  <c r="N3149" i="22"/>
  <c r="M3149" i="22"/>
  <c r="L3149" i="22"/>
  <c r="K3149" i="22"/>
  <c r="O3148" i="22"/>
  <c r="N3148" i="22"/>
  <c r="M3148" i="22"/>
  <c r="L3148" i="22"/>
  <c r="K3148" i="22"/>
  <c r="O3147" i="22"/>
  <c r="N3147" i="22"/>
  <c r="M3147" i="22"/>
  <c r="L3147" i="22"/>
  <c r="K3147" i="22"/>
  <c r="O3146" i="22"/>
  <c r="N3146" i="22"/>
  <c r="M3146" i="22"/>
  <c r="L3146" i="22"/>
  <c r="K3146" i="22"/>
  <c r="O3145" i="22"/>
  <c r="N3145" i="22"/>
  <c r="M3145" i="22"/>
  <c r="L3145" i="22"/>
  <c r="K3145" i="22"/>
  <c r="O3144" i="22"/>
  <c r="N3144" i="22"/>
  <c r="M3144" i="22"/>
  <c r="L3144" i="22"/>
  <c r="K3144" i="22"/>
  <c r="O3143" i="22"/>
  <c r="N3143" i="22"/>
  <c r="M3143" i="22"/>
  <c r="L3143" i="22"/>
  <c r="K3143" i="22"/>
  <c r="O3142" i="22"/>
  <c r="N3142" i="22"/>
  <c r="M3142" i="22"/>
  <c r="L3142" i="22"/>
  <c r="K3142" i="22"/>
  <c r="O3141" i="22"/>
  <c r="N3141" i="22"/>
  <c r="M3141" i="22"/>
  <c r="L3141" i="22"/>
  <c r="K3141" i="22"/>
  <c r="O3140" i="22"/>
  <c r="N3140" i="22"/>
  <c r="M3140" i="22"/>
  <c r="L3140" i="22"/>
  <c r="K3140" i="22"/>
  <c r="O3139" i="22"/>
  <c r="N3139" i="22"/>
  <c r="M3139" i="22"/>
  <c r="L3139" i="22"/>
  <c r="K3139" i="22"/>
  <c r="O3138" i="22"/>
  <c r="N3138" i="22"/>
  <c r="M3138" i="22"/>
  <c r="L3138" i="22"/>
  <c r="K3138" i="22"/>
  <c r="O3137" i="22"/>
  <c r="N3137" i="22"/>
  <c r="M3137" i="22"/>
  <c r="L3137" i="22"/>
  <c r="K3137" i="22"/>
  <c r="O3136" i="22"/>
  <c r="N3136" i="22"/>
  <c r="M3136" i="22"/>
  <c r="L3136" i="22"/>
  <c r="K3136" i="22"/>
  <c r="O3135" i="22"/>
  <c r="N3135" i="22"/>
  <c r="M3135" i="22"/>
  <c r="L3135" i="22"/>
  <c r="K3135" i="22"/>
  <c r="O3134" i="22"/>
  <c r="N3134" i="22"/>
  <c r="M3134" i="22"/>
  <c r="L3134" i="22"/>
  <c r="K3134" i="22"/>
  <c r="O3133" i="22"/>
  <c r="N3133" i="22"/>
  <c r="M3133" i="22"/>
  <c r="L3133" i="22"/>
  <c r="K3133" i="22"/>
  <c r="O3132" i="22"/>
  <c r="N3132" i="22"/>
  <c r="M3132" i="22"/>
  <c r="L3132" i="22"/>
  <c r="K3132" i="22"/>
  <c r="O3131" i="22"/>
  <c r="N3131" i="22"/>
  <c r="M3131" i="22"/>
  <c r="L3131" i="22"/>
  <c r="K3131" i="22"/>
  <c r="O3130" i="22"/>
  <c r="N3130" i="22"/>
  <c r="M3130" i="22"/>
  <c r="L3130" i="22"/>
  <c r="K3130" i="22"/>
  <c r="O3129" i="22"/>
  <c r="N3129" i="22"/>
  <c r="M3129" i="22"/>
  <c r="L3129" i="22"/>
  <c r="K3129" i="22"/>
  <c r="O3128" i="22"/>
  <c r="N3128" i="22"/>
  <c r="M3128" i="22"/>
  <c r="L3128" i="22"/>
  <c r="K3128" i="22"/>
  <c r="O3127" i="22"/>
  <c r="N3127" i="22"/>
  <c r="M3127" i="22"/>
  <c r="L3127" i="22"/>
  <c r="K3127" i="22"/>
  <c r="O3126" i="22"/>
  <c r="N3126" i="22"/>
  <c r="M3126" i="22"/>
  <c r="L3126" i="22"/>
  <c r="K3126" i="22"/>
  <c r="O3125" i="22"/>
  <c r="N3125" i="22"/>
  <c r="M3125" i="22"/>
  <c r="L3125" i="22"/>
  <c r="K3125" i="22"/>
  <c r="O3124" i="22"/>
  <c r="N3124" i="22"/>
  <c r="M3124" i="22"/>
  <c r="L3124" i="22"/>
  <c r="K3124" i="22"/>
  <c r="O3123" i="22"/>
  <c r="N3123" i="22"/>
  <c r="M3123" i="22"/>
  <c r="L3123" i="22"/>
  <c r="K3123" i="22"/>
  <c r="O3122" i="22"/>
  <c r="N3122" i="22"/>
  <c r="M3122" i="22"/>
  <c r="L3122" i="22"/>
  <c r="K3122" i="22"/>
  <c r="O3121" i="22"/>
  <c r="N3121" i="22"/>
  <c r="M3121" i="22"/>
  <c r="L3121" i="22"/>
  <c r="K3121" i="22"/>
  <c r="O3120" i="22"/>
  <c r="N3120" i="22"/>
  <c r="M3120" i="22"/>
  <c r="L3120" i="22"/>
  <c r="K3120" i="22"/>
  <c r="O3119" i="22"/>
  <c r="N3119" i="22"/>
  <c r="M3119" i="22"/>
  <c r="L3119" i="22"/>
  <c r="K3119" i="22"/>
  <c r="O3118" i="22"/>
  <c r="N3118" i="22"/>
  <c r="M3118" i="22"/>
  <c r="L3118" i="22"/>
  <c r="K3118" i="22"/>
  <c r="O3117" i="22"/>
  <c r="N3117" i="22"/>
  <c r="M3117" i="22"/>
  <c r="L3117" i="22"/>
  <c r="K3117" i="22"/>
  <c r="O3116" i="22"/>
  <c r="N3116" i="22"/>
  <c r="M3116" i="22"/>
  <c r="L3116" i="22"/>
  <c r="K3116" i="22"/>
  <c r="O3115" i="22"/>
  <c r="N3115" i="22"/>
  <c r="M3115" i="22"/>
  <c r="L3115" i="22"/>
  <c r="K3115" i="22"/>
  <c r="O3114" i="22"/>
  <c r="N3114" i="22"/>
  <c r="M3114" i="22"/>
  <c r="L3114" i="22"/>
  <c r="K3114" i="22"/>
  <c r="O3113" i="22"/>
  <c r="N3113" i="22"/>
  <c r="M3113" i="22"/>
  <c r="L3113" i="22"/>
  <c r="K3113" i="22"/>
  <c r="O3112" i="22"/>
  <c r="N3112" i="22"/>
  <c r="M3112" i="22"/>
  <c r="L3112" i="22"/>
  <c r="K3112" i="22"/>
  <c r="O3111" i="22"/>
  <c r="N3111" i="22"/>
  <c r="M3111" i="22"/>
  <c r="L3111" i="22"/>
  <c r="K3111" i="22"/>
  <c r="O3110" i="22"/>
  <c r="N3110" i="22"/>
  <c r="M3110" i="22"/>
  <c r="L3110" i="22"/>
  <c r="K3110" i="22"/>
  <c r="O3109" i="22"/>
  <c r="N3109" i="22"/>
  <c r="M3109" i="22"/>
  <c r="L3109" i="22"/>
  <c r="K3109" i="22"/>
  <c r="O3108" i="22"/>
  <c r="N3108" i="22"/>
  <c r="M3108" i="22"/>
  <c r="L3108" i="22"/>
  <c r="K3108" i="22"/>
  <c r="O3107" i="22"/>
  <c r="N3107" i="22"/>
  <c r="M3107" i="22"/>
  <c r="L3107" i="22"/>
  <c r="K3107" i="22"/>
  <c r="O3106" i="22"/>
  <c r="N3106" i="22"/>
  <c r="M3106" i="22"/>
  <c r="L3106" i="22"/>
  <c r="K3106" i="22"/>
  <c r="O3105" i="22"/>
  <c r="N3105" i="22"/>
  <c r="M3105" i="22"/>
  <c r="L3105" i="22"/>
  <c r="K3105" i="22"/>
  <c r="O3104" i="22"/>
  <c r="N3104" i="22"/>
  <c r="M3104" i="22"/>
  <c r="L3104" i="22"/>
  <c r="K3104" i="22"/>
  <c r="O3103" i="22"/>
  <c r="N3103" i="22"/>
  <c r="M3103" i="22"/>
  <c r="L3103" i="22"/>
  <c r="K3103" i="22"/>
  <c r="O3102" i="22"/>
  <c r="N3102" i="22"/>
  <c r="M3102" i="22"/>
  <c r="L3102" i="22"/>
  <c r="K3102" i="22"/>
  <c r="O3101" i="22"/>
  <c r="N3101" i="22"/>
  <c r="M3101" i="22"/>
  <c r="L3101" i="22"/>
  <c r="K3101" i="22"/>
  <c r="O3100" i="22"/>
  <c r="N3100" i="22"/>
  <c r="M3100" i="22"/>
  <c r="L3100" i="22"/>
  <c r="K3100" i="22"/>
  <c r="O3099" i="22"/>
  <c r="N3099" i="22"/>
  <c r="M3099" i="22"/>
  <c r="L3099" i="22"/>
  <c r="K3099" i="22"/>
  <c r="O3098" i="22"/>
  <c r="N3098" i="22"/>
  <c r="M3098" i="22"/>
  <c r="L3098" i="22"/>
  <c r="K3098" i="22"/>
  <c r="O3097" i="22"/>
  <c r="N3097" i="22"/>
  <c r="M3097" i="22"/>
  <c r="L3097" i="22"/>
  <c r="K3097" i="22"/>
  <c r="O3096" i="22"/>
  <c r="N3096" i="22"/>
  <c r="M3096" i="22"/>
  <c r="L3096" i="22"/>
  <c r="K3096" i="22"/>
  <c r="O3095" i="22"/>
  <c r="N3095" i="22"/>
  <c r="M3095" i="22"/>
  <c r="L3095" i="22"/>
  <c r="K3095" i="22"/>
  <c r="O3094" i="22"/>
  <c r="N3094" i="22"/>
  <c r="M3094" i="22"/>
  <c r="L3094" i="22"/>
  <c r="K3094" i="22"/>
  <c r="O3093" i="22"/>
  <c r="N3093" i="22"/>
  <c r="M3093" i="22"/>
  <c r="L3093" i="22"/>
  <c r="K3093" i="22"/>
  <c r="O3092" i="22"/>
  <c r="N3092" i="22"/>
  <c r="M3092" i="22"/>
  <c r="L3092" i="22"/>
  <c r="K3092" i="22"/>
  <c r="O3091" i="22"/>
  <c r="N3091" i="22"/>
  <c r="M3091" i="22"/>
  <c r="L3091" i="22"/>
  <c r="K3091" i="22"/>
  <c r="O3090" i="22"/>
  <c r="N3090" i="22"/>
  <c r="M3090" i="22"/>
  <c r="L3090" i="22"/>
  <c r="K3090" i="22"/>
  <c r="O3089" i="22"/>
  <c r="N3089" i="22"/>
  <c r="M3089" i="22"/>
  <c r="L3089" i="22"/>
  <c r="K3089" i="22"/>
  <c r="O3088" i="22"/>
  <c r="N3088" i="22"/>
  <c r="M3088" i="22"/>
  <c r="L3088" i="22"/>
  <c r="K3088" i="22"/>
  <c r="O3087" i="22"/>
  <c r="N3087" i="22"/>
  <c r="M3087" i="22"/>
  <c r="L3087" i="22"/>
  <c r="K3087" i="22"/>
  <c r="O3086" i="22"/>
  <c r="N3086" i="22"/>
  <c r="M3086" i="22"/>
  <c r="L3086" i="22"/>
  <c r="K3086" i="22"/>
  <c r="O3085" i="22"/>
  <c r="N3085" i="22"/>
  <c r="M3085" i="22"/>
  <c r="L3085" i="22"/>
  <c r="K3085" i="22"/>
  <c r="O3084" i="22"/>
  <c r="N3084" i="22"/>
  <c r="M3084" i="22"/>
  <c r="L3084" i="22"/>
  <c r="K3084" i="22"/>
  <c r="O3083" i="22"/>
  <c r="N3083" i="22"/>
  <c r="M3083" i="22"/>
  <c r="L3083" i="22"/>
  <c r="K3083" i="22"/>
  <c r="O3082" i="22"/>
  <c r="N3082" i="22"/>
  <c r="M3082" i="22"/>
  <c r="L3082" i="22"/>
  <c r="K3082" i="22"/>
  <c r="O3081" i="22"/>
  <c r="N3081" i="22"/>
  <c r="M3081" i="22"/>
  <c r="L3081" i="22"/>
  <c r="K3081" i="22"/>
  <c r="O3080" i="22"/>
  <c r="N3080" i="22"/>
  <c r="M3080" i="22"/>
  <c r="L3080" i="22"/>
  <c r="K3080" i="22"/>
  <c r="O3079" i="22"/>
  <c r="N3079" i="22"/>
  <c r="M3079" i="22"/>
  <c r="L3079" i="22"/>
  <c r="K3079" i="22"/>
  <c r="O3078" i="22"/>
  <c r="N3078" i="22"/>
  <c r="M3078" i="22"/>
  <c r="L3078" i="22"/>
  <c r="K3078" i="22"/>
  <c r="O3077" i="22"/>
  <c r="N3077" i="22"/>
  <c r="M3077" i="22"/>
  <c r="L3077" i="22"/>
  <c r="K3077" i="22"/>
  <c r="O3076" i="22"/>
  <c r="N3076" i="22"/>
  <c r="M3076" i="22"/>
  <c r="L3076" i="22"/>
  <c r="K3076" i="22"/>
  <c r="O3075" i="22"/>
  <c r="N3075" i="22"/>
  <c r="M3075" i="22"/>
  <c r="L3075" i="22"/>
  <c r="K3075" i="22"/>
  <c r="O3074" i="22"/>
  <c r="N3074" i="22"/>
  <c r="M3074" i="22"/>
  <c r="L3074" i="22"/>
  <c r="K3074" i="22"/>
  <c r="O3073" i="22"/>
  <c r="N3073" i="22"/>
  <c r="M3073" i="22"/>
  <c r="L3073" i="22"/>
  <c r="K3073" i="22"/>
  <c r="O3072" i="22"/>
  <c r="N3072" i="22"/>
  <c r="M3072" i="22"/>
  <c r="L3072" i="22"/>
  <c r="K3072" i="22"/>
  <c r="O3071" i="22"/>
  <c r="N3071" i="22"/>
  <c r="M3071" i="22"/>
  <c r="L3071" i="22"/>
  <c r="K3071" i="22"/>
  <c r="O3070" i="22"/>
  <c r="N3070" i="22"/>
  <c r="M3070" i="22"/>
  <c r="L3070" i="22"/>
  <c r="K3070" i="22"/>
  <c r="O3069" i="22"/>
  <c r="N3069" i="22"/>
  <c r="M3069" i="22"/>
  <c r="L3069" i="22"/>
  <c r="K3069" i="22"/>
  <c r="O3068" i="22"/>
  <c r="N3068" i="22"/>
  <c r="M3068" i="22"/>
  <c r="L3068" i="22"/>
  <c r="K3068" i="22"/>
  <c r="O3067" i="22"/>
  <c r="N3067" i="22"/>
  <c r="M3067" i="22"/>
  <c r="L3067" i="22"/>
  <c r="K3067" i="22"/>
  <c r="O3066" i="22"/>
  <c r="N3066" i="22"/>
  <c r="M3066" i="22"/>
  <c r="L3066" i="22"/>
  <c r="K3066" i="22"/>
  <c r="O3065" i="22"/>
  <c r="N3065" i="22"/>
  <c r="M3065" i="22"/>
  <c r="L3065" i="22"/>
  <c r="K3065" i="22"/>
  <c r="O3064" i="22"/>
  <c r="N3064" i="22"/>
  <c r="M3064" i="22"/>
  <c r="L3064" i="22"/>
  <c r="K3064" i="22"/>
  <c r="O3063" i="22"/>
  <c r="N3063" i="22"/>
  <c r="M3063" i="22"/>
  <c r="L3063" i="22"/>
  <c r="K3063" i="22"/>
  <c r="O3062" i="22"/>
  <c r="N3062" i="22"/>
  <c r="M3062" i="22"/>
  <c r="L3062" i="22"/>
  <c r="K3062" i="22"/>
  <c r="O3061" i="22"/>
  <c r="N3061" i="22"/>
  <c r="M3061" i="22"/>
  <c r="L3061" i="22"/>
  <c r="K3061" i="22"/>
  <c r="O3060" i="22"/>
  <c r="N3060" i="22"/>
  <c r="M3060" i="22"/>
  <c r="L3060" i="22"/>
  <c r="K3060" i="22"/>
  <c r="O3059" i="22"/>
  <c r="N3059" i="22"/>
  <c r="M3059" i="22"/>
  <c r="L3059" i="22"/>
  <c r="K3059" i="22"/>
  <c r="O3058" i="22"/>
  <c r="N3058" i="22"/>
  <c r="M3058" i="22"/>
  <c r="L3058" i="22"/>
  <c r="K3058" i="22"/>
  <c r="O3057" i="22"/>
  <c r="N3057" i="22"/>
  <c r="M3057" i="22"/>
  <c r="L3057" i="22"/>
  <c r="K3057" i="22"/>
  <c r="O3056" i="22"/>
  <c r="N3056" i="22"/>
  <c r="M3056" i="22"/>
  <c r="L3056" i="22"/>
  <c r="K3056" i="22"/>
  <c r="O3055" i="22"/>
  <c r="N3055" i="22"/>
  <c r="M3055" i="22"/>
  <c r="L3055" i="22"/>
  <c r="K3055" i="22"/>
  <c r="O3054" i="22"/>
  <c r="N3054" i="22"/>
  <c r="M3054" i="22"/>
  <c r="L3054" i="22"/>
  <c r="K3054" i="22"/>
  <c r="O3053" i="22"/>
  <c r="N3053" i="22"/>
  <c r="M3053" i="22"/>
  <c r="L3053" i="22"/>
  <c r="K3053" i="22"/>
  <c r="O3052" i="22"/>
  <c r="N3052" i="22"/>
  <c r="M3052" i="22"/>
  <c r="L3052" i="22"/>
  <c r="K3052" i="22"/>
  <c r="O3051" i="22"/>
  <c r="N3051" i="22"/>
  <c r="M3051" i="22"/>
  <c r="L3051" i="22"/>
  <c r="K3051" i="22"/>
  <c r="O3050" i="22"/>
  <c r="N3050" i="22"/>
  <c r="M3050" i="22"/>
  <c r="L3050" i="22"/>
  <c r="K3050" i="22"/>
  <c r="O3049" i="22"/>
  <c r="N3049" i="22"/>
  <c r="M3049" i="22"/>
  <c r="L3049" i="22"/>
  <c r="K3049" i="22"/>
  <c r="O3048" i="22"/>
  <c r="N3048" i="22"/>
  <c r="M3048" i="22"/>
  <c r="L3048" i="22"/>
  <c r="K3048" i="22"/>
  <c r="O3047" i="22"/>
  <c r="N3047" i="22"/>
  <c r="M3047" i="22"/>
  <c r="L3047" i="22"/>
  <c r="K3047" i="22"/>
  <c r="O3046" i="22"/>
  <c r="N3046" i="22"/>
  <c r="M3046" i="22"/>
  <c r="L3046" i="22"/>
  <c r="K3046" i="22"/>
  <c r="O3045" i="22"/>
  <c r="N3045" i="22"/>
  <c r="M3045" i="22"/>
  <c r="L3045" i="22"/>
  <c r="K3045" i="22"/>
  <c r="O3044" i="22"/>
  <c r="N3044" i="22"/>
  <c r="M3044" i="22"/>
  <c r="L3044" i="22"/>
  <c r="K3044" i="22"/>
  <c r="O3043" i="22"/>
  <c r="N3043" i="22"/>
  <c r="M3043" i="22"/>
  <c r="L3043" i="22"/>
  <c r="K3043" i="22"/>
  <c r="O3042" i="22"/>
  <c r="N3042" i="22"/>
  <c r="M3042" i="22"/>
  <c r="L3042" i="22"/>
  <c r="K3042" i="22"/>
  <c r="O3041" i="22"/>
  <c r="N3041" i="22"/>
  <c r="M3041" i="22"/>
  <c r="L3041" i="22"/>
  <c r="K3041" i="22"/>
  <c r="O3040" i="22"/>
  <c r="N3040" i="22"/>
  <c r="M3040" i="22"/>
  <c r="L3040" i="22"/>
  <c r="K3040" i="22"/>
  <c r="O3039" i="22"/>
  <c r="N3039" i="22"/>
  <c r="M3039" i="22"/>
  <c r="L3039" i="22"/>
  <c r="K3039" i="22"/>
  <c r="O3038" i="22"/>
  <c r="N3038" i="22"/>
  <c r="M3038" i="22"/>
  <c r="L3038" i="22"/>
  <c r="K3038" i="22"/>
  <c r="O3037" i="22"/>
  <c r="N3037" i="22"/>
  <c r="M3037" i="22"/>
  <c r="L3037" i="22"/>
  <c r="K3037" i="22"/>
  <c r="O3036" i="22"/>
  <c r="N3036" i="22"/>
  <c r="M3036" i="22"/>
  <c r="L3036" i="22"/>
  <c r="K3036" i="22"/>
  <c r="O3035" i="22"/>
  <c r="N3035" i="22"/>
  <c r="M3035" i="22"/>
  <c r="L3035" i="22"/>
  <c r="K3035" i="22"/>
  <c r="O3034" i="22"/>
  <c r="N3034" i="22"/>
  <c r="M3034" i="22"/>
  <c r="L3034" i="22"/>
  <c r="K3034" i="22"/>
  <c r="O3033" i="22"/>
  <c r="N3033" i="22"/>
  <c r="M3033" i="22"/>
  <c r="L3033" i="22"/>
  <c r="K3033" i="22"/>
  <c r="O3032" i="22"/>
  <c r="N3032" i="22"/>
  <c r="M3032" i="22"/>
  <c r="L3032" i="22"/>
  <c r="K3032" i="22"/>
  <c r="O3031" i="22"/>
  <c r="N3031" i="22"/>
  <c r="M3031" i="22"/>
  <c r="L3031" i="22"/>
  <c r="K3031" i="22"/>
  <c r="O3030" i="22"/>
  <c r="N3030" i="22"/>
  <c r="M3030" i="22"/>
  <c r="L3030" i="22"/>
  <c r="K3030" i="22"/>
  <c r="O3029" i="22"/>
  <c r="N3029" i="22"/>
  <c r="M3029" i="22"/>
  <c r="L3029" i="22"/>
  <c r="K3029" i="22"/>
  <c r="O3028" i="22"/>
  <c r="N3028" i="22"/>
  <c r="M3028" i="22"/>
  <c r="L3028" i="22"/>
  <c r="K3028" i="22"/>
  <c r="O3027" i="22"/>
  <c r="N3027" i="22"/>
  <c r="M3027" i="22"/>
  <c r="L3027" i="22"/>
  <c r="K3027" i="22"/>
  <c r="O3026" i="22"/>
  <c r="N3026" i="22"/>
  <c r="M3026" i="22"/>
  <c r="L3026" i="22"/>
  <c r="K3026" i="22"/>
  <c r="O3025" i="22"/>
  <c r="N3025" i="22"/>
  <c r="M3025" i="22"/>
  <c r="L3025" i="22"/>
  <c r="K3025" i="22"/>
  <c r="O3024" i="22"/>
  <c r="N3024" i="22"/>
  <c r="M3024" i="22"/>
  <c r="L3024" i="22"/>
  <c r="K3024" i="22"/>
  <c r="O3023" i="22"/>
  <c r="N3023" i="22"/>
  <c r="M3023" i="22"/>
  <c r="L3023" i="22"/>
  <c r="K3023" i="22"/>
  <c r="O3022" i="22"/>
  <c r="N3022" i="22"/>
  <c r="M3022" i="22"/>
  <c r="L3022" i="22"/>
  <c r="K3022" i="22"/>
  <c r="O3021" i="22"/>
  <c r="N3021" i="22"/>
  <c r="M3021" i="22"/>
  <c r="L3021" i="22"/>
  <c r="K3021" i="22"/>
  <c r="O3020" i="22"/>
  <c r="N3020" i="22"/>
  <c r="M3020" i="22"/>
  <c r="L3020" i="22"/>
  <c r="K3020" i="22"/>
  <c r="O3019" i="22"/>
  <c r="N3019" i="22"/>
  <c r="M3019" i="22"/>
  <c r="L3019" i="22"/>
  <c r="K3019" i="22"/>
  <c r="O3018" i="22"/>
  <c r="N3018" i="22"/>
  <c r="M3018" i="22"/>
  <c r="L3018" i="22"/>
  <c r="K3018" i="22"/>
  <c r="O3017" i="22"/>
  <c r="N3017" i="22"/>
  <c r="M3017" i="22"/>
  <c r="L3017" i="22"/>
  <c r="K3017" i="22"/>
  <c r="O3016" i="22"/>
  <c r="N3016" i="22"/>
  <c r="M3016" i="22"/>
  <c r="L3016" i="22"/>
  <c r="K3016" i="22"/>
  <c r="O3015" i="22"/>
  <c r="N3015" i="22"/>
  <c r="M3015" i="22"/>
  <c r="L3015" i="22"/>
  <c r="K3015" i="22"/>
  <c r="O3014" i="22"/>
  <c r="N3014" i="22"/>
  <c r="M3014" i="22"/>
  <c r="L3014" i="22"/>
  <c r="K3014" i="22"/>
  <c r="O3013" i="22"/>
  <c r="N3013" i="22"/>
  <c r="M3013" i="22"/>
  <c r="L3013" i="22"/>
  <c r="K3013" i="22"/>
  <c r="O3012" i="22"/>
  <c r="N3012" i="22"/>
  <c r="M3012" i="22"/>
  <c r="L3012" i="22"/>
  <c r="K3012" i="22"/>
  <c r="O3011" i="22"/>
  <c r="N3011" i="22"/>
  <c r="M3011" i="22"/>
  <c r="L3011" i="22"/>
  <c r="K3011" i="22"/>
  <c r="O3010" i="22"/>
  <c r="N3010" i="22"/>
  <c r="M3010" i="22"/>
  <c r="L3010" i="22"/>
  <c r="K3010" i="22"/>
  <c r="O3009" i="22"/>
  <c r="N3009" i="22"/>
  <c r="M3009" i="22"/>
  <c r="L3009" i="22"/>
  <c r="K3009" i="22"/>
  <c r="O3008" i="22"/>
  <c r="N3008" i="22"/>
  <c r="M3008" i="22"/>
  <c r="L3008" i="22"/>
  <c r="K3008" i="22"/>
  <c r="O3007" i="22"/>
  <c r="N3007" i="22"/>
  <c r="M3007" i="22"/>
  <c r="L3007" i="22"/>
  <c r="K3007" i="22"/>
  <c r="O3006" i="22"/>
  <c r="N3006" i="22"/>
  <c r="M3006" i="22"/>
  <c r="L3006" i="22"/>
  <c r="K3006" i="22"/>
  <c r="O3005" i="22"/>
  <c r="N3005" i="22"/>
  <c r="M3005" i="22"/>
  <c r="L3005" i="22"/>
  <c r="K3005" i="22"/>
  <c r="O3004" i="22"/>
  <c r="N3004" i="22"/>
  <c r="M3004" i="22"/>
  <c r="L3004" i="22"/>
  <c r="K3004" i="22"/>
  <c r="O3003" i="22"/>
  <c r="N3003" i="22"/>
  <c r="M3003" i="22"/>
  <c r="L3003" i="22"/>
  <c r="K3003" i="22"/>
  <c r="O3002" i="22"/>
  <c r="N3002" i="22"/>
  <c r="M3002" i="22"/>
  <c r="L3002" i="22"/>
  <c r="K3002" i="22"/>
  <c r="O3001" i="22"/>
  <c r="N3001" i="22"/>
  <c r="M3001" i="22"/>
  <c r="L3001" i="22"/>
  <c r="K3001" i="22"/>
  <c r="O3000" i="22"/>
  <c r="N3000" i="22"/>
  <c r="M3000" i="22"/>
  <c r="L3000" i="22"/>
  <c r="K3000" i="22"/>
  <c r="O2999" i="22"/>
  <c r="N2999" i="22"/>
  <c r="M2999" i="22"/>
  <c r="L2999" i="22"/>
  <c r="K2999" i="22"/>
  <c r="O2998" i="22"/>
  <c r="N2998" i="22"/>
  <c r="M2998" i="22"/>
  <c r="L2998" i="22"/>
  <c r="K2998" i="22"/>
  <c r="O2997" i="22"/>
  <c r="N2997" i="22"/>
  <c r="M2997" i="22"/>
  <c r="L2997" i="22"/>
  <c r="K2997" i="22"/>
  <c r="O2996" i="22"/>
  <c r="N2996" i="22"/>
  <c r="M2996" i="22"/>
  <c r="L2996" i="22"/>
  <c r="K2996" i="22"/>
  <c r="O2995" i="22"/>
  <c r="N2995" i="22"/>
  <c r="M2995" i="22"/>
  <c r="L2995" i="22"/>
  <c r="K2995" i="22"/>
  <c r="O2994" i="22"/>
  <c r="N2994" i="22"/>
  <c r="M2994" i="22"/>
  <c r="L2994" i="22"/>
  <c r="K2994" i="22"/>
  <c r="O2993" i="22"/>
  <c r="N2993" i="22"/>
  <c r="M2993" i="22"/>
  <c r="L2993" i="22"/>
  <c r="K2993" i="22"/>
  <c r="O2992" i="22"/>
  <c r="N2992" i="22"/>
  <c r="M2992" i="22"/>
  <c r="L2992" i="22"/>
  <c r="K2992" i="22"/>
  <c r="O2991" i="22"/>
  <c r="N2991" i="22"/>
  <c r="M2991" i="22"/>
  <c r="L2991" i="22"/>
  <c r="K2991" i="22"/>
  <c r="O2990" i="22"/>
  <c r="N2990" i="22"/>
  <c r="M2990" i="22"/>
  <c r="L2990" i="22"/>
  <c r="K2990" i="22"/>
  <c r="O2989" i="22"/>
  <c r="N2989" i="22"/>
  <c r="M2989" i="22"/>
  <c r="L2989" i="22"/>
  <c r="K2989" i="22"/>
  <c r="O2988" i="22"/>
  <c r="N2988" i="22"/>
  <c r="M2988" i="22"/>
  <c r="L2988" i="22"/>
  <c r="K2988" i="22"/>
  <c r="O2987" i="22"/>
  <c r="N2987" i="22"/>
  <c r="M2987" i="22"/>
  <c r="L2987" i="22"/>
  <c r="K2987" i="22"/>
  <c r="O2986" i="22"/>
  <c r="N2986" i="22"/>
  <c r="M2986" i="22"/>
  <c r="L2986" i="22"/>
  <c r="K2986" i="22"/>
  <c r="O2985" i="22"/>
  <c r="N2985" i="22"/>
  <c r="M2985" i="22"/>
  <c r="L2985" i="22"/>
  <c r="K2985" i="22"/>
  <c r="O2984" i="22"/>
  <c r="N2984" i="22"/>
  <c r="M2984" i="22"/>
  <c r="L2984" i="22"/>
  <c r="K2984" i="22"/>
  <c r="O2983" i="22"/>
  <c r="N2983" i="22"/>
  <c r="M2983" i="22"/>
  <c r="L2983" i="22"/>
  <c r="K2983" i="22"/>
  <c r="O2982" i="22"/>
  <c r="N2982" i="22"/>
  <c r="M2982" i="22"/>
  <c r="L2982" i="22"/>
  <c r="K2982" i="22"/>
  <c r="O2981" i="22"/>
  <c r="N2981" i="22"/>
  <c r="M2981" i="22"/>
  <c r="L2981" i="22"/>
  <c r="K2981" i="22"/>
  <c r="O2980" i="22"/>
  <c r="N2980" i="22"/>
  <c r="M2980" i="22"/>
  <c r="L2980" i="22"/>
  <c r="K2980" i="22"/>
  <c r="O2979" i="22"/>
  <c r="N2979" i="22"/>
  <c r="M2979" i="22"/>
  <c r="L2979" i="22"/>
  <c r="K2979" i="22"/>
  <c r="O2978" i="22"/>
  <c r="N2978" i="22"/>
  <c r="M2978" i="22"/>
  <c r="L2978" i="22"/>
  <c r="K2978" i="22"/>
  <c r="O2977" i="22"/>
  <c r="N2977" i="22"/>
  <c r="M2977" i="22"/>
  <c r="L2977" i="22"/>
  <c r="K2977" i="22"/>
  <c r="O2976" i="22"/>
  <c r="N2976" i="22"/>
  <c r="M2976" i="22"/>
  <c r="L2976" i="22"/>
  <c r="K2976" i="22"/>
  <c r="O2975" i="22"/>
  <c r="N2975" i="22"/>
  <c r="M2975" i="22"/>
  <c r="L2975" i="22"/>
  <c r="K2975" i="22"/>
  <c r="O2974" i="22"/>
  <c r="N2974" i="22"/>
  <c r="M2974" i="22"/>
  <c r="L2974" i="22"/>
  <c r="K2974" i="22"/>
  <c r="O2973" i="22"/>
  <c r="N2973" i="22"/>
  <c r="M2973" i="22"/>
  <c r="L2973" i="22"/>
  <c r="K2973" i="22"/>
  <c r="O2972" i="22"/>
  <c r="N2972" i="22"/>
  <c r="M2972" i="22"/>
  <c r="L2972" i="22"/>
  <c r="K2972" i="22"/>
  <c r="O2971" i="22"/>
  <c r="N2971" i="22"/>
  <c r="M2971" i="22"/>
  <c r="L2971" i="22"/>
  <c r="K2971" i="22"/>
  <c r="O2970" i="22"/>
  <c r="N2970" i="22"/>
  <c r="M2970" i="22"/>
  <c r="L2970" i="22"/>
  <c r="K2970" i="22"/>
  <c r="O2969" i="22"/>
  <c r="N2969" i="22"/>
  <c r="M2969" i="22"/>
  <c r="L2969" i="22"/>
  <c r="K2969" i="22"/>
  <c r="O2968" i="22"/>
  <c r="N2968" i="22"/>
  <c r="M2968" i="22"/>
  <c r="L2968" i="22"/>
  <c r="K2968" i="22"/>
  <c r="O2967" i="22"/>
  <c r="N2967" i="22"/>
  <c r="M2967" i="22"/>
  <c r="L2967" i="22"/>
  <c r="K2967" i="22"/>
  <c r="O2966" i="22"/>
  <c r="N2966" i="22"/>
  <c r="M2966" i="22"/>
  <c r="L2966" i="22"/>
  <c r="K2966" i="22"/>
  <c r="O2965" i="22"/>
  <c r="N2965" i="22"/>
  <c r="M2965" i="22"/>
  <c r="L2965" i="22"/>
  <c r="K2965" i="22"/>
  <c r="O2964" i="22"/>
  <c r="N2964" i="22"/>
  <c r="M2964" i="22"/>
  <c r="L2964" i="22"/>
  <c r="K2964" i="22"/>
  <c r="O2963" i="22"/>
  <c r="N2963" i="22"/>
  <c r="M2963" i="22"/>
  <c r="L2963" i="22"/>
  <c r="K2963" i="22"/>
  <c r="O2962" i="22"/>
  <c r="N2962" i="22"/>
  <c r="M2962" i="22"/>
  <c r="L2962" i="22"/>
  <c r="K2962" i="22"/>
  <c r="O2961" i="22"/>
  <c r="N2961" i="22"/>
  <c r="M2961" i="22"/>
  <c r="L2961" i="22"/>
  <c r="K2961" i="22"/>
  <c r="O2960" i="22"/>
  <c r="N2960" i="22"/>
  <c r="M2960" i="22"/>
  <c r="L2960" i="22"/>
  <c r="K2960" i="22"/>
  <c r="O2959" i="22"/>
  <c r="N2959" i="22"/>
  <c r="M2959" i="22"/>
  <c r="L2959" i="22"/>
  <c r="K2959" i="22"/>
  <c r="O2958" i="22"/>
  <c r="N2958" i="22"/>
  <c r="M2958" i="22"/>
  <c r="L2958" i="22"/>
  <c r="K2958" i="22"/>
  <c r="O2957" i="22"/>
  <c r="N2957" i="22"/>
  <c r="M2957" i="22"/>
  <c r="L2957" i="22"/>
  <c r="K2957" i="22"/>
  <c r="O2956" i="22"/>
  <c r="N2956" i="22"/>
  <c r="M2956" i="22"/>
  <c r="L2956" i="22"/>
  <c r="K2956" i="22"/>
  <c r="O2955" i="22"/>
  <c r="N2955" i="22"/>
  <c r="M2955" i="22"/>
  <c r="L2955" i="22"/>
  <c r="K2955" i="22"/>
  <c r="O2954" i="22"/>
  <c r="N2954" i="22"/>
  <c r="M2954" i="22"/>
  <c r="L2954" i="22"/>
  <c r="K2954" i="22"/>
  <c r="O2953" i="22"/>
  <c r="N2953" i="22"/>
  <c r="M2953" i="22"/>
  <c r="L2953" i="22"/>
  <c r="K2953" i="22"/>
  <c r="O2952" i="22"/>
  <c r="N2952" i="22"/>
  <c r="M2952" i="22"/>
  <c r="L2952" i="22"/>
  <c r="K2952" i="22"/>
  <c r="O2951" i="22"/>
  <c r="N2951" i="22"/>
  <c r="M2951" i="22"/>
  <c r="L2951" i="22"/>
  <c r="K2951" i="22"/>
  <c r="O2950" i="22"/>
  <c r="N2950" i="22"/>
  <c r="M2950" i="22"/>
  <c r="L2950" i="22"/>
  <c r="K2950" i="22"/>
  <c r="O2949" i="22"/>
  <c r="N2949" i="22"/>
  <c r="M2949" i="22"/>
  <c r="L2949" i="22"/>
  <c r="K2949" i="22"/>
  <c r="O2948" i="22"/>
  <c r="N2948" i="22"/>
  <c r="M2948" i="22"/>
  <c r="L2948" i="22"/>
  <c r="K2948" i="22"/>
  <c r="O2947" i="22"/>
  <c r="N2947" i="22"/>
  <c r="M2947" i="22"/>
  <c r="L2947" i="22"/>
  <c r="K2947" i="22"/>
  <c r="O2946" i="22"/>
  <c r="N2946" i="22"/>
  <c r="M2946" i="22"/>
  <c r="L2946" i="22"/>
  <c r="K2946" i="22"/>
  <c r="O2945" i="22"/>
  <c r="N2945" i="22"/>
  <c r="M2945" i="22"/>
  <c r="L2945" i="22"/>
  <c r="K2945" i="22"/>
  <c r="O2944" i="22"/>
  <c r="N2944" i="22"/>
  <c r="M2944" i="22"/>
  <c r="L2944" i="22"/>
  <c r="K2944" i="22"/>
  <c r="O2943" i="22"/>
  <c r="N2943" i="22"/>
  <c r="M2943" i="22"/>
  <c r="L2943" i="22"/>
  <c r="K2943" i="22"/>
  <c r="O2942" i="22"/>
  <c r="N2942" i="22"/>
  <c r="M2942" i="22"/>
  <c r="L2942" i="22"/>
  <c r="K2942" i="22"/>
  <c r="O2941" i="22"/>
  <c r="N2941" i="22"/>
  <c r="M2941" i="22"/>
  <c r="L2941" i="22"/>
  <c r="K2941" i="22"/>
  <c r="O2940" i="22"/>
  <c r="N2940" i="22"/>
  <c r="M2940" i="22"/>
  <c r="L2940" i="22"/>
  <c r="K2940" i="22"/>
  <c r="O2939" i="22"/>
  <c r="N2939" i="22"/>
  <c r="M2939" i="22"/>
  <c r="L2939" i="22"/>
  <c r="K2939" i="22"/>
  <c r="O2938" i="22"/>
  <c r="N2938" i="22"/>
  <c r="M2938" i="22"/>
  <c r="L2938" i="22"/>
  <c r="K2938" i="22"/>
  <c r="O2937" i="22"/>
  <c r="N2937" i="22"/>
  <c r="M2937" i="22"/>
  <c r="L2937" i="22"/>
  <c r="K2937" i="22"/>
  <c r="O2936" i="22"/>
  <c r="N2936" i="22"/>
  <c r="M2936" i="22"/>
  <c r="L2936" i="22"/>
  <c r="K2936" i="22"/>
  <c r="O2935" i="22"/>
  <c r="N2935" i="22"/>
  <c r="M2935" i="22"/>
  <c r="L2935" i="22"/>
  <c r="K2935" i="22"/>
  <c r="O2934" i="22"/>
  <c r="N2934" i="22"/>
  <c r="M2934" i="22"/>
  <c r="L2934" i="22"/>
  <c r="K2934" i="22"/>
  <c r="O2933" i="22"/>
  <c r="N2933" i="22"/>
  <c r="M2933" i="22"/>
  <c r="L2933" i="22"/>
  <c r="K2933" i="22"/>
  <c r="O2932" i="22"/>
  <c r="N2932" i="22"/>
  <c r="M2932" i="22"/>
  <c r="L2932" i="22"/>
  <c r="K2932" i="22"/>
  <c r="O2931" i="22"/>
  <c r="N2931" i="22"/>
  <c r="M2931" i="22"/>
  <c r="L2931" i="22"/>
  <c r="K2931" i="22"/>
  <c r="O2930" i="22"/>
  <c r="N2930" i="22"/>
  <c r="M2930" i="22"/>
  <c r="L2930" i="22"/>
  <c r="K2930" i="22"/>
  <c r="O2929" i="22"/>
  <c r="N2929" i="22"/>
  <c r="M2929" i="22"/>
  <c r="L2929" i="22"/>
  <c r="K2929" i="22"/>
  <c r="O2928" i="22"/>
  <c r="N2928" i="22"/>
  <c r="M2928" i="22"/>
  <c r="L2928" i="22"/>
  <c r="K2928" i="22"/>
  <c r="O2927" i="22"/>
  <c r="N2927" i="22"/>
  <c r="M2927" i="22"/>
  <c r="L2927" i="22"/>
  <c r="K2927" i="22"/>
  <c r="O2926" i="22"/>
  <c r="N2926" i="22"/>
  <c r="M2926" i="22"/>
  <c r="L2926" i="22"/>
  <c r="K2926" i="22"/>
  <c r="O2925" i="22"/>
  <c r="N2925" i="22"/>
  <c r="M2925" i="22"/>
  <c r="L2925" i="22"/>
  <c r="K2925" i="22"/>
  <c r="O2924" i="22"/>
  <c r="N2924" i="22"/>
  <c r="M2924" i="22"/>
  <c r="L2924" i="22"/>
  <c r="K2924" i="22"/>
  <c r="O2923" i="22"/>
  <c r="N2923" i="22"/>
  <c r="M2923" i="22"/>
  <c r="L2923" i="22"/>
  <c r="K2923" i="22"/>
  <c r="O2922" i="22"/>
  <c r="N2922" i="22"/>
  <c r="M2922" i="22"/>
  <c r="L2922" i="22"/>
  <c r="K2922" i="22"/>
  <c r="O2921" i="22"/>
  <c r="N2921" i="22"/>
  <c r="M2921" i="22"/>
  <c r="L2921" i="22"/>
  <c r="K2921" i="22"/>
  <c r="O2920" i="22"/>
  <c r="N2920" i="22"/>
  <c r="M2920" i="22"/>
  <c r="L2920" i="22"/>
  <c r="K2920" i="22"/>
  <c r="O2919" i="22"/>
  <c r="N2919" i="22"/>
  <c r="M2919" i="22"/>
  <c r="L2919" i="22"/>
  <c r="K2919" i="22"/>
  <c r="O2918" i="22"/>
  <c r="N2918" i="22"/>
  <c r="M2918" i="22"/>
  <c r="L2918" i="22"/>
  <c r="K2918" i="22"/>
  <c r="O2917" i="22"/>
  <c r="N2917" i="22"/>
  <c r="M2917" i="22"/>
  <c r="L2917" i="22"/>
  <c r="K2917" i="22"/>
  <c r="O2916" i="22"/>
  <c r="N2916" i="22"/>
  <c r="M2916" i="22"/>
  <c r="L2916" i="22"/>
  <c r="K2916" i="22"/>
  <c r="O2915" i="22"/>
  <c r="N2915" i="22"/>
  <c r="M2915" i="22"/>
  <c r="L2915" i="22"/>
  <c r="K2915" i="22"/>
  <c r="O2914" i="22"/>
  <c r="N2914" i="22"/>
  <c r="M2914" i="22"/>
  <c r="L2914" i="22"/>
  <c r="K2914" i="22"/>
  <c r="O2913" i="22"/>
  <c r="N2913" i="22"/>
  <c r="M2913" i="22"/>
  <c r="L2913" i="22"/>
  <c r="K2913" i="22"/>
  <c r="O2912" i="22"/>
  <c r="N2912" i="22"/>
  <c r="M2912" i="22"/>
  <c r="L2912" i="22"/>
  <c r="K2912" i="22"/>
  <c r="O2911" i="22"/>
  <c r="N2911" i="22"/>
  <c r="M2911" i="22"/>
  <c r="L2911" i="22"/>
  <c r="K2911" i="22"/>
  <c r="O2910" i="22"/>
  <c r="N2910" i="22"/>
  <c r="M2910" i="22"/>
  <c r="L2910" i="22"/>
  <c r="K2910" i="22"/>
  <c r="O2909" i="22"/>
  <c r="N2909" i="22"/>
  <c r="M2909" i="22"/>
  <c r="L2909" i="22"/>
  <c r="K2909" i="22"/>
  <c r="O2908" i="22"/>
  <c r="N2908" i="22"/>
  <c r="M2908" i="22"/>
  <c r="L2908" i="22"/>
  <c r="K2908" i="22"/>
  <c r="O2907" i="22"/>
  <c r="N2907" i="22"/>
  <c r="M2907" i="22"/>
  <c r="L2907" i="22"/>
  <c r="K2907" i="22"/>
  <c r="O2906" i="22"/>
  <c r="N2906" i="22"/>
  <c r="M2906" i="22"/>
  <c r="L2906" i="22"/>
  <c r="K2906" i="22"/>
  <c r="O2905" i="22"/>
  <c r="N2905" i="22"/>
  <c r="M2905" i="22"/>
  <c r="L2905" i="22"/>
  <c r="K2905" i="22"/>
  <c r="O2904" i="22"/>
  <c r="N2904" i="22"/>
  <c r="M2904" i="22"/>
  <c r="L2904" i="22"/>
  <c r="K2904" i="22"/>
  <c r="O2903" i="22"/>
  <c r="N2903" i="22"/>
  <c r="M2903" i="22"/>
  <c r="L2903" i="22"/>
  <c r="K2903" i="22"/>
  <c r="O2902" i="22"/>
  <c r="N2902" i="22"/>
  <c r="M2902" i="22"/>
  <c r="L2902" i="22"/>
  <c r="K2902" i="22"/>
  <c r="O2901" i="22"/>
  <c r="N2901" i="22"/>
  <c r="M2901" i="22"/>
  <c r="L2901" i="22"/>
  <c r="K2901" i="22"/>
  <c r="O2900" i="22"/>
  <c r="N2900" i="22"/>
  <c r="M2900" i="22"/>
  <c r="L2900" i="22"/>
  <c r="K2900" i="22"/>
  <c r="O2899" i="22"/>
  <c r="N2899" i="22"/>
  <c r="M2899" i="22"/>
  <c r="L2899" i="22"/>
  <c r="K2899" i="22"/>
  <c r="O2898" i="22"/>
  <c r="N2898" i="22"/>
  <c r="M2898" i="22"/>
  <c r="L2898" i="22"/>
  <c r="K2898" i="22"/>
  <c r="O2897" i="22"/>
  <c r="N2897" i="22"/>
  <c r="M2897" i="22"/>
  <c r="L2897" i="22"/>
  <c r="K2897" i="22"/>
  <c r="O2896" i="22"/>
  <c r="N2896" i="22"/>
  <c r="M2896" i="22"/>
  <c r="L2896" i="22"/>
  <c r="K2896" i="22"/>
  <c r="O2895" i="22"/>
  <c r="N2895" i="22"/>
  <c r="M2895" i="22"/>
  <c r="L2895" i="22"/>
  <c r="K2895" i="22"/>
  <c r="O2894" i="22"/>
  <c r="N2894" i="22"/>
  <c r="M2894" i="22"/>
  <c r="L2894" i="22"/>
  <c r="K2894" i="22"/>
  <c r="O2893" i="22"/>
  <c r="N2893" i="22"/>
  <c r="M2893" i="22"/>
  <c r="L2893" i="22"/>
  <c r="K2893" i="22"/>
  <c r="O2892" i="22"/>
  <c r="N2892" i="22"/>
  <c r="M2892" i="22"/>
  <c r="L2892" i="22"/>
  <c r="K2892" i="22"/>
  <c r="O2891" i="22"/>
  <c r="N2891" i="22"/>
  <c r="M2891" i="22"/>
  <c r="L2891" i="22"/>
  <c r="K2891" i="22"/>
  <c r="O2890" i="22"/>
  <c r="N2890" i="22"/>
  <c r="M2890" i="22"/>
  <c r="L2890" i="22"/>
  <c r="K2890" i="22"/>
  <c r="O2889" i="22"/>
  <c r="N2889" i="22"/>
  <c r="M2889" i="22"/>
  <c r="L2889" i="22"/>
  <c r="K2889" i="22"/>
  <c r="O2888" i="22"/>
  <c r="N2888" i="22"/>
  <c r="M2888" i="22"/>
  <c r="L2888" i="22"/>
  <c r="K2888" i="22"/>
  <c r="O2887" i="22"/>
  <c r="N2887" i="22"/>
  <c r="M2887" i="22"/>
  <c r="L2887" i="22"/>
  <c r="K2887" i="22"/>
  <c r="O2886" i="22"/>
  <c r="N2886" i="22"/>
  <c r="M2886" i="22"/>
  <c r="L2886" i="22"/>
  <c r="K2886" i="22"/>
  <c r="O2885" i="22"/>
  <c r="N2885" i="22"/>
  <c r="M2885" i="22"/>
  <c r="L2885" i="22"/>
  <c r="K2885" i="22"/>
  <c r="O2884" i="22"/>
  <c r="N2884" i="22"/>
  <c r="M2884" i="22"/>
  <c r="L2884" i="22"/>
  <c r="K2884" i="22"/>
  <c r="O2883" i="22"/>
  <c r="N2883" i="22"/>
  <c r="M2883" i="22"/>
  <c r="L2883" i="22"/>
  <c r="K2883" i="22"/>
  <c r="O2882" i="22"/>
  <c r="N2882" i="22"/>
  <c r="M2882" i="22"/>
  <c r="L2882" i="22"/>
  <c r="K2882" i="22"/>
  <c r="O2881" i="22"/>
  <c r="N2881" i="22"/>
  <c r="M2881" i="22"/>
  <c r="L2881" i="22"/>
  <c r="K2881" i="22"/>
  <c r="O2880" i="22"/>
  <c r="N2880" i="22"/>
  <c r="M2880" i="22"/>
  <c r="L2880" i="22"/>
  <c r="K2880" i="22"/>
  <c r="O2879" i="22"/>
  <c r="N2879" i="22"/>
  <c r="M2879" i="22"/>
  <c r="L2879" i="22"/>
  <c r="K2879" i="22"/>
  <c r="O2878" i="22"/>
  <c r="N2878" i="22"/>
  <c r="M2878" i="22"/>
  <c r="L2878" i="22"/>
  <c r="K2878" i="22"/>
  <c r="O2877" i="22"/>
  <c r="N2877" i="22"/>
  <c r="M2877" i="22"/>
  <c r="L2877" i="22"/>
  <c r="K2877" i="22"/>
  <c r="O2876" i="22"/>
  <c r="N2876" i="22"/>
  <c r="M2876" i="22"/>
  <c r="L2876" i="22"/>
  <c r="K2876" i="22"/>
  <c r="O2875" i="22"/>
  <c r="N2875" i="22"/>
  <c r="M2875" i="22"/>
  <c r="L2875" i="22"/>
  <c r="K2875" i="22"/>
  <c r="O2874" i="22"/>
  <c r="N2874" i="22"/>
  <c r="M2874" i="22"/>
  <c r="L2874" i="22"/>
  <c r="K2874" i="22"/>
  <c r="O2873" i="22"/>
  <c r="N2873" i="22"/>
  <c r="M2873" i="22"/>
  <c r="L2873" i="22"/>
  <c r="K2873" i="22"/>
  <c r="O2872" i="22"/>
  <c r="N2872" i="22"/>
  <c r="M2872" i="22"/>
  <c r="L2872" i="22"/>
  <c r="K2872" i="22"/>
  <c r="O2871" i="22"/>
  <c r="N2871" i="22"/>
  <c r="M2871" i="22"/>
  <c r="L2871" i="22"/>
  <c r="K2871" i="22"/>
  <c r="O2870" i="22"/>
  <c r="N2870" i="22"/>
  <c r="M2870" i="22"/>
  <c r="L2870" i="22"/>
  <c r="K2870" i="22"/>
  <c r="O2869" i="22"/>
  <c r="N2869" i="22"/>
  <c r="M2869" i="22"/>
  <c r="L2869" i="22"/>
  <c r="K2869" i="22"/>
  <c r="O2868" i="22"/>
  <c r="N2868" i="22"/>
  <c r="M2868" i="22"/>
  <c r="L2868" i="22"/>
  <c r="K2868" i="22"/>
  <c r="O2867" i="22"/>
  <c r="N2867" i="22"/>
  <c r="M2867" i="22"/>
  <c r="L2867" i="22"/>
  <c r="K2867" i="22"/>
  <c r="O2866" i="22"/>
  <c r="N2866" i="22"/>
  <c r="M2866" i="22"/>
  <c r="L2866" i="22"/>
  <c r="K2866" i="22"/>
  <c r="O2865" i="22"/>
  <c r="N2865" i="22"/>
  <c r="M2865" i="22"/>
  <c r="L2865" i="22"/>
  <c r="K2865" i="22"/>
  <c r="O2864" i="22"/>
  <c r="N2864" i="22"/>
  <c r="M2864" i="22"/>
  <c r="L2864" i="22"/>
  <c r="K2864" i="22"/>
  <c r="O2863" i="22"/>
  <c r="N2863" i="22"/>
  <c r="M2863" i="22"/>
  <c r="L2863" i="22"/>
  <c r="K2863" i="22"/>
  <c r="O2862" i="22"/>
  <c r="N2862" i="22"/>
  <c r="M2862" i="22"/>
  <c r="L2862" i="22"/>
  <c r="K2862" i="22"/>
  <c r="O2861" i="22"/>
  <c r="N2861" i="22"/>
  <c r="M2861" i="22"/>
  <c r="L2861" i="22"/>
  <c r="K2861" i="22"/>
  <c r="O2860" i="22"/>
  <c r="N2860" i="22"/>
  <c r="M2860" i="22"/>
  <c r="L2860" i="22"/>
  <c r="K2860" i="22"/>
  <c r="O2859" i="22"/>
  <c r="N2859" i="22"/>
  <c r="M2859" i="22"/>
  <c r="L2859" i="22"/>
  <c r="K2859" i="22"/>
  <c r="O2858" i="22"/>
  <c r="N2858" i="22"/>
  <c r="M2858" i="22"/>
  <c r="L2858" i="22"/>
  <c r="K2858" i="22"/>
  <c r="O2857" i="22"/>
  <c r="N2857" i="22"/>
  <c r="M2857" i="22"/>
  <c r="L2857" i="22"/>
  <c r="K2857" i="22"/>
  <c r="O2856" i="22"/>
  <c r="N2856" i="22"/>
  <c r="M2856" i="22"/>
  <c r="L2856" i="22"/>
  <c r="K2856" i="22"/>
  <c r="O2855" i="22"/>
  <c r="N2855" i="22"/>
  <c r="M2855" i="22"/>
  <c r="L2855" i="22"/>
  <c r="K2855" i="22"/>
  <c r="O2854" i="22"/>
  <c r="N2854" i="22"/>
  <c r="M2854" i="22"/>
  <c r="L2854" i="22"/>
  <c r="K2854" i="22"/>
  <c r="O2853" i="22"/>
  <c r="N2853" i="22"/>
  <c r="M2853" i="22"/>
  <c r="L2853" i="22"/>
  <c r="K2853" i="22"/>
  <c r="O2852" i="22"/>
  <c r="N2852" i="22"/>
  <c r="M2852" i="22"/>
  <c r="L2852" i="22"/>
  <c r="K2852" i="22"/>
  <c r="O2851" i="22"/>
  <c r="N2851" i="22"/>
  <c r="M2851" i="22"/>
  <c r="L2851" i="22"/>
  <c r="K2851" i="22"/>
  <c r="O2850" i="22"/>
  <c r="N2850" i="22"/>
  <c r="M2850" i="22"/>
  <c r="L2850" i="22"/>
  <c r="K2850" i="22"/>
  <c r="O2849" i="22"/>
  <c r="N2849" i="22"/>
  <c r="M2849" i="22"/>
  <c r="L2849" i="22"/>
  <c r="K2849" i="22"/>
  <c r="O2848" i="22"/>
  <c r="N2848" i="22"/>
  <c r="M2848" i="22"/>
  <c r="L2848" i="22"/>
  <c r="K2848" i="22"/>
  <c r="O2847" i="22"/>
  <c r="N2847" i="22"/>
  <c r="M2847" i="22"/>
  <c r="L2847" i="22"/>
  <c r="K2847" i="22"/>
  <c r="O2846" i="22"/>
  <c r="N2846" i="22"/>
  <c r="M2846" i="22"/>
  <c r="L2846" i="22"/>
  <c r="K2846" i="22"/>
  <c r="O2845" i="22"/>
  <c r="N2845" i="22"/>
  <c r="M2845" i="22"/>
  <c r="L2845" i="22"/>
  <c r="K2845" i="22"/>
  <c r="O2844" i="22"/>
  <c r="N2844" i="22"/>
  <c r="M2844" i="22"/>
  <c r="L2844" i="22"/>
  <c r="K2844" i="22"/>
  <c r="O2843" i="22"/>
  <c r="N2843" i="22"/>
  <c r="M2843" i="22"/>
  <c r="L2843" i="22"/>
  <c r="K2843" i="22"/>
  <c r="O2842" i="22"/>
  <c r="N2842" i="22"/>
  <c r="M2842" i="22"/>
  <c r="L2842" i="22"/>
  <c r="K2842" i="22"/>
  <c r="O2841" i="22"/>
  <c r="N2841" i="22"/>
  <c r="M2841" i="22"/>
  <c r="L2841" i="22"/>
  <c r="K2841" i="22"/>
  <c r="O2840" i="22"/>
  <c r="N2840" i="22"/>
  <c r="M2840" i="22"/>
  <c r="L2840" i="22"/>
  <c r="K2840" i="22"/>
  <c r="O2839" i="22"/>
  <c r="N2839" i="22"/>
  <c r="M2839" i="22"/>
  <c r="L2839" i="22"/>
  <c r="K2839" i="22"/>
  <c r="O2838" i="22"/>
  <c r="N2838" i="22"/>
  <c r="M2838" i="22"/>
  <c r="L2838" i="22"/>
  <c r="K2838" i="22"/>
  <c r="O2837" i="22"/>
  <c r="N2837" i="22"/>
  <c r="M2837" i="22"/>
  <c r="L2837" i="22"/>
  <c r="K2837" i="22"/>
  <c r="O2836" i="22"/>
  <c r="N2836" i="22"/>
  <c r="M2836" i="22"/>
  <c r="L2836" i="22"/>
  <c r="K2836" i="22"/>
  <c r="O2835" i="22"/>
  <c r="N2835" i="22"/>
  <c r="M2835" i="22"/>
  <c r="L2835" i="22"/>
  <c r="K2835" i="22"/>
  <c r="O2834" i="22"/>
  <c r="N2834" i="22"/>
  <c r="M2834" i="22"/>
  <c r="L2834" i="22"/>
  <c r="K2834" i="22"/>
  <c r="O2833" i="22"/>
  <c r="N2833" i="22"/>
  <c r="M2833" i="22"/>
  <c r="L2833" i="22"/>
  <c r="K2833" i="22"/>
  <c r="O2832" i="22"/>
  <c r="N2832" i="22"/>
  <c r="M2832" i="22"/>
  <c r="L2832" i="22"/>
  <c r="K2832" i="22"/>
  <c r="O2831" i="22"/>
  <c r="N2831" i="22"/>
  <c r="M2831" i="22"/>
  <c r="L2831" i="22"/>
  <c r="K2831" i="22"/>
  <c r="O2830" i="22"/>
  <c r="N2830" i="22"/>
  <c r="M2830" i="22"/>
  <c r="L2830" i="22"/>
  <c r="K2830" i="22"/>
  <c r="O2829" i="22"/>
  <c r="N2829" i="22"/>
  <c r="M2829" i="22"/>
  <c r="L2829" i="22"/>
  <c r="K2829" i="22"/>
  <c r="O2828" i="22"/>
  <c r="N2828" i="22"/>
  <c r="M2828" i="22"/>
  <c r="L2828" i="22"/>
  <c r="K2828" i="22"/>
  <c r="O2827" i="22"/>
  <c r="N2827" i="22"/>
  <c r="M2827" i="22"/>
  <c r="L2827" i="22"/>
  <c r="K2827" i="22"/>
  <c r="O2826" i="22"/>
  <c r="N2826" i="22"/>
  <c r="M2826" i="22"/>
  <c r="L2826" i="22"/>
  <c r="K2826" i="22"/>
  <c r="O2825" i="22"/>
  <c r="N2825" i="22"/>
  <c r="M2825" i="22"/>
  <c r="L2825" i="22"/>
  <c r="K2825" i="22"/>
  <c r="O2824" i="22"/>
  <c r="N2824" i="22"/>
  <c r="M2824" i="22"/>
  <c r="L2824" i="22"/>
  <c r="K2824" i="22"/>
  <c r="O2823" i="22"/>
  <c r="N2823" i="22"/>
  <c r="M2823" i="22"/>
  <c r="L2823" i="22"/>
  <c r="K2823" i="22"/>
  <c r="O2822" i="22"/>
  <c r="N2822" i="22"/>
  <c r="M2822" i="22"/>
  <c r="L2822" i="22"/>
  <c r="K2822" i="22"/>
  <c r="O2821" i="22"/>
  <c r="N2821" i="22"/>
  <c r="M2821" i="22"/>
  <c r="L2821" i="22"/>
  <c r="K2821" i="22"/>
  <c r="O2820" i="22"/>
  <c r="N2820" i="22"/>
  <c r="M2820" i="22"/>
  <c r="L2820" i="22"/>
  <c r="K2820" i="22"/>
  <c r="O2819" i="22"/>
  <c r="N2819" i="22"/>
  <c r="M2819" i="22"/>
  <c r="L2819" i="22"/>
  <c r="K2819" i="22"/>
  <c r="O2818" i="22"/>
  <c r="N2818" i="22"/>
  <c r="M2818" i="22"/>
  <c r="L2818" i="22"/>
  <c r="K2818" i="22"/>
  <c r="O2817" i="22"/>
  <c r="N2817" i="22"/>
  <c r="M2817" i="22"/>
  <c r="L2817" i="22"/>
  <c r="K2817" i="22"/>
  <c r="O2816" i="22"/>
  <c r="N2816" i="22"/>
  <c r="M2816" i="22"/>
  <c r="L2816" i="22"/>
  <c r="K2816" i="22"/>
  <c r="O2815" i="22"/>
  <c r="N2815" i="22"/>
  <c r="M2815" i="22"/>
  <c r="L2815" i="22"/>
  <c r="K2815" i="22"/>
  <c r="O2814" i="22"/>
  <c r="N2814" i="22"/>
  <c r="M2814" i="22"/>
  <c r="L2814" i="22"/>
  <c r="K2814" i="22"/>
  <c r="O2813" i="22"/>
  <c r="N2813" i="22"/>
  <c r="M2813" i="22"/>
  <c r="L2813" i="22"/>
  <c r="K2813" i="22"/>
  <c r="O2812" i="22"/>
  <c r="N2812" i="22"/>
  <c r="M2812" i="22"/>
  <c r="L2812" i="22"/>
  <c r="K2812" i="22"/>
  <c r="O2811" i="22"/>
  <c r="N2811" i="22"/>
  <c r="M2811" i="22"/>
  <c r="L2811" i="22"/>
  <c r="K2811" i="22"/>
  <c r="O2810" i="22"/>
  <c r="N2810" i="22"/>
  <c r="M2810" i="22"/>
  <c r="L2810" i="22"/>
  <c r="K2810" i="22"/>
  <c r="O2809" i="22"/>
  <c r="N2809" i="22"/>
  <c r="M2809" i="22"/>
  <c r="L2809" i="22"/>
  <c r="K2809" i="22"/>
  <c r="O2808" i="22"/>
  <c r="N2808" i="22"/>
  <c r="M2808" i="22"/>
  <c r="L2808" i="22"/>
  <c r="K2808" i="22"/>
  <c r="O2807" i="22"/>
  <c r="N2807" i="22"/>
  <c r="M2807" i="22"/>
  <c r="L2807" i="22"/>
  <c r="K2807" i="22"/>
  <c r="O2806" i="22"/>
  <c r="N2806" i="22"/>
  <c r="M2806" i="22"/>
  <c r="L2806" i="22"/>
  <c r="K2806" i="22"/>
  <c r="O2805" i="22"/>
  <c r="N2805" i="22"/>
  <c r="M2805" i="22"/>
  <c r="L2805" i="22"/>
  <c r="K2805" i="22"/>
  <c r="O2804" i="22"/>
  <c r="N2804" i="22"/>
  <c r="M2804" i="22"/>
  <c r="L2804" i="22"/>
  <c r="K2804" i="22"/>
  <c r="O2803" i="22"/>
  <c r="N2803" i="22"/>
  <c r="M2803" i="22"/>
  <c r="L2803" i="22"/>
  <c r="K2803" i="22"/>
  <c r="O2802" i="22"/>
  <c r="N2802" i="22"/>
  <c r="M2802" i="22"/>
  <c r="L2802" i="22"/>
  <c r="K2802" i="22"/>
  <c r="O2801" i="22"/>
  <c r="N2801" i="22"/>
  <c r="M2801" i="22"/>
  <c r="L2801" i="22"/>
  <c r="K2801" i="22"/>
  <c r="O2800" i="22"/>
  <c r="N2800" i="22"/>
  <c r="M2800" i="22"/>
  <c r="L2800" i="22"/>
  <c r="K2800" i="22"/>
  <c r="O2799" i="22"/>
  <c r="N2799" i="22"/>
  <c r="M2799" i="22"/>
  <c r="L2799" i="22"/>
  <c r="K2799" i="22"/>
  <c r="O2798" i="22"/>
  <c r="N2798" i="22"/>
  <c r="M2798" i="22"/>
  <c r="L2798" i="22"/>
  <c r="K2798" i="22"/>
  <c r="O2797" i="22"/>
  <c r="N2797" i="22"/>
  <c r="M2797" i="22"/>
  <c r="L2797" i="22"/>
  <c r="K2797" i="22"/>
  <c r="O2796" i="22"/>
  <c r="N2796" i="22"/>
  <c r="M2796" i="22"/>
  <c r="L2796" i="22"/>
  <c r="K2796" i="22"/>
  <c r="O2795" i="22"/>
  <c r="N2795" i="22"/>
  <c r="M2795" i="22"/>
  <c r="L2795" i="22"/>
  <c r="K2795" i="22"/>
  <c r="O2794" i="22"/>
  <c r="N2794" i="22"/>
  <c r="M2794" i="22"/>
  <c r="L2794" i="22"/>
  <c r="K2794" i="22"/>
  <c r="O2793" i="22"/>
  <c r="N2793" i="22"/>
  <c r="M2793" i="22"/>
  <c r="L2793" i="22"/>
  <c r="K2793" i="22"/>
  <c r="O2792" i="22"/>
  <c r="N2792" i="22"/>
  <c r="M2792" i="22"/>
  <c r="L2792" i="22"/>
  <c r="K2792" i="22"/>
  <c r="O2791" i="22"/>
  <c r="N2791" i="22"/>
  <c r="M2791" i="22"/>
  <c r="L2791" i="22"/>
  <c r="K2791" i="22"/>
  <c r="O2790" i="22"/>
  <c r="N2790" i="22"/>
  <c r="M2790" i="22"/>
  <c r="L2790" i="22"/>
  <c r="K2790" i="22"/>
  <c r="O2789" i="22"/>
  <c r="N2789" i="22"/>
  <c r="M2789" i="22"/>
  <c r="L2789" i="22"/>
  <c r="K2789" i="22"/>
  <c r="O2788" i="22"/>
  <c r="N2788" i="22"/>
  <c r="M2788" i="22"/>
  <c r="L2788" i="22"/>
  <c r="K2788" i="22"/>
  <c r="O2787" i="22"/>
  <c r="N2787" i="22"/>
  <c r="M2787" i="22"/>
  <c r="L2787" i="22"/>
  <c r="K2787" i="22"/>
  <c r="O2786" i="22"/>
  <c r="N2786" i="22"/>
  <c r="M2786" i="22"/>
  <c r="L2786" i="22"/>
  <c r="K2786" i="22"/>
  <c r="O2785" i="22"/>
  <c r="N2785" i="22"/>
  <c r="M2785" i="22"/>
  <c r="L2785" i="22"/>
  <c r="K2785" i="22"/>
  <c r="O2784" i="22"/>
  <c r="N2784" i="22"/>
  <c r="M2784" i="22"/>
  <c r="L2784" i="22"/>
  <c r="K2784" i="22"/>
  <c r="O2783" i="22"/>
  <c r="N2783" i="22"/>
  <c r="M2783" i="22"/>
  <c r="L2783" i="22"/>
  <c r="K2783" i="22"/>
  <c r="O2782" i="22"/>
  <c r="N2782" i="22"/>
  <c r="M2782" i="22"/>
  <c r="L2782" i="22"/>
  <c r="K2782" i="22"/>
  <c r="O2781" i="22"/>
  <c r="N2781" i="22"/>
  <c r="M2781" i="22"/>
  <c r="L2781" i="22"/>
  <c r="K2781" i="22"/>
  <c r="O2780" i="22"/>
  <c r="N2780" i="22"/>
  <c r="M2780" i="22"/>
  <c r="L2780" i="22"/>
  <c r="K2780" i="22"/>
  <c r="O2779" i="22"/>
  <c r="N2779" i="22"/>
  <c r="M2779" i="22"/>
  <c r="L2779" i="22"/>
  <c r="K2779" i="22"/>
  <c r="O2778" i="22"/>
  <c r="N2778" i="22"/>
  <c r="M2778" i="22"/>
  <c r="L2778" i="22"/>
  <c r="K2778" i="22"/>
  <c r="O2777" i="22"/>
  <c r="N2777" i="22"/>
  <c r="M2777" i="22"/>
  <c r="L2777" i="22"/>
  <c r="K2777" i="22"/>
  <c r="O2776" i="22"/>
  <c r="N2776" i="22"/>
  <c r="M2776" i="22"/>
  <c r="L2776" i="22"/>
  <c r="K2776" i="22"/>
  <c r="O2775" i="22"/>
  <c r="N2775" i="22"/>
  <c r="M2775" i="22"/>
  <c r="L2775" i="22"/>
  <c r="K2775" i="22"/>
  <c r="O2774" i="22"/>
  <c r="N2774" i="22"/>
  <c r="M2774" i="22"/>
  <c r="L2774" i="22"/>
  <c r="K2774" i="22"/>
  <c r="O2773" i="22"/>
  <c r="N2773" i="22"/>
  <c r="M2773" i="22"/>
  <c r="L2773" i="22"/>
  <c r="K2773" i="22"/>
  <c r="O2772" i="22"/>
  <c r="N2772" i="22"/>
  <c r="M2772" i="22"/>
  <c r="L2772" i="22"/>
  <c r="K2772" i="22"/>
  <c r="O2771" i="22"/>
  <c r="N2771" i="22"/>
  <c r="M2771" i="22"/>
  <c r="L2771" i="22"/>
  <c r="K2771" i="22"/>
  <c r="O2770" i="22"/>
  <c r="N2770" i="22"/>
  <c r="M2770" i="22"/>
  <c r="L2770" i="22"/>
  <c r="K2770" i="22"/>
  <c r="O2769" i="22"/>
  <c r="N2769" i="22"/>
  <c r="M2769" i="22"/>
  <c r="L2769" i="22"/>
  <c r="K2769" i="22"/>
  <c r="O2768" i="22"/>
  <c r="N2768" i="22"/>
  <c r="M2768" i="22"/>
  <c r="L2768" i="22"/>
  <c r="K2768" i="22"/>
  <c r="O2767" i="22"/>
  <c r="N2767" i="22"/>
  <c r="M2767" i="22"/>
  <c r="L2767" i="22"/>
  <c r="K2767" i="22"/>
  <c r="O2766" i="22"/>
  <c r="N2766" i="22"/>
  <c r="M2766" i="22"/>
  <c r="L2766" i="22"/>
  <c r="K2766" i="22"/>
  <c r="O2765" i="22"/>
  <c r="N2765" i="22"/>
  <c r="M2765" i="22"/>
  <c r="L2765" i="22"/>
  <c r="K2765" i="22"/>
  <c r="O2764" i="22"/>
  <c r="N2764" i="22"/>
  <c r="M2764" i="22"/>
  <c r="L2764" i="22"/>
  <c r="K2764" i="22"/>
  <c r="O2763" i="22"/>
  <c r="N2763" i="22"/>
  <c r="M2763" i="22"/>
  <c r="L2763" i="22"/>
  <c r="K2763" i="22"/>
  <c r="O2762" i="22"/>
  <c r="N2762" i="22"/>
  <c r="M2762" i="22"/>
  <c r="L2762" i="22"/>
  <c r="K2762" i="22"/>
  <c r="O2761" i="22"/>
  <c r="N2761" i="22"/>
  <c r="M2761" i="22"/>
  <c r="L2761" i="22"/>
  <c r="K2761" i="22"/>
  <c r="O2760" i="22"/>
  <c r="N2760" i="22"/>
  <c r="M2760" i="22"/>
  <c r="L2760" i="22"/>
  <c r="K2760" i="22"/>
  <c r="O2759" i="22"/>
  <c r="N2759" i="22"/>
  <c r="M2759" i="22"/>
  <c r="L2759" i="22"/>
  <c r="K2759" i="22"/>
  <c r="O2758" i="22"/>
  <c r="N2758" i="22"/>
  <c r="M2758" i="22"/>
  <c r="L2758" i="22"/>
  <c r="K2758" i="22"/>
  <c r="O2757" i="22"/>
  <c r="N2757" i="22"/>
  <c r="M2757" i="22"/>
  <c r="L2757" i="22"/>
  <c r="K2757" i="22"/>
  <c r="O2756" i="22"/>
  <c r="N2756" i="22"/>
  <c r="M2756" i="22"/>
  <c r="L2756" i="22"/>
  <c r="K2756" i="22"/>
  <c r="O2755" i="22"/>
  <c r="N2755" i="22"/>
  <c r="M2755" i="22"/>
  <c r="L2755" i="22"/>
  <c r="K2755" i="22"/>
  <c r="O2754" i="22"/>
  <c r="N2754" i="22"/>
  <c r="M2754" i="22"/>
  <c r="L2754" i="22"/>
  <c r="K2754" i="22"/>
  <c r="O2753" i="22"/>
  <c r="N2753" i="22"/>
  <c r="M2753" i="22"/>
  <c r="L2753" i="22"/>
  <c r="K2753" i="22"/>
  <c r="O2752" i="22"/>
  <c r="N2752" i="22"/>
  <c r="M2752" i="22"/>
  <c r="L2752" i="22"/>
  <c r="K2752" i="22"/>
  <c r="O2751" i="22"/>
  <c r="N2751" i="22"/>
  <c r="M2751" i="22"/>
  <c r="L2751" i="22"/>
  <c r="K2751" i="22"/>
  <c r="O2750" i="22"/>
  <c r="N2750" i="22"/>
  <c r="M2750" i="22"/>
  <c r="L2750" i="22"/>
  <c r="K2750" i="22"/>
  <c r="O2749" i="22"/>
  <c r="N2749" i="22"/>
  <c r="M2749" i="22"/>
  <c r="L2749" i="22"/>
  <c r="K2749" i="22"/>
  <c r="O2748" i="22"/>
  <c r="N2748" i="22"/>
  <c r="M2748" i="22"/>
  <c r="L2748" i="22"/>
  <c r="K2748" i="22"/>
  <c r="O2747" i="22"/>
  <c r="N2747" i="22"/>
  <c r="M2747" i="22"/>
  <c r="L2747" i="22"/>
  <c r="K2747" i="22"/>
  <c r="O2746" i="22"/>
  <c r="N2746" i="22"/>
  <c r="M2746" i="22"/>
  <c r="L2746" i="22"/>
  <c r="K2746" i="22"/>
  <c r="O2745" i="22"/>
  <c r="N2745" i="22"/>
  <c r="M2745" i="22"/>
  <c r="L2745" i="22"/>
  <c r="K2745" i="22"/>
  <c r="O2744" i="22"/>
  <c r="N2744" i="22"/>
  <c r="M2744" i="22"/>
  <c r="L2744" i="22"/>
  <c r="K2744" i="22"/>
  <c r="O2743" i="22"/>
  <c r="N2743" i="22"/>
  <c r="M2743" i="22"/>
  <c r="L2743" i="22"/>
  <c r="K2743" i="22"/>
  <c r="O2742" i="22"/>
  <c r="N2742" i="22"/>
  <c r="M2742" i="22"/>
  <c r="L2742" i="22"/>
  <c r="K2742" i="22"/>
  <c r="O2741" i="22"/>
  <c r="N2741" i="22"/>
  <c r="M2741" i="22"/>
  <c r="L2741" i="22"/>
  <c r="K2741" i="22"/>
  <c r="O2740" i="22"/>
  <c r="N2740" i="22"/>
  <c r="M2740" i="22"/>
  <c r="L2740" i="22"/>
  <c r="K2740" i="22"/>
  <c r="O2739" i="22"/>
  <c r="N2739" i="22"/>
  <c r="M2739" i="22"/>
  <c r="L2739" i="22"/>
  <c r="K2739" i="22"/>
  <c r="O2738" i="22"/>
  <c r="N2738" i="22"/>
  <c r="M2738" i="22"/>
  <c r="L2738" i="22"/>
  <c r="K2738" i="22"/>
  <c r="O2737" i="22"/>
  <c r="N2737" i="22"/>
  <c r="M2737" i="22"/>
  <c r="L2737" i="22"/>
  <c r="K2737" i="22"/>
  <c r="O2736" i="22"/>
  <c r="N2736" i="22"/>
  <c r="M2736" i="22"/>
  <c r="L2736" i="22"/>
  <c r="K2736" i="22"/>
  <c r="O2735" i="22"/>
  <c r="N2735" i="22"/>
  <c r="M2735" i="22"/>
  <c r="L2735" i="22"/>
  <c r="K2735" i="22"/>
  <c r="O2734" i="22"/>
  <c r="N2734" i="22"/>
  <c r="M2734" i="22"/>
  <c r="L2734" i="22"/>
  <c r="K2734" i="22"/>
  <c r="O2733" i="22"/>
  <c r="N2733" i="22"/>
  <c r="M2733" i="22"/>
  <c r="L2733" i="22"/>
  <c r="K2733" i="22"/>
  <c r="O2732" i="22"/>
  <c r="N2732" i="22"/>
  <c r="M2732" i="22"/>
  <c r="L2732" i="22"/>
  <c r="K2732" i="22"/>
  <c r="O2731" i="22"/>
  <c r="N2731" i="22"/>
  <c r="M2731" i="22"/>
  <c r="L2731" i="22"/>
  <c r="K2731" i="22"/>
  <c r="O2730" i="22"/>
  <c r="N2730" i="22"/>
  <c r="M2730" i="22"/>
  <c r="L2730" i="22"/>
  <c r="K2730" i="22"/>
  <c r="O2729" i="22"/>
  <c r="N2729" i="22"/>
  <c r="M2729" i="22"/>
  <c r="L2729" i="22"/>
  <c r="K2729" i="22"/>
  <c r="O2728" i="22"/>
  <c r="N2728" i="22"/>
  <c r="M2728" i="22"/>
  <c r="L2728" i="22"/>
  <c r="K2728" i="22"/>
  <c r="O2727" i="22"/>
  <c r="N2727" i="22"/>
  <c r="M2727" i="22"/>
  <c r="L2727" i="22"/>
  <c r="K2727" i="22"/>
  <c r="O2726" i="22"/>
  <c r="N2726" i="22"/>
  <c r="M2726" i="22"/>
  <c r="L2726" i="22"/>
  <c r="K2726" i="22"/>
  <c r="O2725" i="22"/>
  <c r="N2725" i="22"/>
  <c r="M2725" i="22"/>
  <c r="L2725" i="22"/>
  <c r="K2725" i="22"/>
  <c r="O2724" i="22"/>
  <c r="N2724" i="22"/>
  <c r="M2724" i="22"/>
  <c r="L2724" i="22"/>
  <c r="K2724" i="22"/>
  <c r="O2723" i="22"/>
  <c r="N2723" i="22"/>
  <c r="M2723" i="22"/>
  <c r="L2723" i="22"/>
  <c r="K2723" i="22"/>
  <c r="O2722" i="22"/>
  <c r="N2722" i="22"/>
  <c r="M2722" i="22"/>
  <c r="L2722" i="22"/>
  <c r="K2722" i="22"/>
  <c r="O2721" i="22"/>
  <c r="N2721" i="22"/>
  <c r="M2721" i="22"/>
  <c r="L2721" i="22"/>
  <c r="K2721" i="22"/>
  <c r="O2720" i="22"/>
  <c r="N2720" i="22"/>
  <c r="M2720" i="22"/>
  <c r="L2720" i="22"/>
  <c r="K2720" i="22"/>
  <c r="O2719" i="22"/>
  <c r="N2719" i="22"/>
  <c r="M2719" i="22"/>
  <c r="L2719" i="22"/>
  <c r="K2719" i="22"/>
  <c r="O2718" i="22"/>
  <c r="N2718" i="22"/>
  <c r="M2718" i="22"/>
  <c r="L2718" i="22"/>
  <c r="K2718" i="22"/>
  <c r="O2717" i="22"/>
  <c r="N2717" i="22"/>
  <c r="M2717" i="22"/>
  <c r="L2717" i="22"/>
  <c r="K2717" i="22"/>
  <c r="O2716" i="22"/>
  <c r="N2716" i="22"/>
  <c r="M2716" i="22"/>
  <c r="L2716" i="22"/>
  <c r="K2716" i="22"/>
  <c r="O2715" i="22"/>
  <c r="N2715" i="22"/>
  <c r="M2715" i="22"/>
  <c r="L2715" i="22"/>
  <c r="K2715" i="22"/>
  <c r="O2714" i="22"/>
  <c r="N2714" i="22"/>
  <c r="M2714" i="22"/>
  <c r="L2714" i="22"/>
  <c r="K2714" i="22"/>
  <c r="O2713" i="22"/>
  <c r="N2713" i="22"/>
  <c r="M2713" i="22"/>
  <c r="L2713" i="22"/>
  <c r="K2713" i="22"/>
  <c r="O2712" i="22"/>
  <c r="N2712" i="22"/>
  <c r="M2712" i="22"/>
  <c r="L2712" i="22"/>
  <c r="K2712" i="22"/>
  <c r="O2711" i="22"/>
  <c r="N2711" i="22"/>
  <c r="M2711" i="22"/>
  <c r="L2711" i="22"/>
  <c r="K2711" i="22"/>
  <c r="O2710" i="22"/>
  <c r="N2710" i="22"/>
  <c r="M2710" i="22"/>
  <c r="L2710" i="22"/>
  <c r="K2710" i="22"/>
  <c r="O2709" i="22"/>
  <c r="N2709" i="22"/>
  <c r="M2709" i="22"/>
  <c r="L2709" i="22"/>
  <c r="K2709" i="22"/>
  <c r="O2708" i="22"/>
  <c r="N2708" i="22"/>
  <c r="M2708" i="22"/>
  <c r="L2708" i="22"/>
  <c r="K2708" i="22"/>
  <c r="O2707" i="22"/>
  <c r="N2707" i="22"/>
  <c r="M2707" i="22"/>
  <c r="L2707" i="22"/>
  <c r="K2707" i="22"/>
  <c r="O2706" i="22"/>
  <c r="N2706" i="22"/>
  <c r="M2706" i="22"/>
  <c r="L2706" i="22"/>
  <c r="K2706" i="22"/>
  <c r="O2705" i="22"/>
  <c r="N2705" i="22"/>
  <c r="M2705" i="22"/>
  <c r="L2705" i="22"/>
  <c r="K2705" i="22"/>
  <c r="O2704" i="22"/>
  <c r="N2704" i="22"/>
  <c r="M2704" i="22"/>
  <c r="L2704" i="22"/>
  <c r="K2704" i="22"/>
  <c r="O2703" i="22"/>
  <c r="N2703" i="22"/>
  <c r="M2703" i="22"/>
  <c r="L2703" i="22"/>
  <c r="K2703" i="22"/>
  <c r="O2702" i="22"/>
  <c r="N2702" i="22"/>
  <c r="M2702" i="22"/>
  <c r="L2702" i="22"/>
  <c r="K2702" i="22"/>
  <c r="O2701" i="22"/>
  <c r="N2701" i="22"/>
  <c r="M2701" i="22"/>
  <c r="L2701" i="22"/>
  <c r="K2701" i="22"/>
  <c r="O2700" i="22"/>
  <c r="N2700" i="22"/>
  <c r="M2700" i="22"/>
  <c r="L2700" i="22"/>
  <c r="K2700" i="22"/>
  <c r="O2699" i="22"/>
  <c r="N2699" i="22"/>
  <c r="M2699" i="22"/>
  <c r="L2699" i="22"/>
  <c r="K2699" i="22"/>
  <c r="O2698" i="22"/>
  <c r="N2698" i="22"/>
  <c r="M2698" i="22"/>
  <c r="L2698" i="22"/>
  <c r="K2698" i="22"/>
  <c r="O2697" i="22"/>
  <c r="N2697" i="22"/>
  <c r="M2697" i="22"/>
  <c r="L2697" i="22"/>
  <c r="K2697" i="22"/>
  <c r="O2696" i="22"/>
  <c r="N2696" i="22"/>
  <c r="M2696" i="22"/>
  <c r="L2696" i="22"/>
  <c r="K2696" i="22"/>
  <c r="O2695" i="22"/>
  <c r="N2695" i="22"/>
  <c r="M2695" i="22"/>
  <c r="L2695" i="22"/>
  <c r="K2695" i="22"/>
  <c r="O2694" i="22"/>
  <c r="N2694" i="22"/>
  <c r="M2694" i="22"/>
  <c r="L2694" i="22"/>
  <c r="K2694" i="22"/>
  <c r="O2693" i="22"/>
  <c r="N2693" i="22"/>
  <c r="M2693" i="22"/>
  <c r="L2693" i="22"/>
  <c r="K2693" i="22"/>
  <c r="O2692" i="22"/>
  <c r="N2692" i="22"/>
  <c r="M2692" i="22"/>
  <c r="L2692" i="22"/>
  <c r="K2692" i="22"/>
  <c r="O2691" i="22"/>
  <c r="N2691" i="22"/>
  <c r="M2691" i="22"/>
  <c r="L2691" i="22"/>
  <c r="K2691" i="22"/>
  <c r="O2690" i="22"/>
  <c r="N2690" i="22"/>
  <c r="M2690" i="22"/>
  <c r="L2690" i="22"/>
  <c r="K2690" i="22"/>
  <c r="O2689" i="22"/>
  <c r="N2689" i="22"/>
  <c r="M2689" i="22"/>
  <c r="L2689" i="22"/>
  <c r="K2689" i="22"/>
  <c r="O2688" i="22"/>
  <c r="N2688" i="22"/>
  <c r="M2688" i="22"/>
  <c r="L2688" i="22"/>
  <c r="K2688" i="22"/>
  <c r="O2687" i="22"/>
  <c r="N2687" i="22"/>
  <c r="M2687" i="22"/>
  <c r="L2687" i="22"/>
  <c r="K2687" i="22"/>
  <c r="O2686" i="22"/>
  <c r="N2686" i="22"/>
  <c r="M2686" i="22"/>
  <c r="L2686" i="22"/>
  <c r="K2686" i="22"/>
  <c r="O2685" i="22"/>
  <c r="N2685" i="22"/>
  <c r="M2685" i="22"/>
  <c r="L2685" i="22"/>
  <c r="K2685" i="22"/>
  <c r="O2684" i="22"/>
  <c r="N2684" i="22"/>
  <c r="M2684" i="22"/>
  <c r="L2684" i="22"/>
  <c r="K2684" i="22"/>
  <c r="O2683" i="22"/>
  <c r="N2683" i="22"/>
  <c r="M2683" i="22"/>
  <c r="L2683" i="22"/>
  <c r="K2683" i="22"/>
  <c r="O2682" i="22"/>
  <c r="N2682" i="22"/>
  <c r="M2682" i="22"/>
  <c r="L2682" i="22"/>
  <c r="K2682" i="22"/>
  <c r="O2681" i="22"/>
  <c r="N2681" i="22"/>
  <c r="M2681" i="22"/>
  <c r="L2681" i="22"/>
  <c r="K2681" i="22"/>
  <c r="O2680" i="22"/>
  <c r="N2680" i="22"/>
  <c r="M2680" i="22"/>
  <c r="L2680" i="22"/>
  <c r="K2680" i="22"/>
  <c r="O2679" i="22"/>
  <c r="N2679" i="22"/>
  <c r="M2679" i="22"/>
  <c r="L2679" i="22"/>
  <c r="K2679" i="22"/>
  <c r="O2678" i="22"/>
  <c r="N2678" i="22"/>
  <c r="M2678" i="22"/>
  <c r="L2678" i="22"/>
  <c r="K2678" i="22"/>
  <c r="O2677" i="22"/>
  <c r="N2677" i="22"/>
  <c r="M2677" i="22"/>
  <c r="L2677" i="22"/>
  <c r="K2677" i="22"/>
  <c r="O2676" i="22"/>
  <c r="N2676" i="22"/>
  <c r="M2676" i="22"/>
  <c r="L2676" i="22"/>
  <c r="K2676" i="22"/>
  <c r="O2675" i="22"/>
  <c r="N2675" i="22"/>
  <c r="M2675" i="22"/>
  <c r="L2675" i="22"/>
  <c r="K2675" i="22"/>
  <c r="O2674" i="22"/>
  <c r="N2674" i="22"/>
  <c r="M2674" i="22"/>
  <c r="L2674" i="22"/>
  <c r="K2674" i="22"/>
  <c r="O2673" i="22"/>
  <c r="N2673" i="22"/>
  <c r="M2673" i="22"/>
  <c r="L2673" i="22"/>
  <c r="K2673" i="22"/>
  <c r="O2672" i="22"/>
  <c r="N2672" i="22"/>
  <c r="M2672" i="22"/>
  <c r="L2672" i="22"/>
  <c r="K2672" i="22"/>
  <c r="O2671" i="22"/>
  <c r="N2671" i="22"/>
  <c r="M2671" i="22"/>
  <c r="L2671" i="22"/>
  <c r="K2671" i="22"/>
  <c r="O2670" i="22"/>
  <c r="N2670" i="22"/>
  <c r="M2670" i="22"/>
  <c r="L2670" i="22"/>
  <c r="K2670" i="22"/>
  <c r="O2669" i="22"/>
  <c r="N2669" i="22"/>
  <c r="M2669" i="22"/>
  <c r="L2669" i="22"/>
  <c r="K2669" i="22"/>
  <c r="O2668" i="22"/>
  <c r="N2668" i="22"/>
  <c r="M2668" i="22"/>
  <c r="L2668" i="22"/>
  <c r="K2668" i="22"/>
  <c r="O2667" i="22"/>
  <c r="N2667" i="22"/>
  <c r="M2667" i="22"/>
  <c r="L2667" i="22"/>
  <c r="K2667" i="22"/>
  <c r="O2666" i="22"/>
  <c r="N2666" i="22"/>
  <c r="M2666" i="22"/>
  <c r="L2666" i="22"/>
  <c r="K2666" i="22"/>
  <c r="O2665" i="22"/>
  <c r="N2665" i="22"/>
  <c r="M2665" i="22"/>
  <c r="L2665" i="22"/>
  <c r="K2665" i="22"/>
  <c r="O2664" i="22"/>
  <c r="N2664" i="22"/>
  <c r="M2664" i="22"/>
  <c r="L2664" i="22"/>
  <c r="K2664" i="22"/>
  <c r="O2663" i="22"/>
  <c r="N2663" i="22"/>
  <c r="M2663" i="22"/>
  <c r="L2663" i="22"/>
  <c r="K2663" i="22"/>
  <c r="O2662" i="22"/>
  <c r="N2662" i="22"/>
  <c r="M2662" i="22"/>
  <c r="L2662" i="22"/>
  <c r="K2662" i="22"/>
  <c r="O2661" i="22"/>
  <c r="N2661" i="22"/>
  <c r="M2661" i="22"/>
  <c r="L2661" i="22"/>
  <c r="K2661" i="22"/>
  <c r="O2660" i="22"/>
  <c r="N2660" i="22"/>
  <c r="M2660" i="22"/>
  <c r="L2660" i="22"/>
  <c r="K2660" i="22"/>
  <c r="O2659" i="22"/>
  <c r="N2659" i="22"/>
  <c r="M2659" i="22"/>
  <c r="L2659" i="22"/>
  <c r="K2659" i="22"/>
  <c r="O2658" i="22"/>
  <c r="N2658" i="22"/>
  <c r="M2658" i="22"/>
  <c r="L2658" i="22"/>
  <c r="K2658" i="22"/>
  <c r="O2657" i="22"/>
  <c r="N2657" i="22"/>
  <c r="M2657" i="22"/>
  <c r="L2657" i="22"/>
  <c r="K2657" i="22"/>
  <c r="O2656" i="22"/>
  <c r="N2656" i="22"/>
  <c r="M2656" i="22"/>
  <c r="L2656" i="22"/>
  <c r="K2656" i="22"/>
  <c r="O2655" i="22"/>
  <c r="N2655" i="22"/>
  <c r="M2655" i="22"/>
  <c r="L2655" i="22"/>
  <c r="K2655" i="22"/>
  <c r="O2654" i="22"/>
  <c r="N2654" i="22"/>
  <c r="M2654" i="22"/>
  <c r="L2654" i="22"/>
  <c r="K2654" i="22"/>
  <c r="O2653" i="22"/>
  <c r="N2653" i="22"/>
  <c r="M2653" i="22"/>
  <c r="L2653" i="22"/>
  <c r="K2653" i="22"/>
  <c r="O2652" i="22"/>
  <c r="N2652" i="22"/>
  <c r="M2652" i="22"/>
  <c r="L2652" i="22"/>
  <c r="K2652" i="22"/>
  <c r="O2651" i="22"/>
  <c r="N2651" i="22"/>
  <c r="M2651" i="22"/>
  <c r="L2651" i="22"/>
  <c r="K2651" i="22"/>
  <c r="O2650" i="22"/>
  <c r="N2650" i="22"/>
  <c r="M2650" i="22"/>
  <c r="L2650" i="22"/>
  <c r="K2650" i="22"/>
  <c r="O2649" i="22"/>
  <c r="N2649" i="22"/>
  <c r="M2649" i="22"/>
  <c r="L2649" i="22"/>
  <c r="K2649" i="22"/>
  <c r="O2648" i="22"/>
  <c r="N2648" i="22"/>
  <c r="M2648" i="22"/>
  <c r="L2648" i="22"/>
  <c r="K2648" i="22"/>
  <c r="O2647" i="22"/>
  <c r="N2647" i="22"/>
  <c r="M2647" i="22"/>
  <c r="L2647" i="22"/>
  <c r="K2647" i="22"/>
  <c r="O2646" i="22"/>
  <c r="N2646" i="22"/>
  <c r="M2646" i="22"/>
  <c r="L2646" i="22"/>
  <c r="K2646" i="22"/>
  <c r="O2645" i="22"/>
  <c r="N2645" i="22"/>
  <c r="M2645" i="22"/>
  <c r="L2645" i="22"/>
  <c r="K2645" i="22"/>
  <c r="O2644" i="22"/>
  <c r="N2644" i="22"/>
  <c r="M2644" i="22"/>
  <c r="L2644" i="22"/>
  <c r="K2644" i="22"/>
  <c r="O2643" i="22"/>
  <c r="N2643" i="22"/>
  <c r="M2643" i="22"/>
  <c r="L2643" i="22"/>
  <c r="K2643" i="22"/>
  <c r="O2642" i="22"/>
  <c r="N2642" i="22"/>
  <c r="M2642" i="22"/>
  <c r="L2642" i="22"/>
  <c r="K2642" i="22"/>
  <c r="O2641" i="22"/>
  <c r="N2641" i="22"/>
  <c r="M2641" i="22"/>
  <c r="L2641" i="22"/>
  <c r="K2641" i="22"/>
  <c r="O2640" i="22"/>
  <c r="N2640" i="22"/>
  <c r="M2640" i="22"/>
  <c r="L2640" i="22"/>
  <c r="K2640" i="22"/>
  <c r="O2639" i="22"/>
  <c r="N2639" i="22"/>
  <c r="M2639" i="22"/>
  <c r="L2639" i="22"/>
  <c r="K2639" i="22"/>
  <c r="O2638" i="22"/>
  <c r="N2638" i="22"/>
  <c r="M2638" i="22"/>
  <c r="L2638" i="22"/>
  <c r="K2638" i="22"/>
  <c r="O2637" i="22"/>
  <c r="N2637" i="22"/>
  <c r="M2637" i="22"/>
  <c r="L2637" i="22"/>
  <c r="K2637" i="22"/>
  <c r="O2636" i="22"/>
  <c r="N2636" i="22"/>
  <c r="M2636" i="22"/>
  <c r="L2636" i="22"/>
  <c r="K2636" i="22"/>
  <c r="O2635" i="22"/>
  <c r="N2635" i="22"/>
  <c r="M2635" i="22"/>
  <c r="L2635" i="22"/>
  <c r="K2635" i="22"/>
  <c r="O2634" i="22"/>
  <c r="N2634" i="22"/>
  <c r="M2634" i="22"/>
  <c r="L2634" i="22"/>
  <c r="K2634" i="22"/>
  <c r="O2633" i="22"/>
  <c r="N2633" i="22"/>
  <c r="M2633" i="22"/>
  <c r="L2633" i="22"/>
  <c r="K2633" i="22"/>
  <c r="O2632" i="22"/>
  <c r="N2632" i="22"/>
  <c r="M2632" i="22"/>
  <c r="L2632" i="22"/>
  <c r="K2632" i="22"/>
  <c r="O2631" i="22"/>
  <c r="N2631" i="22"/>
  <c r="M2631" i="22"/>
  <c r="L2631" i="22"/>
  <c r="K2631" i="22"/>
  <c r="O2630" i="22"/>
  <c r="N2630" i="22"/>
  <c r="M2630" i="22"/>
  <c r="L2630" i="22"/>
  <c r="K2630" i="22"/>
  <c r="O2629" i="22"/>
  <c r="N2629" i="22"/>
  <c r="M2629" i="22"/>
  <c r="L2629" i="22"/>
  <c r="K2629" i="22"/>
  <c r="O2628" i="22"/>
  <c r="N2628" i="22"/>
  <c r="M2628" i="22"/>
  <c r="L2628" i="22"/>
  <c r="K2628" i="22"/>
  <c r="O2627" i="22"/>
  <c r="N2627" i="22"/>
  <c r="M2627" i="22"/>
  <c r="L2627" i="22"/>
  <c r="K2627" i="22"/>
  <c r="O2626" i="22"/>
  <c r="N2626" i="22"/>
  <c r="M2626" i="22"/>
  <c r="L2626" i="22"/>
  <c r="K2626" i="22"/>
  <c r="O2625" i="22"/>
  <c r="N2625" i="22"/>
  <c r="M2625" i="22"/>
  <c r="L2625" i="22"/>
  <c r="K2625" i="22"/>
  <c r="O2624" i="22"/>
  <c r="N2624" i="22"/>
  <c r="M2624" i="22"/>
  <c r="L2624" i="22"/>
  <c r="K2624" i="22"/>
  <c r="O2623" i="22"/>
  <c r="N2623" i="22"/>
  <c r="M2623" i="22"/>
  <c r="L2623" i="22"/>
  <c r="K2623" i="22"/>
  <c r="O2622" i="22"/>
  <c r="N2622" i="22"/>
  <c r="M2622" i="22"/>
  <c r="L2622" i="22"/>
  <c r="K2622" i="22"/>
  <c r="O2621" i="22"/>
  <c r="N2621" i="22"/>
  <c r="M2621" i="22"/>
  <c r="L2621" i="22"/>
  <c r="K2621" i="22"/>
  <c r="O2620" i="22"/>
  <c r="N2620" i="22"/>
  <c r="M2620" i="22"/>
  <c r="L2620" i="22"/>
  <c r="K2620" i="22"/>
  <c r="O2619" i="22"/>
  <c r="N2619" i="22"/>
  <c r="M2619" i="22"/>
  <c r="L2619" i="22"/>
  <c r="K2619" i="22"/>
  <c r="O2618" i="22"/>
  <c r="N2618" i="22"/>
  <c r="M2618" i="22"/>
  <c r="L2618" i="22"/>
  <c r="K2618" i="22"/>
  <c r="O2617" i="22"/>
  <c r="N2617" i="22"/>
  <c r="M2617" i="22"/>
  <c r="L2617" i="22"/>
  <c r="K2617" i="22"/>
  <c r="O2616" i="22"/>
  <c r="N2616" i="22"/>
  <c r="M2616" i="22"/>
  <c r="L2616" i="22"/>
  <c r="K2616" i="22"/>
  <c r="O2615" i="22"/>
  <c r="N2615" i="22"/>
  <c r="M2615" i="22"/>
  <c r="L2615" i="22"/>
  <c r="K2615" i="22"/>
  <c r="O2614" i="22"/>
  <c r="N2614" i="22"/>
  <c r="M2614" i="22"/>
  <c r="L2614" i="22"/>
  <c r="K2614" i="22"/>
  <c r="O2613" i="22"/>
  <c r="N2613" i="22"/>
  <c r="M2613" i="22"/>
  <c r="L2613" i="22"/>
  <c r="K2613" i="22"/>
  <c r="O2612" i="22"/>
  <c r="N2612" i="22"/>
  <c r="M2612" i="22"/>
  <c r="L2612" i="22"/>
  <c r="K2612" i="22"/>
  <c r="O2611" i="22"/>
  <c r="N2611" i="22"/>
  <c r="M2611" i="22"/>
  <c r="L2611" i="22"/>
  <c r="K2611" i="22"/>
  <c r="O2610" i="22"/>
  <c r="N2610" i="22"/>
  <c r="M2610" i="22"/>
  <c r="L2610" i="22"/>
  <c r="K2610" i="22"/>
  <c r="O2609" i="22"/>
  <c r="N2609" i="22"/>
  <c r="M2609" i="22"/>
  <c r="L2609" i="22"/>
  <c r="K2609" i="22"/>
  <c r="O2608" i="22"/>
  <c r="N2608" i="22"/>
  <c r="M2608" i="22"/>
  <c r="L2608" i="22"/>
  <c r="K2608" i="22"/>
  <c r="O2607" i="22"/>
  <c r="N2607" i="22"/>
  <c r="M2607" i="22"/>
  <c r="L2607" i="22"/>
  <c r="K2607" i="22"/>
  <c r="O2606" i="22"/>
  <c r="N2606" i="22"/>
  <c r="M2606" i="22"/>
  <c r="L2606" i="22"/>
  <c r="K2606" i="22"/>
  <c r="O2605" i="22"/>
  <c r="N2605" i="22"/>
  <c r="M2605" i="22"/>
  <c r="L2605" i="22"/>
  <c r="K2605" i="22"/>
  <c r="O2604" i="22"/>
  <c r="N2604" i="22"/>
  <c r="M2604" i="22"/>
  <c r="L2604" i="22"/>
  <c r="K2604" i="22"/>
  <c r="O2603" i="22"/>
  <c r="N2603" i="22"/>
  <c r="M2603" i="22"/>
  <c r="L2603" i="22"/>
  <c r="K2603" i="22"/>
  <c r="O2602" i="22"/>
  <c r="N2602" i="22"/>
  <c r="M2602" i="22"/>
  <c r="L2602" i="22"/>
  <c r="K2602" i="22"/>
  <c r="O2601" i="22"/>
  <c r="N2601" i="22"/>
  <c r="M2601" i="22"/>
  <c r="L2601" i="22"/>
  <c r="K2601" i="22"/>
  <c r="O2600" i="22"/>
  <c r="N2600" i="22"/>
  <c r="M2600" i="22"/>
  <c r="L2600" i="22"/>
  <c r="K2600" i="22"/>
  <c r="O2599" i="22"/>
  <c r="N2599" i="22"/>
  <c r="M2599" i="22"/>
  <c r="L2599" i="22"/>
  <c r="K2599" i="22"/>
  <c r="O2598" i="22"/>
  <c r="N2598" i="22"/>
  <c r="M2598" i="22"/>
  <c r="L2598" i="22"/>
  <c r="K2598" i="22"/>
  <c r="O2597" i="22"/>
  <c r="N2597" i="22"/>
  <c r="M2597" i="22"/>
  <c r="L2597" i="22"/>
  <c r="K2597" i="22"/>
  <c r="O2596" i="22"/>
  <c r="N2596" i="22"/>
  <c r="M2596" i="22"/>
  <c r="L2596" i="22"/>
  <c r="K2596" i="22"/>
  <c r="O2595" i="22"/>
  <c r="N2595" i="22"/>
  <c r="M2595" i="22"/>
  <c r="L2595" i="22"/>
  <c r="K2595" i="22"/>
  <c r="O2594" i="22"/>
  <c r="N2594" i="22"/>
  <c r="M2594" i="22"/>
  <c r="L2594" i="22"/>
  <c r="K2594" i="22"/>
  <c r="O2593" i="22"/>
  <c r="N2593" i="22"/>
  <c r="M2593" i="22"/>
  <c r="L2593" i="22"/>
  <c r="K2593" i="22"/>
  <c r="O2592" i="22"/>
  <c r="N2592" i="22"/>
  <c r="M2592" i="22"/>
  <c r="L2592" i="22"/>
  <c r="K2592" i="22"/>
  <c r="O2591" i="22"/>
  <c r="N2591" i="22"/>
  <c r="M2591" i="22"/>
  <c r="L2591" i="22"/>
  <c r="K2591" i="22"/>
  <c r="O2590" i="22"/>
  <c r="N2590" i="22"/>
  <c r="M2590" i="22"/>
  <c r="L2590" i="22"/>
  <c r="K2590" i="22"/>
  <c r="O2589" i="22"/>
  <c r="N2589" i="22"/>
  <c r="M2589" i="22"/>
  <c r="L2589" i="22"/>
  <c r="K2589" i="22"/>
  <c r="O2588" i="22"/>
  <c r="N2588" i="22"/>
  <c r="M2588" i="22"/>
  <c r="L2588" i="22"/>
  <c r="K2588" i="22"/>
  <c r="O2587" i="22"/>
  <c r="N2587" i="22"/>
  <c r="M2587" i="22"/>
  <c r="L2587" i="22"/>
  <c r="K2587" i="22"/>
  <c r="O2586" i="22"/>
  <c r="N2586" i="22"/>
  <c r="M2586" i="22"/>
  <c r="L2586" i="22"/>
  <c r="K2586" i="22"/>
  <c r="O2585" i="22"/>
  <c r="N2585" i="22"/>
  <c r="M2585" i="22"/>
  <c r="L2585" i="22"/>
  <c r="K2585" i="22"/>
  <c r="O2584" i="22"/>
  <c r="N2584" i="22"/>
  <c r="M2584" i="22"/>
  <c r="L2584" i="22"/>
  <c r="K2584" i="22"/>
  <c r="O2583" i="22"/>
  <c r="N2583" i="22"/>
  <c r="M2583" i="22"/>
  <c r="L2583" i="22"/>
  <c r="K2583" i="22"/>
  <c r="O2582" i="22"/>
  <c r="N2582" i="22"/>
  <c r="M2582" i="22"/>
  <c r="L2582" i="22"/>
  <c r="K2582" i="22"/>
  <c r="O2581" i="22"/>
  <c r="N2581" i="22"/>
  <c r="M2581" i="22"/>
  <c r="L2581" i="22"/>
  <c r="K2581" i="22"/>
  <c r="O2580" i="22"/>
  <c r="N2580" i="22"/>
  <c r="M2580" i="22"/>
  <c r="L2580" i="22"/>
  <c r="K2580" i="22"/>
  <c r="O2579" i="22"/>
  <c r="N2579" i="22"/>
  <c r="M2579" i="22"/>
  <c r="L2579" i="22"/>
  <c r="K2579" i="22"/>
  <c r="O2578" i="22"/>
  <c r="N2578" i="22"/>
  <c r="M2578" i="22"/>
  <c r="L2578" i="22"/>
  <c r="K2578" i="22"/>
  <c r="O2577" i="22"/>
  <c r="N2577" i="22"/>
  <c r="M2577" i="22"/>
  <c r="L2577" i="22"/>
  <c r="K2577" i="22"/>
  <c r="O2576" i="22"/>
  <c r="N2576" i="22"/>
  <c r="M2576" i="22"/>
  <c r="L2576" i="22"/>
  <c r="K2576" i="22"/>
  <c r="O2575" i="22"/>
  <c r="N2575" i="22"/>
  <c r="M2575" i="22"/>
  <c r="L2575" i="22"/>
  <c r="K2575" i="22"/>
  <c r="O2574" i="22"/>
  <c r="N2574" i="22"/>
  <c r="M2574" i="22"/>
  <c r="L2574" i="22"/>
  <c r="K2574" i="22"/>
  <c r="O2573" i="22"/>
  <c r="N2573" i="22"/>
  <c r="M2573" i="22"/>
  <c r="L2573" i="22"/>
  <c r="K2573" i="22"/>
  <c r="O2572" i="22"/>
  <c r="N2572" i="22"/>
  <c r="M2572" i="22"/>
  <c r="L2572" i="22"/>
  <c r="K2572" i="22"/>
  <c r="O2571" i="22"/>
  <c r="N2571" i="22"/>
  <c r="M2571" i="22"/>
  <c r="L2571" i="22"/>
  <c r="K2571" i="22"/>
  <c r="O2570" i="22"/>
  <c r="N2570" i="22"/>
  <c r="M2570" i="22"/>
  <c r="L2570" i="22"/>
  <c r="K2570" i="22"/>
  <c r="O2569" i="22"/>
  <c r="N2569" i="22"/>
  <c r="M2569" i="22"/>
  <c r="L2569" i="22"/>
  <c r="K2569" i="22"/>
  <c r="O2568" i="22"/>
  <c r="N2568" i="22"/>
  <c r="M2568" i="22"/>
  <c r="L2568" i="22"/>
  <c r="K2568" i="22"/>
  <c r="O2567" i="22"/>
  <c r="N2567" i="22"/>
  <c r="M2567" i="22"/>
  <c r="L2567" i="22"/>
  <c r="K2567" i="22"/>
  <c r="O2566" i="22"/>
  <c r="N2566" i="22"/>
  <c r="M2566" i="22"/>
  <c r="L2566" i="22"/>
  <c r="K2566" i="22"/>
  <c r="O2565" i="22"/>
  <c r="N2565" i="22"/>
  <c r="M2565" i="22"/>
  <c r="L2565" i="22"/>
  <c r="K2565" i="22"/>
  <c r="O2564" i="22"/>
  <c r="N2564" i="22"/>
  <c r="M2564" i="22"/>
  <c r="L2564" i="22"/>
  <c r="K2564" i="22"/>
  <c r="O2563" i="22"/>
  <c r="N2563" i="22"/>
  <c r="M2563" i="22"/>
  <c r="L2563" i="22"/>
  <c r="K2563" i="22"/>
  <c r="O2562" i="22"/>
  <c r="N2562" i="22"/>
  <c r="M2562" i="22"/>
  <c r="L2562" i="22"/>
  <c r="K2562" i="22"/>
  <c r="O2561" i="22"/>
  <c r="N2561" i="22"/>
  <c r="M2561" i="22"/>
  <c r="L2561" i="22"/>
  <c r="K2561" i="22"/>
  <c r="O2560" i="22"/>
  <c r="N2560" i="22"/>
  <c r="M2560" i="22"/>
  <c r="L2560" i="22"/>
  <c r="K2560" i="22"/>
  <c r="O2559" i="22"/>
  <c r="N2559" i="22"/>
  <c r="M2559" i="22"/>
  <c r="L2559" i="22"/>
  <c r="K2559" i="22"/>
  <c r="O2558" i="22"/>
  <c r="N2558" i="22"/>
  <c r="M2558" i="22"/>
  <c r="L2558" i="22"/>
  <c r="K2558" i="22"/>
  <c r="O2557" i="22"/>
  <c r="N2557" i="22"/>
  <c r="M2557" i="22"/>
  <c r="L2557" i="22"/>
  <c r="K2557" i="22"/>
  <c r="O2556" i="22"/>
  <c r="N2556" i="22"/>
  <c r="M2556" i="22"/>
  <c r="L2556" i="22"/>
  <c r="K2556" i="22"/>
  <c r="O2555" i="22"/>
  <c r="N2555" i="22"/>
  <c r="M2555" i="22"/>
  <c r="L2555" i="22"/>
  <c r="K2555" i="22"/>
  <c r="O2554" i="22"/>
  <c r="N2554" i="22"/>
  <c r="M2554" i="22"/>
  <c r="L2554" i="22"/>
  <c r="K2554" i="22"/>
  <c r="O2553" i="22"/>
  <c r="N2553" i="22"/>
  <c r="M2553" i="22"/>
  <c r="L2553" i="22"/>
  <c r="K2553" i="22"/>
  <c r="O2552" i="22"/>
  <c r="N2552" i="22"/>
  <c r="M2552" i="22"/>
  <c r="L2552" i="22"/>
  <c r="K2552" i="22"/>
  <c r="O2551" i="22"/>
  <c r="N2551" i="22"/>
  <c r="M2551" i="22"/>
  <c r="L2551" i="22"/>
  <c r="K2551" i="22"/>
  <c r="O2550" i="22"/>
  <c r="N2550" i="22"/>
  <c r="M2550" i="22"/>
  <c r="L2550" i="22"/>
  <c r="K2550" i="22"/>
  <c r="O2549" i="22"/>
  <c r="N2549" i="22"/>
  <c r="M2549" i="22"/>
  <c r="L2549" i="22"/>
  <c r="K2549" i="22"/>
  <c r="O2548" i="22"/>
  <c r="N2548" i="22"/>
  <c r="M2548" i="22"/>
  <c r="L2548" i="22"/>
  <c r="K2548" i="22"/>
  <c r="O2547" i="22"/>
  <c r="N2547" i="22"/>
  <c r="M2547" i="22"/>
  <c r="L2547" i="22"/>
  <c r="K2547" i="22"/>
  <c r="O2546" i="22"/>
  <c r="N2546" i="22"/>
  <c r="M2546" i="22"/>
  <c r="L2546" i="22"/>
  <c r="K2546" i="22"/>
  <c r="O2545" i="22"/>
  <c r="N2545" i="22"/>
  <c r="M2545" i="22"/>
  <c r="L2545" i="22"/>
  <c r="K2545" i="22"/>
  <c r="O2544" i="22"/>
  <c r="N2544" i="22"/>
  <c r="M2544" i="22"/>
  <c r="L2544" i="22"/>
  <c r="K2544" i="22"/>
  <c r="O2543" i="22"/>
  <c r="N2543" i="22"/>
  <c r="M2543" i="22"/>
  <c r="L2543" i="22"/>
  <c r="K2543" i="22"/>
  <c r="O2542" i="22"/>
  <c r="N2542" i="22"/>
  <c r="M2542" i="22"/>
  <c r="L2542" i="22"/>
  <c r="K2542" i="22"/>
  <c r="O2541" i="22"/>
  <c r="N2541" i="22"/>
  <c r="M2541" i="22"/>
  <c r="L2541" i="22"/>
  <c r="K2541" i="22"/>
  <c r="O2540" i="22"/>
  <c r="N2540" i="22"/>
  <c r="M2540" i="22"/>
  <c r="L2540" i="22"/>
  <c r="K2540" i="22"/>
  <c r="O2539" i="22"/>
  <c r="N2539" i="22"/>
  <c r="M2539" i="22"/>
  <c r="L2539" i="22"/>
  <c r="K2539" i="22"/>
  <c r="O2538" i="22"/>
  <c r="N2538" i="22"/>
  <c r="M2538" i="22"/>
  <c r="L2538" i="22"/>
  <c r="K2538" i="22"/>
  <c r="O2537" i="22"/>
  <c r="N2537" i="22"/>
  <c r="M2537" i="22"/>
  <c r="L2537" i="22"/>
  <c r="K2537" i="22"/>
  <c r="O2536" i="22"/>
  <c r="N2536" i="22"/>
  <c r="M2536" i="22"/>
  <c r="L2536" i="22"/>
  <c r="K2536" i="22"/>
  <c r="O2535" i="22"/>
  <c r="N2535" i="22"/>
  <c r="M2535" i="22"/>
  <c r="L2535" i="22"/>
  <c r="K2535" i="22"/>
  <c r="O2534" i="22"/>
  <c r="N2534" i="22"/>
  <c r="M2534" i="22"/>
  <c r="L2534" i="22"/>
  <c r="K2534" i="22"/>
  <c r="O2533" i="22"/>
  <c r="N2533" i="22"/>
  <c r="M2533" i="22"/>
  <c r="L2533" i="22"/>
  <c r="K2533" i="22"/>
  <c r="O2532" i="22"/>
  <c r="N2532" i="22"/>
  <c r="M2532" i="22"/>
  <c r="L2532" i="22"/>
  <c r="K2532" i="22"/>
  <c r="O2531" i="22"/>
  <c r="N2531" i="22"/>
  <c r="M2531" i="22"/>
  <c r="L2531" i="22"/>
  <c r="K2531" i="22"/>
  <c r="O2530" i="22"/>
  <c r="N2530" i="22"/>
  <c r="M2530" i="22"/>
  <c r="L2530" i="22"/>
  <c r="K2530" i="22"/>
  <c r="O2529" i="22"/>
  <c r="N2529" i="22"/>
  <c r="M2529" i="22"/>
  <c r="L2529" i="22"/>
  <c r="K2529" i="22"/>
  <c r="O2528" i="22"/>
  <c r="N2528" i="22"/>
  <c r="M2528" i="22"/>
  <c r="L2528" i="22"/>
  <c r="K2528" i="22"/>
  <c r="O2527" i="22"/>
  <c r="N2527" i="22"/>
  <c r="M2527" i="22"/>
  <c r="L2527" i="22"/>
  <c r="K2527" i="22"/>
  <c r="O2526" i="22"/>
  <c r="N2526" i="22"/>
  <c r="M2526" i="22"/>
  <c r="L2526" i="22"/>
  <c r="K2526" i="22"/>
  <c r="O2525" i="22"/>
  <c r="N2525" i="22"/>
  <c r="M2525" i="22"/>
  <c r="L2525" i="22"/>
  <c r="K2525" i="22"/>
  <c r="O2524" i="22"/>
  <c r="N2524" i="22"/>
  <c r="M2524" i="22"/>
  <c r="L2524" i="22"/>
  <c r="K2524" i="22"/>
  <c r="O2523" i="22"/>
  <c r="N2523" i="22"/>
  <c r="M2523" i="22"/>
  <c r="L2523" i="22"/>
  <c r="K2523" i="22"/>
  <c r="O2522" i="22"/>
  <c r="N2522" i="22"/>
  <c r="M2522" i="22"/>
  <c r="L2522" i="22"/>
  <c r="K2522" i="22"/>
  <c r="O2521" i="22"/>
  <c r="N2521" i="22"/>
  <c r="M2521" i="22"/>
  <c r="L2521" i="22"/>
  <c r="K2521" i="22"/>
  <c r="O2520" i="22"/>
  <c r="N2520" i="22"/>
  <c r="M2520" i="22"/>
  <c r="L2520" i="22"/>
  <c r="K2520" i="22"/>
  <c r="O2519" i="22"/>
  <c r="N2519" i="22"/>
  <c r="M2519" i="22"/>
  <c r="L2519" i="22"/>
  <c r="K2519" i="22"/>
  <c r="O2518" i="22"/>
  <c r="N2518" i="22"/>
  <c r="M2518" i="22"/>
  <c r="L2518" i="22"/>
  <c r="K2518" i="22"/>
  <c r="O2517" i="22"/>
  <c r="N2517" i="22"/>
  <c r="M2517" i="22"/>
  <c r="L2517" i="22"/>
  <c r="K2517" i="22"/>
  <c r="O2516" i="22"/>
  <c r="N2516" i="22"/>
  <c r="M2516" i="22"/>
  <c r="L2516" i="22"/>
  <c r="K2516" i="22"/>
  <c r="O2515" i="22"/>
  <c r="N2515" i="22"/>
  <c r="M2515" i="22"/>
  <c r="L2515" i="22"/>
  <c r="K2515" i="22"/>
  <c r="O2514" i="22"/>
  <c r="N2514" i="22"/>
  <c r="M2514" i="22"/>
  <c r="L2514" i="22"/>
  <c r="K2514" i="22"/>
  <c r="O2513" i="22"/>
  <c r="N2513" i="22"/>
  <c r="M2513" i="22"/>
  <c r="L2513" i="22"/>
  <c r="K2513" i="22"/>
  <c r="O2512" i="22"/>
  <c r="N2512" i="22"/>
  <c r="M2512" i="22"/>
  <c r="L2512" i="22"/>
  <c r="K2512" i="22"/>
  <c r="O2511" i="22"/>
  <c r="N2511" i="22"/>
  <c r="M2511" i="22"/>
  <c r="L2511" i="22"/>
  <c r="K2511" i="22"/>
  <c r="O2510" i="22"/>
  <c r="N2510" i="22"/>
  <c r="M2510" i="22"/>
  <c r="L2510" i="22"/>
  <c r="K2510" i="22"/>
  <c r="O2509" i="22"/>
  <c r="N2509" i="22"/>
  <c r="M2509" i="22"/>
  <c r="L2509" i="22"/>
  <c r="K2509" i="22"/>
  <c r="O2508" i="22"/>
  <c r="N2508" i="22"/>
  <c r="M2508" i="22"/>
  <c r="L2508" i="22"/>
  <c r="K2508" i="22"/>
  <c r="O2507" i="22"/>
  <c r="N2507" i="22"/>
  <c r="M2507" i="22"/>
  <c r="L2507" i="22"/>
  <c r="K2507" i="22"/>
  <c r="O2506" i="22"/>
  <c r="N2506" i="22"/>
  <c r="M2506" i="22"/>
  <c r="L2506" i="22"/>
  <c r="K2506" i="22"/>
  <c r="O2505" i="22"/>
  <c r="N2505" i="22"/>
  <c r="M2505" i="22"/>
  <c r="L2505" i="22"/>
  <c r="K2505" i="22"/>
  <c r="O2504" i="22"/>
  <c r="N2504" i="22"/>
  <c r="M2504" i="22"/>
  <c r="L2504" i="22"/>
  <c r="K2504" i="22"/>
  <c r="O2503" i="22"/>
  <c r="N2503" i="22"/>
  <c r="M2503" i="22"/>
  <c r="L2503" i="22"/>
  <c r="K2503" i="22"/>
  <c r="O2502" i="22"/>
  <c r="N2502" i="22"/>
  <c r="M2502" i="22"/>
  <c r="L2502" i="22"/>
  <c r="K2502" i="22"/>
  <c r="O2501" i="22"/>
  <c r="N2501" i="22"/>
  <c r="M2501" i="22"/>
  <c r="L2501" i="22"/>
  <c r="K2501" i="22"/>
  <c r="O2500" i="22"/>
  <c r="N2500" i="22"/>
  <c r="M2500" i="22"/>
  <c r="L2500" i="22"/>
  <c r="K2500" i="22"/>
  <c r="O2499" i="22"/>
  <c r="N2499" i="22"/>
  <c r="M2499" i="22"/>
  <c r="L2499" i="22"/>
  <c r="K2499" i="22"/>
  <c r="O2498" i="22"/>
  <c r="N2498" i="22"/>
  <c r="M2498" i="22"/>
  <c r="L2498" i="22"/>
  <c r="K2498" i="22"/>
  <c r="O2497" i="22"/>
  <c r="N2497" i="22"/>
  <c r="M2497" i="22"/>
  <c r="L2497" i="22"/>
  <c r="K2497" i="22"/>
  <c r="O2496" i="22"/>
  <c r="N2496" i="22"/>
  <c r="M2496" i="22"/>
  <c r="L2496" i="22"/>
  <c r="K2496" i="22"/>
  <c r="O2495" i="22"/>
  <c r="N2495" i="22"/>
  <c r="M2495" i="22"/>
  <c r="L2495" i="22"/>
  <c r="K2495" i="22"/>
  <c r="O2494" i="22"/>
  <c r="N2494" i="22"/>
  <c r="M2494" i="22"/>
  <c r="L2494" i="22"/>
  <c r="K2494" i="22"/>
  <c r="O2493" i="22"/>
  <c r="N2493" i="22"/>
  <c r="M2493" i="22"/>
  <c r="L2493" i="22"/>
  <c r="K2493" i="22"/>
  <c r="O2492" i="22"/>
  <c r="N2492" i="22"/>
  <c r="M2492" i="22"/>
  <c r="L2492" i="22"/>
  <c r="K2492" i="22"/>
  <c r="O2491" i="22"/>
  <c r="N2491" i="22"/>
  <c r="M2491" i="22"/>
  <c r="L2491" i="22"/>
  <c r="K2491" i="22"/>
  <c r="O2490" i="22"/>
  <c r="N2490" i="22"/>
  <c r="M2490" i="22"/>
  <c r="L2490" i="22"/>
  <c r="K2490" i="22"/>
  <c r="O2489" i="22"/>
  <c r="N2489" i="22"/>
  <c r="M2489" i="22"/>
  <c r="L2489" i="22"/>
  <c r="K2489" i="22"/>
  <c r="O2488" i="22"/>
  <c r="N2488" i="22"/>
  <c r="M2488" i="22"/>
  <c r="L2488" i="22"/>
  <c r="K2488" i="22"/>
  <c r="O2487" i="22"/>
  <c r="N2487" i="22"/>
  <c r="M2487" i="22"/>
  <c r="L2487" i="22"/>
  <c r="K2487" i="22"/>
  <c r="O2486" i="22"/>
  <c r="N2486" i="22"/>
  <c r="M2486" i="22"/>
  <c r="L2486" i="22"/>
  <c r="K2486" i="22"/>
  <c r="O2485" i="22"/>
  <c r="N2485" i="22"/>
  <c r="M2485" i="22"/>
  <c r="L2485" i="22"/>
  <c r="K2485" i="22"/>
  <c r="O2484" i="22"/>
  <c r="N2484" i="22"/>
  <c r="M2484" i="22"/>
  <c r="L2484" i="22"/>
  <c r="K2484" i="22"/>
  <c r="O2483" i="22"/>
  <c r="N2483" i="22"/>
  <c r="M2483" i="22"/>
  <c r="L2483" i="22"/>
  <c r="K2483" i="22"/>
  <c r="O2482" i="22"/>
  <c r="N2482" i="22"/>
  <c r="M2482" i="22"/>
  <c r="L2482" i="22"/>
  <c r="K2482" i="22"/>
  <c r="O2481" i="22"/>
  <c r="N2481" i="22"/>
  <c r="M2481" i="22"/>
  <c r="L2481" i="22"/>
  <c r="K2481" i="22"/>
  <c r="O2480" i="22"/>
  <c r="N2480" i="22"/>
  <c r="M2480" i="22"/>
  <c r="L2480" i="22"/>
  <c r="K2480" i="22"/>
  <c r="O2479" i="22"/>
  <c r="N2479" i="22"/>
  <c r="M2479" i="22"/>
  <c r="L2479" i="22"/>
  <c r="K2479" i="22"/>
  <c r="O2478" i="22"/>
  <c r="N2478" i="22"/>
  <c r="M2478" i="22"/>
  <c r="L2478" i="22"/>
  <c r="K2478" i="22"/>
  <c r="O2477" i="22"/>
  <c r="N2477" i="22"/>
  <c r="M2477" i="22"/>
  <c r="L2477" i="22"/>
  <c r="K2477" i="22"/>
  <c r="O2476" i="22"/>
  <c r="N2476" i="22"/>
  <c r="M2476" i="22"/>
  <c r="L2476" i="22"/>
  <c r="K2476" i="22"/>
  <c r="O2475" i="22"/>
  <c r="N2475" i="22"/>
  <c r="M2475" i="22"/>
  <c r="L2475" i="22"/>
  <c r="K2475" i="22"/>
  <c r="O2474" i="22"/>
  <c r="N2474" i="22"/>
  <c r="M2474" i="22"/>
  <c r="L2474" i="22"/>
  <c r="K2474" i="22"/>
  <c r="O2473" i="22"/>
  <c r="N2473" i="22"/>
  <c r="M2473" i="22"/>
  <c r="L2473" i="22"/>
  <c r="K2473" i="22"/>
  <c r="O2472" i="22"/>
  <c r="N2472" i="22"/>
  <c r="M2472" i="22"/>
  <c r="L2472" i="22"/>
  <c r="K2472" i="22"/>
  <c r="O2471" i="22"/>
  <c r="N2471" i="22"/>
  <c r="M2471" i="22"/>
  <c r="L2471" i="22"/>
  <c r="K2471" i="22"/>
  <c r="O2470" i="22"/>
  <c r="N2470" i="22"/>
  <c r="M2470" i="22"/>
  <c r="L2470" i="22"/>
  <c r="K2470" i="22"/>
  <c r="O2469" i="22"/>
  <c r="N2469" i="22"/>
  <c r="M2469" i="22"/>
  <c r="L2469" i="22"/>
  <c r="K2469" i="22"/>
  <c r="O2468" i="22"/>
  <c r="N2468" i="22"/>
  <c r="M2468" i="22"/>
  <c r="L2468" i="22"/>
  <c r="K2468" i="22"/>
  <c r="O2467" i="22"/>
  <c r="N2467" i="22"/>
  <c r="M2467" i="22"/>
  <c r="L2467" i="22"/>
  <c r="K2467" i="22"/>
  <c r="O2466" i="22"/>
  <c r="N2466" i="22"/>
  <c r="M2466" i="22"/>
  <c r="L2466" i="22"/>
  <c r="K2466" i="22"/>
  <c r="O2465" i="22"/>
  <c r="N2465" i="22"/>
  <c r="M2465" i="22"/>
  <c r="L2465" i="22"/>
  <c r="K2465" i="22"/>
  <c r="O2464" i="22"/>
  <c r="N2464" i="22"/>
  <c r="M2464" i="22"/>
  <c r="L2464" i="22"/>
  <c r="K2464" i="22"/>
  <c r="O2463" i="22"/>
  <c r="N2463" i="22"/>
  <c r="M2463" i="22"/>
  <c r="L2463" i="22"/>
  <c r="K2463" i="22"/>
  <c r="O2462" i="22"/>
  <c r="N2462" i="22"/>
  <c r="M2462" i="22"/>
  <c r="L2462" i="22"/>
  <c r="K2462" i="22"/>
  <c r="O2461" i="22"/>
  <c r="N2461" i="22"/>
  <c r="M2461" i="22"/>
  <c r="L2461" i="22"/>
  <c r="K2461" i="22"/>
  <c r="O2460" i="22"/>
  <c r="N2460" i="22"/>
  <c r="M2460" i="22"/>
  <c r="L2460" i="22"/>
  <c r="K2460" i="22"/>
  <c r="O2459" i="22"/>
  <c r="N2459" i="22"/>
  <c r="M2459" i="22"/>
  <c r="L2459" i="22"/>
  <c r="K2459" i="22"/>
  <c r="O2458" i="22"/>
  <c r="N2458" i="22"/>
  <c r="M2458" i="22"/>
  <c r="L2458" i="22"/>
  <c r="K2458" i="22"/>
  <c r="O2457" i="22"/>
  <c r="N2457" i="22"/>
  <c r="M2457" i="22"/>
  <c r="L2457" i="22"/>
  <c r="K2457" i="22"/>
  <c r="O2456" i="22"/>
  <c r="N2456" i="22"/>
  <c r="M2456" i="22"/>
  <c r="L2456" i="22"/>
  <c r="K2456" i="22"/>
  <c r="O2455" i="22"/>
  <c r="N2455" i="22"/>
  <c r="M2455" i="22"/>
  <c r="L2455" i="22"/>
  <c r="K2455" i="22"/>
  <c r="O2454" i="22"/>
  <c r="N2454" i="22"/>
  <c r="M2454" i="22"/>
  <c r="L2454" i="22"/>
  <c r="K2454" i="22"/>
  <c r="O2453" i="22"/>
  <c r="N2453" i="22"/>
  <c r="M2453" i="22"/>
  <c r="L2453" i="22"/>
  <c r="K2453" i="22"/>
  <c r="O2452" i="22"/>
  <c r="N2452" i="22"/>
  <c r="M2452" i="22"/>
  <c r="L2452" i="22"/>
  <c r="K2452" i="22"/>
  <c r="O2451" i="22"/>
  <c r="N2451" i="22"/>
  <c r="M2451" i="22"/>
  <c r="L2451" i="22"/>
  <c r="K2451" i="22"/>
  <c r="O2450" i="22"/>
  <c r="N2450" i="22"/>
  <c r="M2450" i="22"/>
  <c r="L2450" i="22"/>
  <c r="K2450" i="22"/>
  <c r="O2449" i="22"/>
  <c r="N2449" i="22"/>
  <c r="M2449" i="22"/>
  <c r="L2449" i="22"/>
  <c r="K2449" i="22"/>
  <c r="O2448" i="22"/>
  <c r="N2448" i="22"/>
  <c r="M2448" i="22"/>
  <c r="L2448" i="22"/>
  <c r="K2448" i="22"/>
  <c r="O2447" i="22"/>
  <c r="N2447" i="22"/>
  <c r="M2447" i="22"/>
  <c r="L2447" i="22"/>
  <c r="K2447" i="22"/>
  <c r="O2446" i="22"/>
  <c r="N2446" i="22"/>
  <c r="M2446" i="22"/>
  <c r="L2446" i="22"/>
  <c r="K2446" i="22"/>
  <c r="O2445" i="22"/>
  <c r="N2445" i="22"/>
  <c r="M2445" i="22"/>
  <c r="L2445" i="22"/>
  <c r="K2445" i="22"/>
  <c r="O2444" i="22"/>
  <c r="N2444" i="22"/>
  <c r="M2444" i="22"/>
  <c r="L2444" i="22"/>
  <c r="K2444" i="22"/>
  <c r="O2443" i="22"/>
  <c r="N2443" i="22"/>
  <c r="M2443" i="22"/>
  <c r="L2443" i="22"/>
  <c r="K2443" i="22"/>
  <c r="O2442" i="22"/>
  <c r="N2442" i="22"/>
  <c r="M2442" i="22"/>
  <c r="L2442" i="22"/>
  <c r="K2442" i="22"/>
  <c r="O2441" i="22"/>
  <c r="N2441" i="22"/>
  <c r="M2441" i="22"/>
  <c r="L2441" i="22"/>
  <c r="K2441" i="22"/>
  <c r="O2440" i="22"/>
  <c r="N2440" i="22"/>
  <c r="M2440" i="22"/>
  <c r="L2440" i="22"/>
  <c r="K2440" i="22"/>
  <c r="O2439" i="22"/>
  <c r="N2439" i="22"/>
  <c r="M2439" i="22"/>
  <c r="L2439" i="22"/>
  <c r="K2439" i="22"/>
  <c r="O2438" i="22"/>
  <c r="N2438" i="22"/>
  <c r="M2438" i="22"/>
  <c r="L2438" i="22"/>
  <c r="K2438" i="22"/>
  <c r="O2437" i="22"/>
  <c r="N2437" i="22"/>
  <c r="M2437" i="22"/>
  <c r="L2437" i="22"/>
  <c r="K2437" i="22"/>
  <c r="O2436" i="22"/>
  <c r="N2436" i="22"/>
  <c r="M2436" i="22"/>
  <c r="L2436" i="22"/>
  <c r="K2436" i="22"/>
  <c r="O2435" i="22"/>
  <c r="N2435" i="22"/>
  <c r="M2435" i="22"/>
  <c r="L2435" i="22"/>
  <c r="K2435" i="22"/>
  <c r="O2434" i="22"/>
  <c r="N2434" i="22"/>
  <c r="M2434" i="22"/>
  <c r="L2434" i="22"/>
  <c r="K2434" i="22"/>
  <c r="O2433" i="22"/>
  <c r="N2433" i="22"/>
  <c r="M2433" i="22"/>
  <c r="L2433" i="22"/>
  <c r="K2433" i="22"/>
  <c r="O2432" i="22"/>
  <c r="N2432" i="22"/>
  <c r="M2432" i="22"/>
  <c r="L2432" i="22"/>
  <c r="K2432" i="22"/>
  <c r="O2431" i="22"/>
  <c r="N2431" i="22"/>
  <c r="M2431" i="22"/>
  <c r="L2431" i="22"/>
  <c r="K2431" i="22"/>
  <c r="O2430" i="22"/>
  <c r="N2430" i="22"/>
  <c r="M2430" i="22"/>
  <c r="L2430" i="22"/>
  <c r="K2430" i="22"/>
  <c r="O2429" i="22"/>
  <c r="N2429" i="22"/>
  <c r="M2429" i="22"/>
  <c r="L2429" i="22"/>
  <c r="K2429" i="22"/>
  <c r="O2428" i="22"/>
  <c r="N2428" i="22"/>
  <c r="M2428" i="22"/>
  <c r="L2428" i="22"/>
  <c r="K2428" i="22"/>
  <c r="O2427" i="22"/>
  <c r="N2427" i="22"/>
  <c r="M2427" i="22"/>
  <c r="L2427" i="22"/>
  <c r="K2427" i="22"/>
  <c r="O2426" i="22"/>
  <c r="N2426" i="22"/>
  <c r="M2426" i="22"/>
  <c r="L2426" i="22"/>
  <c r="K2426" i="22"/>
  <c r="O2425" i="22"/>
  <c r="N2425" i="22"/>
  <c r="M2425" i="22"/>
  <c r="L2425" i="22"/>
  <c r="K2425" i="22"/>
  <c r="O2424" i="22"/>
  <c r="N2424" i="22"/>
  <c r="M2424" i="22"/>
  <c r="L2424" i="22"/>
  <c r="K2424" i="22"/>
  <c r="O2423" i="22"/>
  <c r="N2423" i="22"/>
  <c r="M2423" i="22"/>
  <c r="L2423" i="22"/>
  <c r="K2423" i="22"/>
  <c r="O2422" i="22"/>
  <c r="N2422" i="22"/>
  <c r="M2422" i="22"/>
  <c r="L2422" i="22"/>
  <c r="K2422" i="22"/>
  <c r="O2421" i="22"/>
  <c r="N2421" i="22"/>
  <c r="M2421" i="22"/>
  <c r="L2421" i="22"/>
  <c r="K2421" i="22"/>
  <c r="O2420" i="22"/>
  <c r="N2420" i="22"/>
  <c r="M2420" i="22"/>
  <c r="L2420" i="22"/>
  <c r="K2420" i="22"/>
  <c r="O2419" i="22"/>
  <c r="N2419" i="22"/>
  <c r="M2419" i="22"/>
  <c r="L2419" i="22"/>
  <c r="K2419" i="22"/>
  <c r="O2418" i="22"/>
  <c r="N2418" i="22"/>
  <c r="M2418" i="22"/>
  <c r="L2418" i="22"/>
  <c r="K2418" i="22"/>
  <c r="O2417" i="22"/>
  <c r="N2417" i="22"/>
  <c r="M2417" i="22"/>
  <c r="L2417" i="22"/>
  <c r="K2417" i="22"/>
  <c r="O2416" i="22"/>
  <c r="N2416" i="22"/>
  <c r="M2416" i="22"/>
  <c r="L2416" i="22"/>
  <c r="K2416" i="22"/>
  <c r="O2415" i="22"/>
  <c r="N2415" i="22"/>
  <c r="M2415" i="22"/>
  <c r="L2415" i="22"/>
  <c r="K2415" i="22"/>
  <c r="O2414" i="22"/>
  <c r="N2414" i="22"/>
  <c r="M2414" i="22"/>
  <c r="L2414" i="22"/>
  <c r="K2414" i="22"/>
  <c r="O2413" i="22"/>
  <c r="N2413" i="22"/>
  <c r="M2413" i="22"/>
  <c r="L2413" i="22"/>
  <c r="K2413" i="22"/>
  <c r="O2412" i="22"/>
  <c r="N2412" i="22"/>
  <c r="M2412" i="22"/>
  <c r="L2412" i="22"/>
  <c r="K2412" i="22"/>
  <c r="O2411" i="22"/>
  <c r="N2411" i="22"/>
  <c r="M2411" i="22"/>
  <c r="L2411" i="22"/>
  <c r="K2411" i="22"/>
  <c r="O2410" i="22"/>
  <c r="N2410" i="22"/>
  <c r="M2410" i="22"/>
  <c r="L2410" i="22"/>
  <c r="K2410" i="22"/>
  <c r="O2409" i="22"/>
  <c r="N2409" i="22"/>
  <c r="M2409" i="22"/>
  <c r="L2409" i="22"/>
  <c r="K2409" i="22"/>
  <c r="O2408" i="22"/>
  <c r="N2408" i="22"/>
  <c r="M2408" i="22"/>
  <c r="L2408" i="22"/>
  <c r="K2408" i="22"/>
  <c r="O2407" i="22"/>
  <c r="N2407" i="22"/>
  <c r="M2407" i="22"/>
  <c r="L2407" i="22"/>
  <c r="K2407" i="22"/>
  <c r="O2406" i="22"/>
  <c r="N2406" i="22"/>
  <c r="M2406" i="22"/>
  <c r="L2406" i="22"/>
  <c r="K2406" i="22"/>
  <c r="O2405" i="22"/>
  <c r="N2405" i="22"/>
  <c r="M2405" i="22"/>
  <c r="L2405" i="22"/>
  <c r="K2405" i="22"/>
  <c r="O2404" i="22"/>
  <c r="N2404" i="22"/>
  <c r="M2404" i="22"/>
  <c r="L2404" i="22"/>
  <c r="K2404" i="22"/>
  <c r="O2403" i="22"/>
  <c r="N2403" i="22"/>
  <c r="M2403" i="22"/>
  <c r="L2403" i="22"/>
  <c r="K2403" i="22"/>
  <c r="O2402" i="22"/>
  <c r="N2402" i="22"/>
  <c r="M2402" i="22"/>
  <c r="L2402" i="22"/>
  <c r="K2402" i="22"/>
  <c r="O2401" i="22"/>
  <c r="N2401" i="22"/>
  <c r="M2401" i="22"/>
  <c r="L2401" i="22"/>
  <c r="K2401" i="22"/>
  <c r="O2400" i="22"/>
  <c r="N2400" i="22"/>
  <c r="M2400" i="22"/>
  <c r="L2400" i="22"/>
  <c r="K2400" i="22"/>
  <c r="O2399" i="22"/>
  <c r="N2399" i="22"/>
  <c r="M2399" i="22"/>
  <c r="L2399" i="22"/>
  <c r="K2399" i="22"/>
  <c r="O2398" i="22"/>
  <c r="N2398" i="22"/>
  <c r="M2398" i="22"/>
  <c r="L2398" i="22"/>
  <c r="K2398" i="22"/>
  <c r="O2397" i="22"/>
  <c r="N2397" i="22"/>
  <c r="M2397" i="22"/>
  <c r="L2397" i="22"/>
  <c r="K2397" i="22"/>
  <c r="O2396" i="22"/>
  <c r="N2396" i="22"/>
  <c r="M2396" i="22"/>
  <c r="L2396" i="22"/>
  <c r="K2396" i="22"/>
  <c r="O2395" i="22"/>
  <c r="N2395" i="22"/>
  <c r="M2395" i="22"/>
  <c r="L2395" i="22"/>
  <c r="K2395" i="22"/>
  <c r="O2394" i="22"/>
  <c r="N2394" i="22"/>
  <c r="M2394" i="22"/>
  <c r="L2394" i="22"/>
  <c r="K2394" i="22"/>
  <c r="O2393" i="22"/>
  <c r="N2393" i="22"/>
  <c r="M2393" i="22"/>
  <c r="L2393" i="22"/>
  <c r="K2393" i="22"/>
  <c r="O2392" i="22"/>
  <c r="N2392" i="22"/>
  <c r="M2392" i="22"/>
  <c r="L2392" i="22"/>
  <c r="K2392" i="22"/>
  <c r="O2391" i="22"/>
  <c r="N2391" i="22"/>
  <c r="M2391" i="22"/>
  <c r="L2391" i="22"/>
  <c r="K2391" i="22"/>
  <c r="O2390" i="22"/>
  <c r="N2390" i="22"/>
  <c r="M2390" i="22"/>
  <c r="L2390" i="22"/>
  <c r="K2390" i="22"/>
  <c r="O2389" i="22"/>
  <c r="N2389" i="22"/>
  <c r="M2389" i="22"/>
  <c r="L2389" i="22"/>
  <c r="K2389" i="22"/>
  <c r="O2388" i="22"/>
  <c r="N2388" i="22"/>
  <c r="M2388" i="22"/>
  <c r="L2388" i="22"/>
  <c r="K2388" i="22"/>
  <c r="O2387" i="22"/>
  <c r="N2387" i="22"/>
  <c r="M2387" i="22"/>
  <c r="L2387" i="22"/>
  <c r="K2387" i="22"/>
  <c r="O2386" i="22"/>
  <c r="N2386" i="22"/>
  <c r="M2386" i="22"/>
  <c r="L2386" i="22"/>
  <c r="K2386" i="22"/>
  <c r="O2385" i="22"/>
  <c r="N2385" i="22"/>
  <c r="M2385" i="22"/>
  <c r="L2385" i="22"/>
  <c r="K2385" i="22"/>
  <c r="O2384" i="22"/>
  <c r="N2384" i="22"/>
  <c r="M2384" i="22"/>
  <c r="L2384" i="22"/>
  <c r="K2384" i="22"/>
  <c r="O2383" i="22"/>
  <c r="N2383" i="22"/>
  <c r="M2383" i="22"/>
  <c r="L2383" i="22"/>
  <c r="K2383" i="22"/>
  <c r="O2382" i="22"/>
  <c r="N2382" i="22"/>
  <c r="M2382" i="22"/>
  <c r="L2382" i="22"/>
  <c r="K2382" i="22"/>
  <c r="O2381" i="22"/>
  <c r="N2381" i="22"/>
  <c r="M2381" i="22"/>
  <c r="L2381" i="22"/>
  <c r="K2381" i="22"/>
  <c r="O2380" i="22"/>
  <c r="N2380" i="22"/>
  <c r="M2380" i="22"/>
  <c r="L2380" i="22"/>
  <c r="K2380" i="22"/>
  <c r="O2379" i="22"/>
  <c r="N2379" i="22"/>
  <c r="M2379" i="22"/>
  <c r="L2379" i="22"/>
  <c r="K2379" i="22"/>
  <c r="O2378" i="22"/>
  <c r="N2378" i="22"/>
  <c r="M2378" i="22"/>
  <c r="L2378" i="22"/>
  <c r="K2378" i="22"/>
  <c r="O2377" i="22"/>
  <c r="N2377" i="22"/>
  <c r="M2377" i="22"/>
  <c r="L2377" i="22"/>
  <c r="K2377" i="22"/>
  <c r="O2376" i="22"/>
  <c r="N2376" i="22"/>
  <c r="M2376" i="22"/>
  <c r="L2376" i="22"/>
  <c r="K2376" i="22"/>
  <c r="O2375" i="22"/>
  <c r="N2375" i="22"/>
  <c r="M2375" i="22"/>
  <c r="L2375" i="22"/>
  <c r="K2375" i="22"/>
  <c r="O2374" i="22"/>
  <c r="N2374" i="22"/>
  <c r="M2374" i="22"/>
  <c r="L2374" i="22"/>
  <c r="K2374" i="22"/>
  <c r="O2373" i="22"/>
  <c r="N2373" i="22"/>
  <c r="M2373" i="22"/>
  <c r="L2373" i="22"/>
  <c r="K2373" i="22"/>
  <c r="O2372" i="22"/>
  <c r="N2372" i="22"/>
  <c r="M2372" i="22"/>
  <c r="L2372" i="22"/>
  <c r="K2372" i="22"/>
  <c r="O2371" i="22"/>
  <c r="N2371" i="22"/>
  <c r="M2371" i="22"/>
  <c r="L2371" i="22"/>
  <c r="K2371" i="22"/>
  <c r="O2370" i="22"/>
  <c r="N2370" i="22"/>
  <c r="M2370" i="22"/>
  <c r="L2370" i="22"/>
  <c r="K2370" i="22"/>
  <c r="O2369" i="22"/>
  <c r="N2369" i="22"/>
  <c r="M2369" i="22"/>
  <c r="L2369" i="22"/>
  <c r="K2369" i="22"/>
  <c r="O2368" i="22"/>
  <c r="N2368" i="22"/>
  <c r="M2368" i="22"/>
  <c r="L2368" i="22"/>
  <c r="K2368" i="22"/>
  <c r="O2367" i="22"/>
  <c r="N2367" i="22"/>
  <c r="M2367" i="22"/>
  <c r="L2367" i="22"/>
  <c r="K2367" i="22"/>
  <c r="O2366" i="22"/>
  <c r="N2366" i="22"/>
  <c r="M2366" i="22"/>
  <c r="L2366" i="22"/>
  <c r="K2366" i="22"/>
  <c r="O2365" i="22"/>
  <c r="N2365" i="22"/>
  <c r="M2365" i="22"/>
  <c r="L2365" i="22"/>
  <c r="K2365" i="22"/>
  <c r="O2364" i="22"/>
  <c r="N2364" i="22"/>
  <c r="M2364" i="22"/>
  <c r="L2364" i="22"/>
  <c r="K2364" i="22"/>
  <c r="O2363" i="22"/>
  <c r="N2363" i="22"/>
  <c r="M2363" i="22"/>
  <c r="L2363" i="22"/>
  <c r="K2363" i="22"/>
  <c r="O2362" i="22"/>
  <c r="N2362" i="22"/>
  <c r="M2362" i="22"/>
  <c r="L2362" i="22"/>
  <c r="K2362" i="22"/>
  <c r="O2361" i="22"/>
  <c r="N2361" i="22"/>
  <c r="M2361" i="22"/>
  <c r="L2361" i="22"/>
  <c r="K2361" i="22"/>
  <c r="O2360" i="22"/>
  <c r="N2360" i="22"/>
  <c r="M2360" i="22"/>
  <c r="L2360" i="22"/>
  <c r="K2360" i="22"/>
  <c r="O2359" i="22"/>
  <c r="N2359" i="22"/>
  <c r="M2359" i="22"/>
  <c r="L2359" i="22"/>
  <c r="K2359" i="22"/>
  <c r="O2358" i="22"/>
  <c r="N2358" i="22"/>
  <c r="M2358" i="22"/>
  <c r="L2358" i="22"/>
  <c r="K2358" i="22"/>
  <c r="O2357" i="22"/>
  <c r="N2357" i="22"/>
  <c r="M2357" i="22"/>
  <c r="L2357" i="22"/>
  <c r="K2357" i="22"/>
  <c r="O2356" i="22"/>
  <c r="N2356" i="22"/>
  <c r="M2356" i="22"/>
  <c r="L2356" i="22"/>
  <c r="K2356" i="22"/>
  <c r="O2355" i="22"/>
  <c r="N2355" i="22"/>
  <c r="M2355" i="22"/>
  <c r="L2355" i="22"/>
  <c r="K2355" i="22"/>
  <c r="O2354" i="22"/>
  <c r="N2354" i="22"/>
  <c r="M2354" i="22"/>
  <c r="L2354" i="22"/>
  <c r="K2354" i="22"/>
  <c r="O2353" i="22"/>
  <c r="N2353" i="22"/>
  <c r="M2353" i="22"/>
  <c r="L2353" i="22"/>
  <c r="K2353" i="22"/>
  <c r="O2352" i="22"/>
  <c r="N2352" i="22"/>
  <c r="M2352" i="22"/>
  <c r="L2352" i="22"/>
  <c r="K2352" i="22"/>
  <c r="O2351" i="22"/>
  <c r="N2351" i="22"/>
  <c r="M2351" i="22"/>
  <c r="L2351" i="22"/>
  <c r="K2351" i="22"/>
  <c r="O2350" i="22"/>
  <c r="N2350" i="22"/>
  <c r="M2350" i="22"/>
  <c r="L2350" i="22"/>
  <c r="K2350" i="22"/>
  <c r="O2349" i="22"/>
  <c r="N2349" i="22"/>
  <c r="M2349" i="22"/>
  <c r="L2349" i="22"/>
  <c r="K2349" i="22"/>
  <c r="O2348" i="22"/>
  <c r="N2348" i="22"/>
  <c r="M2348" i="22"/>
  <c r="L2348" i="22"/>
  <c r="K2348" i="22"/>
  <c r="O2347" i="22"/>
  <c r="N2347" i="22"/>
  <c r="M2347" i="22"/>
  <c r="L2347" i="22"/>
  <c r="K2347" i="22"/>
  <c r="O2346" i="22"/>
  <c r="N2346" i="22"/>
  <c r="M2346" i="22"/>
  <c r="L2346" i="22"/>
  <c r="K2346" i="22"/>
  <c r="O2345" i="22"/>
  <c r="N2345" i="22"/>
  <c r="M2345" i="22"/>
  <c r="L2345" i="22"/>
  <c r="K2345" i="22"/>
  <c r="O2344" i="22"/>
  <c r="N2344" i="22"/>
  <c r="M2344" i="22"/>
  <c r="L2344" i="22"/>
  <c r="K2344" i="22"/>
  <c r="O2343" i="22"/>
  <c r="N2343" i="22"/>
  <c r="M2343" i="22"/>
  <c r="L2343" i="22"/>
  <c r="K2343" i="22"/>
  <c r="O2342" i="22"/>
  <c r="N2342" i="22"/>
  <c r="M2342" i="22"/>
  <c r="L2342" i="22"/>
  <c r="K2342" i="22"/>
  <c r="O2341" i="22"/>
  <c r="N2341" i="22"/>
  <c r="M2341" i="22"/>
  <c r="L2341" i="22"/>
  <c r="K2341" i="22"/>
  <c r="O2340" i="22"/>
  <c r="N2340" i="22"/>
  <c r="M2340" i="22"/>
  <c r="L2340" i="22"/>
  <c r="K2340" i="22"/>
  <c r="O2339" i="22"/>
  <c r="N2339" i="22"/>
  <c r="M2339" i="22"/>
  <c r="L2339" i="22"/>
  <c r="K2339" i="22"/>
  <c r="O2338" i="22"/>
  <c r="N2338" i="22"/>
  <c r="M2338" i="22"/>
  <c r="L2338" i="22"/>
  <c r="K2338" i="22"/>
  <c r="O2337" i="22"/>
  <c r="N2337" i="22"/>
  <c r="M2337" i="22"/>
  <c r="L2337" i="22"/>
  <c r="K2337" i="22"/>
  <c r="O2336" i="22"/>
  <c r="N2336" i="22"/>
  <c r="M2336" i="22"/>
  <c r="L2336" i="22"/>
  <c r="K2336" i="22"/>
  <c r="O2335" i="22"/>
  <c r="N2335" i="22"/>
  <c r="M2335" i="22"/>
  <c r="L2335" i="22"/>
  <c r="K2335" i="22"/>
  <c r="O2334" i="22"/>
  <c r="N2334" i="22"/>
  <c r="M2334" i="22"/>
  <c r="L2334" i="22"/>
  <c r="K2334" i="22"/>
  <c r="O2333" i="22"/>
  <c r="N2333" i="22"/>
  <c r="M2333" i="22"/>
  <c r="L2333" i="22"/>
  <c r="K2333" i="22"/>
  <c r="O2332" i="22"/>
  <c r="N2332" i="22"/>
  <c r="M2332" i="22"/>
  <c r="L2332" i="22"/>
  <c r="K2332" i="22"/>
  <c r="O2331" i="22"/>
  <c r="N2331" i="22"/>
  <c r="M2331" i="22"/>
  <c r="L2331" i="22"/>
  <c r="K2331" i="22"/>
  <c r="O2330" i="22"/>
  <c r="N2330" i="22"/>
  <c r="M2330" i="22"/>
  <c r="L2330" i="22"/>
  <c r="K2330" i="22"/>
  <c r="O2329" i="22"/>
  <c r="N2329" i="22"/>
  <c r="M2329" i="22"/>
  <c r="L2329" i="22"/>
  <c r="K2329" i="22"/>
  <c r="O2328" i="22"/>
  <c r="N2328" i="22"/>
  <c r="M2328" i="22"/>
  <c r="L2328" i="22"/>
  <c r="K2328" i="22"/>
  <c r="O2327" i="22"/>
  <c r="N2327" i="22"/>
  <c r="M2327" i="22"/>
  <c r="L2327" i="22"/>
  <c r="K2327" i="22"/>
  <c r="O2326" i="22"/>
  <c r="N2326" i="22"/>
  <c r="M2326" i="22"/>
  <c r="L2326" i="22"/>
  <c r="K2326" i="22"/>
  <c r="O2325" i="22"/>
  <c r="N2325" i="22"/>
  <c r="M2325" i="22"/>
  <c r="L2325" i="22"/>
  <c r="K2325" i="22"/>
  <c r="O2324" i="22"/>
  <c r="N2324" i="22"/>
  <c r="M2324" i="22"/>
  <c r="L2324" i="22"/>
  <c r="K2324" i="22"/>
  <c r="O2323" i="22"/>
  <c r="N2323" i="22"/>
  <c r="M2323" i="22"/>
  <c r="L2323" i="22"/>
  <c r="K2323" i="22"/>
  <c r="O2322" i="22"/>
  <c r="N2322" i="22"/>
  <c r="M2322" i="22"/>
  <c r="L2322" i="22"/>
  <c r="K2322" i="22"/>
  <c r="O2321" i="22"/>
  <c r="N2321" i="22"/>
  <c r="M2321" i="22"/>
  <c r="L2321" i="22"/>
  <c r="K2321" i="22"/>
  <c r="O2320" i="22"/>
  <c r="N2320" i="22"/>
  <c r="M2320" i="22"/>
  <c r="L2320" i="22"/>
  <c r="K2320" i="22"/>
  <c r="O2319" i="22"/>
  <c r="N2319" i="22"/>
  <c r="M2319" i="22"/>
  <c r="L2319" i="22"/>
  <c r="K2319" i="22"/>
  <c r="O2318" i="22"/>
  <c r="N2318" i="22"/>
  <c r="M2318" i="22"/>
  <c r="L2318" i="22"/>
  <c r="K2318" i="22"/>
  <c r="O2317" i="22"/>
  <c r="N2317" i="22"/>
  <c r="M2317" i="22"/>
  <c r="L2317" i="22"/>
  <c r="K2317" i="22"/>
  <c r="O2316" i="22"/>
  <c r="N2316" i="22"/>
  <c r="M2316" i="22"/>
  <c r="L2316" i="22"/>
  <c r="K2316" i="22"/>
  <c r="O2315" i="22"/>
  <c r="N2315" i="22"/>
  <c r="M2315" i="22"/>
  <c r="L2315" i="22"/>
  <c r="K2315" i="22"/>
  <c r="O2314" i="22"/>
  <c r="N2314" i="22"/>
  <c r="M2314" i="22"/>
  <c r="L2314" i="22"/>
  <c r="K2314" i="22"/>
  <c r="O2313" i="22"/>
  <c r="N2313" i="22"/>
  <c r="M2313" i="22"/>
  <c r="L2313" i="22"/>
  <c r="K2313" i="22"/>
  <c r="O2312" i="22"/>
  <c r="N2312" i="22"/>
  <c r="M2312" i="22"/>
  <c r="L2312" i="22"/>
  <c r="K2312" i="22"/>
  <c r="O2311" i="22"/>
  <c r="N2311" i="22"/>
  <c r="M2311" i="22"/>
  <c r="L2311" i="22"/>
  <c r="K2311" i="22"/>
  <c r="O2310" i="22"/>
  <c r="N2310" i="22"/>
  <c r="M2310" i="22"/>
  <c r="L2310" i="22"/>
  <c r="K2310" i="22"/>
  <c r="O2309" i="22"/>
  <c r="N2309" i="22"/>
  <c r="M2309" i="22"/>
  <c r="L2309" i="22"/>
  <c r="K2309" i="22"/>
  <c r="O2308" i="22"/>
  <c r="N2308" i="22"/>
  <c r="M2308" i="22"/>
  <c r="L2308" i="22"/>
  <c r="K2308" i="22"/>
  <c r="O2307" i="22"/>
  <c r="N2307" i="22"/>
  <c r="M2307" i="22"/>
  <c r="L2307" i="22"/>
  <c r="K2307" i="22"/>
  <c r="O2306" i="22"/>
  <c r="N2306" i="22"/>
  <c r="M2306" i="22"/>
  <c r="L2306" i="22"/>
  <c r="K2306" i="22"/>
  <c r="O2305" i="22"/>
  <c r="N2305" i="22"/>
  <c r="M2305" i="22"/>
  <c r="L2305" i="22"/>
  <c r="K2305" i="22"/>
  <c r="O2304" i="22"/>
  <c r="N2304" i="22"/>
  <c r="M2304" i="22"/>
  <c r="L2304" i="22"/>
  <c r="K2304" i="22"/>
  <c r="O2303" i="22"/>
  <c r="N2303" i="22"/>
  <c r="M2303" i="22"/>
  <c r="L2303" i="22"/>
  <c r="K2303" i="22"/>
  <c r="O2302" i="22"/>
  <c r="N2302" i="22"/>
  <c r="M2302" i="22"/>
  <c r="L2302" i="22"/>
  <c r="K2302" i="22"/>
  <c r="O2301" i="22"/>
  <c r="N2301" i="22"/>
  <c r="M2301" i="22"/>
  <c r="L2301" i="22"/>
  <c r="K2301" i="22"/>
  <c r="O2300" i="22"/>
  <c r="N2300" i="22"/>
  <c r="M2300" i="22"/>
  <c r="L2300" i="22"/>
  <c r="K2300" i="22"/>
  <c r="O2299" i="22"/>
  <c r="N2299" i="22"/>
  <c r="M2299" i="22"/>
  <c r="L2299" i="22"/>
  <c r="K2299" i="22"/>
  <c r="O2298" i="22"/>
  <c r="N2298" i="22"/>
  <c r="M2298" i="22"/>
  <c r="L2298" i="22"/>
  <c r="K2298" i="22"/>
  <c r="O2297" i="22"/>
  <c r="N2297" i="22"/>
  <c r="M2297" i="22"/>
  <c r="L2297" i="22"/>
  <c r="K2297" i="22"/>
  <c r="O2296" i="22"/>
  <c r="N2296" i="22"/>
  <c r="M2296" i="22"/>
  <c r="L2296" i="22"/>
  <c r="K2296" i="22"/>
  <c r="O2295" i="22"/>
  <c r="N2295" i="22"/>
  <c r="M2295" i="22"/>
  <c r="L2295" i="22"/>
  <c r="K2295" i="22"/>
  <c r="O2294" i="22"/>
  <c r="N2294" i="22"/>
  <c r="M2294" i="22"/>
  <c r="L2294" i="22"/>
  <c r="K2294" i="22"/>
  <c r="O2293" i="22"/>
  <c r="N2293" i="22"/>
  <c r="M2293" i="22"/>
  <c r="L2293" i="22"/>
  <c r="K2293" i="22"/>
  <c r="O2292" i="22"/>
  <c r="N2292" i="22"/>
  <c r="M2292" i="22"/>
  <c r="L2292" i="22"/>
  <c r="K2292" i="22"/>
  <c r="O2291" i="22"/>
  <c r="N2291" i="22"/>
  <c r="M2291" i="22"/>
  <c r="L2291" i="22"/>
  <c r="K2291" i="22"/>
  <c r="O2290" i="22"/>
  <c r="N2290" i="22"/>
  <c r="M2290" i="22"/>
  <c r="L2290" i="22"/>
  <c r="K2290" i="22"/>
  <c r="O2289" i="22"/>
  <c r="N2289" i="22"/>
  <c r="M2289" i="22"/>
  <c r="L2289" i="22"/>
  <c r="K2289" i="22"/>
  <c r="O2288" i="22"/>
  <c r="N2288" i="22"/>
  <c r="M2288" i="22"/>
  <c r="L2288" i="22"/>
  <c r="K2288" i="22"/>
  <c r="O2287" i="22"/>
  <c r="N2287" i="22"/>
  <c r="M2287" i="22"/>
  <c r="L2287" i="22"/>
  <c r="K2287" i="22"/>
  <c r="O2286" i="22"/>
  <c r="N2286" i="22"/>
  <c r="M2286" i="22"/>
  <c r="L2286" i="22"/>
  <c r="K2286" i="22"/>
  <c r="O2285" i="22"/>
  <c r="N2285" i="22"/>
  <c r="M2285" i="22"/>
  <c r="L2285" i="22"/>
  <c r="K2285" i="22"/>
  <c r="O2284" i="22"/>
  <c r="N2284" i="22"/>
  <c r="M2284" i="22"/>
  <c r="L2284" i="22"/>
  <c r="K2284" i="22"/>
  <c r="O2283" i="22"/>
  <c r="N2283" i="22"/>
  <c r="M2283" i="22"/>
  <c r="L2283" i="22"/>
  <c r="K2283" i="22"/>
  <c r="O2282" i="22"/>
  <c r="N2282" i="22"/>
  <c r="M2282" i="22"/>
  <c r="L2282" i="22"/>
  <c r="K2282" i="22"/>
  <c r="O2281" i="22"/>
  <c r="N2281" i="22"/>
  <c r="M2281" i="22"/>
  <c r="L2281" i="22"/>
  <c r="K2281" i="22"/>
  <c r="O2280" i="22"/>
  <c r="N2280" i="22"/>
  <c r="M2280" i="22"/>
  <c r="L2280" i="22"/>
  <c r="K2280" i="22"/>
  <c r="O2279" i="22"/>
  <c r="N2279" i="22"/>
  <c r="M2279" i="22"/>
  <c r="L2279" i="22"/>
  <c r="K2279" i="22"/>
  <c r="O2278" i="22"/>
  <c r="N2278" i="22"/>
  <c r="M2278" i="22"/>
  <c r="L2278" i="22"/>
  <c r="K2278" i="22"/>
  <c r="O2277" i="22"/>
  <c r="N2277" i="22"/>
  <c r="M2277" i="22"/>
  <c r="L2277" i="22"/>
  <c r="K2277" i="22"/>
  <c r="O2276" i="22"/>
  <c r="N2276" i="22"/>
  <c r="M2276" i="22"/>
  <c r="L2276" i="22"/>
  <c r="K2276" i="22"/>
  <c r="O2275" i="22"/>
  <c r="N2275" i="22"/>
  <c r="M2275" i="22"/>
  <c r="L2275" i="22"/>
  <c r="K2275" i="22"/>
  <c r="O2274" i="22"/>
  <c r="N2274" i="22"/>
  <c r="M2274" i="22"/>
  <c r="L2274" i="22"/>
  <c r="K2274" i="22"/>
  <c r="O2273" i="22"/>
  <c r="N2273" i="22"/>
  <c r="M2273" i="22"/>
  <c r="L2273" i="22"/>
  <c r="K2273" i="22"/>
  <c r="O2272" i="22"/>
  <c r="N2272" i="22"/>
  <c r="M2272" i="22"/>
  <c r="L2272" i="22"/>
  <c r="K2272" i="22"/>
  <c r="O2271" i="22"/>
  <c r="N2271" i="22"/>
  <c r="M2271" i="22"/>
  <c r="L2271" i="22"/>
  <c r="K2271" i="22"/>
  <c r="O2270" i="22"/>
  <c r="N2270" i="22"/>
  <c r="M2270" i="22"/>
  <c r="L2270" i="22"/>
  <c r="K2270" i="22"/>
  <c r="O2269" i="22"/>
  <c r="N2269" i="22"/>
  <c r="M2269" i="22"/>
  <c r="L2269" i="22"/>
  <c r="K2269" i="22"/>
  <c r="O2268" i="22"/>
  <c r="N2268" i="22"/>
  <c r="M2268" i="22"/>
  <c r="L2268" i="22"/>
  <c r="K2268" i="22"/>
  <c r="O2267" i="22"/>
  <c r="N2267" i="22"/>
  <c r="M2267" i="22"/>
  <c r="L2267" i="22"/>
  <c r="K2267" i="22"/>
  <c r="O2266" i="22"/>
  <c r="N2266" i="22"/>
  <c r="M2266" i="22"/>
  <c r="L2266" i="22"/>
  <c r="K2266" i="22"/>
  <c r="O2265" i="22"/>
  <c r="N2265" i="22"/>
  <c r="M2265" i="22"/>
  <c r="L2265" i="22"/>
  <c r="K2265" i="22"/>
  <c r="O2264" i="22"/>
  <c r="N2264" i="22"/>
  <c r="M2264" i="22"/>
  <c r="L2264" i="22"/>
  <c r="K2264" i="22"/>
  <c r="O2263" i="22"/>
  <c r="N2263" i="22"/>
  <c r="M2263" i="22"/>
  <c r="L2263" i="22"/>
  <c r="K2263" i="22"/>
  <c r="O2262" i="22"/>
  <c r="N2262" i="22"/>
  <c r="M2262" i="22"/>
  <c r="L2262" i="22"/>
  <c r="K2262" i="22"/>
  <c r="O2261" i="22"/>
  <c r="N2261" i="22"/>
  <c r="M2261" i="22"/>
  <c r="L2261" i="22"/>
  <c r="K2261" i="22"/>
  <c r="O2260" i="22"/>
  <c r="N2260" i="22"/>
  <c r="M2260" i="22"/>
  <c r="L2260" i="22"/>
  <c r="K2260" i="22"/>
  <c r="O2259" i="22"/>
  <c r="N2259" i="22"/>
  <c r="M2259" i="22"/>
  <c r="L2259" i="22"/>
  <c r="K2259" i="22"/>
  <c r="O2258" i="22"/>
  <c r="N2258" i="22"/>
  <c r="M2258" i="22"/>
  <c r="L2258" i="22"/>
  <c r="K2258" i="22"/>
  <c r="O2257" i="22"/>
  <c r="N2257" i="22"/>
  <c r="M2257" i="22"/>
  <c r="L2257" i="22"/>
  <c r="K2257" i="22"/>
  <c r="O2256" i="22"/>
  <c r="N2256" i="22"/>
  <c r="M2256" i="22"/>
  <c r="L2256" i="22"/>
  <c r="K2256" i="22"/>
  <c r="O2255" i="22"/>
  <c r="N2255" i="22"/>
  <c r="M2255" i="22"/>
  <c r="L2255" i="22"/>
  <c r="K2255" i="22"/>
  <c r="O2254" i="22"/>
  <c r="N2254" i="22"/>
  <c r="M2254" i="22"/>
  <c r="L2254" i="22"/>
  <c r="K2254" i="22"/>
  <c r="O2253" i="22"/>
  <c r="N2253" i="22"/>
  <c r="M2253" i="22"/>
  <c r="L2253" i="22"/>
  <c r="K2253" i="22"/>
  <c r="O2252" i="22"/>
  <c r="N2252" i="22"/>
  <c r="M2252" i="22"/>
  <c r="L2252" i="22"/>
  <c r="K2252" i="22"/>
  <c r="O2251" i="22"/>
  <c r="N2251" i="22"/>
  <c r="M2251" i="22"/>
  <c r="L2251" i="22"/>
  <c r="K2251" i="22"/>
  <c r="O2250" i="22"/>
  <c r="N2250" i="22"/>
  <c r="M2250" i="22"/>
  <c r="L2250" i="22"/>
  <c r="K2250" i="22"/>
  <c r="O2249" i="22"/>
  <c r="N2249" i="22"/>
  <c r="M2249" i="22"/>
  <c r="L2249" i="22"/>
  <c r="K2249" i="22"/>
  <c r="O2248" i="22"/>
  <c r="N2248" i="22"/>
  <c r="M2248" i="22"/>
  <c r="L2248" i="22"/>
  <c r="K2248" i="22"/>
  <c r="O2247" i="22"/>
  <c r="N2247" i="22"/>
  <c r="M2247" i="22"/>
  <c r="L2247" i="22"/>
  <c r="K2247" i="22"/>
  <c r="O2246" i="22"/>
  <c r="N2246" i="22"/>
  <c r="M2246" i="22"/>
  <c r="L2246" i="22"/>
  <c r="K2246" i="22"/>
  <c r="O2245" i="22"/>
  <c r="N2245" i="22"/>
  <c r="M2245" i="22"/>
  <c r="L2245" i="22"/>
  <c r="K2245" i="22"/>
  <c r="O2244" i="22"/>
  <c r="N2244" i="22"/>
  <c r="M2244" i="22"/>
  <c r="L2244" i="22"/>
  <c r="K2244" i="22"/>
  <c r="O2243" i="22"/>
  <c r="N2243" i="22"/>
  <c r="M2243" i="22"/>
  <c r="L2243" i="22"/>
  <c r="K2243" i="22"/>
  <c r="O2242" i="22"/>
  <c r="N2242" i="22"/>
  <c r="M2242" i="22"/>
  <c r="L2242" i="22"/>
  <c r="K2242" i="22"/>
  <c r="O2241" i="22"/>
  <c r="N2241" i="22"/>
  <c r="M2241" i="22"/>
  <c r="L2241" i="22"/>
  <c r="K2241" i="22"/>
  <c r="O2240" i="22"/>
  <c r="N2240" i="22"/>
  <c r="M2240" i="22"/>
  <c r="L2240" i="22"/>
  <c r="K2240" i="22"/>
  <c r="O2239" i="22"/>
  <c r="N2239" i="22"/>
  <c r="M2239" i="22"/>
  <c r="L2239" i="22"/>
  <c r="K2239" i="22"/>
  <c r="O2238" i="22"/>
  <c r="N2238" i="22"/>
  <c r="M2238" i="22"/>
  <c r="L2238" i="22"/>
  <c r="K2238" i="22"/>
  <c r="O2237" i="22"/>
  <c r="N2237" i="22"/>
  <c r="M2237" i="22"/>
  <c r="L2237" i="22"/>
  <c r="K2237" i="22"/>
  <c r="O2236" i="22"/>
  <c r="N2236" i="22"/>
  <c r="M2236" i="22"/>
  <c r="L2236" i="22"/>
  <c r="K2236" i="22"/>
  <c r="O2235" i="22"/>
  <c r="N2235" i="22"/>
  <c r="M2235" i="22"/>
  <c r="L2235" i="22"/>
  <c r="K2235" i="22"/>
  <c r="O2234" i="22"/>
  <c r="N2234" i="22"/>
  <c r="M2234" i="22"/>
  <c r="L2234" i="22"/>
  <c r="K2234" i="22"/>
  <c r="O2233" i="22"/>
  <c r="N2233" i="22"/>
  <c r="M2233" i="22"/>
  <c r="L2233" i="22"/>
  <c r="K2233" i="22"/>
  <c r="O2232" i="22"/>
  <c r="N2232" i="22"/>
  <c r="M2232" i="22"/>
  <c r="L2232" i="22"/>
  <c r="K2232" i="22"/>
  <c r="O2231" i="22"/>
  <c r="N2231" i="22"/>
  <c r="M2231" i="22"/>
  <c r="L2231" i="22"/>
  <c r="K2231" i="22"/>
  <c r="O2230" i="22"/>
  <c r="N2230" i="22"/>
  <c r="M2230" i="22"/>
  <c r="L2230" i="22"/>
  <c r="K2230" i="22"/>
  <c r="O2229" i="22"/>
  <c r="N2229" i="22"/>
  <c r="M2229" i="22"/>
  <c r="L2229" i="22"/>
  <c r="K2229" i="22"/>
  <c r="O2228" i="22"/>
  <c r="N2228" i="22"/>
  <c r="M2228" i="22"/>
  <c r="L2228" i="22"/>
  <c r="K2228" i="22"/>
  <c r="O2227" i="22"/>
  <c r="N2227" i="22"/>
  <c r="M2227" i="22"/>
  <c r="L2227" i="22"/>
  <c r="K2227" i="22"/>
  <c r="O2226" i="22"/>
  <c r="N2226" i="22"/>
  <c r="M2226" i="22"/>
  <c r="L2226" i="22"/>
  <c r="K2226" i="22"/>
  <c r="O2225" i="22"/>
  <c r="N2225" i="22"/>
  <c r="M2225" i="22"/>
  <c r="L2225" i="22"/>
  <c r="K2225" i="22"/>
  <c r="O2224" i="22"/>
  <c r="N2224" i="22"/>
  <c r="M2224" i="22"/>
  <c r="L2224" i="22"/>
  <c r="K2224" i="22"/>
  <c r="O2223" i="22"/>
  <c r="N2223" i="22"/>
  <c r="M2223" i="22"/>
  <c r="L2223" i="22"/>
  <c r="K2223" i="22"/>
  <c r="O2222" i="22"/>
  <c r="N2222" i="22"/>
  <c r="M2222" i="22"/>
  <c r="L2222" i="22"/>
  <c r="K2222" i="22"/>
  <c r="O2221" i="22"/>
  <c r="N2221" i="22"/>
  <c r="M2221" i="22"/>
  <c r="L2221" i="22"/>
  <c r="K2221" i="22"/>
  <c r="O2220" i="22"/>
  <c r="N2220" i="22"/>
  <c r="M2220" i="22"/>
  <c r="L2220" i="22"/>
  <c r="K2220" i="22"/>
  <c r="O2219" i="22"/>
  <c r="N2219" i="22"/>
  <c r="M2219" i="22"/>
  <c r="L2219" i="22"/>
  <c r="K2219" i="22"/>
  <c r="O2218" i="22"/>
  <c r="N2218" i="22"/>
  <c r="M2218" i="22"/>
  <c r="L2218" i="22"/>
  <c r="K2218" i="22"/>
  <c r="O2217" i="22"/>
  <c r="N2217" i="22"/>
  <c r="M2217" i="22"/>
  <c r="L2217" i="22"/>
  <c r="K2217" i="22"/>
  <c r="O2216" i="22"/>
  <c r="N2216" i="22"/>
  <c r="M2216" i="22"/>
  <c r="L2216" i="22"/>
  <c r="K2216" i="22"/>
  <c r="O2215" i="22"/>
  <c r="N2215" i="22"/>
  <c r="M2215" i="22"/>
  <c r="L2215" i="22"/>
  <c r="K2215" i="22"/>
  <c r="O2214" i="22"/>
  <c r="N2214" i="22"/>
  <c r="M2214" i="22"/>
  <c r="L2214" i="22"/>
  <c r="K2214" i="22"/>
  <c r="O2213" i="22"/>
  <c r="N2213" i="22"/>
  <c r="M2213" i="22"/>
  <c r="L2213" i="22"/>
  <c r="K2213" i="22"/>
  <c r="O2212" i="22"/>
  <c r="N2212" i="22"/>
  <c r="M2212" i="22"/>
  <c r="L2212" i="22"/>
  <c r="K2212" i="22"/>
  <c r="O2211" i="22"/>
  <c r="N2211" i="22"/>
  <c r="M2211" i="22"/>
  <c r="L2211" i="22"/>
  <c r="K2211" i="22"/>
  <c r="O2210" i="22"/>
  <c r="N2210" i="22"/>
  <c r="M2210" i="22"/>
  <c r="L2210" i="22"/>
  <c r="K2210" i="22"/>
  <c r="O2209" i="22"/>
  <c r="N2209" i="22"/>
  <c r="M2209" i="22"/>
  <c r="L2209" i="22"/>
  <c r="K2209" i="22"/>
  <c r="O2208" i="22"/>
  <c r="N2208" i="22"/>
  <c r="M2208" i="22"/>
  <c r="L2208" i="22"/>
  <c r="K2208" i="22"/>
  <c r="O2207" i="22"/>
  <c r="N2207" i="22"/>
  <c r="M2207" i="22"/>
  <c r="L2207" i="22"/>
  <c r="K2207" i="22"/>
  <c r="O2206" i="22"/>
  <c r="N2206" i="22"/>
  <c r="M2206" i="22"/>
  <c r="L2206" i="22"/>
  <c r="K2206" i="22"/>
  <c r="O2205" i="22"/>
  <c r="N2205" i="22"/>
  <c r="M2205" i="22"/>
  <c r="L2205" i="22"/>
  <c r="K2205" i="22"/>
  <c r="O2204" i="22"/>
  <c r="N2204" i="22"/>
  <c r="M2204" i="22"/>
  <c r="L2204" i="22"/>
  <c r="K2204" i="22"/>
  <c r="P2204" i="22" s="1"/>
  <c r="Q2204" i="22" s="1"/>
  <c r="O2203" i="22"/>
  <c r="N2203" i="22"/>
  <c r="M2203" i="22"/>
  <c r="L2203" i="22"/>
  <c r="K2203" i="22"/>
  <c r="O2202" i="22"/>
  <c r="N2202" i="22"/>
  <c r="M2202" i="22"/>
  <c r="L2202" i="22"/>
  <c r="K2202" i="22"/>
  <c r="O2201" i="22"/>
  <c r="N2201" i="22"/>
  <c r="M2201" i="22"/>
  <c r="L2201" i="22"/>
  <c r="K2201" i="22"/>
  <c r="O2200" i="22"/>
  <c r="N2200" i="22"/>
  <c r="M2200" i="22"/>
  <c r="L2200" i="22"/>
  <c r="K2200" i="22"/>
  <c r="O2199" i="22"/>
  <c r="N2199" i="22"/>
  <c r="M2199" i="22"/>
  <c r="L2199" i="22"/>
  <c r="K2199" i="22"/>
  <c r="O2198" i="22"/>
  <c r="N2198" i="22"/>
  <c r="M2198" i="22"/>
  <c r="L2198" i="22"/>
  <c r="K2198" i="22"/>
  <c r="O2197" i="22"/>
  <c r="N2197" i="22"/>
  <c r="M2197" i="22"/>
  <c r="L2197" i="22"/>
  <c r="K2197" i="22"/>
  <c r="O2196" i="22"/>
  <c r="N2196" i="22"/>
  <c r="M2196" i="22"/>
  <c r="L2196" i="22"/>
  <c r="K2196" i="22"/>
  <c r="O2195" i="22"/>
  <c r="N2195" i="22"/>
  <c r="M2195" i="22"/>
  <c r="L2195" i="22"/>
  <c r="K2195" i="22"/>
  <c r="O2194" i="22"/>
  <c r="N2194" i="22"/>
  <c r="M2194" i="22"/>
  <c r="L2194" i="22"/>
  <c r="K2194" i="22"/>
  <c r="O2193" i="22"/>
  <c r="N2193" i="22"/>
  <c r="M2193" i="22"/>
  <c r="L2193" i="22"/>
  <c r="K2193" i="22"/>
  <c r="O2192" i="22"/>
  <c r="N2192" i="22"/>
  <c r="M2192" i="22"/>
  <c r="L2192" i="22"/>
  <c r="K2192" i="22"/>
  <c r="O2191" i="22"/>
  <c r="N2191" i="22"/>
  <c r="M2191" i="22"/>
  <c r="L2191" i="22"/>
  <c r="K2191" i="22"/>
  <c r="O2190" i="22"/>
  <c r="N2190" i="22"/>
  <c r="M2190" i="22"/>
  <c r="L2190" i="22"/>
  <c r="K2190" i="22"/>
  <c r="O2189" i="22"/>
  <c r="N2189" i="22"/>
  <c r="M2189" i="22"/>
  <c r="L2189" i="22"/>
  <c r="K2189" i="22"/>
  <c r="O2188" i="22"/>
  <c r="N2188" i="22"/>
  <c r="M2188" i="22"/>
  <c r="L2188" i="22"/>
  <c r="K2188" i="22"/>
  <c r="O2187" i="22"/>
  <c r="N2187" i="22"/>
  <c r="M2187" i="22"/>
  <c r="L2187" i="22"/>
  <c r="K2187" i="22"/>
  <c r="O2186" i="22"/>
  <c r="N2186" i="22"/>
  <c r="M2186" i="22"/>
  <c r="L2186" i="22"/>
  <c r="K2186" i="22"/>
  <c r="O2185" i="22"/>
  <c r="N2185" i="22"/>
  <c r="M2185" i="22"/>
  <c r="L2185" i="22"/>
  <c r="K2185" i="22"/>
  <c r="O2184" i="22"/>
  <c r="N2184" i="22"/>
  <c r="M2184" i="22"/>
  <c r="L2184" i="22"/>
  <c r="K2184" i="22"/>
  <c r="O2183" i="22"/>
  <c r="N2183" i="22"/>
  <c r="M2183" i="22"/>
  <c r="L2183" i="22"/>
  <c r="K2183" i="22"/>
  <c r="O2182" i="22"/>
  <c r="N2182" i="22"/>
  <c r="M2182" i="22"/>
  <c r="L2182" i="22"/>
  <c r="K2182" i="22"/>
  <c r="O2181" i="22"/>
  <c r="N2181" i="22"/>
  <c r="M2181" i="22"/>
  <c r="L2181" i="22"/>
  <c r="K2181" i="22"/>
  <c r="O2180" i="22"/>
  <c r="N2180" i="22"/>
  <c r="M2180" i="22"/>
  <c r="L2180" i="22"/>
  <c r="K2180" i="22"/>
  <c r="O2179" i="22"/>
  <c r="N2179" i="22"/>
  <c r="M2179" i="22"/>
  <c r="L2179" i="22"/>
  <c r="K2179" i="22"/>
  <c r="O2178" i="22"/>
  <c r="N2178" i="22"/>
  <c r="M2178" i="22"/>
  <c r="L2178" i="22"/>
  <c r="K2178" i="22"/>
  <c r="O2177" i="22"/>
  <c r="N2177" i="22"/>
  <c r="M2177" i="22"/>
  <c r="L2177" i="22"/>
  <c r="K2177" i="22"/>
  <c r="O2176" i="22"/>
  <c r="N2176" i="22"/>
  <c r="M2176" i="22"/>
  <c r="L2176" i="22"/>
  <c r="K2176" i="22"/>
  <c r="O2175" i="22"/>
  <c r="N2175" i="22"/>
  <c r="M2175" i="22"/>
  <c r="L2175" i="22"/>
  <c r="K2175" i="22"/>
  <c r="O2174" i="22"/>
  <c r="N2174" i="22"/>
  <c r="M2174" i="22"/>
  <c r="L2174" i="22"/>
  <c r="K2174" i="22"/>
  <c r="O2173" i="22"/>
  <c r="N2173" i="22"/>
  <c r="M2173" i="22"/>
  <c r="L2173" i="22"/>
  <c r="K2173" i="22"/>
  <c r="O2172" i="22"/>
  <c r="N2172" i="22"/>
  <c r="M2172" i="22"/>
  <c r="L2172" i="22"/>
  <c r="K2172" i="22"/>
  <c r="O2171" i="22"/>
  <c r="N2171" i="22"/>
  <c r="M2171" i="22"/>
  <c r="L2171" i="22"/>
  <c r="K2171" i="22"/>
  <c r="O2170" i="22"/>
  <c r="N2170" i="22"/>
  <c r="M2170" i="22"/>
  <c r="L2170" i="22"/>
  <c r="K2170" i="22"/>
  <c r="O2169" i="22"/>
  <c r="N2169" i="22"/>
  <c r="M2169" i="22"/>
  <c r="L2169" i="22"/>
  <c r="K2169" i="22"/>
  <c r="O2168" i="22"/>
  <c r="N2168" i="22"/>
  <c r="M2168" i="22"/>
  <c r="L2168" i="22"/>
  <c r="K2168" i="22"/>
  <c r="O2167" i="22"/>
  <c r="N2167" i="22"/>
  <c r="M2167" i="22"/>
  <c r="L2167" i="22"/>
  <c r="K2167" i="22"/>
  <c r="O2166" i="22"/>
  <c r="N2166" i="22"/>
  <c r="M2166" i="22"/>
  <c r="L2166" i="22"/>
  <c r="K2166" i="22"/>
  <c r="O2165" i="22"/>
  <c r="N2165" i="22"/>
  <c r="M2165" i="22"/>
  <c r="L2165" i="22"/>
  <c r="K2165" i="22"/>
  <c r="O2164" i="22"/>
  <c r="N2164" i="22"/>
  <c r="M2164" i="22"/>
  <c r="L2164" i="22"/>
  <c r="K2164" i="22"/>
  <c r="O2163" i="22"/>
  <c r="N2163" i="22"/>
  <c r="M2163" i="22"/>
  <c r="L2163" i="22"/>
  <c r="K2163" i="22"/>
  <c r="O2162" i="22"/>
  <c r="N2162" i="22"/>
  <c r="M2162" i="22"/>
  <c r="L2162" i="22"/>
  <c r="K2162" i="22"/>
  <c r="O2161" i="22"/>
  <c r="N2161" i="22"/>
  <c r="M2161" i="22"/>
  <c r="L2161" i="22"/>
  <c r="K2161" i="22"/>
  <c r="O2160" i="22"/>
  <c r="N2160" i="22"/>
  <c r="M2160" i="22"/>
  <c r="L2160" i="22"/>
  <c r="K2160" i="22"/>
  <c r="O2159" i="22"/>
  <c r="N2159" i="22"/>
  <c r="M2159" i="22"/>
  <c r="L2159" i="22"/>
  <c r="K2159" i="22"/>
  <c r="O2158" i="22"/>
  <c r="N2158" i="22"/>
  <c r="M2158" i="22"/>
  <c r="L2158" i="22"/>
  <c r="K2158" i="22"/>
  <c r="O2157" i="22"/>
  <c r="N2157" i="22"/>
  <c r="M2157" i="22"/>
  <c r="L2157" i="22"/>
  <c r="K2157" i="22"/>
  <c r="O2156" i="22"/>
  <c r="N2156" i="22"/>
  <c r="M2156" i="22"/>
  <c r="L2156" i="22"/>
  <c r="K2156" i="22"/>
  <c r="O2155" i="22"/>
  <c r="N2155" i="22"/>
  <c r="M2155" i="22"/>
  <c r="L2155" i="22"/>
  <c r="K2155" i="22"/>
  <c r="O2154" i="22"/>
  <c r="N2154" i="22"/>
  <c r="M2154" i="22"/>
  <c r="L2154" i="22"/>
  <c r="K2154" i="22"/>
  <c r="O2153" i="22"/>
  <c r="N2153" i="22"/>
  <c r="M2153" i="22"/>
  <c r="L2153" i="22"/>
  <c r="K2153" i="22"/>
  <c r="O2152" i="22"/>
  <c r="N2152" i="22"/>
  <c r="M2152" i="22"/>
  <c r="L2152" i="22"/>
  <c r="K2152" i="22"/>
  <c r="O2151" i="22"/>
  <c r="N2151" i="22"/>
  <c r="M2151" i="22"/>
  <c r="L2151" i="22"/>
  <c r="K2151" i="22"/>
  <c r="O2150" i="22"/>
  <c r="N2150" i="22"/>
  <c r="M2150" i="22"/>
  <c r="L2150" i="22"/>
  <c r="K2150" i="22"/>
  <c r="O2149" i="22"/>
  <c r="N2149" i="22"/>
  <c r="M2149" i="22"/>
  <c r="L2149" i="22"/>
  <c r="K2149" i="22"/>
  <c r="O2148" i="22"/>
  <c r="N2148" i="22"/>
  <c r="M2148" i="22"/>
  <c r="L2148" i="22"/>
  <c r="K2148" i="22"/>
  <c r="O2147" i="22"/>
  <c r="N2147" i="22"/>
  <c r="M2147" i="22"/>
  <c r="L2147" i="22"/>
  <c r="K2147" i="22"/>
  <c r="O2146" i="22"/>
  <c r="N2146" i="22"/>
  <c r="M2146" i="22"/>
  <c r="L2146" i="22"/>
  <c r="K2146" i="22"/>
  <c r="O2145" i="22"/>
  <c r="N2145" i="22"/>
  <c r="M2145" i="22"/>
  <c r="L2145" i="22"/>
  <c r="K2145" i="22"/>
  <c r="O2144" i="22"/>
  <c r="N2144" i="22"/>
  <c r="M2144" i="22"/>
  <c r="L2144" i="22"/>
  <c r="K2144" i="22"/>
  <c r="O2143" i="22"/>
  <c r="N2143" i="22"/>
  <c r="M2143" i="22"/>
  <c r="L2143" i="22"/>
  <c r="K2143" i="22"/>
  <c r="O2142" i="22"/>
  <c r="N2142" i="22"/>
  <c r="M2142" i="22"/>
  <c r="L2142" i="22"/>
  <c r="K2142" i="22"/>
  <c r="O2141" i="22"/>
  <c r="N2141" i="22"/>
  <c r="M2141" i="22"/>
  <c r="L2141" i="22"/>
  <c r="K2141" i="22"/>
  <c r="O2140" i="22"/>
  <c r="N2140" i="22"/>
  <c r="M2140" i="22"/>
  <c r="L2140" i="22"/>
  <c r="K2140" i="22"/>
  <c r="O2139" i="22"/>
  <c r="N2139" i="22"/>
  <c r="M2139" i="22"/>
  <c r="L2139" i="22"/>
  <c r="K2139" i="22"/>
  <c r="O2138" i="22"/>
  <c r="N2138" i="22"/>
  <c r="M2138" i="22"/>
  <c r="L2138" i="22"/>
  <c r="K2138" i="22"/>
  <c r="O2137" i="22"/>
  <c r="N2137" i="22"/>
  <c r="M2137" i="22"/>
  <c r="L2137" i="22"/>
  <c r="K2137" i="22"/>
  <c r="O2136" i="22"/>
  <c r="N2136" i="22"/>
  <c r="M2136" i="22"/>
  <c r="L2136" i="22"/>
  <c r="K2136" i="22"/>
  <c r="O2135" i="22"/>
  <c r="N2135" i="22"/>
  <c r="M2135" i="22"/>
  <c r="L2135" i="22"/>
  <c r="K2135" i="22"/>
  <c r="O2134" i="22"/>
  <c r="N2134" i="22"/>
  <c r="M2134" i="22"/>
  <c r="L2134" i="22"/>
  <c r="K2134" i="22"/>
  <c r="O2133" i="22"/>
  <c r="N2133" i="22"/>
  <c r="M2133" i="22"/>
  <c r="L2133" i="22"/>
  <c r="K2133" i="22"/>
  <c r="O2132" i="22"/>
  <c r="N2132" i="22"/>
  <c r="M2132" i="22"/>
  <c r="L2132" i="22"/>
  <c r="K2132" i="22"/>
  <c r="O2131" i="22"/>
  <c r="N2131" i="22"/>
  <c r="M2131" i="22"/>
  <c r="L2131" i="22"/>
  <c r="K2131" i="22"/>
  <c r="O2130" i="22"/>
  <c r="N2130" i="22"/>
  <c r="M2130" i="22"/>
  <c r="L2130" i="22"/>
  <c r="K2130" i="22"/>
  <c r="O2129" i="22"/>
  <c r="N2129" i="22"/>
  <c r="M2129" i="22"/>
  <c r="L2129" i="22"/>
  <c r="K2129" i="22"/>
  <c r="O2128" i="22"/>
  <c r="N2128" i="22"/>
  <c r="M2128" i="22"/>
  <c r="L2128" i="22"/>
  <c r="K2128" i="22"/>
  <c r="O2127" i="22"/>
  <c r="N2127" i="22"/>
  <c r="M2127" i="22"/>
  <c r="L2127" i="22"/>
  <c r="K2127" i="22"/>
  <c r="O2126" i="22"/>
  <c r="N2126" i="22"/>
  <c r="M2126" i="22"/>
  <c r="L2126" i="22"/>
  <c r="K2126" i="22"/>
  <c r="O2125" i="22"/>
  <c r="N2125" i="22"/>
  <c r="M2125" i="22"/>
  <c r="L2125" i="22"/>
  <c r="K2125" i="22"/>
  <c r="O2124" i="22"/>
  <c r="N2124" i="22"/>
  <c r="M2124" i="22"/>
  <c r="L2124" i="22"/>
  <c r="K2124" i="22"/>
  <c r="O2123" i="22"/>
  <c r="N2123" i="22"/>
  <c r="M2123" i="22"/>
  <c r="L2123" i="22"/>
  <c r="K2123" i="22"/>
  <c r="O2122" i="22"/>
  <c r="N2122" i="22"/>
  <c r="M2122" i="22"/>
  <c r="L2122" i="22"/>
  <c r="K2122" i="22"/>
  <c r="O2121" i="22"/>
  <c r="N2121" i="22"/>
  <c r="M2121" i="22"/>
  <c r="L2121" i="22"/>
  <c r="K2121" i="22"/>
  <c r="O2120" i="22"/>
  <c r="N2120" i="22"/>
  <c r="M2120" i="22"/>
  <c r="L2120" i="22"/>
  <c r="K2120" i="22"/>
  <c r="O2119" i="22"/>
  <c r="N2119" i="22"/>
  <c r="M2119" i="22"/>
  <c r="L2119" i="22"/>
  <c r="K2119" i="22"/>
  <c r="O2118" i="22"/>
  <c r="N2118" i="22"/>
  <c r="M2118" i="22"/>
  <c r="L2118" i="22"/>
  <c r="K2118" i="22"/>
  <c r="O2117" i="22"/>
  <c r="N2117" i="22"/>
  <c r="M2117" i="22"/>
  <c r="L2117" i="22"/>
  <c r="K2117" i="22"/>
  <c r="O2116" i="22"/>
  <c r="N2116" i="22"/>
  <c r="M2116" i="22"/>
  <c r="L2116" i="22"/>
  <c r="K2116" i="22"/>
  <c r="O2115" i="22"/>
  <c r="N2115" i="22"/>
  <c r="M2115" i="22"/>
  <c r="L2115" i="22"/>
  <c r="K2115" i="22"/>
  <c r="O2114" i="22"/>
  <c r="N2114" i="22"/>
  <c r="M2114" i="22"/>
  <c r="L2114" i="22"/>
  <c r="K2114" i="22"/>
  <c r="O2113" i="22"/>
  <c r="N2113" i="22"/>
  <c r="M2113" i="22"/>
  <c r="L2113" i="22"/>
  <c r="K2113" i="22"/>
  <c r="O2112" i="22"/>
  <c r="N2112" i="22"/>
  <c r="M2112" i="22"/>
  <c r="L2112" i="22"/>
  <c r="K2112" i="22"/>
  <c r="O2111" i="22"/>
  <c r="N2111" i="22"/>
  <c r="M2111" i="22"/>
  <c r="L2111" i="22"/>
  <c r="K2111" i="22"/>
  <c r="O2110" i="22"/>
  <c r="N2110" i="22"/>
  <c r="M2110" i="22"/>
  <c r="L2110" i="22"/>
  <c r="K2110" i="22"/>
  <c r="O2109" i="22"/>
  <c r="N2109" i="22"/>
  <c r="M2109" i="22"/>
  <c r="L2109" i="22"/>
  <c r="K2109" i="22"/>
  <c r="O2108" i="22"/>
  <c r="N2108" i="22"/>
  <c r="M2108" i="22"/>
  <c r="L2108" i="22"/>
  <c r="K2108" i="22"/>
  <c r="O2107" i="22"/>
  <c r="N2107" i="22"/>
  <c r="M2107" i="22"/>
  <c r="L2107" i="22"/>
  <c r="K2107" i="22"/>
  <c r="O2106" i="22"/>
  <c r="N2106" i="22"/>
  <c r="M2106" i="22"/>
  <c r="L2106" i="22"/>
  <c r="K2106" i="22"/>
  <c r="O2105" i="22"/>
  <c r="N2105" i="22"/>
  <c r="M2105" i="22"/>
  <c r="L2105" i="22"/>
  <c r="K2105" i="22"/>
  <c r="O2104" i="22"/>
  <c r="N2104" i="22"/>
  <c r="M2104" i="22"/>
  <c r="L2104" i="22"/>
  <c r="K2104" i="22"/>
  <c r="O2103" i="22"/>
  <c r="N2103" i="22"/>
  <c r="M2103" i="22"/>
  <c r="L2103" i="22"/>
  <c r="K2103" i="22"/>
  <c r="O2102" i="22"/>
  <c r="N2102" i="22"/>
  <c r="M2102" i="22"/>
  <c r="L2102" i="22"/>
  <c r="K2102" i="22"/>
  <c r="O2101" i="22"/>
  <c r="N2101" i="22"/>
  <c r="M2101" i="22"/>
  <c r="L2101" i="22"/>
  <c r="K2101" i="22"/>
  <c r="O2100" i="22"/>
  <c r="N2100" i="22"/>
  <c r="M2100" i="22"/>
  <c r="L2100" i="22"/>
  <c r="K2100" i="22"/>
  <c r="O2099" i="22"/>
  <c r="N2099" i="22"/>
  <c r="M2099" i="22"/>
  <c r="L2099" i="22"/>
  <c r="K2099" i="22"/>
  <c r="O2098" i="22"/>
  <c r="N2098" i="22"/>
  <c r="M2098" i="22"/>
  <c r="L2098" i="22"/>
  <c r="K2098" i="22"/>
  <c r="O2097" i="22"/>
  <c r="N2097" i="22"/>
  <c r="M2097" i="22"/>
  <c r="L2097" i="22"/>
  <c r="K2097" i="22"/>
  <c r="O2096" i="22"/>
  <c r="N2096" i="22"/>
  <c r="M2096" i="22"/>
  <c r="L2096" i="22"/>
  <c r="K2096" i="22"/>
  <c r="O2095" i="22"/>
  <c r="N2095" i="22"/>
  <c r="M2095" i="22"/>
  <c r="L2095" i="22"/>
  <c r="K2095" i="22"/>
  <c r="O2094" i="22"/>
  <c r="N2094" i="22"/>
  <c r="M2094" i="22"/>
  <c r="L2094" i="22"/>
  <c r="K2094" i="22"/>
  <c r="O2093" i="22"/>
  <c r="N2093" i="22"/>
  <c r="M2093" i="22"/>
  <c r="L2093" i="22"/>
  <c r="K2093" i="22"/>
  <c r="O2092" i="22"/>
  <c r="N2092" i="22"/>
  <c r="M2092" i="22"/>
  <c r="L2092" i="22"/>
  <c r="K2092" i="22"/>
  <c r="O2091" i="22"/>
  <c r="N2091" i="22"/>
  <c r="M2091" i="22"/>
  <c r="L2091" i="22"/>
  <c r="K2091" i="22"/>
  <c r="O2090" i="22"/>
  <c r="N2090" i="22"/>
  <c r="M2090" i="22"/>
  <c r="L2090" i="22"/>
  <c r="K2090" i="22"/>
  <c r="O2089" i="22"/>
  <c r="N2089" i="22"/>
  <c r="M2089" i="22"/>
  <c r="L2089" i="22"/>
  <c r="K2089" i="22"/>
  <c r="O2088" i="22"/>
  <c r="N2088" i="22"/>
  <c r="M2088" i="22"/>
  <c r="L2088" i="22"/>
  <c r="K2088" i="22"/>
  <c r="O2087" i="22"/>
  <c r="N2087" i="22"/>
  <c r="M2087" i="22"/>
  <c r="L2087" i="22"/>
  <c r="K2087" i="22"/>
  <c r="O2086" i="22"/>
  <c r="N2086" i="22"/>
  <c r="M2086" i="22"/>
  <c r="L2086" i="22"/>
  <c r="K2086" i="22"/>
  <c r="O2085" i="22"/>
  <c r="N2085" i="22"/>
  <c r="M2085" i="22"/>
  <c r="L2085" i="22"/>
  <c r="K2085" i="22"/>
  <c r="O2084" i="22"/>
  <c r="N2084" i="22"/>
  <c r="M2084" i="22"/>
  <c r="L2084" i="22"/>
  <c r="K2084" i="22"/>
  <c r="O2083" i="22"/>
  <c r="N2083" i="22"/>
  <c r="M2083" i="22"/>
  <c r="L2083" i="22"/>
  <c r="K2083" i="22"/>
  <c r="O2082" i="22"/>
  <c r="N2082" i="22"/>
  <c r="M2082" i="22"/>
  <c r="L2082" i="22"/>
  <c r="K2082" i="22"/>
  <c r="O2081" i="22"/>
  <c r="N2081" i="22"/>
  <c r="M2081" i="22"/>
  <c r="L2081" i="22"/>
  <c r="K2081" i="22"/>
  <c r="O2080" i="22"/>
  <c r="N2080" i="22"/>
  <c r="M2080" i="22"/>
  <c r="L2080" i="22"/>
  <c r="K2080" i="22"/>
  <c r="O2079" i="22"/>
  <c r="N2079" i="22"/>
  <c r="M2079" i="22"/>
  <c r="L2079" i="22"/>
  <c r="K2079" i="22"/>
  <c r="O2078" i="22"/>
  <c r="N2078" i="22"/>
  <c r="M2078" i="22"/>
  <c r="L2078" i="22"/>
  <c r="K2078" i="22"/>
  <c r="O2077" i="22"/>
  <c r="N2077" i="22"/>
  <c r="M2077" i="22"/>
  <c r="L2077" i="22"/>
  <c r="K2077" i="22"/>
  <c r="O2076" i="22"/>
  <c r="N2076" i="22"/>
  <c r="M2076" i="22"/>
  <c r="L2076" i="22"/>
  <c r="K2076" i="22"/>
  <c r="O2075" i="22"/>
  <c r="N2075" i="22"/>
  <c r="M2075" i="22"/>
  <c r="L2075" i="22"/>
  <c r="K2075" i="22"/>
  <c r="O2074" i="22"/>
  <c r="N2074" i="22"/>
  <c r="M2074" i="22"/>
  <c r="L2074" i="22"/>
  <c r="K2074" i="22"/>
  <c r="O2073" i="22"/>
  <c r="N2073" i="22"/>
  <c r="M2073" i="22"/>
  <c r="L2073" i="22"/>
  <c r="K2073" i="22"/>
  <c r="O2072" i="22"/>
  <c r="N2072" i="22"/>
  <c r="M2072" i="22"/>
  <c r="L2072" i="22"/>
  <c r="K2072" i="22"/>
  <c r="O2071" i="22"/>
  <c r="N2071" i="22"/>
  <c r="M2071" i="22"/>
  <c r="L2071" i="22"/>
  <c r="K2071" i="22"/>
  <c r="O2070" i="22"/>
  <c r="N2070" i="22"/>
  <c r="M2070" i="22"/>
  <c r="L2070" i="22"/>
  <c r="K2070" i="22"/>
  <c r="O2069" i="22"/>
  <c r="N2069" i="22"/>
  <c r="M2069" i="22"/>
  <c r="L2069" i="22"/>
  <c r="K2069" i="22"/>
  <c r="O2068" i="22"/>
  <c r="N2068" i="22"/>
  <c r="M2068" i="22"/>
  <c r="L2068" i="22"/>
  <c r="K2068" i="22"/>
  <c r="O2067" i="22"/>
  <c r="N2067" i="22"/>
  <c r="M2067" i="22"/>
  <c r="L2067" i="22"/>
  <c r="K2067" i="22"/>
  <c r="O2066" i="22"/>
  <c r="N2066" i="22"/>
  <c r="M2066" i="22"/>
  <c r="L2066" i="22"/>
  <c r="K2066" i="22"/>
  <c r="O2065" i="22"/>
  <c r="N2065" i="22"/>
  <c r="M2065" i="22"/>
  <c r="L2065" i="22"/>
  <c r="K2065" i="22"/>
  <c r="O2064" i="22"/>
  <c r="N2064" i="22"/>
  <c r="M2064" i="22"/>
  <c r="L2064" i="22"/>
  <c r="K2064" i="22"/>
  <c r="O2063" i="22"/>
  <c r="N2063" i="22"/>
  <c r="M2063" i="22"/>
  <c r="L2063" i="22"/>
  <c r="K2063" i="22"/>
  <c r="O2062" i="22"/>
  <c r="N2062" i="22"/>
  <c r="M2062" i="22"/>
  <c r="L2062" i="22"/>
  <c r="K2062" i="22"/>
  <c r="O2061" i="22"/>
  <c r="N2061" i="22"/>
  <c r="M2061" i="22"/>
  <c r="L2061" i="22"/>
  <c r="K2061" i="22"/>
  <c r="O2060" i="22"/>
  <c r="N2060" i="22"/>
  <c r="M2060" i="22"/>
  <c r="L2060" i="22"/>
  <c r="K2060" i="22"/>
  <c r="O2059" i="22"/>
  <c r="N2059" i="22"/>
  <c r="M2059" i="22"/>
  <c r="L2059" i="22"/>
  <c r="K2059" i="22"/>
  <c r="O2058" i="22"/>
  <c r="N2058" i="22"/>
  <c r="M2058" i="22"/>
  <c r="L2058" i="22"/>
  <c r="K2058" i="22"/>
  <c r="O2057" i="22"/>
  <c r="N2057" i="22"/>
  <c r="M2057" i="22"/>
  <c r="L2057" i="22"/>
  <c r="K2057" i="22"/>
  <c r="O2056" i="22"/>
  <c r="N2056" i="22"/>
  <c r="M2056" i="22"/>
  <c r="L2056" i="22"/>
  <c r="K2056" i="22"/>
  <c r="O2055" i="22"/>
  <c r="N2055" i="22"/>
  <c r="M2055" i="22"/>
  <c r="L2055" i="22"/>
  <c r="K2055" i="22"/>
  <c r="O2054" i="22"/>
  <c r="N2054" i="22"/>
  <c r="M2054" i="22"/>
  <c r="L2054" i="22"/>
  <c r="K2054" i="22"/>
  <c r="O2053" i="22"/>
  <c r="N2053" i="22"/>
  <c r="M2053" i="22"/>
  <c r="L2053" i="22"/>
  <c r="K2053" i="22"/>
  <c r="O2052" i="22"/>
  <c r="N2052" i="22"/>
  <c r="M2052" i="22"/>
  <c r="L2052" i="22"/>
  <c r="K2052" i="22"/>
  <c r="O2051" i="22"/>
  <c r="N2051" i="22"/>
  <c r="M2051" i="22"/>
  <c r="L2051" i="22"/>
  <c r="K2051" i="22"/>
  <c r="O2050" i="22"/>
  <c r="N2050" i="22"/>
  <c r="M2050" i="22"/>
  <c r="L2050" i="22"/>
  <c r="K2050" i="22"/>
  <c r="O2049" i="22"/>
  <c r="N2049" i="22"/>
  <c r="M2049" i="22"/>
  <c r="L2049" i="22"/>
  <c r="K2049" i="22"/>
  <c r="O2048" i="22"/>
  <c r="N2048" i="22"/>
  <c r="M2048" i="22"/>
  <c r="L2048" i="22"/>
  <c r="K2048" i="22"/>
  <c r="O2047" i="22"/>
  <c r="N2047" i="22"/>
  <c r="M2047" i="22"/>
  <c r="L2047" i="22"/>
  <c r="K2047" i="22"/>
  <c r="O2046" i="22"/>
  <c r="N2046" i="22"/>
  <c r="M2046" i="22"/>
  <c r="L2046" i="22"/>
  <c r="K2046" i="22"/>
  <c r="O2045" i="22"/>
  <c r="N2045" i="22"/>
  <c r="M2045" i="22"/>
  <c r="L2045" i="22"/>
  <c r="K2045" i="22"/>
  <c r="O2044" i="22"/>
  <c r="N2044" i="22"/>
  <c r="M2044" i="22"/>
  <c r="L2044" i="22"/>
  <c r="K2044" i="22"/>
  <c r="O2043" i="22"/>
  <c r="N2043" i="22"/>
  <c r="M2043" i="22"/>
  <c r="L2043" i="22"/>
  <c r="K2043" i="22"/>
  <c r="O2042" i="22"/>
  <c r="N2042" i="22"/>
  <c r="M2042" i="22"/>
  <c r="L2042" i="22"/>
  <c r="K2042" i="22"/>
  <c r="O2041" i="22"/>
  <c r="N2041" i="22"/>
  <c r="M2041" i="22"/>
  <c r="L2041" i="22"/>
  <c r="K2041" i="22"/>
  <c r="O2040" i="22"/>
  <c r="N2040" i="22"/>
  <c r="M2040" i="22"/>
  <c r="L2040" i="22"/>
  <c r="K2040" i="22"/>
  <c r="O2039" i="22"/>
  <c r="N2039" i="22"/>
  <c r="M2039" i="22"/>
  <c r="L2039" i="22"/>
  <c r="K2039" i="22"/>
  <c r="O2038" i="22"/>
  <c r="N2038" i="22"/>
  <c r="M2038" i="22"/>
  <c r="L2038" i="22"/>
  <c r="K2038" i="22"/>
  <c r="O2037" i="22"/>
  <c r="N2037" i="22"/>
  <c r="M2037" i="22"/>
  <c r="L2037" i="22"/>
  <c r="K2037" i="22"/>
  <c r="O2036" i="22"/>
  <c r="N2036" i="22"/>
  <c r="M2036" i="22"/>
  <c r="L2036" i="22"/>
  <c r="K2036" i="22"/>
  <c r="O2035" i="22"/>
  <c r="N2035" i="22"/>
  <c r="M2035" i="22"/>
  <c r="L2035" i="22"/>
  <c r="K2035" i="22"/>
  <c r="O2034" i="22"/>
  <c r="N2034" i="22"/>
  <c r="M2034" i="22"/>
  <c r="L2034" i="22"/>
  <c r="K2034" i="22"/>
  <c r="O2033" i="22"/>
  <c r="N2033" i="22"/>
  <c r="M2033" i="22"/>
  <c r="L2033" i="22"/>
  <c r="K2033" i="22"/>
  <c r="O2032" i="22"/>
  <c r="N2032" i="22"/>
  <c r="M2032" i="22"/>
  <c r="L2032" i="22"/>
  <c r="K2032" i="22"/>
  <c r="O2031" i="22"/>
  <c r="N2031" i="22"/>
  <c r="M2031" i="22"/>
  <c r="L2031" i="22"/>
  <c r="K2031" i="22"/>
  <c r="O2030" i="22"/>
  <c r="N2030" i="22"/>
  <c r="M2030" i="22"/>
  <c r="L2030" i="22"/>
  <c r="K2030" i="22"/>
  <c r="O2029" i="22"/>
  <c r="N2029" i="22"/>
  <c r="M2029" i="22"/>
  <c r="L2029" i="22"/>
  <c r="K2029" i="22"/>
  <c r="O2028" i="22"/>
  <c r="N2028" i="22"/>
  <c r="M2028" i="22"/>
  <c r="L2028" i="22"/>
  <c r="K2028" i="22"/>
  <c r="O2027" i="22"/>
  <c r="N2027" i="22"/>
  <c r="M2027" i="22"/>
  <c r="L2027" i="22"/>
  <c r="K2027" i="22"/>
  <c r="O2026" i="22"/>
  <c r="N2026" i="22"/>
  <c r="M2026" i="22"/>
  <c r="L2026" i="22"/>
  <c r="K2026" i="22"/>
  <c r="O2025" i="22"/>
  <c r="N2025" i="22"/>
  <c r="M2025" i="22"/>
  <c r="L2025" i="22"/>
  <c r="K2025" i="22"/>
  <c r="O2024" i="22"/>
  <c r="N2024" i="22"/>
  <c r="M2024" i="22"/>
  <c r="L2024" i="22"/>
  <c r="K2024" i="22"/>
  <c r="O2023" i="22"/>
  <c r="N2023" i="22"/>
  <c r="M2023" i="22"/>
  <c r="L2023" i="22"/>
  <c r="K2023" i="22"/>
  <c r="O2022" i="22"/>
  <c r="N2022" i="22"/>
  <c r="M2022" i="22"/>
  <c r="L2022" i="22"/>
  <c r="K2022" i="22"/>
  <c r="O2021" i="22"/>
  <c r="N2021" i="22"/>
  <c r="M2021" i="22"/>
  <c r="L2021" i="22"/>
  <c r="K2021" i="22"/>
  <c r="O2020" i="22"/>
  <c r="N2020" i="22"/>
  <c r="M2020" i="22"/>
  <c r="L2020" i="22"/>
  <c r="K2020" i="22"/>
  <c r="O2019" i="22"/>
  <c r="N2019" i="22"/>
  <c r="M2019" i="22"/>
  <c r="L2019" i="22"/>
  <c r="K2019" i="22"/>
  <c r="O2018" i="22"/>
  <c r="N2018" i="22"/>
  <c r="M2018" i="22"/>
  <c r="L2018" i="22"/>
  <c r="K2018" i="22"/>
  <c r="O2017" i="22"/>
  <c r="N2017" i="22"/>
  <c r="M2017" i="22"/>
  <c r="L2017" i="22"/>
  <c r="K2017" i="22"/>
  <c r="O2016" i="22"/>
  <c r="N2016" i="22"/>
  <c r="M2016" i="22"/>
  <c r="L2016" i="22"/>
  <c r="K2016" i="22"/>
  <c r="O2015" i="22"/>
  <c r="N2015" i="22"/>
  <c r="M2015" i="22"/>
  <c r="L2015" i="22"/>
  <c r="K2015" i="22"/>
  <c r="O2014" i="22"/>
  <c r="N2014" i="22"/>
  <c r="M2014" i="22"/>
  <c r="L2014" i="22"/>
  <c r="K2014" i="22"/>
  <c r="O2013" i="22"/>
  <c r="N2013" i="22"/>
  <c r="M2013" i="22"/>
  <c r="L2013" i="22"/>
  <c r="K2013" i="22"/>
  <c r="O2012" i="22"/>
  <c r="N2012" i="22"/>
  <c r="M2012" i="22"/>
  <c r="L2012" i="22"/>
  <c r="K2012" i="22"/>
  <c r="O2011" i="22"/>
  <c r="N2011" i="22"/>
  <c r="M2011" i="22"/>
  <c r="L2011" i="22"/>
  <c r="K2011" i="22"/>
  <c r="O2010" i="22"/>
  <c r="N2010" i="22"/>
  <c r="M2010" i="22"/>
  <c r="L2010" i="22"/>
  <c r="K2010" i="22"/>
  <c r="O2009" i="22"/>
  <c r="N2009" i="22"/>
  <c r="M2009" i="22"/>
  <c r="L2009" i="22"/>
  <c r="K2009" i="22"/>
  <c r="O2008" i="22"/>
  <c r="N2008" i="22"/>
  <c r="M2008" i="22"/>
  <c r="L2008" i="22"/>
  <c r="K2008" i="22"/>
  <c r="O2007" i="22"/>
  <c r="N2007" i="22"/>
  <c r="M2007" i="22"/>
  <c r="L2007" i="22"/>
  <c r="K2007" i="22"/>
  <c r="O2006" i="22"/>
  <c r="N2006" i="22"/>
  <c r="M2006" i="22"/>
  <c r="L2006" i="22"/>
  <c r="K2006" i="22"/>
  <c r="O2005" i="22"/>
  <c r="N2005" i="22"/>
  <c r="M2005" i="22"/>
  <c r="L2005" i="22"/>
  <c r="K2005" i="22"/>
  <c r="O2004" i="22"/>
  <c r="N2004" i="22"/>
  <c r="M2004" i="22"/>
  <c r="L2004" i="22"/>
  <c r="K2004" i="22"/>
  <c r="O2003" i="22"/>
  <c r="N2003" i="22"/>
  <c r="M2003" i="22"/>
  <c r="L2003" i="22"/>
  <c r="K2003" i="22"/>
  <c r="O2002" i="22"/>
  <c r="N2002" i="22"/>
  <c r="M2002" i="22"/>
  <c r="L2002" i="22"/>
  <c r="K2002" i="22"/>
  <c r="O2001" i="22"/>
  <c r="N2001" i="22"/>
  <c r="M2001" i="22"/>
  <c r="L2001" i="22"/>
  <c r="K2001" i="22"/>
  <c r="O2000" i="22"/>
  <c r="N2000" i="22"/>
  <c r="M2000" i="22"/>
  <c r="L2000" i="22"/>
  <c r="K2000" i="22"/>
  <c r="O1999" i="22"/>
  <c r="N1999" i="22"/>
  <c r="M1999" i="22"/>
  <c r="L1999" i="22"/>
  <c r="K1999" i="22"/>
  <c r="O1998" i="22"/>
  <c r="N1998" i="22"/>
  <c r="M1998" i="22"/>
  <c r="L1998" i="22"/>
  <c r="K1998" i="22"/>
  <c r="O1997" i="22"/>
  <c r="N1997" i="22"/>
  <c r="M1997" i="22"/>
  <c r="L1997" i="22"/>
  <c r="K1997" i="22"/>
  <c r="O1996" i="22"/>
  <c r="N1996" i="22"/>
  <c r="M1996" i="22"/>
  <c r="L1996" i="22"/>
  <c r="K1996" i="22"/>
  <c r="O1995" i="22"/>
  <c r="N1995" i="22"/>
  <c r="M1995" i="22"/>
  <c r="L1995" i="22"/>
  <c r="K1995" i="22"/>
  <c r="O1994" i="22"/>
  <c r="N1994" i="22"/>
  <c r="M1994" i="22"/>
  <c r="L1994" i="22"/>
  <c r="K1994" i="22"/>
  <c r="O1993" i="22"/>
  <c r="N1993" i="22"/>
  <c r="M1993" i="22"/>
  <c r="L1993" i="22"/>
  <c r="K1993" i="22"/>
  <c r="O1992" i="22"/>
  <c r="N1992" i="22"/>
  <c r="M1992" i="22"/>
  <c r="L1992" i="22"/>
  <c r="K1992" i="22"/>
  <c r="O1991" i="22"/>
  <c r="N1991" i="22"/>
  <c r="M1991" i="22"/>
  <c r="L1991" i="22"/>
  <c r="K1991" i="22"/>
  <c r="O1990" i="22"/>
  <c r="N1990" i="22"/>
  <c r="M1990" i="22"/>
  <c r="L1990" i="22"/>
  <c r="K1990" i="22"/>
  <c r="O1989" i="22"/>
  <c r="N1989" i="22"/>
  <c r="M1989" i="22"/>
  <c r="L1989" i="22"/>
  <c r="K1989" i="22"/>
  <c r="O1988" i="22"/>
  <c r="N1988" i="22"/>
  <c r="M1988" i="22"/>
  <c r="L1988" i="22"/>
  <c r="K1988" i="22"/>
  <c r="O1987" i="22"/>
  <c r="N1987" i="22"/>
  <c r="M1987" i="22"/>
  <c r="L1987" i="22"/>
  <c r="K1987" i="22"/>
  <c r="O1986" i="22"/>
  <c r="N1986" i="22"/>
  <c r="M1986" i="22"/>
  <c r="L1986" i="22"/>
  <c r="K1986" i="22"/>
  <c r="O1985" i="22"/>
  <c r="N1985" i="22"/>
  <c r="M1985" i="22"/>
  <c r="L1985" i="22"/>
  <c r="K1985" i="22"/>
  <c r="O1984" i="22"/>
  <c r="N1984" i="22"/>
  <c r="M1984" i="22"/>
  <c r="L1984" i="22"/>
  <c r="K1984" i="22"/>
  <c r="O1983" i="22"/>
  <c r="N1983" i="22"/>
  <c r="M1983" i="22"/>
  <c r="L1983" i="22"/>
  <c r="K1983" i="22"/>
  <c r="O1982" i="22"/>
  <c r="N1982" i="22"/>
  <c r="M1982" i="22"/>
  <c r="L1982" i="22"/>
  <c r="K1982" i="22"/>
  <c r="O1981" i="22"/>
  <c r="N1981" i="22"/>
  <c r="M1981" i="22"/>
  <c r="L1981" i="22"/>
  <c r="K1981" i="22"/>
  <c r="O1980" i="22"/>
  <c r="N1980" i="22"/>
  <c r="M1980" i="22"/>
  <c r="L1980" i="22"/>
  <c r="K1980" i="22"/>
  <c r="O1979" i="22"/>
  <c r="N1979" i="22"/>
  <c r="M1979" i="22"/>
  <c r="L1979" i="22"/>
  <c r="K1979" i="22"/>
  <c r="O1978" i="22"/>
  <c r="N1978" i="22"/>
  <c r="M1978" i="22"/>
  <c r="L1978" i="22"/>
  <c r="K1978" i="22"/>
  <c r="O1977" i="22"/>
  <c r="N1977" i="22"/>
  <c r="M1977" i="22"/>
  <c r="L1977" i="22"/>
  <c r="K1977" i="22"/>
  <c r="O1976" i="22"/>
  <c r="N1976" i="22"/>
  <c r="M1976" i="22"/>
  <c r="L1976" i="22"/>
  <c r="K1976" i="22"/>
  <c r="O1975" i="22"/>
  <c r="N1975" i="22"/>
  <c r="M1975" i="22"/>
  <c r="L1975" i="22"/>
  <c r="K1975" i="22"/>
  <c r="O1974" i="22"/>
  <c r="N1974" i="22"/>
  <c r="M1974" i="22"/>
  <c r="L1974" i="22"/>
  <c r="K1974" i="22"/>
  <c r="O1973" i="22"/>
  <c r="N1973" i="22"/>
  <c r="M1973" i="22"/>
  <c r="L1973" i="22"/>
  <c r="K1973" i="22"/>
  <c r="O1972" i="22"/>
  <c r="N1972" i="22"/>
  <c r="M1972" i="22"/>
  <c r="L1972" i="22"/>
  <c r="K1972" i="22"/>
  <c r="O1971" i="22"/>
  <c r="N1971" i="22"/>
  <c r="M1971" i="22"/>
  <c r="L1971" i="22"/>
  <c r="K1971" i="22"/>
  <c r="O1970" i="22"/>
  <c r="N1970" i="22"/>
  <c r="M1970" i="22"/>
  <c r="L1970" i="22"/>
  <c r="K1970" i="22"/>
  <c r="O1969" i="22"/>
  <c r="N1969" i="22"/>
  <c r="M1969" i="22"/>
  <c r="L1969" i="22"/>
  <c r="K1969" i="22"/>
  <c r="O1968" i="22"/>
  <c r="N1968" i="22"/>
  <c r="M1968" i="22"/>
  <c r="L1968" i="22"/>
  <c r="K1968" i="22"/>
  <c r="O1967" i="22"/>
  <c r="N1967" i="22"/>
  <c r="M1967" i="22"/>
  <c r="L1967" i="22"/>
  <c r="K1967" i="22"/>
  <c r="O1966" i="22"/>
  <c r="N1966" i="22"/>
  <c r="M1966" i="22"/>
  <c r="L1966" i="22"/>
  <c r="K1966" i="22"/>
  <c r="O1965" i="22"/>
  <c r="N1965" i="22"/>
  <c r="M1965" i="22"/>
  <c r="L1965" i="22"/>
  <c r="K1965" i="22"/>
  <c r="O1964" i="22"/>
  <c r="N1964" i="22"/>
  <c r="M1964" i="22"/>
  <c r="L1964" i="22"/>
  <c r="K1964" i="22"/>
  <c r="O1963" i="22"/>
  <c r="N1963" i="22"/>
  <c r="M1963" i="22"/>
  <c r="L1963" i="22"/>
  <c r="K1963" i="22"/>
  <c r="O1962" i="22"/>
  <c r="N1962" i="22"/>
  <c r="M1962" i="22"/>
  <c r="L1962" i="22"/>
  <c r="K1962" i="22"/>
  <c r="O1961" i="22"/>
  <c r="N1961" i="22"/>
  <c r="M1961" i="22"/>
  <c r="L1961" i="22"/>
  <c r="K1961" i="22"/>
  <c r="O1960" i="22"/>
  <c r="N1960" i="22"/>
  <c r="M1960" i="22"/>
  <c r="L1960" i="22"/>
  <c r="K1960" i="22"/>
  <c r="O1959" i="22"/>
  <c r="N1959" i="22"/>
  <c r="M1959" i="22"/>
  <c r="L1959" i="22"/>
  <c r="K1959" i="22"/>
  <c r="O1958" i="22"/>
  <c r="N1958" i="22"/>
  <c r="M1958" i="22"/>
  <c r="L1958" i="22"/>
  <c r="K1958" i="22"/>
  <c r="O1957" i="22"/>
  <c r="N1957" i="22"/>
  <c r="M1957" i="22"/>
  <c r="L1957" i="22"/>
  <c r="K1957" i="22"/>
  <c r="O1956" i="22"/>
  <c r="N1956" i="22"/>
  <c r="M1956" i="22"/>
  <c r="L1956" i="22"/>
  <c r="K1956" i="22"/>
  <c r="O1955" i="22"/>
  <c r="N1955" i="22"/>
  <c r="M1955" i="22"/>
  <c r="L1955" i="22"/>
  <c r="K1955" i="22"/>
  <c r="O1954" i="22"/>
  <c r="N1954" i="22"/>
  <c r="M1954" i="22"/>
  <c r="L1954" i="22"/>
  <c r="K1954" i="22"/>
  <c r="O1953" i="22"/>
  <c r="N1953" i="22"/>
  <c r="M1953" i="22"/>
  <c r="L1953" i="22"/>
  <c r="K1953" i="22"/>
  <c r="O1952" i="22"/>
  <c r="N1952" i="22"/>
  <c r="M1952" i="22"/>
  <c r="L1952" i="22"/>
  <c r="K1952" i="22"/>
  <c r="O1951" i="22"/>
  <c r="N1951" i="22"/>
  <c r="M1951" i="22"/>
  <c r="L1951" i="22"/>
  <c r="K1951" i="22"/>
  <c r="O1950" i="22"/>
  <c r="N1950" i="22"/>
  <c r="M1950" i="22"/>
  <c r="L1950" i="22"/>
  <c r="K1950" i="22"/>
  <c r="O1949" i="22"/>
  <c r="N1949" i="22"/>
  <c r="M1949" i="22"/>
  <c r="L1949" i="22"/>
  <c r="K1949" i="22"/>
  <c r="O1948" i="22"/>
  <c r="N1948" i="22"/>
  <c r="M1948" i="22"/>
  <c r="L1948" i="22"/>
  <c r="K1948" i="22"/>
  <c r="O1947" i="22"/>
  <c r="N1947" i="22"/>
  <c r="M1947" i="22"/>
  <c r="L1947" i="22"/>
  <c r="K1947" i="22"/>
  <c r="O1946" i="22"/>
  <c r="N1946" i="22"/>
  <c r="M1946" i="22"/>
  <c r="L1946" i="22"/>
  <c r="K1946" i="22"/>
  <c r="O1945" i="22"/>
  <c r="N1945" i="22"/>
  <c r="M1945" i="22"/>
  <c r="L1945" i="22"/>
  <c r="K1945" i="22"/>
  <c r="O1944" i="22"/>
  <c r="N1944" i="22"/>
  <c r="M1944" i="22"/>
  <c r="L1944" i="22"/>
  <c r="K1944" i="22"/>
  <c r="O1943" i="22"/>
  <c r="N1943" i="22"/>
  <c r="M1943" i="22"/>
  <c r="L1943" i="22"/>
  <c r="K1943" i="22"/>
  <c r="O1942" i="22"/>
  <c r="N1942" i="22"/>
  <c r="M1942" i="22"/>
  <c r="L1942" i="22"/>
  <c r="K1942" i="22"/>
  <c r="O1941" i="22"/>
  <c r="N1941" i="22"/>
  <c r="M1941" i="22"/>
  <c r="L1941" i="22"/>
  <c r="K1941" i="22"/>
  <c r="O1940" i="22"/>
  <c r="N1940" i="22"/>
  <c r="M1940" i="22"/>
  <c r="L1940" i="22"/>
  <c r="K1940" i="22"/>
  <c r="O1939" i="22"/>
  <c r="N1939" i="22"/>
  <c r="M1939" i="22"/>
  <c r="L1939" i="22"/>
  <c r="K1939" i="22"/>
  <c r="O1938" i="22"/>
  <c r="N1938" i="22"/>
  <c r="M1938" i="22"/>
  <c r="L1938" i="22"/>
  <c r="K1938" i="22"/>
  <c r="O1937" i="22"/>
  <c r="N1937" i="22"/>
  <c r="M1937" i="22"/>
  <c r="L1937" i="22"/>
  <c r="K1937" i="22"/>
  <c r="O1936" i="22"/>
  <c r="N1936" i="22"/>
  <c r="M1936" i="22"/>
  <c r="L1936" i="22"/>
  <c r="K1936" i="22"/>
  <c r="O1935" i="22"/>
  <c r="N1935" i="22"/>
  <c r="M1935" i="22"/>
  <c r="L1935" i="22"/>
  <c r="K1935" i="22"/>
  <c r="O1934" i="22"/>
  <c r="N1934" i="22"/>
  <c r="M1934" i="22"/>
  <c r="L1934" i="22"/>
  <c r="K1934" i="22"/>
  <c r="O1933" i="22"/>
  <c r="N1933" i="22"/>
  <c r="M1933" i="22"/>
  <c r="L1933" i="22"/>
  <c r="K1933" i="22"/>
  <c r="O1932" i="22"/>
  <c r="N1932" i="22"/>
  <c r="M1932" i="22"/>
  <c r="L1932" i="22"/>
  <c r="K1932" i="22"/>
  <c r="O1931" i="22"/>
  <c r="N1931" i="22"/>
  <c r="M1931" i="22"/>
  <c r="L1931" i="22"/>
  <c r="K1931" i="22"/>
  <c r="O1930" i="22"/>
  <c r="N1930" i="22"/>
  <c r="M1930" i="22"/>
  <c r="L1930" i="22"/>
  <c r="K1930" i="22"/>
  <c r="O1929" i="22"/>
  <c r="N1929" i="22"/>
  <c r="M1929" i="22"/>
  <c r="L1929" i="22"/>
  <c r="K1929" i="22"/>
  <c r="O1928" i="22"/>
  <c r="N1928" i="22"/>
  <c r="M1928" i="22"/>
  <c r="L1928" i="22"/>
  <c r="K1928" i="22"/>
  <c r="O1927" i="22"/>
  <c r="N1927" i="22"/>
  <c r="M1927" i="22"/>
  <c r="L1927" i="22"/>
  <c r="K1927" i="22"/>
  <c r="O1926" i="22"/>
  <c r="N1926" i="22"/>
  <c r="M1926" i="22"/>
  <c r="L1926" i="22"/>
  <c r="K1926" i="22"/>
  <c r="O1925" i="22"/>
  <c r="N1925" i="22"/>
  <c r="M1925" i="22"/>
  <c r="L1925" i="22"/>
  <c r="K1925" i="22"/>
  <c r="O1924" i="22"/>
  <c r="N1924" i="22"/>
  <c r="M1924" i="22"/>
  <c r="L1924" i="22"/>
  <c r="K1924" i="22"/>
  <c r="O1923" i="22"/>
  <c r="N1923" i="22"/>
  <c r="M1923" i="22"/>
  <c r="L1923" i="22"/>
  <c r="K1923" i="22"/>
  <c r="O1922" i="22"/>
  <c r="N1922" i="22"/>
  <c r="M1922" i="22"/>
  <c r="L1922" i="22"/>
  <c r="K1922" i="22"/>
  <c r="O1921" i="22"/>
  <c r="N1921" i="22"/>
  <c r="M1921" i="22"/>
  <c r="L1921" i="22"/>
  <c r="K1921" i="22"/>
  <c r="O1920" i="22"/>
  <c r="N1920" i="22"/>
  <c r="M1920" i="22"/>
  <c r="L1920" i="22"/>
  <c r="K1920" i="22"/>
  <c r="O1919" i="22"/>
  <c r="N1919" i="22"/>
  <c r="M1919" i="22"/>
  <c r="L1919" i="22"/>
  <c r="K1919" i="22"/>
  <c r="O1918" i="22"/>
  <c r="N1918" i="22"/>
  <c r="M1918" i="22"/>
  <c r="L1918" i="22"/>
  <c r="K1918" i="22"/>
  <c r="O1917" i="22"/>
  <c r="N1917" i="22"/>
  <c r="M1917" i="22"/>
  <c r="L1917" i="22"/>
  <c r="K1917" i="22"/>
  <c r="O1916" i="22"/>
  <c r="N1916" i="22"/>
  <c r="M1916" i="22"/>
  <c r="L1916" i="22"/>
  <c r="K1916" i="22"/>
  <c r="O1915" i="22"/>
  <c r="N1915" i="22"/>
  <c r="M1915" i="22"/>
  <c r="L1915" i="22"/>
  <c r="K1915" i="22"/>
  <c r="O1914" i="22"/>
  <c r="N1914" i="22"/>
  <c r="M1914" i="22"/>
  <c r="L1914" i="22"/>
  <c r="K1914" i="22"/>
  <c r="O1913" i="22"/>
  <c r="N1913" i="22"/>
  <c r="M1913" i="22"/>
  <c r="L1913" i="22"/>
  <c r="K1913" i="22"/>
  <c r="O1912" i="22"/>
  <c r="N1912" i="22"/>
  <c r="M1912" i="22"/>
  <c r="L1912" i="22"/>
  <c r="K1912" i="22"/>
  <c r="O1911" i="22"/>
  <c r="N1911" i="22"/>
  <c r="M1911" i="22"/>
  <c r="L1911" i="22"/>
  <c r="K1911" i="22"/>
  <c r="O1910" i="22"/>
  <c r="N1910" i="22"/>
  <c r="M1910" i="22"/>
  <c r="L1910" i="22"/>
  <c r="K1910" i="22"/>
  <c r="O1909" i="22"/>
  <c r="N1909" i="22"/>
  <c r="M1909" i="22"/>
  <c r="L1909" i="22"/>
  <c r="K1909" i="22"/>
  <c r="O1908" i="22"/>
  <c r="N1908" i="22"/>
  <c r="M1908" i="22"/>
  <c r="L1908" i="22"/>
  <c r="K1908" i="22"/>
  <c r="O1907" i="22"/>
  <c r="N1907" i="22"/>
  <c r="M1907" i="22"/>
  <c r="L1907" i="22"/>
  <c r="K1907" i="22"/>
  <c r="O1906" i="22"/>
  <c r="N1906" i="22"/>
  <c r="M1906" i="22"/>
  <c r="L1906" i="22"/>
  <c r="K1906" i="22"/>
  <c r="O1905" i="22"/>
  <c r="N1905" i="22"/>
  <c r="M1905" i="22"/>
  <c r="L1905" i="22"/>
  <c r="K1905" i="22"/>
  <c r="O1904" i="22"/>
  <c r="N1904" i="22"/>
  <c r="M1904" i="22"/>
  <c r="L1904" i="22"/>
  <c r="K1904" i="22"/>
  <c r="O1903" i="22"/>
  <c r="N1903" i="22"/>
  <c r="M1903" i="22"/>
  <c r="L1903" i="22"/>
  <c r="K1903" i="22"/>
  <c r="O1902" i="22"/>
  <c r="N1902" i="22"/>
  <c r="M1902" i="22"/>
  <c r="L1902" i="22"/>
  <c r="K1902" i="22"/>
  <c r="O1901" i="22"/>
  <c r="N1901" i="22"/>
  <c r="M1901" i="22"/>
  <c r="L1901" i="22"/>
  <c r="K1901" i="22"/>
  <c r="O1900" i="22"/>
  <c r="N1900" i="22"/>
  <c r="M1900" i="22"/>
  <c r="L1900" i="22"/>
  <c r="K1900" i="22"/>
  <c r="O1899" i="22"/>
  <c r="N1899" i="22"/>
  <c r="M1899" i="22"/>
  <c r="L1899" i="22"/>
  <c r="K1899" i="22"/>
  <c r="O1898" i="22"/>
  <c r="N1898" i="22"/>
  <c r="M1898" i="22"/>
  <c r="L1898" i="22"/>
  <c r="K1898" i="22"/>
  <c r="O1897" i="22"/>
  <c r="N1897" i="22"/>
  <c r="M1897" i="22"/>
  <c r="L1897" i="22"/>
  <c r="K1897" i="22"/>
  <c r="O1896" i="22"/>
  <c r="N1896" i="22"/>
  <c r="M1896" i="22"/>
  <c r="L1896" i="22"/>
  <c r="K1896" i="22"/>
  <c r="O1895" i="22"/>
  <c r="N1895" i="22"/>
  <c r="M1895" i="22"/>
  <c r="L1895" i="22"/>
  <c r="K1895" i="22"/>
  <c r="O1894" i="22"/>
  <c r="N1894" i="22"/>
  <c r="M1894" i="22"/>
  <c r="L1894" i="22"/>
  <c r="K1894" i="22"/>
  <c r="O1893" i="22"/>
  <c r="N1893" i="22"/>
  <c r="M1893" i="22"/>
  <c r="L1893" i="22"/>
  <c r="K1893" i="22"/>
  <c r="O1892" i="22"/>
  <c r="N1892" i="22"/>
  <c r="M1892" i="22"/>
  <c r="L1892" i="22"/>
  <c r="K1892" i="22"/>
  <c r="O1891" i="22"/>
  <c r="N1891" i="22"/>
  <c r="M1891" i="22"/>
  <c r="L1891" i="22"/>
  <c r="K1891" i="22"/>
  <c r="O1890" i="22"/>
  <c r="N1890" i="22"/>
  <c r="M1890" i="22"/>
  <c r="L1890" i="22"/>
  <c r="K1890" i="22"/>
  <c r="O1889" i="22"/>
  <c r="N1889" i="22"/>
  <c r="M1889" i="22"/>
  <c r="L1889" i="22"/>
  <c r="K1889" i="22"/>
  <c r="O1888" i="22"/>
  <c r="N1888" i="22"/>
  <c r="M1888" i="22"/>
  <c r="L1888" i="22"/>
  <c r="K1888" i="22"/>
  <c r="O1887" i="22"/>
  <c r="N1887" i="22"/>
  <c r="M1887" i="22"/>
  <c r="L1887" i="22"/>
  <c r="K1887" i="22"/>
  <c r="O1886" i="22"/>
  <c r="N1886" i="22"/>
  <c r="M1886" i="22"/>
  <c r="L1886" i="22"/>
  <c r="K1886" i="22"/>
  <c r="O1885" i="22"/>
  <c r="N1885" i="22"/>
  <c r="M1885" i="22"/>
  <c r="L1885" i="22"/>
  <c r="K1885" i="22"/>
  <c r="O1884" i="22"/>
  <c r="N1884" i="22"/>
  <c r="M1884" i="22"/>
  <c r="L1884" i="22"/>
  <c r="K1884" i="22"/>
  <c r="O1883" i="22"/>
  <c r="N1883" i="22"/>
  <c r="M1883" i="22"/>
  <c r="L1883" i="22"/>
  <c r="K1883" i="22"/>
  <c r="O1882" i="22"/>
  <c r="N1882" i="22"/>
  <c r="M1882" i="22"/>
  <c r="L1882" i="22"/>
  <c r="K1882" i="22"/>
  <c r="O1881" i="22"/>
  <c r="N1881" i="22"/>
  <c r="M1881" i="22"/>
  <c r="L1881" i="22"/>
  <c r="K1881" i="22"/>
  <c r="O1880" i="22"/>
  <c r="N1880" i="22"/>
  <c r="M1880" i="22"/>
  <c r="L1880" i="22"/>
  <c r="K1880" i="22"/>
  <c r="O1879" i="22"/>
  <c r="N1879" i="22"/>
  <c r="M1879" i="22"/>
  <c r="L1879" i="22"/>
  <c r="K1879" i="22"/>
  <c r="O1878" i="22"/>
  <c r="N1878" i="22"/>
  <c r="M1878" i="22"/>
  <c r="L1878" i="22"/>
  <c r="K1878" i="22"/>
  <c r="O1877" i="22"/>
  <c r="N1877" i="22"/>
  <c r="M1877" i="22"/>
  <c r="L1877" i="22"/>
  <c r="K1877" i="22"/>
  <c r="O1876" i="22"/>
  <c r="N1876" i="22"/>
  <c r="M1876" i="22"/>
  <c r="L1876" i="22"/>
  <c r="K1876" i="22"/>
  <c r="O1875" i="22"/>
  <c r="N1875" i="22"/>
  <c r="M1875" i="22"/>
  <c r="L1875" i="22"/>
  <c r="K1875" i="22"/>
  <c r="O1874" i="22"/>
  <c r="N1874" i="22"/>
  <c r="M1874" i="22"/>
  <c r="L1874" i="22"/>
  <c r="K1874" i="22"/>
  <c r="O1873" i="22"/>
  <c r="N1873" i="22"/>
  <c r="M1873" i="22"/>
  <c r="L1873" i="22"/>
  <c r="K1873" i="22"/>
  <c r="O1872" i="22"/>
  <c r="N1872" i="22"/>
  <c r="M1872" i="22"/>
  <c r="L1872" i="22"/>
  <c r="K1872" i="22"/>
  <c r="O1871" i="22"/>
  <c r="N1871" i="22"/>
  <c r="M1871" i="22"/>
  <c r="L1871" i="22"/>
  <c r="K1871" i="22"/>
  <c r="O1870" i="22"/>
  <c r="N1870" i="22"/>
  <c r="M1870" i="22"/>
  <c r="L1870" i="22"/>
  <c r="K1870" i="22"/>
  <c r="O1869" i="22"/>
  <c r="N1869" i="22"/>
  <c r="M1869" i="22"/>
  <c r="L1869" i="22"/>
  <c r="K1869" i="22"/>
  <c r="O1868" i="22"/>
  <c r="N1868" i="22"/>
  <c r="M1868" i="22"/>
  <c r="L1868" i="22"/>
  <c r="K1868" i="22"/>
  <c r="O1867" i="22"/>
  <c r="N1867" i="22"/>
  <c r="M1867" i="22"/>
  <c r="L1867" i="22"/>
  <c r="K1867" i="22"/>
  <c r="O1866" i="22"/>
  <c r="N1866" i="22"/>
  <c r="M1866" i="22"/>
  <c r="L1866" i="22"/>
  <c r="K1866" i="22"/>
  <c r="O1865" i="22"/>
  <c r="N1865" i="22"/>
  <c r="M1865" i="22"/>
  <c r="L1865" i="22"/>
  <c r="K1865" i="22"/>
  <c r="O1864" i="22"/>
  <c r="N1864" i="22"/>
  <c r="M1864" i="22"/>
  <c r="L1864" i="22"/>
  <c r="K1864" i="22"/>
  <c r="O1863" i="22"/>
  <c r="N1863" i="22"/>
  <c r="M1863" i="22"/>
  <c r="L1863" i="22"/>
  <c r="K1863" i="22"/>
  <c r="O1862" i="22"/>
  <c r="N1862" i="22"/>
  <c r="M1862" i="22"/>
  <c r="L1862" i="22"/>
  <c r="K1862" i="22"/>
  <c r="O1861" i="22"/>
  <c r="N1861" i="22"/>
  <c r="M1861" i="22"/>
  <c r="L1861" i="22"/>
  <c r="K1861" i="22"/>
  <c r="O1860" i="22"/>
  <c r="N1860" i="22"/>
  <c r="M1860" i="22"/>
  <c r="L1860" i="22"/>
  <c r="K1860" i="22"/>
  <c r="O1859" i="22"/>
  <c r="N1859" i="22"/>
  <c r="M1859" i="22"/>
  <c r="L1859" i="22"/>
  <c r="K1859" i="22"/>
  <c r="O1858" i="22"/>
  <c r="N1858" i="22"/>
  <c r="M1858" i="22"/>
  <c r="L1858" i="22"/>
  <c r="K1858" i="22"/>
  <c r="O1857" i="22"/>
  <c r="N1857" i="22"/>
  <c r="M1857" i="22"/>
  <c r="L1857" i="22"/>
  <c r="K1857" i="22"/>
  <c r="O1856" i="22"/>
  <c r="N1856" i="22"/>
  <c r="M1856" i="22"/>
  <c r="L1856" i="22"/>
  <c r="K1856" i="22"/>
  <c r="O1855" i="22"/>
  <c r="N1855" i="22"/>
  <c r="M1855" i="22"/>
  <c r="L1855" i="22"/>
  <c r="K1855" i="22"/>
  <c r="O1854" i="22"/>
  <c r="N1854" i="22"/>
  <c r="M1854" i="22"/>
  <c r="L1854" i="22"/>
  <c r="K1854" i="22"/>
  <c r="O1853" i="22"/>
  <c r="N1853" i="22"/>
  <c r="M1853" i="22"/>
  <c r="L1853" i="22"/>
  <c r="K1853" i="22"/>
  <c r="O1852" i="22"/>
  <c r="N1852" i="22"/>
  <c r="M1852" i="22"/>
  <c r="L1852" i="22"/>
  <c r="K1852" i="22"/>
  <c r="O1851" i="22"/>
  <c r="N1851" i="22"/>
  <c r="M1851" i="22"/>
  <c r="L1851" i="22"/>
  <c r="K1851" i="22"/>
  <c r="O1850" i="22"/>
  <c r="N1850" i="22"/>
  <c r="M1850" i="22"/>
  <c r="L1850" i="22"/>
  <c r="K1850" i="22"/>
  <c r="O1849" i="22"/>
  <c r="N1849" i="22"/>
  <c r="M1849" i="22"/>
  <c r="L1849" i="22"/>
  <c r="K1849" i="22"/>
  <c r="O1848" i="22"/>
  <c r="N1848" i="22"/>
  <c r="M1848" i="22"/>
  <c r="L1848" i="22"/>
  <c r="K1848" i="22"/>
  <c r="O1847" i="22"/>
  <c r="N1847" i="22"/>
  <c r="M1847" i="22"/>
  <c r="L1847" i="22"/>
  <c r="K1847" i="22"/>
  <c r="O1846" i="22"/>
  <c r="N1846" i="22"/>
  <c r="M1846" i="22"/>
  <c r="L1846" i="22"/>
  <c r="K1846" i="22"/>
  <c r="O1845" i="22"/>
  <c r="N1845" i="22"/>
  <c r="M1845" i="22"/>
  <c r="L1845" i="22"/>
  <c r="K1845" i="22"/>
  <c r="O1844" i="22"/>
  <c r="N1844" i="22"/>
  <c r="M1844" i="22"/>
  <c r="L1844" i="22"/>
  <c r="K1844" i="22"/>
  <c r="O1843" i="22"/>
  <c r="N1843" i="22"/>
  <c r="M1843" i="22"/>
  <c r="L1843" i="22"/>
  <c r="K1843" i="22"/>
  <c r="O1842" i="22"/>
  <c r="N1842" i="22"/>
  <c r="M1842" i="22"/>
  <c r="L1842" i="22"/>
  <c r="K1842" i="22"/>
  <c r="O1841" i="22"/>
  <c r="N1841" i="22"/>
  <c r="M1841" i="22"/>
  <c r="L1841" i="22"/>
  <c r="K1841" i="22"/>
  <c r="O1840" i="22"/>
  <c r="N1840" i="22"/>
  <c r="M1840" i="22"/>
  <c r="L1840" i="22"/>
  <c r="K1840" i="22"/>
  <c r="O1839" i="22"/>
  <c r="N1839" i="22"/>
  <c r="M1839" i="22"/>
  <c r="L1839" i="22"/>
  <c r="K1839" i="22"/>
  <c r="O1838" i="22"/>
  <c r="N1838" i="22"/>
  <c r="M1838" i="22"/>
  <c r="L1838" i="22"/>
  <c r="K1838" i="22"/>
  <c r="O1837" i="22"/>
  <c r="N1837" i="22"/>
  <c r="M1837" i="22"/>
  <c r="L1837" i="22"/>
  <c r="K1837" i="22"/>
  <c r="O1836" i="22"/>
  <c r="N1836" i="22"/>
  <c r="M1836" i="22"/>
  <c r="L1836" i="22"/>
  <c r="K1836" i="22"/>
  <c r="O1835" i="22"/>
  <c r="N1835" i="22"/>
  <c r="M1835" i="22"/>
  <c r="L1835" i="22"/>
  <c r="K1835" i="22"/>
  <c r="O1834" i="22"/>
  <c r="N1834" i="22"/>
  <c r="M1834" i="22"/>
  <c r="L1834" i="22"/>
  <c r="K1834" i="22"/>
  <c r="O1833" i="22"/>
  <c r="N1833" i="22"/>
  <c r="M1833" i="22"/>
  <c r="L1833" i="22"/>
  <c r="K1833" i="22"/>
  <c r="O1832" i="22"/>
  <c r="N1832" i="22"/>
  <c r="M1832" i="22"/>
  <c r="L1832" i="22"/>
  <c r="K1832" i="22"/>
  <c r="O1831" i="22"/>
  <c r="N1831" i="22"/>
  <c r="M1831" i="22"/>
  <c r="L1831" i="22"/>
  <c r="K1831" i="22"/>
  <c r="O1830" i="22"/>
  <c r="N1830" i="22"/>
  <c r="M1830" i="22"/>
  <c r="L1830" i="22"/>
  <c r="K1830" i="22"/>
  <c r="O1829" i="22"/>
  <c r="N1829" i="22"/>
  <c r="M1829" i="22"/>
  <c r="L1829" i="22"/>
  <c r="K1829" i="22"/>
  <c r="O1828" i="22"/>
  <c r="N1828" i="22"/>
  <c r="M1828" i="22"/>
  <c r="L1828" i="22"/>
  <c r="K1828" i="22"/>
  <c r="O1827" i="22"/>
  <c r="N1827" i="22"/>
  <c r="M1827" i="22"/>
  <c r="L1827" i="22"/>
  <c r="K1827" i="22"/>
  <c r="O1826" i="22"/>
  <c r="N1826" i="22"/>
  <c r="M1826" i="22"/>
  <c r="L1826" i="22"/>
  <c r="K1826" i="22"/>
  <c r="O1825" i="22"/>
  <c r="N1825" i="22"/>
  <c r="M1825" i="22"/>
  <c r="L1825" i="22"/>
  <c r="K1825" i="22"/>
  <c r="O1824" i="22"/>
  <c r="N1824" i="22"/>
  <c r="M1824" i="22"/>
  <c r="L1824" i="22"/>
  <c r="K1824" i="22"/>
  <c r="O1823" i="22"/>
  <c r="N1823" i="22"/>
  <c r="M1823" i="22"/>
  <c r="L1823" i="22"/>
  <c r="K1823" i="22"/>
  <c r="O1822" i="22"/>
  <c r="N1822" i="22"/>
  <c r="M1822" i="22"/>
  <c r="L1822" i="22"/>
  <c r="K1822" i="22"/>
  <c r="O1821" i="22"/>
  <c r="N1821" i="22"/>
  <c r="M1821" i="22"/>
  <c r="L1821" i="22"/>
  <c r="K1821" i="22"/>
  <c r="O1820" i="22"/>
  <c r="N1820" i="22"/>
  <c r="M1820" i="22"/>
  <c r="L1820" i="22"/>
  <c r="K1820" i="22"/>
  <c r="O1819" i="22"/>
  <c r="N1819" i="22"/>
  <c r="M1819" i="22"/>
  <c r="L1819" i="22"/>
  <c r="K1819" i="22"/>
  <c r="O1818" i="22"/>
  <c r="N1818" i="22"/>
  <c r="M1818" i="22"/>
  <c r="L1818" i="22"/>
  <c r="K1818" i="22"/>
  <c r="O1817" i="22"/>
  <c r="N1817" i="22"/>
  <c r="M1817" i="22"/>
  <c r="L1817" i="22"/>
  <c r="K1817" i="22"/>
  <c r="O1816" i="22"/>
  <c r="N1816" i="22"/>
  <c r="M1816" i="22"/>
  <c r="L1816" i="22"/>
  <c r="K1816" i="22"/>
  <c r="O1815" i="22"/>
  <c r="N1815" i="22"/>
  <c r="M1815" i="22"/>
  <c r="L1815" i="22"/>
  <c r="K1815" i="22"/>
  <c r="O1814" i="22"/>
  <c r="N1814" i="22"/>
  <c r="M1814" i="22"/>
  <c r="L1814" i="22"/>
  <c r="K1814" i="22"/>
  <c r="O1813" i="22"/>
  <c r="N1813" i="22"/>
  <c r="M1813" i="22"/>
  <c r="L1813" i="22"/>
  <c r="K1813" i="22"/>
  <c r="O1812" i="22"/>
  <c r="N1812" i="22"/>
  <c r="M1812" i="22"/>
  <c r="L1812" i="22"/>
  <c r="K1812" i="22"/>
  <c r="O1811" i="22"/>
  <c r="N1811" i="22"/>
  <c r="M1811" i="22"/>
  <c r="L1811" i="22"/>
  <c r="K1811" i="22"/>
  <c r="O1810" i="22"/>
  <c r="N1810" i="22"/>
  <c r="M1810" i="22"/>
  <c r="L1810" i="22"/>
  <c r="K1810" i="22"/>
  <c r="O1809" i="22"/>
  <c r="N1809" i="22"/>
  <c r="M1809" i="22"/>
  <c r="L1809" i="22"/>
  <c r="K1809" i="22"/>
  <c r="O1808" i="22"/>
  <c r="N1808" i="22"/>
  <c r="M1808" i="22"/>
  <c r="L1808" i="22"/>
  <c r="K1808" i="22"/>
  <c r="O1807" i="22"/>
  <c r="N1807" i="22"/>
  <c r="M1807" i="22"/>
  <c r="L1807" i="22"/>
  <c r="K1807" i="22"/>
  <c r="O1806" i="22"/>
  <c r="N1806" i="22"/>
  <c r="M1806" i="22"/>
  <c r="L1806" i="22"/>
  <c r="K1806" i="22"/>
  <c r="O1805" i="22"/>
  <c r="N1805" i="22"/>
  <c r="M1805" i="22"/>
  <c r="L1805" i="22"/>
  <c r="K1805" i="22"/>
  <c r="O1804" i="22"/>
  <c r="N1804" i="22"/>
  <c r="M1804" i="22"/>
  <c r="L1804" i="22"/>
  <c r="K1804" i="22"/>
  <c r="O1803" i="22"/>
  <c r="N1803" i="22"/>
  <c r="M1803" i="22"/>
  <c r="L1803" i="22"/>
  <c r="K1803" i="22"/>
  <c r="O1802" i="22"/>
  <c r="N1802" i="22"/>
  <c r="M1802" i="22"/>
  <c r="L1802" i="22"/>
  <c r="K1802" i="22"/>
  <c r="O1801" i="22"/>
  <c r="N1801" i="22"/>
  <c r="M1801" i="22"/>
  <c r="L1801" i="22"/>
  <c r="K1801" i="22"/>
  <c r="O1800" i="22"/>
  <c r="N1800" i="22"/>
  <c r="M1800" i="22"/>
  <c r="L1800" i="22"/>
  <c r="K1800" i="22"/>
  <c r="O1799" i="22"/>
  <c r="N1799" i="22"/>
  <c r="M1799" i="22"/>
  <c r="L1799" i="22"/>
  <c r="K1799" i="22"/>
  <c r="O1798" i="22"/>
  <c r="N1798" i="22"/>
  <c r="M1798" i="22"/>
  <c r="L1798" i="22"/>
  <c r="K1798" i="22"/>
  <c r="O1797" i="22"/>
  <c r="N1797" i="22"/>
  <c r="M1797" i="22"/>
  <c r="L1797" i="22"/>
  <c r="K1797" i="22"/>
  <c r="O1796" i="22"/>
  <c r="N1796" i="22"/>
  <c r="M1796" i="22"/>
  <c r="L1796" i="22"/>
  <c r="K1796" i="22"/>
  <c r="O1795" i="22"/>
  <c r="N1795" i="22"/>
  <c r="M1795" i="22"/>
  <c r="L1795" i="22"/>
  <c r="K1795" i="22"/>
  <c r="O1794" i="22"/>
  <c r="N1794" i="22"/>
  <c r="M1794" i="22"/>
  <c r="L1794" i="22"/>
  <c r="K1794" i="22"/>
  <c r="O1793" i="22"/>
  <c r="N1793" i="22"/>
  <c r="M1793" i="22"/>
  <c r="L1793" i="22"/>
  <c r="K1793" i="22"/>
  <c r="O1792" i="22"/>
  <c r="N1792" i="22"/>
  <c r="M1792" i="22"/>
  <c r="L1792" i="22"/>
  <c r="K1792" i="22"/>
  <c r="O1791" i="22"/>
  <c r="N1791" i="22"/>
  <c r="M1791" i="22"/>
  <c r="L1791" i="22"/>
  <c r="K1791" i="22"/>
  <c r="O1790" i="22"/>
  <c r="N1790" i="22"/>
  <c r="M1790" i="22"/>
  <c r="L1790" i="22"/>
  <c r="K1790" i="22"/>
  <c r="O1789" i="22"/>
  <c r="N1789" i="22"/>
  <c r="M1789" i="22"/>
  <c r="L1789" i="22"/>
  <c r="K1789" i="22"/>
  <c r="O1788" i="22"/>
  <c r="N1788" i="22"/>
  <c r="M1788" i="22"/>
  <c r="L1788" i="22"/>
  <c r="K1788" i="22"/>
  <c r="O1787" i="22"/>
  <c r="N1787" i="22"/>
  <c r="M1787" i="22"/>
  <c r="L1787" i="22"/>
  <c r="K1787" i="22"/>
  <c r="O1786" i="22"/>
  <c r="N1786" i="22"/>
  <c r="M1786" i="22"/>
  <c r="L1786" i="22"/>
  <c r="K1786" i="22"/>
  <c r="O1785" i="22"/>
  <c r="N1785" i="22"/>
  <c r="M1785" i="22"/>
  <c r="L1785" i="22"/>
  <c r="K1785" i="22"/>
  <c r="O1784" i="22"/>
  <c r="N1784" i="22"/>
  <c r="M1784" i="22"/>
  <c r="L1784" i="22"/>
  <c r="K1784" i="22"/>
  <c r="O1783" i="22"/>
  <c r="N1783" i="22"/>
  <c r="M1783" i="22"/>
  <c r="L1783" i="22"/>
  <c r="K1783" i="22"/>
  <c r="O1782" i="22"/>
  <c r="N1782" i="22"/>
  <c r="M1782" i="22"/>
  <c r="L1782" i="22"/>
  <c r="K1782" i="22"/>
  <c r="O1781" i="22"/>
  <c r="N1781" i="22"/>
  <c r="M1781" i="22"/>
  <c r="L1781" i="22"/>
  <c r="K1781" i="22"/>
  <c r="O1780" i="22"/>
  <c r="N1780" i="22"/>
  <c r="M1780" i="22"/>
  <c r="L1780" i="22"/>
  <c r="K1780" i="22"/>
  <c r="O1779" i="22"/>
  <c r="N1779" i="22"/>
  <c r="M1779" i="22"/>
  <c r="L1779" i="22"/>
  <c r="K1779" i="22"/>
  <c r="O1778" i="22"/>
  <c r="N1778" i="22"/>
  <c r="M1778" i="22"/>
  <c r="L1778" i="22"/>
  <c r="K1778" i="22"/>
  <c r="O1777" i="22"/>
  <c r="N1777" i="22"/>
  <c r="M1777" i="22"/>
  <c r="L1777" i="22"/>
  <c r="K1777" i="22"/>
  <c r="O1776" i="22"/>
  <c r="N1776" i="22"/>
  <c r="M1776" i="22"/>
  <c r="L1776" i="22"/>
  <c r="K1776" i="22"/>
  <c r="O1775" i="22"/>
  <c r="N1775" i="22"/>
  <c r="M1775" i="22"/>
  <c r="L1775" i="22"/>
  <c r="K1775" i="22"/>
  <c r="O1774" i="22"/>
  <c r="N1774" i="22"/>
  <c r="M1774" i="22"/>
  <c r="L1774" i="22"/>
  <c r="K1774" i="22"/>
  <c r="O1773" i="22"/>
  <c r="N1773" i="22"/>
  <c r="M1773" i="22"/>
  <c r="L1773" i="22"/>
  <c r="K1773" i="22"/>
  <c r="O1772" i="22"/>
  <c r="N1772" i="22"/>
  <c r="M1772" i="22"/>
  <c r="L1772" i="22"/>
  <c r="K1772" i="22"/>
  <c r="O1771" i="22"/>
  <c r="N1771" i="22"/>
  <c r="M1771" i="22"/>
  <c r="L1771" i="22"/>
  <c r="K1771" i="22"/>
  <c r="O1770" i="22"/>
  <c r="N1770" i="22"/>
  <c r="M1770" i="22"/>
  <c r="L1770" i="22"/>
  <c r="K1770" i="22"/>
  <c r="O1769" i="22"/>
  <c r="N1769" i="22"/>
  <c r="M1769" i="22"/>
  <c r="L1769" i="22"/>
  <c r="K1769" i="22"/>
  <c r="O1768" i="22"/>
  <c r="N1768" i="22"/>
  <c r="M1768" i="22"/>
  <c r="L1768" i="22"/>
  <c r="K1768" i="22"/>
  <c r="O1767" i="22"/>
  <c r="N1767" i="22"/>
  <c r="M1767" i="22"/>
  <c r="L1767" i="22"/>
  <c r="K1767" i="22"/>
  <c r="O1766" i="22"/>
  <c r="N1766" i="22"/>
  <c r="M1766" i="22"/>
  <c r="L1766" i="22"/>
  <c r="K1766" i="22"/>
  <c r="O1765" i="22"/>
  <c r="N1765" i="22"/>
  <c r="M1765" i="22"/>
  <c r="L1765" i="22"/>
  <c r="K1765" i="22"/>
  <c r="O1764" i="22"/>
  <c r="N1764" i="22"/>
  <c r="M1764" i="22"/>
  <c r="L1764" i="22"/>
  <c r="K1764" i="22"/>
  <c r="O1763" i="22"/>
  <c r="N1763" i="22"/>
  <c r="M1763" i="22"/>
  <c r="L1763" i="22"/>
  <c r="K1763" i="22"/>
  <c r="O1762" i="22"/>
  <c r="N1762" i="22"/>
  <c r="M1762" i="22"/>
  <c r="L1762" i="22"/>
  <c r="K1762" i="22"/>
  <c r="O1761" i="22"/>
  <c r="N1761" i="22"/>
  <c r="M1761" i="22"/>
  <c r="L1761" i="22"/>
  <c r="K1761" i="22"/>
  <c r="O1760" i="22"/>
  <c r="N1760" i="22"/>
  <c r="M1760" i="22"/>
  <c r="L1760" i="22"/>
  <c r="K1760" i="22"/>
  <c r="O1759" i="22"/>
  <c r="N1759" i="22"/>
  <c r="M1759" i="22"/>
  <c r="L1759" i="22"/>
  <c r="K1759" i="22"/>
  <c r="O1758" i="22"/>
  <c r="N1758" i="22"/>
  <c r="M1758" i="22"/>
  <c r="L1758" i="22"/>
  <c r="K1758" i="22"/>
  <c r="O1757" i="22"/>
  <c r="N1757" i="22"/>
  <c r="M1757" i="22"/>
  <c r="L1757" i="22"/>
  <c r="K1757" i="22"/>
  <c r="O1756" i="22"/>
  <c r="N1756" i="22"/>
  <c r="M1756" i="22"/>
  <c r="L1756" i="22"/>
  <c r="K1756" i="22"/>
  <c r="O1755" i="22"/>
  <c r="N1755" i="22"/>
  <c r="M1755" i="22"/>
  <c r="L1755" i="22"/>
  <c r="K1755" i="22"/>
  <c r="O1754" i="22"/>
  <c r="N1754" i="22"/>
  <c r="M1754" i="22"/>
  <c r="L1754" i="22"/>
  <c r="K1754" i="22"/>
  <c r="O1753" i="22"/>
  <c r="N1753" i="22"/>
  <c r="M1753" i="22"/>
  <c r="L1753" i="22"/>
  <c r="K1753" i="22"/>
  <c r="O1752" i="22"/>
  <c r="N1752" i="22"/>
  <c r="M1752" i="22"/>
  <c r="L1752" i="22"/>
  <c r="K1752" i="22"/>
  <c r="O1751" i="22"/>
  <c r="N1751" i="22"/>
  <c r="M1751" i="22"/>
  <c r="L1751" i="22"/>
  <c r="K1751" i="22"/>
  <c r="O1750" i="22"/>
  <c r="N1750" i="22"/>
  <c r="M1750" i="22"/>
  <c r="L1750" i="22"/>
  <c r="K1750" i="22"/>
  <c r="O1749" i="22"/>
  <c r="N1749" i="22"/>
  <c r="M1749" i="22"/>
  <c r="L1749" i="22"/>
  <c r="K1749" i="22"/>
  <c r="O1748" i="22"/>
  <c r="N1748" i="22"/>
  <c r="M1748" i="22"/>
  <c r="L1748" i="22"/>
  <c r="K1748" i="22"/>
  <c r="O1747" i="22"/>
  <c r="N1747" i="22"/>
  <c r="M1747" i="22"/>
  <c r="L1747" i="22"/>
  <c r="K1747" i="22"/>
  <c r="O1746" i="22"/>
  <c r="N1746" i="22"/>
  <c r="M1746" i="22"/>
  <c r="L1746" i="22"/>
  <c r="K1746" i="22"/>
  <c r="O1745" i="22"/>
  <c r="N1745" i="22"/>
  <c r="M1745" i="22"/>
  <c r="L1745" i="22"/>
  <c r="K1745" i="22"/>
  <c r="O1744" i="22"/>
  <c r="N1744" i="22"/>
  <c r="M1744" i="22"/>
  <c r="L1744" i="22"/>
  <c r="K1744" i="22"/>
  <c r="O1743" i="22"/>
  <c r="N1743" i="22"/>
  <c r="M1743" i="22"/>
  <c r="L1743" i="22"/>
  <c r="K1743" i="22"/>
  <c r="O1742" i="22"/>
  <c r="N1742" i="22"/>
  <c r="M1742" i="22"/>
  <c r="L1742" i="22"/>
  <c r="K1742" i="22"/>
  <c r="O1741" i="22"/>
  <c r="N1741" i="22"/>
  <c r="M1741" i="22"/>
  <c r="L1741" i="22"/>
  <c r="K1741" i="22"/>
  <c r="O1740" i="22"/>
  <c r="N1740" i="22"/>
  <c r="M1740" i="22"/>
  <c r="L1740" i="22"/>
  <c r="K1740" i="22"/>
  <c r="O1739" i="22"/>
  <c r="N1739" i="22"/>
  <c r="M1739" i="22"/>
  <c r="L1739" i="22"/>
  <c r="K1739" i="22"/>
  <c r="O1738" i="22"/>
  <c r="N1738" i="22"/>
  <c r="M1738" i="22"/>
  <c r="L1738" i="22"/>
  <c r="K1738" i="22"/>
  <c r="O1737" i="22"/>
  <c r="N1737" i="22"/>
  <c r="M1737" i="22"/>
  <c r="L1737" i="22"/>
  <c r="K1737" i="22"/>
  <c r="O1736" i="22"/>
  <c r="N1736" i="22"/>
  <c r="M1736" i="22"/>
  <c r="L1736" i="22"/>
  <c r="K1736" i="22"/>
  <c r="O1735" i="22"/>
  <c r="N1735" i="22"/>
  <c r="M1735" i="22"/>
  <c r="L1735" i="22"/>
  <c r="K1735" i="22"/>
  <c r="O1734" i="22"/>
  <c r="N1734" i="22"/>
  <c r="M1734" i="22"/>
  <c r="L1734" i="22"/>
  <c r="K1734" i="22"/>
  <c r="O1733" i="22"/>
  <c r="N1733" i="22"/>
  <c r="M1733" i="22"/>
  <c r="L1733" i="22"/>
  <c r="K1733" i="22"/>
  <c r="O1732" i="22"/>
  <c r="N1732" i="22"/>
  <c r="M1732" i="22"/>
  <c r="L1732" i="22"/>
  <c r="K1732" i="22"/>
  <c r="O1731" i="22"/>
  <c r="N1731" i="22"/>
  <c r="M1731" i="22"/>
  <c r="L1731" i="22"/>
  <c r="K1731" i="22"/>
  <c r="O1730" i="22"/>
  <c r="N1730" i="22"/>
  <c r="M1730" i="22"/>
  <c r="L1730" i="22"/>
  <c r="K1730" i="22"/>
  <c r="O1729" i="22"/>
  <c r="N1729" i="22"/>
  <c r="M1729" i="22"/>
  <c r="L1729" i="22"/>
  <c r="K1729" i="22"/>
  <c r="O1728" i="22"/>
  <c r="N1728" i="22"/>
  <c r="M1728" i="22"/>
  <c r="L1728" i="22"/>
  <c r="K1728" i="22"/>
  <c r="O1727" i="22"/>
  <c r="N1727" i="22"/>
  <c r="M1727" i="22"/>
  <c r="L1727" i="22"/>
  <c r="K1727" i="22"/>
  <c r="O1726" i="22"/>
  <c r="N1726" i="22"/>
  <c r="M1726" i="22"/>
  <c r="L1726" i="22"/>
  <c r="K1726" i="22"/>
  <c r="O1725" i="22"/>
  <c r="N1725" i="22"/>
  <c r="M1725" i="22"/>
  <c r="L1725" i="22"/>
  <c r="K1725" i="22"/>
  <c r="O1724" i="22"/>
  <c r="N1724" i="22"/>
  <c r="M1724" i="22"/>
  <c r="L1724" i="22"/>
  <c r="K1724" i="22"/>
  <c r="O1723" i="22"/>
  <c r="N1723" i="22"/>
  <c r="M1723" i="22"/>
  <c r="L1723" i="22"/>
  <c r="K1723" i="22"/>
  <c r="O1722" i="22"/>
  <c r="N1722" i="22"/>
  <c r="M1722" i="22"/>
  <c r="L1722" i="22"/>
  <c r="K1722" i="22"/>
  <c r="O1721" i="22"/>
  <c r="N1721" i="22"/>
  <c r="M1721" i="22"/>
  <c r="L1721" i="22"/>
  <c r="K1721" i="22"/>
  <c r="O1720" i="22"/>
  <c r="N1720" i="22"/>
  <c r="M1720" i="22"/>
  <c r="L1720" i="22"/>
  <c r="K1720" i="22"/>
  <c r="O1719" i="22"/>
  <c r="N1719" i="22"/>
  <c r="M1719" i="22"/>
  <c r="L1719" i="22"/>
  <c r="K1719" i="22"/>
  <c r="O1718" i="22"/>
  <c r="N1718" i="22"/>
  <c r="M1718" i="22"/>
  <c r="L1718" i="22"/>
  <c r="K1718" i="22"/>
  <c r="O1717" i="22"/>
  <c r="N1717" i="22"/>
  <c r="M1717" i="22"/>
  <c r="L1717" i="22"/>
  <c r="K1717" i="22"/>
  <c r="O1716" i="22"/>
  <c r="N1716" i="22"/>
  <c r="M1716" i="22"/>
  <c r="L1716" i="22"/>
  <c r="K1716" i="22"/>
  <c r="O1715" i="22"/>
  <c r="N1715" i="22"/>
  <c r="M1715" i="22"/>
  <c r="L1715" i="22"/>
  <c r="K1715" i="22"/>
  <c r="O1714" i="22"/>
  <c r="N1714" i="22"/>
  <c r="M1714" i="22"/>
  <c r="L1714" i="22"/>
  <c r="K1714" i="22"/>
  <c r="O1713" i="22"/>
  <c r="N1713" i="22"/>
  <c r="M1713" i="22"/>
  <c r="L1713" i="22"/>
  <c r="K1713" i="22"/>
  <c r="O1712" i="22"/>
  <c r="N1712" i="22"/>
  <c r="M1712" i="22"/>
  <c r="L1712" i="22"/>
  <c r="K1712" i="22"/>
  <c r="O1711" i="22"/>
  <c r="N1711" i="22"/>
  <c r="M1711" i="22"/>
  <c r="L1711" i="22"/>
  <c r="K1711" i="22"/>
  <c r="O1710" i="22"/>
  <c r="N1710" i="22"/>
  <c r="M1710" i="22"/>
  <c r="L1710" i="22"/>
  <c r="K1710" i="22"/>
  <c r="O1709" i="22"/>
  <c r="N1709" i="22"/>
  <c r="M1709" i="22"/>
  <c r="L1709" i="22"/>
  <c r="K1709" i="22"/>
  <c r="O1708" i="22"/>
  <c r="N1708" i="22"/>
  <c r="M1708" i="22"/>
  <c r="L1708" i="22"/>
  <c r="K1708" i="22"/>
  <c r="O1707" i="22"/>
  <c r="N1707" i="22"/>
  <c r="M1707" i="22"/>
  <c r="L1707" i="22"/>
  <c r="K1707" i="22"/>
  <c r="O1706" i="22"/>
  <c r="N1706" i="22"/>
  <c r="M1706" i="22"/>
  <c r="L1706" i="22"/>
  <c r="K1706" i="22"/>
  <c r="O1705" i="22"/>
  <c r="N1705" i="22"/>
  <c r="M1705" i="22"/>
  <c r="L1705" i="22"/>
  <c r="K1705" i="22"/>
  <c r="O1704" i="22"/>
  <c r="N1704" i="22"/>
  <c r="M1704" i="22"/>
  <c r="L1704" i="22"/>
  <c r="K1704" i="22"/>
  <c r="O1703" i="22"/>
  <c r="N1703" i="22"/>
  <c r="M1703" i="22"/>
  <c r="L1703" i="22"/>
  <c r="K1703" i="22"/>
  <c r="O1702" i="22"/>
  <c r="N1702" i="22"/>
  <c r="M1702" i="22"/>
  <c r="L1702" i="22"/>
  <c r="K1702" i="22"/>
  <c r="O1701" i="22"/>
  <c r="N1701" i="22"/>
  <c r="M1701" i="22"/>
  <c r="L1701" i="22"/>
  <c r="K1701" i="22"/>
  <c r="O1700" i="22"/>
  <c r="N1700" i="22"/>
  <c r="M1700" i="22"/>
  <c r="L1700" i="22"/>
  <c r="K1700" i="22"/>
  <c r="O1699" i="22"/>
  <c r="N1699" i="22"/>
  <c r="M1699" i="22"/>
  <c r="L1699" i="22"/>
  <c r="K1699" i="22"/>
  <c r="O1698" i="22"/>
  <c r="N1698" i="22"/>
  <c r="M1698" i="22"/>
  <c r="L1698" i="22"/>
  <c r="K1698" i="22"/>
  <c r="O1697" i="22"/>
  <c r="N1697" i="22"/>
  <c r="M1697" i="22"/>
  <c r="L1697" i="22"/>
  <c r="K1697" i="22"/>
  <c r="O1696" i="22"/>
  <c r="N1696" i="22"/>
  <c r="M1696" i="22"/>
  <c r="L1696" i="22"/>
  <c r="K1696" i="22"/>
  <c r="O1695" i="22"/>
  <c r="N1695" i="22"/>
  <c r="M1695" i="22"/>
  <c r="L1695" i="22"/>
  <c r="K1695" i="22"/>
  <c r="O1694" i="22"/>
  <c r="N1694" i="22"/>
  <c r="M1694" i="22"/>
  <c r="L1694" i="22"/>
  <c r="K1694" i="22"/>
  <c r="O1693" i="22"/>
  <c r="N1693" i="22"/>
  <c r="M1693" i="22"/>
  <c r="L1693" i="22"/>
  <c r="K1693" i="22"/>
  <c r="O1692" i="22"/>
  <c r="N1692" i="22"/>
  <c r="M1692" i="22"/>
  <c r="L1692" i="22"/>
  <c r="K1692" i="22"/>
  <c r="O1691" i="22"/>
  <c r="N1691" i="22"/>
  <c r="M1691" i="22"/>
  <c r="L1691" i="22"/>
  <c r="K1691" i="22"/>
  <c r="O1690" i="22"/>
  <c r="N1690" i="22"/>
  <c r="M1690" i="22"/>
  <c r="L1690" i="22"/>
  <c r="K1690" i="22"/>
  <c r="O1689" i="22"/>
  <c r="N1689" i="22"/>
  <c r="M1689" i="22"/>
  <c r="L1689" i="22"/>
  <c r="K1689" i="22"/>
  <c r="O1688" i="22"/>
  <c r="N1688" i="22"/>
  <c r="M1688" i="22"/>
  <c r="L1688" i="22"/>
  <c r="K1688" i="22"/>
  <c r="O1687" i="22"/>
  <c r="N1687" i="22"/>
  <c r="M1687" i="22"/>
  <c r="L1687" i="22"/>
  <c r="K1687" i="22"/>
  <c r="O1686" i="22"/>
  <c r="N1686" i="22"/>
  <c r="M1686" i="22"/>
  <c r="L1686" i="22"/>
  <c r="K1686" i="22"/>
  <c r="O1685" i="22"/>
  <c r="N1685" i="22"/>
  <c r="M1685" i="22"/>
  <c r="L1685" i="22"/>
  <c r="K1685" i="22"/>
  <c r="O1684" i="22"/>
  <c r="N1684" i="22"/>
  <c r="M1684" i="22"/>
  <c r="L1684" i="22"/>
  <c r="K1684" i="22"/>
  <c r="O1683" i="22"/>
  <c r="N1683" i="22"/>
  <c r="M1683" i="22"/>
  <c r="L1683" i="22"/>
  <c r="K1683" i="22"/>
  <c r="O1682" i="22"/>
  <c r="N1682" i="22"/>
  <c r="M1682" i="22"/>
  <c r="L1682" i="22"/>
  <c r="K1682" i="22"/>
  <c r="O1681" i="22"/>
  <c r="N1681" i="22"/>
  <c r="M1681" i="22"/>
  <c r="L1681" i="22"/>
  <c r="K1681" i="22"/>
  <c r="O1680" i="22"/>
  <c r="N1680" i="22"/>
  <c r="M1680" i="22"/>
  <c r="L1680" i="22"/>
  <c r="K1680" i="22"/>
  <c r="O1679" i="22"/>
  <c r="N1679" i="22"/>
  <c r="M1679" i="22"/>
  <c r="L1679" i="22"/>
  <c r="K1679" i="22"/>
  <c r="O1678" i="22"/>
  <c r="N1678" i="22"/>
  <c r="M1678" i="22"/>
  <c r="L1678" i="22"/>
  <c r="K1678" i="22"/>
  <c r="O1677" i="22"/>
  <c r="N1677" i="22"/>
  <c r="M1677" i="22"/>
  <c r="L1677" i="22"/>
  <c r="K1677" i="22"/>
  <c r="O1676" i="22"/>
  <c r="N1676" i="22"/>
  <c r="M1676" i="22"/>
  <c r="L1676" i="22"/>
  <c r="K1676" i="22"/>
  <c r="O1675" i="22"/>
  <c r="N1675" i="22"/>
  <c r="M1675" i="22"/>
  <c r="L1675" i="22"/>
  <c r="K1675" i="22"/>
  <c r="O1674" i="22"/>
  <c r="N1674" i="22"/>
  <c r="M1674" i="22"/>
  <c r="L1674" i="22"/>
  <c r="K1674" i="22"/>
  <c r="O1673" i="22"/>
  <c r="N1673" i="22"/>
  <c r="M1673" i="22"/>
  <c r="L1673" i="22"/>
  <c r="K1673" i="22"/>
  <c r="O1672" i="22"/>
  <c r="N1672" i="22"/>
  <c r="M1672" i="22"/>
  <c r="L1672" i="22"/>
  <c r="K1672" i="22"/>
  <c r="O1671" i="22"/>
  <c r="N1671" i="22"/>
  <c r="M1671" i="22"/>
  <c r="L1671" i="22"/>
  <c r="K1671" i="22"/>
  <c r="O1670" i="22"/>
  <c r="N1670" i="22"/>
  <c r="M1670" i="22"/>
  <c r="L1670" i="22"/>
  <c r="K1670" i="22"/>
  <c r="O1669" i="22"/>
  <c r="N1669" i="22"/>
  <c r="M1669" i="22"/>
  <c r="L1669" i="22"/>
  <c r="K1669" i="22"/>
  <c r="O1668" i="22"/>
  <c r="N1668" i="22"/>
  <c r="M1668" i="22"/>
  <c r="L1668" i="22"/>
  <c r="K1668" i="22"/>
  <c r="O1667" i="22"/>
  <c r="N1667" i="22"/>
  <c r="M1667" i="22"/>
  <c r="L1667" i="22"/>
  <c r="K1667" i="22"/>
  <c r="O1666" i="22"/>
  <c r="N1666" i="22"/>
  <c r="M1666" i="22"/>
  <c r="L1666" i="22"/>
  <c r="K1666" i="22"/>
  <c r="O1665" i="22"/>
  <c r="N1665" i="22"/>
  <c r="M1665" i="22"/>
  <c r="L1665" i="22"/>
  <c r="K1665" i="22"/>
  <c r="O1664" i="22"/>
  <c r="N1664" i="22"/>
  <c r="M1664" i="22"/>
  <c r="L1664" i="22"/>
  <c r="K1664" i="22"/>
  <c r="O1663" i="22"/>
  <c r="N1663" i="22"/>
  <c r="M1663" i="22"/>
  <c r="L1663" i="22"/>
  <c r="K1663" i="22"/>
  <c r="O1662" i="22"/>
  <c r="N1662" i="22"/>
  <c r="M1662" i="22"/>
  <c r="L1662" i="22"/>
  <c r="K1662" i="22"/>
  <c r="O1661" i="22"/>
  <c r="N1661" i="22"/>
  <c r="M1661" i="22"/>
  <c r="L1661" i="22"/>
  <c r="K1661" i="22"/>
  <c r="O1660" i="22"/>
  <c r="N1660" i="22"/>
  <c r="M1660" i="22"/>
  <c r="L1660" i="22"/>
  <c r="K1660" i="22"/>
  <c r="O1659" i="22"/>
  <c r="N1659" i="22"/>
  <c r="M1659" i="22"/>
  <c r="L1659" i="22"/>
  <c r="K1659" i="22"/>
  <c r="O1658" i="22"/>
  <c r="N1658" i="22"/>
  <c r="M1658" i="22"/>
  <c r="L1658" i="22"/>
  <c r="K1658" i="22"/>
  <c r="O1657" i="22"/>
  <c r="N1657" i="22"/>
  <c r="M1657" i="22"/>
  <c r="L1657" i="22"/>
  <c r="K1657" i="22"/>
  <c r="O1656" i="22"/>
  <c r="N1656" i="22"/>
  <c r="M1656" i="22"/>
  <c r="L1656" i="22"/>
  <c r="K1656" i="22"/>
  <c r="O1655" i="22"/>
  <c r="N1655" i="22"/>
  <c r="M1655" i="22"/>
  <c r="L1655" i="22"/>
  <c r="K1655" i="22"/>
  <c r="O1654" i="22"/>
  <c r="N1654" i="22"/>
  <c r="M1654" i="22"/>
  <c r="L1654" i="22"/>
  <c r="K1654" i="22"/>
  <c r="O1653" i="22"/>
  <c r="N1653" i="22"/>
  <c r="M1653" i="22"/>
  <c r="L1653" i="22"/>
  <c r="K1653" i="22"/>
  <c r="O1652" i="22"/>
  <c r="N1652" i="22"/>
  <c r="M1652" i="22"/>
  <c r="L1652" i="22"/>
  <c r="K1652" i="22"/>
  <c r="O1651" i="22"/>
  <c r="N1651" i="22"/>
  <c r="M1651" i="22"/>
  <c r="L1651" i="22"/>
  <c r="K1651" i="22"/>
  <c r="O1650" i="22"/>
  <c r="N1650" i="22"/>
  <c r="M1650" i="22"/>
  <c r="L1650" i="22"/>
  <c r="K1650" i="22"/>
  <c r="O1649" i="22"/>
  <c r="N1649" i="22"/>
  <c r="M1649" i="22"/>
  <c r="L1649" i="22"/>
  <c r="K1649" i="22"/>
  <c r="O1648" i="22"/>
  <c r="N1648" i="22"/>
  <c r="M1648" i="22"/>
  <c r="L1648" i="22"/>
  <c r="K1648" i="22"/>
  <c r="O1647" i="22"/>
  <c r="N1647" i="22"/>
  <c r="M1647" i="22"/>
  <c r="L1647" i="22"/>
  <c r="K1647" i="22"/>
  <c r="O1646" i="22"/>
  <c r="N1646" i="22"/>
  <c r="M1646" i="22"/>
  <c r="L1646" i="22"/>
  <c r="K1646" i="22"/>
  <c r="O1645" i="22"/>
  <c r="N1645" i="22"/>
  <c r="M1645" i="22"/>
  <c r="L1645" i="22"/>
  <c r="K1645" i="22"/>
  <c r="O1644" i="22"/>
  <c r="N1644" i="22"/>
  <c r="M1644" i="22"/>
  <c r="L1644" i="22"/>
  <c r="K1644" i="22"/>
  <c r="O1643" i="22"/>
  <c r="N1643" i="22"/>
  <c r="M1643" i="22"/>
  <c r="L1643" i="22"/>
  <c r="K1643" i="22"/>
  <c r="O1642" i="22"/>
  <c r="N1642" i="22"/>
  <c r="M1642" i="22"/>
  <c r="L1642" i="22"/>
  <c r="K1642" i="22"/>
  <c r="O1641" i="22"/>
  <c r="N1641" i="22"/>
  <c r="M1641" i="22"/>
  <c r="L1641" i="22"/>
  <c r="K1641" i="22"/>
  <c r="O1640" i="22"/>
  <c r="N1640" i="22"/>
  <c r="M1640" i="22"/>
  <c r="L1640" i="22"/>
  <c r="K1640" i="22"/>
  <c r="O1639" i="22"/>
  <c r="N1639" i="22"/>
  <c r="M1639" i="22"/>
  <c r="L1639" i="22"/>
  <c r="K1639" i="22"/>
  <c r="O1638" i="22"/>
  <c r="N1638" i="22"/>
  <c r="M1638" i="22"/>
  <c r="L1638" i="22"/>
  <c r="K1638" i="22"/>
  <c r="O1637" i="22"/>
  <c r="N1637" i="22"/>
  <c r="M1637" i="22"/>
  <c r="L1637" i="22"/>
  <c r="K1637" i="22"/>
  <c r="O1636" i="22"/>
  <c r="N1636" i="22"/>
  <c r="M1636" i="22"/>
  <c r="L1636" i="22"/>
  <c r="K1636" i="22"/>
  <c r="O1635" i="22"/>
  <c r="N1635" i="22"/>
  <c r="M1635" i="22"/>
  <c r="L1635" i="22"/>
  <c r="K1635" i="22"/>
  <c r="O1634" i="22"/>
  <c r="N1634" i="22"/>
  <c r="M1634" i="22"/>
  <c r="L1634" i="22"/>
  <c r="K1634" i="22"/>
  <c r="O1633" i="22"/>
  <c r="N1633" i="22"/>
  <c r="M1633" i="22"/>
  <c r="L1633" i="22"/>
  <c r="K1633" i="22"/>
  <c r="O1632" i="22"/>
  <c r="N1632" i="22"/>
  <c r="M1632" i="22"/>
  <c r="L1632" i="22"/>
  <c r="K1632" i="22"/>
  <c r="O1631" i="22"/>
  <c r="N1631" i="22"/>
  <c r="M1631" i="22"/>
  <c r="L1631" i="22"/>
  <c r="K1631" i="22"/>
  <c r="O1630" i="22"/>
  <c r="N1630" i="22"/>
  <c r="M1630" i="22"/>
  <c r="L1630" i="22"/>
  <c r="K1630" i="22"/>
  <c r="O1629" i="22"/>
  <c r="N1629" i="22"/>
  <c r="M1629" i="22"/>
  <c r="L1629" i="22"/>
  <c r="K1629" i="22"/>
  <c r="O1628" i="22"/>
  <c r="N1628" i="22"/>
  <c r="M1628" i="22"/>
  <c r="L1628" i="22"/>
  <c r="K1628" i="22"/>
  <c r="O1627" i="22"/>
  <c r="N1627" i="22"/>
  <c r="M1627" i="22"/>
  <c r="L1627" i="22"/>
  <c r="K1627" i="22"/>
  <c r="O1626" i="22"/>
  <c r="N1626" i="22"/>
  <c r="M1626" i="22"/>
  <c r="L1626" i="22"/>
  <c r="K1626" i="22"/>
  <c r="O1625" i="22"/>
  <c r="N1625" i="22"/>
  <c r="M1625" i="22"/>
  <c r="L1625" i="22"/>
  <c r="K1625" i="22"/>
  <c r="O1624" i="22"/>
  <c r="N1624" i="22"/>
  <c r="M1624" i="22"/>
  <c r="L1624" i="22"/>
  <c r="K1624" i="22"/>
  <c r="O1623" i="22"/>
  <c r="N1623" i="22"/>
  <c r="M1623" i="22"/>
  <c r="L1623" i="22"/>
  <c r="K1623" i="22"/>
  <c r="O1622" i="22"/>
  <c r="N1622" i="22"/>
  <c r="M1622" i="22"/>
  <c r="L1622" i="22"/>
  <c r="K1622" i="22"/>
  <c r="O1621" i="22"/>
  <c r="N1621" i="22"/>
  <c r="M1621" i="22"/>
  <c r="L1621" i="22"/>
  <c r="K1621" i="22"/>
  <c r="O1620" i="22"/>
  <c r="N1620" i="22"/>
  <c r="M1620" i="22"/>
  <c r="L1620" i="22"/>
  <c r="K1620" i="22"/>
  <c r="O1619" i="22"/>
  <c r="N1619" i="22"/>
  <c r="M1619" i="22"/>
  <c r="L1619" i="22"/>
  <c r="K1619" i="22"/>
  <c r="O1618" i="22"/>
  <c r="N1618" i="22"/>
  <c r="M1618" i="22"/>
  <c r="L1618" i="22"/>
  <c r="K1618" i="22"/>
  <c r="O1617" i="22"/>
  <c r="N1617" i="22"/>
  <c r="M1617" i="22"/>
  <c r="L1617" i="22"/>
  <c r="K1617" i="22"/>
  <c r="O1616" i="22"/>
  <c r="N1616" i="22"/>
  <c r="M1616" i="22"/>
  <c r="L1616" i="22"/>
  <c r="K1616" i="22"/>
  <c r="O1615" i="22"/>
  <c r="N1615" i="22"/>
  <c r="M1615" i="22"/>
  <c r="L1615" i="22"/>
  <c r="K1615" i="22"/>
  <c r="O1614" i="22"/>
  <c r="N1614" i="22"/>
  <c r="M1614" i="22"/>
  <c r="L1614" i="22"/>
  <c r="K1614" i="22"/>
  <c r="O1613" i="22"/>
  <c r="N1613" i="22"/>
  <c r="M1613" i="22"/>
  <c r="L1613" i="22"/>
  <c r="K1613" i="22"/>
  <c r="O1612" i="22"/>
  <c r="N1612" i="22"/>
  <c r="M1612" i="22"/>
  <c r="L1612" i="22"/>
  <c r="K1612" i="22"/>
  <c r="O1611" i="22"/>
  <c r="N1611" i="22"/>
  <c r="M1611" i="22"/>
  <c r="L1611" i="22"/>
  <c r="K1611" i="22"/>
  <c r="O1610" i="22"/>
  <c r="N1610" i="22"/>
  <c r="M1610" i="22"/>
  <c r="L1610" i="22"/>
  <c r="K1610" i="22"/>
  <c r="O1609" i="22"/>
  <c r="N1609" i="22"/>
  <c r="M1609" i="22"/>
  <c r="L1609" i="22"/>
  <c r="K1609" i="22"/>
  <c r="O1608" i="22"/>
  <c r="N1608" i="22"/>
  <c r="M1608" i="22"/>
  <c r="L1608" i="22"/>
  <c r="K1608" i="22"/>
  <c r="O1607" i="22"/>
  <c r="N1607" i="22"/>
  <c r="M1607" i="22"/>
  <c r="L1607" i="22"/>
  <c r="K1607" i="22"/>
  <c r="O1606" i="22"/>
  <c r="N1606" i="22"/>
  <c r="M1606" i="22"/>
  <c r="L1606" i="22"/>
  <c r="K1606" i="22"/>
  <c r="O1605" i="22"/>
  <c r="N1605" i="22"/>
  <c r="M1605" i="22"/>
  <c r="L1605" i="22"/>
  <c r="K1605" i="22"/>
  <c r="O1604" i="22"/>
  <c r="N1604" i="22"/>
  <c r="M1604" i="22"/>
  <c r="L1604" i="22"/>
  <c r="K1604" i="22"/>
  <c r="O1603" i="22"/>
  <c r="N1603" i="22"/>
  <c r="M1603" i="22"/>
  <c r="L1603" i="22"/>
  <c r="K1603" i="22"/>
  <c r="O1602" i="22"/>
  <c r="N1602" i="22"/>
  <c r="M1602" i="22"/>
  <c r="L1602" i="22"/>
  <c r="K1602" i="22"/>
  <c r="O1601" i="22"/>
  <c r="N1601" i="22"/>
  <c r="M1601" i="22"/>
  <c r="L1601" i="22"/>
  <c r="K1601" i="22"/>
  <c r="O1600" i="22"/>
  <c r="N1600" i="22"/>
  <c r="M1600" i="22"/>
  <c r="L1600" i="22"/>
  <c r="K1600" i="22"/>
  <c r="O1599" i="22"/>
  <c r="N1599" i="22"/>
  <c r="M1599" i="22"/>
  <c r="L1599" i="22"/>
  <c r="K1599" i="22"/>
  <c r="O1598" i="22"/>
  <c r="N1598" i="22"/>
  <c r="M1598" i="22"/>
  <c r="L1598" i="22"/>
  <c r="K1598" i="22"/>
  <c r="O1597" i="22"/>
  <c r="N1597" i="22"/>
  <c r="M1597" i="22"/>
  <c r="L1597" i="22"/>
  <c r="K1597" i="22"/>
  <c r="O1596" i="22"/>
  <c r="N1596" i="22"/>
  <c r="M1596" i="22"/>
  <c r="L1596" i="22"/>
  <c r="K1596" i="22"/>
  <c r="O1595" i="22"/>
  <c r="N1595" i="22"/>
  <c r="M1595" i="22"/>
  <c r="L1595" i="22"/>
  <c r="K1595" i="22"/>
  <c r="O1594" i="22"/>
  <c r="N1594" i="22"/>
  <c r="M1594" i="22"/>
  <c r="L1594" i="22"/>
  <c r="K1594" i="22"/>
  <c r="O1593" i="22"/>
  <c r="N1593" i="22"/>
  <c r="M1593" i="22"/>
  <c r="L1593" i="22"/>
  <c r="K1593" i="22"/>
  <c r="O1592" i="22"/>
  <c r="N1592" i="22"/>
  <c r="M1592" i="22"/>
  <c r="L1592" i="22"/>
  <c r="K1592" i="22"/>
  <c r="O1591" i="22"/>
  <c r="N1591" i="22"/>
  <c r="M1591" i="22"/>
  <c r="L1591" i="22"/>
  <c r="K1591" i="22"/>
  <c r="O1590" i="22"/>
  <c r="N1590" i="22"/>
  <c r="M1590" i="22"/>
  <c r="L1590" i="22"/>
  <c r="K1590" i="22"/>
  <c r="O1589" i="22"/>
  <c r="N1589" i="22"/>
  <c r="M1589" i="22"/>
  <c r="L1589" i="22"/>
  <c r="K1589" i="22"/>
  <c r="O1588" i="22"/>
  <c r="N1588" i="22"/>
  <c r="M1588" i="22"/>
  <c r="L1588" i="22"/>
  <c r="K1588" i="22"/>
  <c r="O1587" i="22"/>
  <c r="N1587" i="22"/>
  <c r="M1587" i="22"/>
  <c r="L1587" i="22"/>
  <c r="K1587" i="22"/>
  <c r="O1586" i="22"/>
  <c r="N1586" i="22"/>
  <c r="M1586" i="22"/>
  <c r="L1586" i="22"/>
  <c r="K1586" i="22"/>
  <c r="O1585" i="22"/>
  <c r="N1585" i="22"/>
  <c r="M1585" i="22"/>
  <c r="L1585" i="22"/>
  <c r="K1585" i="22"/>
  <c r="O1584" i="22"/>
  <c r="N1584" i="22"/>
  <c r="M1584" i="22"/>
  <c r="L1584" i="22"/>
  <c r="K1584" i="22"/>
  <c r="O1583" i="22"/>
  <c r="N1583" i="22"/>
  <c r="M1583" i="22"/>
  <c r="L1583" i="22"/>
  <c r="K1583" i="22"/>
  <c r="O1582" i="22"/>
  <c r="N1582" i="22"/>
  <c r="M1582" i="22"/>
  <c r="L1582" i="22"/>
  <c r="K1582" i="22"/>
  <c r="O1581" i="22"/>
  <c r="N1581" i="22"/>
  <c r="M1581" i="22"/>
  <c r="L1581" i="22"/>
  <c r="K1581" i="22"/>
  <c r="O1580" i="22"/>
  <c r="N1580" i="22"/>
  <c r="M1580" i="22"/>
  <c r="L1580" i="22"/>
  <c r="K1580" i="22"/>
  <c r="O1579" i="22"/>
  <c r="N1579" i="22"/>
  <c r="M1579" i="22"/>
  <c r="L1579" i="22"/>
  <c r="K1579" i="22"/>
  <c r="O1578" i="22"/>
  <c r="N1578" i="22"/>
  <c r="M1578" i="22"/>
  <c r="L1578" i="22"/>
  <c r="K1578" i="22"/>
  <c r="O1577" i="22"/>
  <c r="N1577" i="22"/>
  <c r="M1577" i="22"/>
  <c r="L1577" i="22"/>
  <c r="K1577" i="22"/>
  <c r="O1576" i="22"/>
  <c r="N1576" i="22"/>
  <c r="M1576" i="22"/>
  <c r="L1576" i="22"/>
  <c r="K1576" i="22"/>
  <c r="O1575" i="22"/>
  <c r="N1575" i="22"/>
  <c r="M1575" i="22"/>
  <c r="L1575" i="22"/>
  <c r="K1575" i="22"/>
  <c r="O1574" i="22"/>
  <c r="N1574" i="22"/>
  <c r="M1574" i="22"/>
  <c r="L1574" i="22"/>
  <c r="K1574" i="22"/>
  <c r="O1573" i="22"/>
  <c r="N1573" i="22"/>
  <c r="M1573" i="22"/>
  <c r="L1573" i="22"/>
  <c r="K1573" i="22"/>
  <c r="O1572" i="22"/>
  <c r="N1572" i="22"/>
  <c r="M1572" i="22"/>
  <c r="L1572" i="22"/>
  <c r="K1572" i="22"/>
  <c r="O1571" i="22"/>
  <c r="N1571" i="22"/>
  <c r="M1571" i="22"/>
  <c r="L1571" i="22"/>
  <c r="K1571" i="22"/>
  <c r="O1570" i="22"/>
  <c r="N1570" i="22"/>
  <c r="M1570" i="22"/>
  <c r="L1570" i="22"/>
  <c r="K1570" i="22"/>
  <c r="O1569" i="22"/>
  <c r="N1569" i="22"/>
  <c r="M1569" i="22"/>
  <c r="L1569" i="22"/>
  <c r="K1569" i="22"/>
  <c r="O1568" i="22"/>
  <c r="N1568" i="22"/>
  <c r="M1568" i="22"/>
  <c r="L1568" i="22"/>
  <c r="K1568" i="22"/>
  <c r="O1567" i="22"/>
  <c r="N1567" i="22"/>
  <c r="M1567" i="22"/>
  <c r="L1567" i="22"/>
  <c r="K1567" i="22"/>
  <c r="O1566" i="22"/>
  <c r="N1566" i="22"/>
  <c r="M1566" i="22"/>
  <c r="L1566" i="22"/>
  <c r="K1566" i="22"/>
  <c r="O1565" i="22"/>
  <c r="N1565" i="22"/>
  <c r="M1565" i="22"/>
  <c r="L1565" i="22"/>
  <c r="K1565" i="22"/>
  <c r="O1564" i="22"/>
  <c r="N1564" i="22"/>
  <c r="M1564" i="22"/>
  <c r="L1564" i="22"/>
  <c r="K1564" i="22"/>
  <c r="O1563" i="22"/>
  <c r="N1563" i="22"/>
  <c r="M1563" i="22"/>
  <c r="L1563" i="22"/>
  <c r="K1563" i="22"/>
  <c r="O1562" i="22"/>
  <c r="N1562" i="22"/>
  <c r="M1562" i="22"/>
  <c r="L1562" i="22"/>
  <c r="K1562" i="22"/>
  <c r="O1561" i="22"/>
  <c r="N1561" i="22"/>
  <c r="M1561" i="22"/>
  <c r="L1561" i="22"/>
  <c r="K1561" i="22"/>
  <c r="O1560" i="22"/>
  <c r="N1560" i="22"/>
  <c r="M1560" i="22"/>
  <c r="L1560" i="22"/>
  <c r="K1560" i="22"/>
  <c r="O1559" i="22"/>
  <c r="N1559" i="22"/>
  <c r="M1559" i="22"/>
  <c r="L1559" i="22"/>
  <c r="K1559" i="22"/>
  <c r="O1558" i="22"/>
  <c r="N1558" i="22"/>
  <c r="M1558" i="22"/>
  <c r="L1558" i="22"/>
  <c r="K1558" i="22"/>
  <c r="O1557" i="22"/>
  <c r="N1557" i="22"/>
  <c r="M1557" i="22"/>
  <c r="L1557" i="22"/>
  <c r="K1557" i="22"/>
  <c r="O1556" i="22"/>
  <c r="N1556" i="22"/>
  <c r="M1556" i="22"/>
  <c r="L1556" i="22"/>
  <c r="K1556" i="22"/>
  <c r="O1555" i="22"/>
  <c r="N1555" i="22"/>
  <c r="M1555" i="22"/>
  <c r="L1555" i="22"/>
  <c r="K1555" i="22"/>
  <c r="O1554" i="22"/>
  <c r="N1554" i="22"/>
  <c r="M1554" i="22"/>
  <c r="L1554" i="22"/>
  <c r="K1554" i="22"/>
  <c r="O1553" i="22"/>
  <c r="N1553" i="22"/>
  <c r="M1553" i="22"/>
  <c r="L1553" i="22"/>
  <c r="K1553" i="22"/>
  <c r="O1552" i="22"/>
  <c r="N1552" i="22"/>
  <c r="M1552" i="22"/>
  <c r="L1552" i="22"/>
  <c r="K1552" i="22"/>
  <c r="O1551" i="22"/>
  <c r="N1551" i="22"/>
  <c r="M1551" i="22"/>
  <c r="L1551" i="22"/>
  <c r="K1551" i="22"/>
  <c r="O1550" i="22"/>
  <c r="N1550" i="22"/>
  <c r="M1550" i="22"/>
  <c r="L1550" i="22"/>
  <c r="K1550" i="22"/>
  <c r="O1549" i="22"/>
  <c r="N1549" i="22"/>
  <c r="M1549" i="22"/>
  <c r="L1549" i="22"/>
  <c r="K1549" i="22"/>
  <c r="O1548" i="22"/>
  <c r="N1548" i="22"/>
  <c r="M1548" i="22"/>
  <c r="L1548" i="22"/>
  <c r="K1548" i="22"/>
  <c r="O1547" i="22"/>
  <c r="N1547" i="22"/>
  <c r="M1547" i="22"/>
  <c r="L1547" i="22"/>
  <c r="K1547" i="22"/>
  <c r="O1546" i="22"/>
  <c r="N1546" i="22"/>
  <c r="M1546" i="22"/>
  <c r="L1546" i="22"/>
  <c r="K1546" i="22"/>
  <c r="O1545" i="22"/>
  <c r="N1545" i="22"/>
  <c r="M1545" i="22"/>
  <c r="L1545" i="22"/>
  <c r="K1545" i="22"/>
  <c r="O1544" i="22"/>
  <c r="N1544" i="22"/>
  <c r="M1544" i="22"/>
  <c r="L1544" i="22"/>
  <c r="K1544" i="22"/>
  <c r="O1543" i="22"/>
  <c r="N1543" i="22"/>
  <c r="M1543" i="22"/>
  <c r="L1543" i="22"/>
  <c r="K1543" i="22"/>
  <c r="O1542" i="22"/>
  <c r="N1542" i="22"/>
  <c r="M1542" i="22"/>
  <c r="L1542" i="22"/>
  <c r="K1542" i="22"/>
  <c r="O1541" i="22"/>
  <c r="N1541" i="22"/>
  <c r="M1541" i="22"/>
  <c r="L1541" i="22"/>
  <c r="K1541" i="22"/>
  <c r="O1540" i="22"/>
  <c r="N1540" i="22"/>
  <c r="M1540" i="22"/>
  <c r="L1540" i="22"/>
  <c r="K1540" i="22"/>
  <c r="O1539" i="22"/>
  <c r="N1539" i="22"/>
  <c r="M1539" i="22"/>
  <c r="L1539" i="22"/>
  <c r="K1539" i="22"/>
  <c r="O1538" i="22"/>
  <c r="N1538" i="22"/>
  <c r="M1538" i="22"/>
  <c r="L1538" i="22"/>
  <c r="K1538" i="22"/>
  <c r="O1537" i="22"/>
  <c r="N1537" i="22"/>
  <c r="M1537" i="22"/>
  <c r="L1537" i="22"/>
  <c r="K1537" i="22"/>
  <c r="O1536" i="22"/>
  <c r="N1536" i="22"/>
  <c r="M1536" i="22"/>
  <c r="L1536" i="22"/>
  <c r="K1536" i="22"/>
  <c r="O1535" i="22"/>
  <c r="N1535" i="22"/>
  <c r="M1535" i="22"/>
  <c r="L1535" i="22"/>
  <c r="K1535" i="22"/>
  <c r="O1534" i="22"/>
  <c r="N1534" i="22"/>
  <c r="M1534" i="22"/>
  <c r="L1534" i="22"/>
  <c r="K1534" i="22"/>
  <c r="O1533" i="22"/>
  <c r="N1533" i="22"/>
  <c r="M1533" i="22"/>
  <c r="L1533" i="22"/>
  <c r="K1533" i="22"/>
  <c r="O1532" i="22"/>
  <c r="N1532" i="22"/>
  <c r="M1532" i="22"/>
  <c r="L1532" i="22"/>
  <c r="K1532" i="22"/>
  <c r="O1531" i="22"/>
  <c r="N1531" i="22"/>
  <c r="M1531" i="22"/>
  <c r="L1531" i="22"/>
  <c r="K1531" i="22"/>
  <c r="O1530" i="22"/>
  <c r="N1530" i="22"/>
  <c r="M1530" i="22"/>
  <c r="L1530" i="22"/>
  <c r="K1530" i="22"/>
  <c r="O1529" i="22"/>
  <c r="N1529" i="22"/>
  <c r="M1529" i="22"/>
  <c r="L1529" i="22"/>
  <c r="K1529" i="22"/>
  <c r="O1528" i="22"/>
  <c r="N1528" i="22"/>
  <c r="M1528" i="22"/>
  <c r="L1528" i="22"/>
  <c r="K1528" i="22"/>
  <c r="O1527" i="22"/>
  <c r="N1527" i="22"/>
  <c r="M1527" i="22"/>
  <c r="L1527" i="22"/>
  <c r="K1527" i="22"/>
  <c r="O1526" i="22"/>
  <c r="N1526" i="22"/>
  <c r="M1526" i="22"/>
  <c r="L1526" i="22"/>
  <c r="K1526" i="22"/>
  <c r="O1525" i="22"/>
  <c r="N1525" i="22"/>
  <c r="M1525" i="22"/>
  <c r="L1525" i="22"/>
  <c r="K1525" i="22"/>
  <c r="O1524" i="22"/>
  <c r="N1524" i="22"/>
  <c r="M1524" i="22"/>
  <c r="L1524" i="22"/>
  <c r="K1524" i="22"/>
  <c r="O1523" i="22"/>
  <c r="N1523" i="22"/>
  <c r="M1523" i="22"/>
  <c r="L1523" i="22"/>
  <c r="K1523" i="22"/>
  <c r="O1522" i="22"/>
  <c r="N1522" i="22"/>
  <c r="M1522" i="22"/>
  <c r="L1522" i="22"/>
  <c r="K1522" i="22"/>
  <c r="O1521" i="22"/>
  <c r="N1521" i="22"/>
  <c r="M1521" i="22"/>
  <c r="L1521" i="22"/>
  <c r="K1521" i="22"/>
  <c r="O1520" i="22"/>
  <c r="N1520" i="22"/>
  <c r="M1520" i="22"/>
  <c r="L1520" i="22"/>
  <c r="K1520" i="22"/>
  <c r="O1519" i="22"/>
  <c r="N1519" i="22"/>
  <c r="M1519" i="22"/>
  <c r="L1519" i="22"/>
  <c r="K1519" i="22"/>
  <c r="O1518" i="22"/>
  <c r="N1518" i="22"/>
  <c r="M1518" i="22"/>
  <c r="L1518" i="22"/>
  <c r="K1518" i="22"/>
  <c r="O1517" i="22"/>
  <c r="N1517" i="22"/>
  <c r="M1517" i="22"/>
  <c r="L1517" i="22"/>
  <c r="K1517" i="22"/>
  <c r="O1516" i="22"/>
  <c r="N1516" i="22"/>
  <c r="M1516" i="22"/>
  <c r="L1516" i="22"/>
  <c r="K1516" i="22"/>
  <c r="O1515" i="22"/>
  <c r="N1515" i="22"/>
  <c r="M1515" i="22"/>
  <c r="L1515" i="22"/>
  <c r="K1515" i="22"/>
  <c r="O1514" i="22"/>
  <c r="N1514" i="22"/>
  <c r="M1514" i="22"/>
  <c r="L1514" i="22"/>
  <c r="K1514" i="22"/>
  <c r="O1513" i="22"/>
  <c r="N1513" i="22"/>
  <c r="M1513" i="22"/>
  <c r="L1513" i="22"/>
  <c r="K1513" i="22"/>
  <c r="O1512" i="22"/>
  <c r="N1512" i="22"/>
  <c r="M1512" i="22"/>
  <c r="L1512" i="22"/>
  <c r="K1512" i="22"/>
  <c r="O1511" i="22"/>
  <c r="N1511" i="22"/>
  <c r="M1511" i="22"/>
  <c r="L1511" i="22"/>
  <c r="K1511" i="22"/>
  <c r="O1510" i="22"/>
  <c r="N1510" i="22"/>
  <c r="M1510" i="22"/>
  <c r="L1510" i="22"/>
  <c r="K1510" i="22"/>
  <c r="O1509" i="22"/>
  <c r="N1509" i="22"/>
  <c r="M1509" i="22"/>
  <c r="L1509" i="22"/>
  <c r="K1509" i="22"/>
  <c r="O1508" i="22"/>
  <c r="N1508" i="22"/>
  <c r="M1508" i="22"/>
  <c r="L1508" i="22"/>
  <c r="K1508" i="22"/>
  <c r="O1507" i="22"/>
  <c r="N1507" i="22"/>
  <c r="M1507" i="22"/>
  <c r="L1507" i="22"/>
  <c r="K1507" i="22"/>
  <c r="O1506" i="22"/>
  <c r="N1506" i="22"/>
  <c r="M1506" i="22"/>
  <c r="L1506" i="22"/>
  <c r="K1506" i="22"/>
  <c r="O1505" i="22"/>
  <c r="N1505" i="22"/>
  <c r="M1505" i="22"/>
  <c r="L1505" i="22"/>
  <c r="K1505" i="22"/>
  <c r="O1504" i="22"/>
  <c r="N1504" i="22"/>
  <c r="M1504" i="22"/>
  <c r="L1504" i="22"/>
  <c r="K1504" i="22"/>
  <c r="O1503" i="22"/>
  <c r="N1503" i="22"/>
  <c r="M1503" i="22"/>
  <c r="L1503" i="22"/>
  <c r="K1503" i="22"/>
  <c r="O1502" i="22"/>
  <c r="N1502" i="22"/>
  <c r="M1502" i="22"/>
  <c r="L1502" i="22"/>
  <c r="K1502" i="22"/>
  <c r="O1501" i="22"/>
  <c r="N1501" i="22"/>
  <c r="M1501" i="22"/>
  <c r="L1501" i="22"/>
  <c r="K1501" i="22"/>
  <c r="O1500" i="22"/>
  <c r="N1500" i="22"/>
  <c r="M1500" i="22"/>
  <c r="L1500" i="22"/>
  <c r="K1500" i="22"/>
  <c r="O1499" i="22"/>
  <c r="N1499" i="22"/>
  <c r="M1499" i="22"/>
  <c r="L1499" i="22"/>
  <c r="K1499" i="22"/>
  <c r="O1498" i="22"/>
  <c r="N1498" i="22"/>
  <c r="M1498" i="22"/>
  <c r="L1498" i="22"/>
  <c r="K1498" i="22"/>
  <c r="O1497" i="22"/>
  <c r="N1497" i="22"/>
  <c r="M1497" i="22"/>
  <c r="L1497" i="22"/>
  <c r="K1497" i="22"/>
  <c r="O1496" i="22"/>
  <c r="N1496" i="22"/>
  <c r="M1496" i="22"/>
  <c r="L1496" i="22"/>
  <c r="K1496" i="22"/>
  <c r="O1495" i="22"/>
  <c r="N1495" i="22"/>
  <c r="M1495" i="22"/>
  <c r="L1495" i="22"/>
  <c r="K1495" i="22"/>
  <c r="O1494" i="22"/>
  <c r="N1494" i="22"/>
  <c r="M1494" i="22"/>
  <c r="L1494" i="22"/>
  <c r="K1494" i="22"/>
  <c r="O1493" i="22"/>
  <c r="N1493" i="22"/>
  <c r="M1493" i="22"/>
  <c r="L1493" i="22"/>
  <c r="K1493" i="22"/>
  <c r="O1492" i="22"/>
  <c r="N1492" i="22"/>
  <c r="M1492" i="22"/>
  <c r="L1492" i="22"/>
  <c r="K1492" i="22"/>
  <c r="O1491" i="22"/>
  <c r="N1491" i="22"/>
  <c r="M1491" i="22"/>
  <c r="L1491" i="22"/>
  <c r="K1491" i="22"/>
  <c r="O1490" i="22"/>
  <c r="N1490" i="22"/>
  <c r="M1490" i="22"/>
  <c r="L1490" i="22"/>
  <c r="K1490" i="22"/>
  <c r="O1489" i="22"/>
  <c r="N1489" i="22"/>
  <c r="M1489" i="22"/>
  <c r="L1489" i="22"/>
  <c r="K1489" i="22"/>
  <c r="O1488" i="22"/>
  <c r="N1488" i="22"/>
  <c r="M1488" i="22"/>
  <c r="L1488" i="22"/>
  <c r="K1488" i="22"/>
  <c r="O1487" i="22"/>
  <c r="N1487" i="22"/>
  <c r="M1487" i="22"/>
  <c r="L1487" i="22"/>
  <c r="K1487" i="22"/>
  <c r="O1486" i="22"/>
  <c r="N1486" i="22"/>
  <c r="M1486" i="22"/>
  <c r="L1486" i="22"/>
  <c r="K1486" i="22"/>
  <c r="O1485" i="22"/>
  <c r="N1485" i="22"/>
  <c r="M1485" i="22"/>
  <c r="L1485" i="22"/>
  <c r="K1485" i="22"/>
  <c r="O1484" i="22"/>
  <c r="N1484" i="22"/>
  <c r="M1484" i="22"/>
  <c r="L1484" i="22"/>
  <c r="K1484" i="22"/>
  <c r="O1483" i="22"/>
  <c r="N1483" i="22"/>
  <c r="M1483" i="22"/>
  <c r="L1483" i="22"/>
  <c r="K1483" i="22"/>
  <c r="O1482" i="22"/>
  <c r="N1482" i="22"/>
  <c r="M1482" i="22"/>
  <c r="L1482" i="22"/>
  <c r="K1482" i="22"/>
  <c r="O1481" i="22"/>
  <c r="N1481" i="22"/>
  <c r="M1481" i="22"/>
  <c r="L1481" i="22"/>
  <c r="K1481" i="22"/>
  <c r="O1480" i="22"/>
  <c r="N1480" i="22"/>
  <c r="M1480" i="22"/>
  <c r="L1480" i="22"/>
  <c r="K1480" i="22"/>
  <c r="O1479" i="22"/>
  <c r="N1479" i="22"/>
  <c r="M1479" i="22"/>
  <c r="L1479" i="22"/>
  <c r="K1479" i="22"/>
  <c r="O1478" i="22"/>
  <c r="N1478" i="22"/>
  <c r="M1478" i="22"/>
  <c r="L1478" i="22"/>
  <c r="K1478" i="22"/>
  <c r="O1477" i="22"/>
  <c r="N1477" i="22"/>
  <c r="M1477" i="22"/>
  <c r="L1477" i="22"/>
  <c r="K1477" i="22"/>
  <c r="O1476" i="22"/>
  <c r="N1476" i="22"/>
  <c r="M1476" i="22"/>
  <c r="L1476" i="22"/>
  <c r="K1476" i="22"/>
  <c r="O1475" i="22"/>
  <c r="N1475" i="22"/>
  <c r="M1475" i="22"/>
  <c r="L1475" i="22"/>
  <c r="K1475" i="22"/>
  <c r="O1474" i="22"/>
  <c r="N1474" i="22"/>
  <c r="M1474" i="22"/>
  <c r="L1474" i="22"/>
  <c r="K1474" i="22"/>
  <c r="O1473" i="22"/>
  <c r="N1473" i="22"/>
  <c r="M1473" i="22"/>
  <c r="L1473" i="22"/>
  <c r="K1473" i="22"/>
  <c r="O1472" i="22"/>
  <c r="N1472" i="22"/>
  <c r="M1472" i="22"/>
  <c r="L1472" i="22"/>
  <c r="K1472" i="22"/>
  <c r="O1471" i="22"/>
  <c r="N1471" i="22"/>
  <c r="M1471" i="22"/>
  <c r="L1471" i="22"/>
  <c r="K1471" i="22"/>
  <c r="O1470" i="22"/>
  <c r="N1470" i="22"/>
  <c r="M1470" i="22"/>
  <c r="L1470" i="22"/>
  <c r="K1470" i="22"/>
  <c r="O1469" i="22"/>
  <c r="N1469" i="22"/>
  <c r="M1469" i="22"/>
  <c r="L1469" i="22"/>
  <c r="K1469" i="22"/>
  <c r="O1468" i="22"/>
  <c r="N1468" i="22"/>
  <c r="M1468" i="22"/>
  <c r="L1468" i="22"/>
  <c r="K1468" i="22"/>
  <c r="O1467" i="22"/>
  <c r="N1467" i="22"/>
  <c r="M1467" i="22"/>
  <c r="L1467" i="22"/>
  <c r="K1467" i="22"/>
  <c r="O1466" i="22"/>
  <c r="N1466" i="22"/>
  <c r="M1466" i="22"/>
  <c r="L1466" i="22"/>
  <c r="K1466" i="22"/>
  <c r="O1465" i="22"/>
  <c r="N1465" i="22"/>
  <c r="M1465" i="22"/>
  <c r="L1465" i="22"/>
  <c r="K1465" i="22"/>
  <c r="O1464" i="22"/>
  <c r="N1464" i="22"/>
  <c r="M1464" i="22"/>
  <c r="L1464" i="22"/>
  <c r="K1464" i="22"/>
  <c r="O1463" i="22"/>
  <c r="N1463" i="22"/>
  <c r="M1463" i="22"/>
  <c r="L1463" i="22"/>
  <c r="K1463" i="22"/>
  <c r="O1462" i="22"/>
  <c r="N1462" i="22"/>
  <c r="M1462" i="22"/>
  <c r="L1462" i="22"/>
  <c r="K1462" i="22"/>
  <c r="O1461" i="22"/>
  <c r="N1461" i="22"/>
  <c r="M1461" i="22"/>
  <c r="L1461" i="22"/>
  <c r="K1461" i="22"/>
  <c r="O1460" i="22"/>
  <c r="N1460" i="22"/>
  <c r="M1460" i="22"/>
  <c r="L1460" i="22"/>
  <c r="K1460" i="22"/>
  <c r="O1459" i="22"/>
  <c r="N1459" i="22"/>
  <c r="M1459" i="22"/>
  <c r="L1459" i="22"/>
  <c r="K1459" i="22"/>
  <c r="O1458" i="22"/>
  <c r="N1458" i="22"/>
  <c r="M1458" i="22"/>
  <c r="L1458" i="22"/>
  <c r="K1458" i="22"/>
  <c r="O1457" i="22"/>
  <c r="N1457" i="22"/>
  <c r="M1457" i="22"/>
  <c r="L1457" i="22"/>
  <c r="K1457" i="22"/>
  <c r="O1456" i="22"/>
  <c r="N1456" i="22"/>
  <c r="M1456" i="22"/>
  <c r="L1456" i="22"/>
  <c r="K1456" i="22"/>
  <c r="O1455" i="22"/>
  <c r="N1455" i="22"/>
  <c r="M1455" i="22"/>
  <c r="L1455" i="22"/>
  <c r="K1455" i="22"/>
  <c r="O1454" i="22"/>
  <c r="N1454" i="22"/>
  <c r="M1454" i="22"/>
  <c r="L1454" i="22"/>
  <c r="K1454" i="22"/>
  <c r="O1453" i="22"/>
  <c r="N1453" i="22"/>
  <c r="M1453" i="22"/>
  <c r="L1453" i="22"/>
  <c r="K1453" i="22"/>
  <c r="O1452" i="22"/>
  <c r="N1452" i="22"/>
  <c r="M1452" i="22"/>
  <c r="L1452" i="22"/>
  <c r="K1452" i="22"/>
  <c r="O1451" i="22"/>
  <c r="N1451" i="22"/>
  <c r="M1451" i="22"/>
  <c r="L1451" i="22"/>
  <c r="K1451" i="22"/>
  <c r="O1450" i="22"/>
  <c r="N1450" i="22"/>
  <c r="M1450" i="22"/>
  <c r="L1450" i="22"/>
  <c r="K1450" i="22"/>
  <c r="O1449" i="22"/>
  <c r="N1449" i="22"/>
  <c r="M1449" i="22"/>
  <c r="L1449" i="22"/>
  <c r="K1449" i="22"/>
  <c r="O1448" i="22"/>
  <c r="N1448" i="22"/>
  <c r="M1448" i="22"/>
  <c r="L1448" i="22"/>
  <c r="K1448" i="22"/>
  <c r="O1447" i="22"/>
  <c r="N1447" i="22"/>
  <c r="M1447" i="22"/>
  <c r="L1447" i="22"/>
  <c r="K1447" i="22"/>
  <c r="O1446" i="22"/>
  <c r="N1446" i="22"/>
  <c r="M1446" i="22"/>
  <c r="L1446" i="22"/>
  <c r="K1446" i="22"/>
  <c r="O1445" i="22"/>
  <c r="N1445" i="22"/>
  <c r="M1445" i="22"/>
  <c r="L1445" i="22"/>
  <c r="K1445" i="22"/>
  <c r="O1444" i="22"/>
  <c r="N1444" i="22"/>
  <c r="M1444" i="22"/>
  <c r="L1444" i="22"/>
  <c r="K1444" i="22"/>
  <c r="O1443" i="22"/>
  <c r="N1443" i="22"/>
  <c r="M1443" i="22"/>
  <c r="L1443" i="22"/>
  <c r="K1443" i="22"/>
  <c r="O1442" i="22"/>
  <c r="N1442" i="22"/>
  <c r="M1442" i="22"/>
  <c r="L1442" i="22"/>
  <c r="K1442" i="22"/>
  <c r="O1441" i="22"/>
  <c r="N1441" i="22"/>
  <c r="M1441" i="22"/>
  <c r="L1441" i="22"/>
  <c r="K1441" i="22"/>
  <c r="O1440" i="22"/>
  <c r="N1440" i="22"/>
  <c r="M1440" i="22"/>
  <c r="L1440" i="22"/>
  <c r="K1440" i="22"/>
  <c r="O1439" i="22"/>
  <c r="N1439" i="22"/>
  <c r="M1439" i="22"/>
  <c r="L1439" i="22"/>
  <c r="K1439" i="22"/>
  <c r="O1438" i="22"/>
  <c r="N1438" i="22"/>
  <c r="M1438" i="22"/>
  <c r="L1438" i="22"/>
  <c r="K1438" i="22"/>
  <c r="O1437" i="22"/>
  <c r="N1437" i="22"/>
  <c r="M1437" i="22"/>
  <c r="L1437" i="22"/>
  <c r="K1437" i="22"/>
  <c r="O1436" i="22"/>
  <c r="N1436" i="22"/>
  <c r="M1436" i="22"/>
  <c r="L1436" i="22"/>
  <c r="K1436" i="22"/>
  <c r="O1435" i="22"/>
  <c r="N1435" i="22"/>
  <c r="M1435" i="22"/>
  <c r="L1435" i="22"/>
  <c r="K1435" i="22"/>
  <c r="O1434" i="22"/>
  <c r="N1434" i="22"/>
  <c r="M1434" i="22"/>
  <c r="L1434" i="22"/>
  <c r="K1434" i="22"/>
  <c r="O1433" i="22"/>
  <c r="N1433" i="22"/>
  <c r="M1433" i="22"/>
  <c r="L1433" i="22"/>
  <c r="K1433" i="22"/>
  <c r="O1432" i="22"/>
  <c r="N1432" i="22"/>
  <c r="M1432" i="22"/>
  <c r="L1432" i="22"/>
  <c r="K1432" i="22"/>
  <c r="O1431" i="22"/>
  <c r="N1431" i="22"/>
  <c r="M1431" i="22"/>
  <c r="L1431" i="22"/>
  <c r="K1431" i="22"/>
  <c r="O1430" i="22"/>
  <c r="N1430" i="22"/>
  <c r="M1430" i="22"/>
  <c r="L1430" i="22"/>
  <c r="K1430" i="22"/>
  <c r="O1429" i="22"/>
  <c r="N1429" i="22"/>
  <c r="M1429" i="22"/>
  <c r="L1429" i="22"/>
  <c r="K1429" i="22"/>
  <c r="O1428" i="22"/>
  <c r="N1428" i="22"/>
  <c r="M1428" i="22"/>
  <c r="L1428" i="22"/>
  <c r="K1428" i="22"/>
  <c r="O1427" i="22"/>
  <c r="N1427" i="22"/>
  <c r="M1427" i="22"/>
  <c r="L1427" i="22"/>
  <c r="K1427" i="22"/>
  <c r="O1426" i="22"/>
  <c r="N1426" i="22"/>
  <c r="M1426" i="22"/>
  <c r="L1426" i="22"/>
  <c r="K1426" i="22"/>
  <c r="O1425" i="22"/>
  <c r="N1425" i="22"/>
  <c r="M1425" i="22"/>
  <c r="L1425" i="22"/>
  <c r="K1425" i="22"/>
  <c r="O1424" i="22"/>
  <c r="N1424" i="22"/>
  <c r="M1424" i="22"/>
  <c r="L1424" i="22"/>
  <c r="K1424" i="22"/>
  <c r="O1423" i="22"/>
  <c r="N1423" i="22"/>
  <c r="M1423" i="22"/>
  <c r="L1423" i="22"/>
  <c r="K1423" i="22"/>
  <c r="O1422" i="22"/>
  <c r="N1422" i="22"/>
  <c r="M1422" i="22"/>
  <c r="L1422" i="22"/>
  <c r="K1422" i="22"/>
  <c r="O1421" i="22"/>
  <c r="N1421" i="22"/>
  <c r="M1421" i="22"/>
  <c r="L1421" i="22"/>
  <c r="K1421" i="22"/>
  <c r="O1420" i="22"/>
  <c r="N1420" i="22"/>
  <c r="M1420" i="22"/>
  <c r="L1420" i="22"/>
  <c r="K1420" i="22"/>
  <c r="O1419" i="22"/>
  <c r="N1419" i="22"/>
  <c r="M1419" i="22"/>
  <c r="L1419" i="22"/>
  <c r="K1419" i="22"/>
  <c r="O1418" i="22"/>
  <c r="N1418" i="22"/>
  <c r="M1418" i="22"/>
  <c r="L1418" i="22"/>
  <c r="K1418" i="22"/>
  <c r="O1417" i="22"/>
  <c r="N1417" i="22"/>
  <c r="M1417" i="22"/>
  <c r="L1417" i="22"/>
  <c r="K1417" i="22"/>
  <c r="O1416" i="22"/>
  <c r="N1416" i="22"/>
  <c r="M1416" i="22"/>
  <c r="L1416" i="22"/>
  <c r="K1416" i="22"/>
  <c r="O1415" i="22"/>
  <c r="N1415" i="22"/>
  <c r="M1415" i="22"/>
  <c r="L1415" i="22"/>
  <c r="K1415" i="22"/>
  <c r="O1414" i="22"/>
  <c r="N1414" i="22"/>
  <c r="M1414" i="22"/>
  <c r="L1414" i="22"/>
  <c r="K1414" i="22"/>
  <c r="O1413" i="22"/>
  <c r="N1413" i="22"/>
  <c r="M1413" i="22"/>
  <c r="L1413" i="22"/>
  <c r="K1413" i="22"/>
  <c r="O1412" i="22"/>
  <c r="N1412" i="22"/>
  <c r="M1412" i="22"/>
  <c r="L1412" i="22"/>
  <c r="K1412" i="22"/>
  <c r="O1411" i="22"/>
  <c r="N1411" i="22"/>
  <c r="M1411" i="22"/>
  <c r="L1411" i="22"/>
  <c r="K1411" i="22"/>
  <c r="O1410" i="22"/>
  <c r="N1410" i="22"/>
  <c r="M1410" i="22"/>
  <c r="L1410" i="22"/>
  <c r="K1410" i="22"/>
  <c r="O1409" i="22"/>
  <c r="N1409" i="22"/>
  <c r="M1409" i="22"/>
  <c r="L1409" i="22"/>
  <c r="K1409" i="22"/>
  <c r="O1408" i="22"/>
  <c r="N1408" i="22"/>
  <c r="M1408" i="22"/>
  <c r="L1408" i="22"/>
  <c r="K1408" i="22"/>
  <c r="O1407" i="22"/>
  <c r="N1407" i="22"/>
  <c r="M1407" i="22"/>
  <c r="L1407" i="22"/>
  <c r="K1407" i="22"/>
  <c r="O1406" i="22"/>
  <c r="N1406" i="22"/>
  <c r="M1406" i="22"/>
  <c r="L1406" i="22"/>
  <c r="K1406" i="22"/>
  <c r="O1405" i="22"/>
  <c r="N1405" i="22"/>
  <c r="M1405" i="22"/>
  <c r="L1405" i="22"/>
  <c r="K1405" i="22"/>
  <c r="O1404" i="22"/>
  <c r="N1404" i="22"/>
  <c r="M1404" i="22"/>
  <c r="L1404" i="22"/>
  <c r="K1404" i="22"/>
  <c r="O1403" i="22"/>
  <c r="N1403" i="22"/>
  <c r="M1403" i="22"/>
  <c r="L1403" i="22"/>
  <c r="K1403" i="22"/>
  <c r="O1402" i="22"/>
  <c r="N1402" i="22"/>
  <c r="M1402" i="22"/>
  <c r="L1402" i="22"/>
  <c r="K1402" i="22"/>
  <c r="O1401" i="22"/>
  <c r="N1401" i="22"/>
  <c r="M1401" i="22"/>
  <c r="L1401" i="22"/>
  <c r="K1401" i="22"/>
  <c r="O1400" i="22"/>
  <c r="N1400" i="22"/>
  <c r="M1400" i="22"/>
  <c r="L1400" i="22"/>
  <c r="K1400" i="22"/>
  <c r="O1399" i="22"/>
  <c r="N1399" i="22"/>
  <c r="M1399" i="22"/>
  <c r="L1399" i="22"/>
  <c r="K1399" i="22"/>
  <c r="O1398" i="22"/>
  <c r="N1398" i="22"/>
  <c r="M1398" i="22"/>
  <c r="L1398" i="22"/>
  <c r="K1398" i="22"/>
  <c r="O1397" i="22"/>
  <c r="N1397" i="22"/>
  <c r="M1397" i="22"/>
  <c r="L1397" i="22"/>
  <c r="K1397" i="22"/>
  <c r="O1396" i="22"/>
  <c r="N1396" i="22"/>
  <c r="M1396" i="22"/>
  <c r="L1396" i="22"/>
  <c r="K1396" i="22"/>
  <c r="O1395" i="22"/>
  <c r="N1395" i="22"/>
  <c r="M1395" i="22"/>
  <c r="L1395" i="22"/>
  <c r="K1395" i="22"/>
  <c r="O1394" i="22"/>
  <c r="N1394" i="22"/>
  <c r="M1394" i="22"/>
  <c r="L1394" i="22"/>
  <c r="K1394" i="22"/>
  <c r="O1393" i="22"/>
  <c r="N1393" i="22"/>
  <c r="M1393" i="22"/>
  <c r="L1393" i="22"/>
  <c r="K1393" i="22"/>
  <c r="O1392" i="22"/>
  <c r="N1392" i="22"/>
  <c r="M1392" i="22"/>
  <c r="L1392" i="22"/>
  <c r="K1392" i="22"/>
  <c r="O1391" i="22"/>
  <c r="N1391" i="22"/>
  <c r="M1391" i="22"/>
  <c r="L1391" i="22"/>
  <c r="K1391" i="22"/>
  <c r="O1390" i="22"/>
  <c r="N1390" i="22"/>
  <c r="M1390" i="22"/>
  <c r="L1390" i="22"/>
  <c r="K1390" i="22"/>
  <c r="O1389" i="22"/>
  <c r="N1389" i="22"/>
  <c r="M1389" i="22"/>
  <c r="L1389" i="22"/>
  <c r="K1389" i="22"/>
  <c r="O1388" i="22"/>
  <c r="N1388" i="22"/>
  <c r="M1388" i="22"/>
  <c r="L1388" i="22"/>
  <c r="K1388" i="22"/>
  <c r="O1387" i="22"/>
  <c r="N1387" i="22"/>
  <c r="M1387" i="22"/>
  <c r="L1387" i="22"/>
  <c r="K1387" i="22"/>
  <c r="O1386" i="22"/>
  <c r="N1386" i="22"/>
  <c r="M1386" i="22"/>
  <c r="L1386" i="22"/>
  <c r="K1386" i="22"/>
  <c r="O1385" i="22"/>
  <c r="N1385" i="22"/>
  <c r="M1385" i="22"/>
  <c r="L1385" i="22"/>
  <c r="K1385" i="22"/>
  <c r="O1384" i="22"/>
  <c r="N1384" i="22"/>
  <c r="M1384" i="22"/>
  <c r="L1384" i="22"/>
  <c r="K1384" i="22"/>
  <c r="O1383" i="22"/>
  <c r="N1383" i="22"/>
  <c r="M1383" i="22"/>
  <c r="L1383" i="22"/>
  <c r="K1383" i="22"/>
  <c r="O1382" i="22"/>
  <c r="N1382" i="22"/>
  <c r="M1382" i="22"/>
  <c r="L1382" i="22"/>
  <c r="K1382" i="22"/>
  <c r="O1381" i="22"/>
  <c r="N1381" i="22"/>
  <c r="M1381" i="22"/>
  <c r="L1381" i="22"/>
  <c r="K1381" i="22"/>
  <c r="O1380" i="22"/>
  <c r="N1380" i="22"/>
  <c r="M1380" i="22"/>
  <c r="L1380" i="22"/>
  <c r="K1380" i="22"/>
  <c r="O1379" i="22"/>
  <c r="N1379" i="22"/>
  <c r="M1379" i="22"/>
  <c r="L1379" i="22"/>
  <c r="K1379" i="22"/>
  <c r="O1378" i="22"/>
  <c r="N1378" i="22"/>
  <c r="M1378" i="22"/>
  <c r="L1378" i="22"/>
  <c r="K1378" i="22"/>
  <c r="O1377" i="22"/>
  <c r="N1377" i="22"/>
  <c r="M1377" i="22"/>
  <c r="L1377" i="22"/>
  <c r="K1377" i="22"/>
  <c r="O1376" i="22"/>
  <c r="N1376" i="22"/>
  <c r="M1376" i="22"/>
  <c r="L1376" i="22"/>
  <c r="K1376" i="22"/>
  <c r="O1375" i="22"/>
  <c r="N1375" i="22"/>
  <c r="M1375" i="22"/>
  <c r="L1375" i="22"/>
  <c r="K1375" i="22"/>
  <c r="O1374" i="22"/>
  <c r="N1374" i="22"/>
  <c r="M1374" i="22"/>
  <c r="L1374" i="22"/>
  <c r="K1374" i="22"/>
  <c r="O1373" i="22"/>
  <c r="N1373" i="22"/>
  <c r="M1373" i="22"/>
  <c r="L1373" i="22"/>
  <c r="K1373" i="22"/>
  <c r="O1372" i="22"/>
  <c r="N1372" i="22"/>
  <c r="M1372" i="22"/>
  <c r="L1372" i="22"/>
  <c r="K1372" i="22"/>
  <c r="O1371" i="22"/>
  <c r="N1371" i="22"/>
  <c r="M1371" i="22"/>
  <c r="L1371" i="22"/>
  <c r="K1371" i="22"/>
  <c r="O1370" i="22"/>
  <c r="N1370" i="22"/>
  <c r="M1370" i="22"/>
  <c r="L1370" i="22"/>
  <c r="K1370" i="22"/>
  <c r="O1369" i="22"/>
  <c r="N1369" i="22"/>
  <c r="M1369" i="22"/>
  <c r="L1369" i="22"/>
  <c r="K1369" i="22"/>
  <c r="O1368" i="22"/>
  <c r="N1368" i="22"/>
  <c r="M1368" i="22"/>
  <c r="L1368" i="22"/>
  <c r="K1368" i="22"/>
  <c r="O1367" i="22"/>
  <c r="N1367" i="22"/>
  <c r="M1367" i="22"/>
  <c r="L1367" i="22"/>
  <c r="K1367" i="22"/>
  <c r="O1366" i="22"/>
  <c r="N1366" i="22"/>
  <c r="M1366" i="22"/>
  <c r="L1366" i="22"/>
  <c r="K1366" i="22"/>
  <c r="O1365" i="22"/>
  <c r="N1365" i="22"/>
  <c r="M1365" i="22"/>
  <c r="L1365" i="22"/>
  <c r="K1365" i="22"/>
  <c r="O1364" i="22"/>
  <c r="N1364" i="22"/>
  <c r="M1364" i="22"/>
  <c r="L1364" i="22"/>
  <c r="K1364" i="22"/>
  <c r="O1363" i="22"/>
  <c r="N1363" i="22"/>
  <c r="M1363" i="22"/>
  <c r="L1363" i="22"/>
  <c r="K1363" i="22"/>
  <c r="O1362" i="22"/>
  <c r="N1362" i="22"/>
  <c r="M1362" i="22"/>
  <c r="L1362" i="22"/>
  <c r="K1362" i="22"/>
  <c r="O1361" i="22"/>
  <c r="N1361" i="22"/>
  <c r="M1361" i="22"/>
  <c r="L1361" i="22"/>
  <c r="K1361" i="22"/>
  <c r="O1360" i="22"/>
  <c r="N1360" i="22"/>
  <c r="M1360" i="22"/>
  <c r="L1360" i="22"/>
  <c r="K1360" i="22"/>
  <c r="O1359" i="22"/>
  <c r="N1359" i="22"/>
  <c r="M1359" i="22"/>
  <c r="L1359" i="22"/>
  <c r="K1359" i="22"/>
  <c r="O1358" i="22"/>
  <c r="N1358" i="22"/>
  <c r="M1358" i="22"/>
  <c r="L1358" i="22"/>
  <c r="K1358" i="22"/>
  <c r="O1357" i="22"/>
  <c r="N1357" i="22"/>
  <c r="M1357" i="22"/>
  <c r="L1357" i="22"/>
  <c r="K1357" i="22"/>
  <c r="O1356" i="22"/>
  <c r="N1356" i="22"/>
  <c r="M1356" i="22"/>
  <c r="L1356" i="22"/>
  <c r="K1356" i="22"/>
  <c r="O1355" i="22"/>
  <c r="N1355" i="22"/>
  <c r="M1355" i="22"/>
  <c r="L1355" i="22"/>
  <c r="K1355" i="22"/>
  <c r="O1354" i="22"/>
  <c r="N1354" i="22"/>
  <c r="M1354" i="22"/>
  <c r="L1354" i="22"/>
  <c r="K1354" i="22"/>
  <c r="O1353" i="22"/>
  <c r="N1353" i="22"/>
  <c r="M1353" i="22"/>
  <c r="L1353" i="22"/>
  <c r="K1353" i="22"/>
  <c r="O1352" i="22"/>
  <c r="N1352" i="22"/>
  <c r="M1352" i="22"/>
  <c r="L1352" i="22"/>
  <c r="K1352" i="22"/>
  <c r="O1351" i="22"/>
  <c r="N1351" i="22"/>
  <c r="M1351" i="22"/>
  <c r="L1351" i="22"/>
  <c r="K1351" i="22"/>
  <c r="O1350" i="22"/>
  <c r="N1350" i="22"/>
  <c r="M1350" i="22"/>
  <c r="L1350" i="22"/>
  <c r="K1350" i="22"/>
  <c r="O1349" i="22"/>
  <c r="N1349" i="22"/>
  <c r="M1349" i="22"/>
  <c r="L1349" i="22"/>
  <c r="K1349" i="22"/>
  <c r="O1348" i="22"/>
  <c r="N1348" i="22"/>
  <c r="M1348" i="22"/>
  <c r="L1348" i="22"/>
  <c r="K1348" i="22"/>
  <c r="O1347" i="22"/>
  <c r="N1347" i="22"/>
  <c r="M1347" i="22"/>
  <c r="L1347" i="22"/>
  <c r="K1347" i="22"/>
  <c r="O1346" i="22"/>
  <c r="N1346" i="22"/>
  <c r="M1346" i="22"/>
  <c r="L1346" i="22"/>
  <c r="K1346" i="22"/>
  <c r="O1345" i="22"/>
  <c r="N1345" i="22"/>
  <c r="M1345" i="22"/>
  <c r="L1345" i="22"/>
  <c r="K1345" i="22"/>
  <c r="O1344" i="22"/>
  <c r="N1344" i="22"/>
  <c r="M1344" i="22"/>
  <c r="L1344" i="22"/>
  <c r="K1344" i="22"/>
  <c r="O1343" i="22"/>
  <c r="N1343" i="22"/>
  <c r="M1343" i="22"/>
  <c r="L1343" i="22"/>
  <c r="K1343" i="22"/>
  <c r="O1342" i="22"/>
  <c r="N1342" i="22"/>
  <c r="M1342" i="22"/>
  <c r="L1342" i="22"/>
  <c r="K1342" i="22"/>
  <c r="O1341" i="22"/>
  <c r="N1341" i="22"/>
  <c r="M1341" i="22"/>
  <c r="L1341" i="22"/>
  <c r="K1341" i="22"/>
  <c r="O1340" i="22"/>
  <c r="N1340" i="22"/>
  <c r="M1340" i="22"/>
  <c r="L1340" i="22"/>
  <c r="K1340" i="22"/>
  <c r="O1339" i="22"/>
  <c r="N1339" i="22"/>
  <c r="M1339" i="22"/>
  <c r="L1339" i="22"/>
  <c r="K1339" i="22"/>
  <c r="O1338" i="22"/>
  <c r="N1338" i="22"/>
  <c r="M1338" i="22"/>
  <c r="L1338" i="22"/>
  <c r="K1338" i="22"/>
  <c r="O1337" i="22"/>
  <c r="N1337" i="22"/>
  <c r="M1337" i="22"/>
  <c r="L1337" i="22"/>
  <c r="K1337" i="22"/>
  <c r="O1336" i="22"/>
  <c r="N1336" i="22"/>
  <c r="M1336" i="22"/>
  <c r="L1336" i="22"/>
  <c r="K1336" i="22"/>
  <c r="O1335" i="22"/>
  <c r="N1335" i="22"/>
  <c r="M1335" i="22"/>
  <c r="L1335" i="22"/>
  <c r="K1335" i="22"/>
  <c r="O1334" i="22"/>
  <c r="N1334" i="22"/>
  <c r="M1334" i="22"/>
  <c r="L1334" i="22"/>
  <c r="K1334" i="22"/>
  <c r="O1333" i="22"/>
  <c r="N1333" i="22"/>
  <c r="M1333" i="22"/>
  <c r="L1333" i="22"/>
  <c r="K1333" i="22"/>
  <c r="O1332" i="22"/>
  <c r="N1332" i="22"/>
  <c r="M1332" i="22"/>
  <c r="L1332" i="22"/>
  <c r="K1332" i="22"/>
  <c r="O1331" i="22"/>
  <c r="N1331" i="22"/>
  <c r="M1331" i="22"/>
  <c r="L1331" i="22"/>
  <c r="K1331" i="22"/>
  <c r="O1330" i="22"/>
  <c r="N1330" i="22"/>
  <c r="M1330" i="22"/>
  <c r="L1330" i="22"/>
  <c r="K1330" i="22"/>
  <c r="O1329" i="22"/>
  <c r="N1329" i="22"/>
  <c r="M1329" i="22"/>
  <c r="L1329" i="22"/>
  <c r="K1329" i="22"/>
  <c r="O1328" i="22"/>
  <c r="N1328" i="22"/>
  <c r="M1328" i="22"/>
  <c r="L1328" i="22"/>
  <c r="K1328" i="22"/>
  <c r="O1327" i="22"/>
  <c r="N1327" i="22"/>
  <c r="M1327" i="22"/>
  <c r="L1327" i="22"/>
  <c r="K1327" i="22"/>
  <c r="O1326" i="22"/>
  <c r="N1326" i="22"/>
  <c r="M1326" i="22"/>
  <c r="L1326" i="22"/>
  <c r="K1326" i="22"/>
  <c r="O1325" i="22"/>
  <c r="N1325" i="22"/>
  <c r="M1325" i="22"/>
  <c r="L1325" i="22"/>
  <c r="K1325" i="22"/>
  <c r="O1324" i="22"/>
  <c r="N1324" i="22"/>
  <c r="M1324" i="22"/>
  <c r="L1324" i="22"/>
  <c r="K1324" i="22"/>
  <c r="O1323" i="22"/>
  <c r="N1323" i="22"/>
  <c r="M1323" i="22"/>
  <c r="L1323" i="22"/>
  <c r="K1323" i="22"/>
  <c r="O1322" i="22"/>
  <c r="N1322" i="22"/>
  <c r="M1322" i="22"/>
  <c r="L1322" i="22"/>
  <c r="K1322" i="22"/>
  <c r="O1321" i="22"/>
  <c r="N1321" i="22"/>
  <c r="M1321" i="22"/>
  <c r="L1321" i="22"/>
  <c r="K1321" i="22"/>
  <c r="O1320" i="22"/>
  <c r="N1320" i="22"/>
  <c r="M1320" i="22"/>
  <c r="L1320" i="22"/>
  <c r="K1320" i="22"/>
  <c r="O1319" i="22"/>
  <c r="N1319" i="22"/>
  <c r="M1319" i="22"/>
  <c r="L1319" i="22"/>
  <c r="K1319" i="22"/>
  <c r="O1318" i="22"/>
  <c r="N1318" i="22"/>
  <c r="M1318" i="22"/>
  <c r="L1318" i="22"/>
  <c r="K1318" i="22"/>
  <c r="O1317" i="22"/>
  <c r="N1317" i="22"/>
  <c r="M1317" i="22"/>
  <c r="L1317" i="22"/>
  <c r="K1317" i="22"/>
  <c r="O1316" i="22"/>
  <c r="N1316" i="22"/>
  <c r="M1316" i="22"/>
  <c r="L1316" i="22"/>
  <c r="K1316" i="22"/>
  <c r="O1315" i="22"/>
  <c r="N1315" i="22"/>
  <c r="M1315" i="22"/>
  <c r="L1315" i="22"/>
  <c r="K1315" i="22"/>
  <c r="O1314" i="22"/>
  <c r="N1314" i="22"/>
  <c r="M1314" i="22"/>
  <c r="L1314" i="22"/>
  <c r="K1314" i="22"/>
  <c r="O1313" i="22"/>
  <c r="N1313" i="22"/>
  <c r="M1313" i="22"/>
  <c r="L1313" i="22"/>
  <c r="K1313" i="22"/>
  <c r="O1312" i="22"/>
  <c r="N1312" i="22"/>
  <c r="M1312" i="22"/>
  <c r="L1312" i="22"/>
  <c r="K1312" i="22"/>
  <c r="O1311" i="22"/>
  <c r="N1311" i="22"/>
  <c r="M1311" i="22"/>
  <c r="L1311" i="22"/>
  <c r="K1311" i="22"/>
  <c r="O1310" i="22"/>
  <c r="N1310" i="22"/>
  <c r="M1310" i="22"/>
  <c r="L1310" i="22"/>
  <c r="K1310" i="22"/>
  <c r="O1309" i="22"/>
  <c r="N1309" i="22"/>
  <c r="M1309" i="22"/>
  <c r="L1309" i="22"/>
  <c r="K1309" i="22"/>
  <c r="O1308" i="22"/>
  <c r="N1308" i="22"/>
  <c r="M1308" i="22"/>
  <c r="L1308" i="22"/>
  <c r="K1308" i="22"/>
  <c r="O1307" i="22"/>
  <c r="N1307" i="22"/>
  <c r="M1307" i="22"/>
  <c r="L1307" i="22"/>
  <c r="K1307" i="22"/>
  <c r="O1306" i="22"/>
  <c r="N1306" i="22"/>
  <c r="M1306" i="22"/>
  <c r="L1306" i="22"/>
  <c r="K1306" i="22"/>
  <c r="O1305" i="22"/>
  <c r="N1305" i="22"/>
  <c r="M1305" i="22"/>
  <c r="L1305" i="22"/>
  <c r="K1305" i="22"/>
  <c r="O1304" i="22"/>
  <c r="N1304" i="22"/>
  <c r="M1304" i="22"/>
  <c r="L1304" i="22"/>
  <c r="K1304" i="22"/>
  <c r="O1303" i="22"/>
  <c r="N1303" i="22"/>
  <c r="M1303" i="22"/>
  <c r="L1303" i="22"/>
  <c r="K1303" i="22"/>
  <c r="O1302" i="22"/>
  <c r="N1302" i="22"/>
  <c r="M1302" i="22"/>
  <c r="L1302" i="22"/>
  <c r="K1302" i="22"/>
  <c r="O1301" i="22"/>
  <c r="N1301" i="22"/>
  <c r="M1301" i="22"/>
  <c r="L1301" i="22"/>
  <c r="K1301" i="22"/>
  <c r="O1300" i="22"/>
  <c r="N1300" i="22"/>
  <c r="M1300" i="22"/>
  <c r="L1300" i="22"/>
  <c r="K1300" i="22"/>
  <c r="O1299" i="22"/>
  <c r="N1299" i="22"/>
  <c r="M1299" i="22"/>
  <c r="L1299" i="22"/>
  <c r="K1299" i="22"/>
  <c r="O1298" i="22"/>
  <c r="N1298" i="22"/>
  <c r="M1298" i="22"/>
  <c r="L1298" i="22"/>
  <c r="K1298" i="22"/>
  <c r="O1297" i="22"/>
  <c r="N1297" i="22"/>
  <c r="M1297" i="22"/>
  <c r="L1297" i="22"/>
  <c r="K1297" i="22"/>
  <c r="O1296" i="22"/>
  <c r="N1296" i="22"/>
  <c r="M1296" i="22"/>
  <c r="L1296" i="22"/>
  <c r="K1296" i="22"/>
  <c r="O1295" i="22"/>
  <c r="N1295" i="22"/>
  <c r="M1295" i="22"/>
  <c r="L1295" i="22"/>
  <c r="K1295" i="22"/>
  <c r="O1294" i="22"/>
  <c r="N1294" i="22"/>
  <c r="M1294" i="22"/>
  <c r="L1294" i="22"/>
  <c r="K1294" i="22"/>
  <c r="O1293" i="22"/>
  <c r="N1293" i="22"/>
  <c r="M1293" i="22"/>
  <c r="L1293" i="22"/>
  <c r="K1293" i="22"/>
  <c r="O1292" i="22"/>
  <c r="N1292" i="22"/>
  <c r="M1292" i="22"/>
  <c r="L1292" i="22"/>
  <c r="K1292" i="22"/>
  <c r="O1291" i="22"/>
  <c r="N1291" i="22"/>
  <c r="M1291" i="22"/>
  <c r="L1291" i="22"/>
  <c r="K1291" i="22"/>
  <c r="O1290" i="22"/>
  <c r="N1290" i="22"/>
  <c r="M1290" i="22"/>
  <c r="L1290" i="22"/>
  <c r="K1290" i="22"/>
  <c r="O1289" i="22"/>
  <c r="N1289" i="22"/>
  <c r="M1289" i="22"/>
  <c r="L1289" i="22"/>
  <c r="K1289" i="22"/>
  <c r="O1288" i="22"/>
  <c r="N1288" i="22"/>
  <c r="M1288" i="22"/>
  <c r="L1288" i="22"/>
  <c r="K1288" i="22"/>
  <c r="O1287" i="22"/>
  <c r="N1287" i="22"/>
  <c r="M1287" i="22"/>
  <c r="L1287" i="22"/>
  <c r="K1287" i="22"/>
  <c r="O1286" i="22"/>
  <c r="N1286" i="22"/>
  <c r="M1286" i="22"/>
  <c r="L1286" i="22"/>
  <c r="K1286" i="22"/>
  <c r="O1285" i="22"/>
  <c r="N1285" i="22"/>
  <c r="M1285" i="22"/>
  <c r="L1285" i="22"/>
  <c r="K1285" i="22"/>
  <c r="O1284" i="22"/>
  <c r="N1284" i="22"/>
  <c r="M1284" i="22"/>
  <c r="L1284" i="22"/>
  <c r="K1284" i="22"/>
  <c r="O1283" i="22"/>
  <c r="N1283" i="22"/>
  <c r="M1283" i="22"/>
  <c r="L1283" i="22"/>
  <c r="K1283" i="22"/>
  <c r="O1282" i="22"/>
  <c r="N1282" i="22"/>
  <c r="M1282" i="22"/>
  <c r="L1282" i="22"/>
  <c r="K1282" i="22"/>
  <c r="O1281" i="22"/>
  <c r="N1281" i="22"/>
  <c r="M1281" i="22"/>
  <c r="L1281" i="22"/>
  <c r="K1281" i="22"/>
  <c r="O1280" i="22"/>
  <c r="N1280" i="22"/>
  <c r="M1280" i="22"/>
  <c r="L1280" i="22"/>
  <c r="K1280" i="22"/>
  <c r="O1279" i="22"/>
  <c r="N1279" i="22"/>
  <c r="M1279" i="22"/>
  <c r="L1279" i="22"/>
  <c r="K1279" i="22"/>
  <c r="O1278" i="22"/>
  <c r="N1278" i="22"/>
  <c r="M1278" i="22"/>
  <c r="L1278" i="22"/>
  <c r="K1278" i="22"/>
  <c r="O1277" i="22"/>
  <c r="N1277" i="22"/>
  <c r="M1277" i="22"/>
  <c r="L1277" i="22"/>
  <c r="K1277" i="22"/>
  <c r="O1276" i="22"/>
  <c r="N1276" i="22"/>
  <c r="M1276" i="22"/>
  <c r="L1276" i="22"/>
  <c r="K1276" i="22"/>
  <c r="O1275" i="22"/>
  <c r="N1275" i="22"/>
  <c r="M1275" i="22"/>
  <c r="L1275" i="22"/>
  <c r="K1275" i="22"/>
  <c r="O1274" i="22"/>
  <c r="N1274" i="22"/>
  <c r="M1274" i="22"/>
  <c r="L1274" i="22"/>
  <c r="K1274" i="22"/>
  <c r="O1273" i="22"/>
  <c r="N1273" i="22"/>
  <c r="M1273" i="22"/>
  <c r="L1273" i="22"/>
  <c r="K1273" i="22"/>
  <c r="O1272" i="22"/>
  <c r="N1272" i="22"/>
  <c r="M1272" i="22"/>
  <c r="L1272" i="22"/>
  <c r="K1272" i="22"/>
  <c r="O1271" i="22"/>
  <c r="N1271" i="22"/>
  <c r="M1271" i="22"/>
  <c r="L1271" i="22"/>
  <c r="K1271" i="22"/>
  <c r="O1270" i="22"/>
  <c r="N1270" i="22"/>
  <c r="M1270" i="22"/>
  <c r="L1270" i="22"/>
  <c r="K1270" i="22"/>
  <c r="O1269" i="22"/>
  <c r="N1269" i="22"/>
  <c r="M1269" i="22"/>
  <c r="L1269" i="22"/>
  <c r="K1269" i="22"/>
  <c r="O1268" i="22"/>
  <c r="N1268" i="22"/>
  <c r="M1268" i="22"/>
  <c r="L1268" i="22"/>
  <c r="K1268" i="22"/>
  <c r="O1267" i="22"/>
  <c r="N1267" i="22"/>
  <c r="M1267" i="22"/>
  <c r="L1267" i="22"/>
  <c r="K1267" i="22"/>
  <c r="O1266" i="22"/>
  <c r="N1266" i="22"/>
  <c r="M1266" i="22"/>
  <c r="L1266" i="22"/>
  <c r="K1266" i="22"/>
  <c r="O1265" i="22"/>
  <c r="N1265" i="22"/>
  <c r="M1265" i="22"/>
  <c r="L1265" i="22"/>
  <c r="K1265" i="22"/>
  <c r="O1264" i="22"/>
  <c r="N1264" i="22"/>
  <c r="M1264" i="22"/>
  <c r="L1264" i="22"/>
  <c r="K1264" i="22"/>
  <c r="O1263" i="22"/>
  <c r="N1263" i="22"/>
  <c r="M1263" i="22"/>
  <c r="L1263" i="22"/>
  <c r="K1263" i="22"/>
  <c r="O1262" i="22"/>
  <c r="N1262" i="22"/>
  <c r="M1262" i="22"/>
  <c r="L1262" i="22"/>
  <c r="K1262" i="22"/>
  <c r="O1261" i="22"/>
  <c r="N1261" i="22"/>
  <c r="M1261" i="22"/>
  <c r="L1261" i="22"/>
  <c r="K1261" i="22"/>
  <c r="O1260" i="22"/>
  <c r="N1260" i="22"/>
  <c r="M1260" i="22"/>
  <c r="L1260" i="22"/>
  <c r="K1260" i="22"/>
  <c r="O1259" i="22"/>
  <c r="N1259" i="22"/>
  <c r="M1259" i="22"/>
  <c r="L1259" i="22"/>
  <c r="K1259" i="22"/>
  <c r="O1258" i="22"/>
  <c r="N1258" i="22"/>
  <c r="M1258" i="22"/>
  <c r="L1258" i="22"/>
  <c r="K1258" i="22"/>
  <c r="O1257" i="22"/>
  <c r="N1257" i="22"/>
  <c r="M1257" i="22"/>
  <c r="L1257" i="22"/>
  <c r="K1257" i="22"/>
  <c r="O1256" i="22"/>
  <c r="N1256" i="22"/>
  <c r="M1256" i="22"/>
  <c r="L1256" i="22"/>
  <c r="K1256" i="22"/>
  <c r="O1255" i="22"/>
  <c r="N1255" i="22"/>
  <c r="M1255" i="22"/>
  <c r="L1255" i="22"/>
  <c r="K1255" i="22"/>
  <c r="O1254" i="22"/>
  <c r="N1254" i="22"/>
  <c r="M1254" i="22"/>
  <c r="L1254" i="22"/>
  <c r="K1254" i="22"/>
  <c r="O1253" i="22"/>
  <c r="N1253" i="22"/>
  <c r="M1253" i="22"/>
  <c r="L1253" i="22"/>
  <c r="K1253" i="22"/>
  <c r="O1252" i="22"/>
  <c r="N1252" i="22"/>
  <c r="M1252" i="22"/>
  <c r="L1252" i="22"/>
  <c r="K1252" i="22"/>
  <c r="O1251" i="22"/>
  <c r="N1251" i="22"/>
  <c r="M1251" i="22"/>
  <c r="L1251" i="22"/>
  <c r="K1251" i="22"/>
  <c r="O1250" i="22"/>
  <c r="N1250" i="22"/>
  <c r="M1250" i="22"/>
  <c r="L1250" i="22"/>
  <c r="K1250" i="22"/>
  <c r="O1249" i="22"/>
  <c r="N1249" i="22"/>
  <c r="M1249" i="22"/>
  <c r="L1249" i="22"/>
  <c r="K1249" i="22"/>
  <c r="O1248" i="22"/>
  <c r="N1248" i="22"/>
  <c r="M1248" i="22"/>
  <c r="L1248" i="22"/>
  <c r="K1248" i="22"/>
  <c r="O1247" i="22"/>
  <c r="N1247" i="22"/>
  <c r="M1247" i="22"/>
  <c r="L1247" i="22"/>
  <c r="K1247" i="22"/>
  <c r="O1246" i="22"/>
  <c r="N1246" i="22"/>
  <c r="M1246" i="22"/>
  <c r="L1246" i="22"/>
  <c r="K1246" i="22"/>
  <c r="O1245" i="22"/>
  <c r="N1245" i="22"/>
  <c r="M1245" i="22"/>
  <c r="L1245" i="22"/>
  <c r="K1245" i="22"/>
  <c r="O1244" i="22"/>
  <c r="N1244" i="22"/>
  <c r="M1244" i="22"/>
  <c r="L1244" i="22"/>
  <c r="K1244" i="22"/>
  <c r="O1243" i="22"/>
  <c r="N1243" i="22"/>
  <c r="M1243" i="22"/>
  <c r="L1243" i="22"/>
  <c r="K1243" i="22"/>
  <c r="O1242" i="22"/>
  <c r="N1242" i="22"/>
  <c r="M1242" i="22"/>
  <c r="L1242" i="22"/>
  <c r="K1242" i="22"/>
  <c r="O1241" i="22"/>
  <c r="N1241" i="22"/>
  <c r="M1241" i="22"/>
  <c r="L1241" i="22"/>
  <c r="K1241" i="22"/>
  <c r="O1240" i="22"/>
  <c r="N1240" i="22"/>
  <c r="M1240" i="22"/>
  <c r="L1240" i="22"/>
  <c r="K1240" i="22"/>
  <c r="O1239" i="22"/>
  <c r="N1239" i="22"/>
  <c r="M1239" i="22"/>
  <c r="L1239" i="22"/>
  <c r="K1239" i="22"/>
  <c r="O1238" i="22"/>
  <c r="N1238" i="22"/>
  <c r="M1238" i="22"/>
  <c r="L1238" i="22"/>
  <c r="K1238" i="22"/>
  <c r="O1237" i="22"/>
  <c r="N1237" i="22"/>
  <c r="M1237" i="22"/>
  <c r="L1237" i="22"/>
  <c r="K1237" i="22"/>
  <c r="O1236" i="22"/>
  <c r="N1236" i="22"/>
  <c r="M1236" i="22"/>
  <c r="L1236" i="22"/>
  <c r="K1236" i="22"/>
  <c r="O1235" i="22"/>
  <c r="N1235" i="22"/>
  <c r="M1235" i="22"/>
  <c r="L1235" i="22"/>
  <c r="K1235" i="22"/>
  <c r="O1234" i="22"/>
  <c r="N1234" i="22"/>
  <c r="M1234" i="22"/>
  <c r="L1234" i="22"/>
  <c r="K1234" i="22"/>
  <c r="O1233" i="22"/>
  <c r="N1233" i="22"/>
  <c r="M1233" i="22"/>
  <c r="L1233" i="22"/>
  <c r="K1233" i="22"/>
  <c r="O1232" i="22"/>
  <c r="N1232" i="22"/>
  <c r="M1232" i="22"/>
  <c r="L1232" i="22"/>
  <c r="K1232" i="22"/>
  <c r="O1231" i="22"/>
  <c r="N1231" i="22"/>
  <c r="M1231" i="22"/>
  <c r="L1231" i="22"/>
  <c r="K1231" i="22"/>
  <c r="O1230" i="22"/>
  <c r="N1230" i="22"/>
  <c r="M1230" i="22"/>
  <c r="L1230" i="22"/>
  <c r="K1230" i="22"/>
  <c r="O1229" i="22"/>
  <c r="N1229" i="22"/>
  <c r="M1229" i="22"/>
  <c r="L1229" i="22"/>
  <c r="K1229" i="22"/>
  <c r="O1228" i="22"/>
  <c r="N1228" i="22"/>
  <c r="M1228" i="22"/>
  <c r="L1228" i="22"/>
  <c r="K1228" i="22"/>
  <c r="O1227" i="22"/>
  <c r="N1227" i="22"/>
  <c r="M1227" i="22"/>
  <c r="L1227" i="22"/>
  <c r="K1227" i="22"/>
  <c r="O1226" i="22"/>
  <c r="N1226" i="22"/>
  <c r="M1226" i="22"/>
  <c r="L1226" i="22"/>
  <c r="K1226" i="22"/>
  <c r="O1225" i="22"/>
  <c r="N1225" i="22"/>
  <c r="M1225" i="22"/>
  <c r="L1225" i="22"/>
  <c r="K1225" i="22"/>
  <c r="O1224" i="22"/>
  <c r="N1224" i="22"/>
  <c r="M1224" i="22"/>
  <c r="L1224" i="22"/>
  <c r="K1224" i="22"/>
  <c r="O1223" i="22"/>
  <c r="N1223" i="22"/>
  <c r="M1223" i="22"/>
  <c r="L1223" i="22"/>
  <c r="K1223" i="22"/>
  <c r="O1222" i="22"/>
  <c r="N1222" i="22"/>
  <c r="M1222" i="22"/>
  <c r="L1222" i="22"/>
  <c r="K1222" i="22"/>
  <c r="O1221" i="22"/>
  <c r="N1221" i="22"/>
  <c r="M1221" i="22"/>
  <c r="L1221" i="22"/>
  <c r="K1221" i="22"/>
  <c r="O1220" i="22"/>
  <c r="N1220" i="22"/>
  <c r="M1220" i="22"/>
  <c r="L1220" i="22"/>
  <c r="K1220" i="22"/>
  <c r="O1219" i="22"/>
  <c r="N1219" i="22"/>
  <c r="M1219" i="22"/>
  <c r="L1219" i="22"/>
  <c r="K1219" i="22"/>
  <c r="O1218" i="22"/>
  <c r="N1218" i="22"/>
  <c r="M1218" i="22"/>
  <c r="L1218" i="22"/>
  <c r="K1218" i="22"/>
  <c r="O1217" i="22"/>
  <c r="N1217" i="22"/>
  <c r="M1217" i="22"/>
  <c r="L1217" i="22"/>
  <c r="K1217" i="22"/>
  <c r="O1216" i="22"/>
  <c r="N1216" i="22"/>
  <c r="M1216" i="22"/>
  <c r="L1216" i="22"/>
  <c r="K1216" i="22"/>
  <c r="O1215" i="22"/>
  <c r="N1215" i="22"/>
  <c r="M1215" i="22"/>
  <c r="L1215" i="22"/>
  <c r="K1215" i="22"/>
  <c r="O1214" i="22"/>
  <c r="N1214" i="22"/>
  <c r="M1214" i="22"/>
  <c r="L1214" i="22"/>
  <c r="K1214" i="22"/>
  <c r="O1213" i="22"/>
  <c r="N1213" i="22"/>
  <c r="M1213" i="22"/>
  <c r="L1213" i="22"/>
  <c r="K1213" i="22"/>
  <c r="O1212" i="22"/>
  <c r="N1212" i="22"/>
  <c r="M1212" i="22"/>
  <c r="L1212" i="22"/>
  <c r="K1212" i="22"/>
  <c r="O1211" i="22"/>
  <c r="N1211" i="22"/>
  <c r="M1211" i="22"/>
  <c r="L1211" i="22"/>
  <c r="K1211" i="22"/>
  <c r="O1210" i="22"/>
  <c r="N1210" i="22"/>
  <c r="M1210" i="22"/>
  <c r="L1210" i="22"/>
  <c r="K1210" i="22"/>
  <c r="O1209" i="22"/>
  <c r="N1209" i="22"/>
  <c r="M1209" i="22"/>
  <c r="L1209" i="22"/>
  <c r="K1209" i="22"/>
  <c r="O1208" i="22"/>
  <c r="N1208" i="22"/>
  <c r="M1208" i="22"/>
  <c r="L1208" i="22"/>
  <c r="K1208" i="22"/>
  <c r="O1207" i="22"/>
  <c r="N1207" i="22"/>
  <c r="M1207" i="22"/>
  <c r="L1207" i="22"/>
  <c r="K1207" i="22"/>
  <c r="O1206" i="22"/>
  <c r="N1206" i="22"/>
  <c r="M1206" i="22"/>
  <c r="L1206" i="22"/>
  <c r="K1206" i="22"/>
  <c r="O1205" i="22"/>
  <c r="N1205" i="22"/>
  <c r="M1205" i="22"/>
  <c r="L1205" i="22"/>
  <c r="K1205" i="22"/>
  <c r="O1204" i="22"/>
  <c r="N1204" i="22"/>
  <c r="M1204" i="22"/>
  <c r="L1204" i="22"/>
  <c r="K1204" i="22"/>
  <c r="O1203" i="22"/>
  <c r="N1203" i="22"/>
  <c r="M1203" i="22"/>
  <c r="L1203" i="22"/>
  <c r="K1203" i="22"/>
  <c r="O1202" i="22"/>
  <c r="N1202" i="22"/>
  <c r="M1202" i="22"/>
  <c r="L1202" i="22"/>
  <c r="K1202" i="22"/>
  <c r="O1201" i="22"/>
  <c r="N1201" i="22"/>
  <c r="M1201" i="22"/>
  <c r="L1201" i="22"/>
  <c r="K1201" i="22"/>
  <c r="O1200" i="22"/>
  <c r="N1200" i="22"/>
  <c r="M1200" i="22"/>
  <c r="L1200" i="22"/>
  <c r="K1200" i="22"/>
  <c r="O1199" i="22"/>
  <c r="N1199" i="22"/>
  <c r="M1199" i="22"/>
  <c r="L1199" i="22"/>
  <c r="K1199" i="22"/>
  <c r="O1198" i="22"/>
  <c r="N1198" i="22"/>
  <c r="M1198" i="22"/>
  <c r="L1198" i="22"/>
  <c r="K1198" i="22"/>
  <c r="O1197" i="22"/>
  <c r="N1197" i="22"/>
  <c r="M1197" i="22"/>
  <c r="L1197" i="22"/>
  <c r="K1197" i="22"/>
  <c r="O1196" i="22"/>
  <c r="N1196" i="22"/>
  <c r="M1196" i="22"/>
  <c r="L1196" i="22"/>
  <c r="K1196" i="22"/>
  <c r="O1195" i="22"/>
  <c r="N1195" i="22"/>
  <c r="M1195" i="22"/>
  <c r="L1195" i="22"/>
  <c r="K1195" i="22"/>
  <c r="O1194" i="22"/>
  <c r="N1194" i="22"/>
  <c r="M1194" i="22"/>
  <c r="L1194" i="22"/>
  <c r="K1194" i="22"/>
  <c r="O1193" i="22"/>
  <c r="N1193" i="22"/>
  <c r="M1193" i="22"/>
  <c r="L1193" i="22"/>
  <c r="K1193" i="22"/>
  <c r="O1192" i="22"/>
  <c r="N1192" i="22"/>
  <c r="M1192" i="22"/>
  <c r="L1192" i="22"/>
  <c r="K1192" i="22"/>
  <c r="O1191" i="22"/>
  <c r="N1191" i="22"/>
  <c r="M1191" i="22"/>
  <c r="L1191" i="22"/>
  <c r="K1191" i="22"/>
  <c r="O1190" i="22"/>
  <c r="N1190" i="22"/>
  <c r="M1190" i="22"/>
  <c r="L1190" i="22"/>
  <c r="K1190" i="22"/>
  <c r="O1189" i="22"/>
  <c r="N1189" i="22"/>
  <c r="M1189" i="22"/>
  <c r="L1189" i="22"/>
  <c r="K1189" i="22"/>
  <c r="O1188" i="22"/>
  <c r="N1188" i="22"/>
  <c r="M1188" i="22"/>
  <c r="L1188" i="22"/>
  <c r="K1188" i="22"/>
  <c r="O1187" i="22"/>
  <c r="N1187" i="22"/>
  <c r="M1187" i="22"/>
  <c r="L1187" i="22"/>
  <c r="K1187" i="22"/>
  <c r="O1186" i="22"/>
  <c r="N1186" i="22"/>
  <c r="M1186" i="22"/>
  <c r="L1186" i="22"/>
  <c r="K1186" i="22"/>
  <c r="O1185" i="22"/>
  <c r="N1185" i="22"/>
  <c r="M1185" i="22"/>
  <c r="L1185" i="22"/>
  <c r="K1185" i="22"/>
  <c r="O1184" i="22"/>
  <c r="N1184" i="22"/>
  <c r="M1184" i="22"/>
  <c r="L1184" i="22"/>
  <c r="K1184" i="22"/>
  <c r="O1183" i="22"/>
  <c r="N1183" i="22"/>
  <c r="M1183" i="22"/>
  <c r="L1183" i="22"/>
  <c r="K1183" i="22"/>
  <c r="O1182" i="22"/>
  <c r="N1182" i="22"/>
  <c r="M1182" i="22"/>
  <c r="L1182" i="22"/>
  <c r="K1182" i="22"/>
  <c r="O1181" i="22"/>
  <c r="N1181" i="22"/>
  <c r="M1181" i="22"/>
  <c r="L1181" i="22"/>
  <c r="K1181" i="22"/>
  <c r="O1180" i="22"/>
  <c r="N1180" i="22"/>
  <c r="M1180" i="22"/>
  <c r="L1180" i="22"/>
  <c r="K1180" i="22"/>
  <c r="O1179" i="22"/>
  <c r="N1179" i="22"/>
  <c r="M1179" i="22"/>
  <c r="L1179" i="22"/>
  <c r="K1179" i="22"/>
  <c r="O1178" i="22"/>
  <c r="N1178" i="22"/>
  <c r="M1178" i="22"/>
  <c r="L1178" i="22"/>
  <c r="K1178" i="22"/>
  <c r="O1177" i="22"/>
  <c r="N1177" i="22"/>
  <c r="M1177" i="22"/>
  <c r="L1177" i="22"/>
  <c r="K1177" i="22"/>
  <c r="O1176" i="22"/>
  <c r="N1176" i="22"/>
  <c r="M1176" i="22"/>
  <c r="L1176" i="22"/>
  <c r="K1176" i="22"/>
  <c r="O1175" i="22"/>
  <c r="N1175" i="22"/>
  <c r="M1175" i="22"/>
  <c r="L1175" i="22"/>
  <c r="K1175" i="22"/>
  <c r="O1174" i="22"/>
  <c r="N1174" i="22"/>
  <c r="M1174" i="22"/>
  <c r="L1174" i="22"/>
  <c r="K1174" i="22"/>
  <c r="O1173" i="22"/>
  <c r="N1173" i="22"/>
  <c r="M1173" i="22"/>
  <c r="L1173" i="22"/>
  <c r="K1173" i="22"/>
  <c r="O1172" i="22"/>
  <c r="N1172" i="22"/>
  <c r="M1172" i="22"/>
  <c r="L1172" i="22"/>
  <c r="K1172" i="22"/>
  <c r="O1171" i="22"/>
  <c r="N1171" i="22"/>
  <c r="M1171" i="22"/>
  <c r="L1171" i="22"/>
  <c r="K1171" i="22"/>
  <c r="O1170" i="22"/>
  <c r="N1170" i="22"/>
  <c r="M1170" i="22"/>
  <c r="L1170" i="22"/>
  <c r="K1170" i="22"/>
  <c r="O1169" i="22"/>
  <c r="N1169" i="22"/>
  <c r="M1169" i="22"/>
  <c r="L1169" i="22"/>
  <c r="K1169" i="22"/>
  <c r="O1168" i="22"/>
  <c r="N1168" i="22"/>
  <c r="M1168" i="22"/>
  <c r="L1168" i="22"/>
  <c r="K1168" i="22"/>
  <c r="O1167" i="22"/>
  <c r="N1167" i="22"/>
  <c r="M1167" i="22"/>
  <c r="L1167" i="22"/>
  <c r="K1167" i="22"/>
  <c r="O1166" i="22"/>
  <c r="N1166" i="22"/>
  <c r="M1166" i="22"/>
  <c r="L1166" i="22"/>
  <c r="K1166" i="22"/>
  <c r="O1165" i="22"/>
  <c r="N1165" i="22"/>
  <c r="M1165" i="22"/>
  <c r="L1165" i="22"/>
  <c r="K1165" i="22"/>
  <c r="O1164" i="22"/>
  <c r="N1164" i="22"/>
  <c r="M1164" i="22"/>
  <c r="L1164" i="22"/>
  <c r="K1164" i="22"/>
  <c r="O1163" i="22"/>
  <c r="N1163" i="22"/>
  <c r="M1163" i="22"/>
  <c r="L1163" i="22"/>
  <c r="K1163" i="22"/>
  <c r="O1162" i="22"/>
  <c r="N1162" i="22"/>
  <c r="M1162" i="22"/>
  <c r="L1162" i="22"/>
  <c r="K1162" i="22"/>
  <c r="O1161" i="22"/>
  <c r="N1161" i="22"/>
  <c r="M1161" i="22"/>
  <c r="L1161" i="22"/>
  <c r="K1161" i="22"/>
  <c r="O1160" i="22"/>
  <c r="N1160" i="22"/>
  <c r="M1160" i="22"/>
  <c r="L1160" i="22"/>
  <c r="K1160" i="22"/>
  <c r="O1159" i="22"/>
  <c r="N1159" i="22"/>
  <c r="M1159" i="22"/>
  <c r="L1159" i="22"/>
  <c r="K1159" i="22"/>
  <c r="O1158" i="22"/>
  <c r="N1158" i="22"/>
  <c r="M1158" i="22"/>
  <c r="L1158" i="22"/>
  <c r="K1158" i="22"/>
  <c r="O1157" i="22"/>
  <c r="N1157" i="22"/>
  <c r="M1157" i="22"/>
  <c r="L1157" i="22"/>
  <c r="K1157" i="22"/>
  <c r="O1156" i="22"/>
  <c r="N1156" i="22"/>
  <c r="M1156" i="22"/>
  <c r="L1156" i="22"/>
  <c r="K1156" i="22"/>
  <c r="O1155" i="22"/>
  <c r="N1155" i="22"/>
  <c r="M1155" i="22"/>
  <c r="L1155" i="22"/>
  <c r="K1155" i="22"/>
  <c r="O1154" i="22"/>
  <c r="N1154" i="22"/>
  <c r="M1154" i="22"/>
  <c r="L1154" i="22"/>
  <c r="K1154" i="22"/>
  <c r="O1153" i="22"/>
  <c r="N1153" i="22"/>
  <c r="M1153" i="22"/>
  <c r="L1153" i="22"/>
  <c r="K1153" i="22"/>
  <c r="O1152" i="22"/>
  <c r="N1152" i="22"/>
  <c r="M1152" i="22"/>
  <c r="L1152" i="22"/>
  <c r="K1152" i="22"/>
  <c r="O1151" i="22"/>
  <c r="N1151" i="22"/>
  <c r="M1151" i="22"/>
  <c r="L1151" i="22"/>
  <c r="K1151" i="22"/>
  <c r="O1150" i="22"/>
  <c r="N1150" i="22"/>
  <c r="M1150" i="22"/>
  <c r="L1150" i="22"/>
  <c r="K1150" i="22"/>
  <c r="O1149" i="22"/>
  <c r="N1149" i="22"/>
  <c r="M1149" i="22"/>
  <c r="L1149" i="22"/>
  <c r="K1149" i="22"/>
  <c r="O1148" i="22"/>
  <c r="N1148" i="22"/>
  <c r="M1148" i="22"/>
  <c r="L1148" i="22"/>
  <c r="K1148" i="22"/>
  <c r="O1147" i="22"/>
  <c r="N1147" i="22"/>
  <c r="M1147" i="22"/>
  <c r="L1147" i="22"/>
  <c r="K1147" i="22"/>
  <c r="O1146" i="22"/>
  <c r="N1146" i="22"/>
  <c r="M1146" i="22"/>
  <c r="L1146" i="22"/>
  <c r="K1146" i="22"/>
  <c r="O1145" i="22"/>
  <c r="N1145" i="22"/>
  <c r="M1145" i="22"/>
  <c r="L1145" i="22"/>
  <c r="K1145" i="22"/>
  <c r="O1144" i="22"/>
  <c r="N1144" i="22"/>
  <c r="M1144" i="22"/>
  <c r="L1144" i="22"/>
  <c r="K1144" i="22"/>
  <c r="O1143" i="22"/>
  <c r="N1143" i="22"/>
  <c r="M1143" i="22"/>
  <c r="L1143" i="22"/>
  <c r="K1143" i="22"/>
  <c r="O1142" i="22"/>
  <c r="N1142" i="22"/>
  <c r="M1142" i="22"/>
  <c r="L1142" i="22"/>
  <c r="K1142" i="22"/>
  <c r="O1141" i="22"/>
  <c r="N1141" i="22"/>
  <c r="M1141" i="22"/>
  <c r="L1141" i="22"/>
  <c r="K1141" i="22"/>
  <c r="O1140" i="22"/>
  <c r="N1140" i="22"/>
  <c r="M1140" i="22"/>
  <c r="L1140" i="22"/>
  <c r="K1140" i="22"/>
  <c r="O1139" i="22"/>
  <c r="N1139" i="22"/>
  <c r="M1139" i="22"/>
  <c r="L1139" i="22"/>
  <c r="K1139" i="22"/>
  <c r="O1138" i="22"/>
  <c r="N1138" i="22"/>
  <c r="M1138" i="22"/>
  <c r="L1138" i="22"/>
  <c r="K1138" i="22"/>
  <c r="O1137" i="22"/>
  <c r="N1137" i="22"/>
  <c r="M1137" i="22"/>
  <c r="L1137" i="22"/>
  <c r="K1137" i="22"/>
  <c r="O1136" i="22"/>
  <c r="N1136" i="22"/>
  <c r="M1136" i="22"/>
  <c r="L1136" i="22"/>
  <c r="K1136" i="22"/>
  <c r="O1135" i="22"/>
  <c r="N1135" i="22"/>
  <c r="M1135" i="22"/>
  <c r="L1135" i="22"/>
  <c r="K1135" i="22"/>
  <c r="O1134" i="22"/>
  <c r="N1134" i="22"/>
  <c r="M1134" i="22"/>
  <c r="L1134" i="22"/>
  <c r="K1134" i="22"/>
  <c r="O1133" i="22"/>
  <c r="N1133" i="22"/>
  <c r="M1133" i="22"/>
  <c r="L1133" i="22"/>
  <c r="K1133" i="22"/>
  <c r="O1132" i="22"/>
  <c r="N1132" i="22"/>
  <c r="M1132" i="22"/>
  <c r="L1132" i="22"/>
  <c r="K1132" i="22"/>
  <c r="O1131" i="22"/>
  <c r="N1131" i="22"/>
  <c r="M1131" i="22"/>
  <c r="L1131" i="22"/>
  <c r="K1131" i="22"/>
  <c r="O1130" i="22"/>
  <c r="N1130" i="22"/>
  <c r="M1130" i="22"/>
  <c r="L1130" i="22"/>
  <c r="K1130" i="22"/>
  <c r="O1129" i="22"/>
  <c r="N1129" i="22"/>
  <c r="M1129" i="22"/>
  <c r="L1129" i="22"/>
  <c r="K1129" i="22"/>
  <c r="O1128" i="22"/>
  <c r="N1128" i="22"/>
  <c r="M1128" i="22"/>
  <c r="L1128" i="22"/>
  <c r="K1128" i="22"/>
  <c r="O1127" i="22"/>
  <c r="N1127" i="22"/>
  <c r="M1127" i="22"/>
  <c r="L1127" i="22"/>
  <c r="K1127" i="22"/>
  <c r="O1126" i="22"/>
  <c r="N1126" i="22"/>
  <c r="M1126" i="22"/>
  <c r="L1126" i="22"/>
  <c r="K1126" i="22"/>
  <c r="O1125" i="22"/>
  <c r="N1125" i="22"/>
  <c r="M1125" i="22"/>
  <c r="L1125" i="22"/>
  <c r="K1125" i="22"/>
  <c r="O1124" i="22"/>
  <c r="N1124" i="22"/>
  <c r="M1124" i="22"/>
  <c r="L1124" i="22"/>
  <c r="K1124" i="22"/>
  <c r="O1123" i="22"/>
  <c r="N1123" i="22"/>
  <c r="M1123" i="22"/>
  <c r="L1123" i="22"/>
  <c r="K1123" i="22"/>
  <c r="O1122" i="22"/>
  <c r="N1122" i="22"/>
  <c r="M1122" i="22"/>
  <c r="L1122" i="22"/>
  <c r="K1122" i="22"/>
  <c r="O1121" i="22"/>
  <c r="N1121" i="22"/>
  <c r="M1121" i="22"/>
  <c r="L1121" i="22"/>
  <c r="K1121" i="22"/>
  <c r="O1120" i="22"/>
  <c r="N1120" i="22"/>
  <c r="M1120" i="22"/>
  <c r="L1120" i="22"/>
  <c r="K1120" i="22"/>
  <c r="O1119" i="22"/>
  <c r="N1119" i="22"/>
  <c r="M1119" i="22"/>
  <c r="L1119" i="22"/>
  <c r="K1119" i="22"/>
  <c r="O1118" i="22"/>
  <c r="N1118" i="22"/>
  <c r="M1118" i="22"/>
  <c r="L1118" i="22"/>
  <c r="K1118" i="22"/>
  <c r="O1117" i="22"/>
  <c r="N1117" i="22"/>
  <c r="M1117" i="22"/>
  <c r="L1117" i="22"/>
  <c r="K1117" i="22"/>
  <c r="O1116" i="22"/>
  <c r="N1116" i="22"/>
  <c r="M1116" i="22"/>
  <c r="L1116" i="22"/>
  <c r="K1116" i="22"/>
  <c r="O1115" i="22"/>
  <c r="N1115" i="22"/>
  <c r="M1115" i="22"/>
  <c r="L1115" i="22"/>
  <c r="K1115" i="22"/>
  <c r="O1114" i="22"/>
  <c r="N1114" i="22"/>
  <c r="M1114" i="22"/>
  <c r="L1114" i="22"/>
  <c r="K1114" i="22"/>
  <c r="O1113" i="22"/>
  <c r="N1113" i="22"/>
  <c r="M1113" i="22"/>
  <c r="L1113" i="22"/>
  <c r="K1113" i="22"/>
  <c r="O1112" i="22"/>
  <c r="N1112" i="22"/>
  <c r="M1112" i="22"/>
  <c r="L1112" i="22"/>
  <c r="K1112" i="22"/>
  <c r="O1111" i="22"/>
  <c r="N1111" i="22"/>
  <c r="M1111" i="22"/>
  <c r="L1111" i="22"/>
  <c r="K1111" i="22"/>
  <c r="O1110" i="22"/>
  <c r="N1110" i="22"/>
  <c r="M1110" i="22"/>
  <c r="L1110" i="22"/>
  <c r="K1110" i="22"/>
  <c r="O1109" i="22"/>
  <c r="N1109" i="22"/>
  <c r="M1109" i="22"/>
  <c r="L1109" i="22"/>
  <c r="K1109" i="22"/>
  <c r="O1108" i="22"/>
  <c r="N1108" i="22"/>
  <c r="M1108" i="22"/>
  <c r="L1108" i="22"/>
  <c r="K1108" i="22"/>
  <c r="O1107" i="22"/>
  <c r="N1107" i="22"/>
  <c r="M1107" i="22"/>
  <c r="L1107" i="22"/>
  <c r="K1107" i="22"/>
  <c r="O1106" i="22"/>
  <c r="N1106" i="22"/>
  <c r="M1106" i="22"/>
  <c r="L1106" i="22"/>
  <c r="K1106" i="22"/>
  <c r="O1105" i="22"/>
  <c r="N1105" i="22"/>
  <c r="M1105" i="22"/>
  <c r="L1105" i="22"/>
  <c r="K1105" i="22"/>
  <c r="O1104" i="22"/>
  <c r="N1104" i="22"/>
  <c r="M1104" i="22"/>
  <c r="L1104" i="22"/>
  <c r="K1104" i="22"/>
  <c r="O1103" i="22"/>
  <c r="N1103" i="22"/>
  <c r="M1103" i="22"/>
  <c r="L1103" i="22"/>
  <c r="K1103" i="22"/>
  <c r="O1102" i="22"/>
  <c r="N1102" i="22"/>
  <c r="M1102" i="22"/>
  <c r="L1102" i="22"/>
  <c r="K1102" i="22"/>
  <c r="O1101" i="22"/>
  <c r="N1101" i="22"/>
  <c r="M1101" i="22"/>
  <c r="L1101" i="22"/>
  <c r="K1101" i="22"/>
  <c r="O1100" i="22"/>
  <c r="N1100" i="22"/>
  <c r="M1100" i="22"/>
  <c r="L1100" i="22"/>
  <c r="K1100" i="22"/>
  <c r="O1099" i="22"/>
  <c r="N1099" i="22"/>
  <c r="M1099" i="22"/>
  <c r="L1099" i="22"/>
  <c r="K1099" i="22"/>
  <c r="O1098" i="22"/>
  <c r="N1098" i="22"/>
  <c r="M1098" i="22"/>
  <c r="L1098" i="22"/>
  <c r="K1098" i="22"/>
  <c r="O1097" i="22"/>
  <c r="N1097" i="22"/>
  <c r="M1097" i="22"/>
  <c r="L1097" i="22"/>
  <c r="K1097" i="22"/>
  <c r="O1096" i="22"/>
  <c r="N1096" i="22"/>
  <c r="M1096" i="22"/>
  <c r="L1096" i="22"/>
  <c r="K1096" i="22"/>
  <c r="O1095" i="22"/>
  <c r="N1095" i="22"/>
  <c r="M1095" i="22"/>
  <c r="L1095" i="22"/>
  <c r="K1095" i="22"/>
  <c r="O1094" i="22"/>
  <c r="N1094" i="22"/>
  <c r="M1094" i="22"/>
  <c r="L1094" i="22"/>
  <c r="K1094" i="22"/>
  <c r="O1093" i="22"/>
  <c r="N1093" i="22"/>
  <c r="M1093" i="22"/>
  <c r="L1093" i="22"/>
  <c r="K1093" i="22"/>
  <c r="O1092" i="22"/>
  <c r="N1092" i="22"/>
  <c r="M1092" i="22"/>
  <c r="L1092" i="22"/>
  <c r="K1092" i="22"/>
  <c r="O1091" i="22"/>
  <c r="N1091" i="22"/>
  <c r="M1091" i="22"/>
  <c r="L1091" i="22"/>
  <c r="K1091" i="22"/>
  <c r="O1090" i="22"/>
  <c r="N1090" i="22"/>
  <c r="M1090" i="22"/>
  <c r="L1090" i="22"/>
  <c r="K1090" i="22"/>
  <c r="O1089" i="22"/>
  <c r="N1089" i="22"/>
  <c r="M1089" i="22"/>
  <c r="L1089" i="22"/>
  <c r="K1089" i="22"/>
  <c r="O1088" i="22"/>
  <c r="N1088" i="22"/>
  <c r="M1088" i="22"/>
  <c r="L1088" i="22"/>
  <c r="K1088" i="22"/>
  <c r="O1087" i="22"/>
  <c r="N1087" i="22"/>
  <c r="M1087" i="22"/>
  <c r="L1087" i="22"/>
  <c r="K1087" i="22"/>
  <c r="O1086" i="22"/>
  <c r="N1086" i="22"/>
  <c r="M1086" i="22"/>
  <c r="L1086" i="22"/>
  <c r="K1086" i="22"/>
  <c r="O1085" i="22"/>
  <c r="N1085" i="22"/>
  <c r="M1085" i="22"/>
  <c r="L1085" i="22"/>
  <c r="K1085" i="22"/>
  <c r="O1084" i="22"/>
  <c r="N1084" i="22"/>
  <c r="M1084" i="22"/>
  <c r="L1084" i="22"/>
  <c r="K1084" i="22"/>
  <c r="O1083" i="22"/>
  <c r="N1083" i="22"/>
  <c r="M1083" i="22"/>
  <c r="L1083" i="22"/>
  <c r="K1083" i="22"/>
  <c r="O1082" i="22"/>
  <c r="N1082" i="22"/>
  <c r="M1082" i="22"/>
  <c r="L1082" i="22"/>
  <c r="K1082" i="22"/>
  <c r="O1081" i="22"/>
  <c r="N1081" i="22"/>
  <c r="M1081" i="22"/>
  <c r="L1081" i="22"/>
  <c r="K1081" i="22"/>
  <c r="O1080" i="22"/>
  <c r="N1080" i="22"/>
  <c r="M1080" i="22"/>
  <c r="L1080" i="22"/>
  <c r="K1080" i="22"/>
  <c r="O1079" i="22"/>
  <c r="N1079" i="22"/>
  <c r="M1079" i="22"/>
  <c r="L1079" i="22"/>
  <c r="K1079" i="22"/>
  <c r="O1078" i="22"/>
  <c r="N1078" i="22"/>
  <c r="M1078" i="22"/>
  <c r="L1078" i="22"/>
  <c r="K1078" i="22"/>
  <c r="O1077" i="22"/>
  <c r="N1077" i="22"/>
  <c r="M1077" i="22"/>
  <c r="L1077" i="22"/>
  <c r="K1077" i="22"/>
  <c r="O1076" i="22"/>
  <c r="N1076" i="22"/>
  <c r="M1076" i="22"/>
  <c r="L1076" i="22"/>
  <c r="K1076" i="22"/>
  <c r="O1075" i="22"/>
  <c r="N1075" i="22"/>
  <c r="M1075" i="22"/>
  <c r="L1075" i="22"/>
  <c r="K1075" i="22"/>
  <c r="O1074" i="22"/>
  <c r="N1074" i="22"/>
  <c r="M1074" i="22"/>
  <c r="L1074" i="22"/>
  <c r="K1074" i="22"/>
  <c r="O1073" i="22"/>
  <c r="N1073" i="22"/>
  <c r="M1073" i="22"/>
  <c r="L1073" i="22"/>
  <c r="K1073" i="22"/>
  <c r="O1072" i="22"/>
  <c r="N1072" i="22"/>
  <c r="M1072" i="22"/>
  <c r="L1072" i="22"/>
  <c r="K1072" i="22"/>
  <c r="O1071" i="22"/>
  <c r="N1071" i="22"/>
  <c r="M1071" i="22"/>
  <c r="L1071" i="22"/>
  <c r="K1071" i="22"/>
  <c r="O1070" i="22"/>
  <c r="N1070" i="22"/>
  <c r="M1070" i="22"/>
  <c r="L1070" i="22"/>
  <c r="K1070" i="22"/>
  <c r="O1069" i="22"/>
  <c r="N1069" i="22"/>
  <c r="M1069" i="22"/>
  <c r="L1069" i="22"/>
  <c r="K1069" i="22"/>
  <c r="O1068" i="22"/>
  <c r="N1068" i="22"/>
  <c r="M1068" i="22"/>
  <c r="L1068" i="22"/>
  <c r="K1068" i="22"/>
  <c r="O1067" i="22"/>
  <c r="N1067" i="22"/>
  <c r="M1067" i="22"/>
  <c r="L1067" i="22"/>
  <c r="K1067" i="22"/>
  <c r="O1066" i="22"/>
  <c r="N1066" i="22"/>
  <c r="M1066" i="22"/>
  <c r="L1066" i="22"/>
  <c r="K1066" i="22"/>
  <c r="O1065" i="22"/>
  <c r="N1065" i="22"/>
  <c r="M1065" i="22"/>
  <c r="L1065" i="22"/>
  <c r="K1065" i="22"/>
  <c r="O1064" i="22"/>
  <c r="N1064" i="22"/>
  <c r="M1064" i="22"/>
  <c r="L1064" i="22"/>
  <c r="K1064" i="22"/>
  <c r="O1063" i="22"/>
  <c r="N1063" i="22"/>
  <c r="M1063" i="22"/>
  <c r="L1063" i="22"/>
  <c r="K1063" i="22"/>
  <c r="O1062" i="22"/>
  <c r="N1062" i="22"/>
  <c r="M1062" i="22"/>
  <c r="L1062" i="22"/>
  <c r="K1062" i="22"/>
  <c r="O1061" i="22"/>
  <c r="N1061" i="22"/>
  <c r="M1061" i="22"/>
  <c r="L1061" i="22"/>
  <c r="K1061" i="22"/>
  <c r="O1060" i="22"/>
  <c r="N1060" i="22"/>
  <c r="M1060" i="22"/>
  <c r="L1060" i="22"/>
  <c r="K1060" i="22"/>
  <c r="O1059" i="22"/>
  <c r="N1059" i="22"/>
  <c r="M1059" i="22"/>
  <c r="L1059" i="22"/>
  <c r="K1059" i="22"/>
  <c r="O1058" i="22"/>
  <c r="N1058" i="22"/>
  <c r="M1058" i="22"/>
  <c r="L1058" i="22"/>
  <c r="K1058" i="22"/>
  <c r="O1057" i="22"/>
  <c r="N1057" i="22"/>
  <c r="M1057" i="22"/>
  <c r="L1057" i="22"/>
  <c r="K1057" i="22"/>
  <c r="O1056" i="22"/>
  <c r="N1056" i="22"/>
  <c r="M1056" i="22"/>
  <c r="L1056" i="22"/>
  <c r="K1056" i="22"/>
  <c r="O1055" i="22"/>
  <c r="N1055" i="22"/>
  <c r="M1055" i="22"/>
  <c r="L1055" i="22"/>
  <c r="K1055" i="22"/>
  <c r="O1054" i="22"/>
  <c r="N1054" i="22"/>
  <c r="M1054" i="22"/>
  <c r="L1054" i="22"/>
  <c r="K1054" i="22"/>
  <c r="O1053" i="22"/>
  <c r="N1053" i="22"/>
  <c r="M1053" i="22"/>
  <c r="L1053" i="22"/>
  <c r="K1053" i="22"/>
  <c r="O1052" i="22"/>
  <c r="N1052" i="22"/>
  <c r="M1052" i="22"/>
  <c r="L1052" i="22"/>
  <c r="K1052" i="22"/>
  <c r="O1051" i="22"/>
  <c r="N1051" i="22"/>
  <c r="M1051" i="22"/>
  <c r="L1051" i="22"/>
  <c r="K1051" i="22"/>
  <c r="O1050" i="22"/>
  <c r="N1050" i="22"/>
  <c r="M1050" i="22"/>
  <c r="L1050" i="22"/>
  <c r="K1050" i="22"/>
  <c r="O1049" i="22"/>
  <c r="N1049" i="22"/>
  <c r="M1049" i="22"/>
  <c r="L1049" i="22"/>
  <c r="K1049" i="22"/>
  <c r="O1048" i="22"/>
  <c r="N1048" i="22"/>
  <c r="M1048" i="22"/>
  <c r="L1048" i="22"/>
  <c r="K1048" i="22"/>
  <c r="O1047" i="22"/>
  <c r="N1047" i="22"/>
  <c r="M1047" i="22"/>
  <c r="L1047" i="22"/>
  <c r="K1047" i="22"/>
  <c r="O1046" i="22"/>
  <c r="N1046" i="22"/>
  <c r="M1046" i="22"/>
  <c r="L1046" i="22"/>
  <c r="K1046" i="22"/>
  <c r="O1045" i="22"/>
  <c r="N1045" i="22"/>
  <c r="M1045" i="22"/>
  <c r="L1045" i="22"/>
  <c r="K1045" i="22"/>
  <c r="O1044" i="22"/>
  <c r="N1044" i="22"/>
  <c r="M1044" i="22"/>
  <c r="L1044" i="22"/>
  <c r="K1044" i="22"/>
  <c r="O1043" i="22"/>
  <c r="N1043" i="22"/>
  <c r="M1043" i="22"/>
  <c r="L1043" i="22"/>
  <c r="K1043" i="22"/>
  <c r="O1042" i="22"/>
  <c r="N1042" i="22"/>
  <c r="M1042" i="22"/>
  <c r="L1042" i="22"/>
  <c r="K1042" i="22"/>
  <c r="O1041" i="22"/>
  <c r="N1041" i="22"/>
  <c r="M1041" i="22"/>
  <c r="L1041" i="22"/>
  <c r="K1041" i="22"/>
  <c r="O1040" i="22"/>
  <c r="N1040" i="22"/>
  <c r="M1040" i="22"/>
  <c r="L1040" i="22"/>
  <c r="K1040" i="22"/>
  <c r="O1039" i="22"/>
  <c r="N1039" i="22"/>
  <c r="M1039" i="22"/>
  <c r="L1039" i="22"/>
  <c r="K1039" i="22"/>
  <c r="O1038" i="22"/>
  <c r="N1038" i="22"/>
  <c r="M1038" i="22"/>
  <c r="L1038" i="22"/>
  <c r="K1038" i="22"/>
  <c r="O1037" i="22"/>
  <c r="N1037" i="22"/>
  <c r="M1037" i="22"/>
  <c r="L1037" i="22"/>
  <c r="K1037" i="22"/>
  <c r="O1036" i="22"/>
  <c r="N1036" i="22"/>
  <c r="M1036" i="22"/>
  <c r="L1036" i="22"/>
  <c r="K1036" i="22"/>
  <c r="O1035" i="22"/>
  <c r="N1035" i="22"/>
  <c r="M1035" i="22"/>
  <c r="L1035" i="22"/>
  <c r="K1035" i="22"/>
  <c r="O1034" i="22"/>
  <c r="N1034" i="22"/>
  <c r="M1034" i="22"/>
  <c r="L1034" i="22"/>
  <c r="K1034" i="22"/>
  <c r="O1033" i="22"/>
  <c r="N1033" i="22"/>
  <c r="M1033" i="22"/>
  <c r="L1033" i="22"/>
  <c r="K1033" i="22"/>
  <c r="O1032" i="22"/>
  <c r="N1032" i="22"/>
  <c r="M1032" i="22"/>
  <c r="L1032" i="22"/>
  <c r="K1032" i="22"/>
  <c r="O1031" i="22"/>
  <c r="N1031" i="22"/>
  <c r="M1031" i="22"/>
  <c r="L1031" i="22"/>
  <c r="K1031" i="22"/>
  <c r="O1030" i="22"/>
  <c r="N1030" i="22"/>
  <c r="M1030" i="22"/>
  <c r="L1030" i="22"/>
  <c r="K1030" i="22"/>
  <c r="O1029" i="22"/>
  <c r="N1029" i="22"/>
  <c r="M1029" i="22"/>
  <c r="L1029" i="22"/>
  <c r="K1029" i="22"/>
  <c r="O1028" i="22"/>
  <c r="N1028" i="22"/>
  <c r="M1028" i="22"/>
  <c r="L1028" i="22"/>
  <c r="K1028" i="22"/>
  <c r="O1027" i="22"/>
  <c r="N1027" i="22"/>
  <c r="M1027" i="22"/>
  <c r="L1027" i="22"/>
  <c r="K1027" i="22"/>
  <c r="O1026" i="22"/>
  <c r="N1026" i="22"/>
  <c r="M1026" i="22"/>
  <c r="L1026" i="22"/>
  <c r="K1026" i="22"/>
  <c r="O1025" i="22"/>
  <c r="N1025" i="22"/>
  <c r="M1025" i="22"/>
  <c r="L1025" i="22"/>
  <c r="K1025" i="22"/>
  <c r="O1024" i="22"/>
  <c r="N1024" i="22"/>
  <c r="M1024" i="22"/>
  <c r="L1024" i="22"/>
  <c r="K1024" i="22"/>
  <c r="O1023" i="22"/>
  <c r="N1023" i="22"/>
  <c r="M1023" i="22"/>
  <c r="L1023" i="22"/>
  <c r="K1023" i="22"/>
  <c r="O1022" i="22"/>
  <c r="N1022" i="22"/>
  <c r="M1022" i="22"/>
  <c r="L1022" i="22"/>
  <c r="K1022" i="22"/>
  <c r="O1021" i="22"/>
  <c r="N1021" i="22"/>
  <c r="M1021" i="22"/>
  <c r="L1021" i="22"/>
  <c r="K1021" i="22"/>
  <c r="O1020" i="22"/>
  <c r="N1020" i="22"/>
  <c r="M1020" i="22"/>
  <c r="L1020" i="22"/>
  <c r="K1020" i="22"/>
  <c r="O1019" i="22"/>
  <c r="N1019" i="22"/>
  <c r="M1019" i="22"/>
  <c r="L1019" i="22"/>
  <c r="K1019" i="22"/>
  <c r="O1018" i="22"/>
  <c r="N1018" i="22"/>
  <c r="M1018" i="22"/>
  <c r="L1018" i="22"/>
  <c r="K1018" i="22"/>
  <c r="O1017" i="22"/>
  <c r="N1017" i="22"/>
  <c r="M1017" i="22"/>
  <c r="L1017" i="22"/>
  <c r="K1017" i="22"/>
  <c r="O1016" i="22"/>
  <c r="N1016" i="22"/>
  <c r="M1016" i="22"/>
  <c r="L1016" i="22"/>
  <c r="K1016" i="22"/>
  <c r="O1015" i="22"/>
  <c r="N1015" i="22"/>
  <c r="M1015" i="22"/>
  <c r="L1015" i="22"/>
  <c r="K1015" i="22"/>
  <c r="O1014" i="22"/>
  <c r="N1014" i="22"/>
  <c r="M1014" i="22"/>
  <c r="L1014" i="22"/>
  <c r="K1014" i="22"/>
  <c r="O1013" i="22"/>
  <c r="N1013" i="22"/>
  <c r="M1013" i="22"/>
  <c r="L1013" i="22"/>
  <c r="K1013" i="22"/>
  <c r="O1012" i="22"/>
  <c r="N1012" i="22"/>
  <c r="M1012" i="22"/>
  <c r="L1012" i="22"/>
  <c r="K1012" i="22"/>
  <c r="O1011" i="22"/>
  <c r="N1011" i="22"/>
  <c r="M1011" i="22"/>
  <c r="L1011" i="22"/>
  <c r="K1011" i="22"/>
  <c r="O1010" i="22"/>
  <c r="N1010" i="22"/>
  <c r="M1010" i="22"/>
  <c r="L1010" i="22"/>
  <c r="K1010" i="22"/>
  <c r="O1009" i="22"/>
  <c r="N1009" i="22"/>
  <c r="M1009" i="22"/>
  <c r="L1009" i="22"/>
  <c r="K1009" i="22"/>
  <c r="O1008" i="22"/>
  <c r="N1008" i="22"/>
  <c r="M1008" i="22"/>
  <c r="L1008" i="22"/>
  <c r="K1008" i="22"/>
  <c r="O1007" i="22"/>
  <c r="N1007" i="22"/>
  <c r="M1007" i="22"/>
  <c r="L1007" i="22"/>
  <c r="K1007" i="22"/>
  <c r="O1006" i="22"/>
  <c r="N1006" i="22"/>
  <c r="M1006" i="22"/>
  <c r="L1006" i="22"/>
  <c r="K1006" i="22"/>
  <c r="O1005" i="22"/>
  <c r="N1005" i="22"/>
  <c r="M1005" i="22"/>
  <c r="L1005" i="22"/>
  <c r="K1005" i="22"/>
  <c r="O1004" i="22"/>
  <c r="N1004" i="22"/>
  <c r="M1004" i="22"/>
  <c r="L1004" i="22"/>
  <c r="K1004" i="22"/>
  <c r="O1003" i="22"/>
  <c r="N1003" i="22"/>
  <c r="M1003" i="22"/>
  <c r="L1003" i="22"/>
  <c r="K1003" i="22"/>
  <c r="O1002" i="22"/>
  <c r="N1002" i="22"/>
  <c r="M1002" i="22"/>
  <c r="L1002" i="22"/>
  <c r="K1002" i="22"/>
  <c r="O1001" i="22"/>
  <c r="N1001" i="22"/>
  <c r="M1001" i="22"/>
  <c r="L1001" i="22"/>
  <c r="K1001" i="22"/>
  <c r="O1000" i="22"/>
  <c r="N1000" i="22"/>
  <c r="M1000" i="22"/>
  <c r="L1000" i="22"/>
  <c r="K1000" i="22"/>
  <c r="O999" i="22"/>
  <c r="N999" i="22"/>
  <c r="M999" i="22"/>
  <c r="L999" i="22"/>
  <c r="K999" i="22"/>
  <c r="O998" i="22"/>
  <c r="N998" i="22"/>
  <c r="M998" i="22"/>
  <c r="L998" i="22"/>
  <c r="K998" i="22"/>
  <c r="O997" i="22"/>
  <c r="N997" i="22"/>
  <c r="M997" i="22"/>
  <c r="L997" i="22"/>
  <c r="K997" i="22"/>
  <c r="O996" i="22"/>
  <c r="N996" i="22"/>
  <c r="M996" i="22"/>
  <c r="L996" i="22"/>
  <c r="K996" i="22"/>
  <c r="O995" i="22"/>
  <c r="N995" i="22"/>
  <c r="M995" i="22"/>
  <c r="L995" i="22"/>
  <c r="K995" i="22"/>
  <c r="O994" i="22"/>
  <c r="N994" i="22"/>
  <c r="M994" i="22"/>
  <c r="L994" i="22"/>
  <c r="K994" i="22"/>
  <c r="O993" i="22"/>
  <c r="N993" i="22"/>
  <c r="M993" i="22"/>
  <c r="L993" i="22"/>
  <c r="K993" i="22"/>
  <c r="O992" i="22"/>
  <c r="N992" i="22"/>
  <c r="M992" i="22"/>
  <c r="L992" i="22"/>
  <c r="K992" i="22"/>
  <c r="O991" i="22"/>
  <c r="N991" i="22"/>
  <c r="M991" i="22"/>
  <c r="L991" i="22"/>
  <c r="K991" i="22"/>
  <c r="O990" i="22"/>
  <c r="N990" i="22"/>
  <c r="M990" i="22"/>
  <c r="L990" i="22"/>
  <c r="K990" i="22"/>
  <c r="O989" i="22"/>
  <c r="N989" i="22"/>
  <c r="M989" i="22"/>
  <c r="L989" i="22"/>
  <c r="K989" i="22"/>
  <c r="O988" i="22"/>
  <c r="N988" i="22"/>
  <c r="M988" i="22"/>
  <c r="L988" i="22"/>
  <c r="K988" i="22"/>
  <c r="O987" i="22"/>
  <c r="N987" i="22"/>
  <c r="M987" i="22"/>
  <c r="L987" i="22"/>
  <c r="K987" i="22"/>
  <c r="O986" i="22"/>
  <c r="N986" i="22"/>
  <c r="M986" i="22"/>
  <c r="L986" i="22"/>
  <c r="K986" i="22"/>
  <c r="O985" i="22"/>
  <c r="N985" i="22"/>
  <c r="M985" i="22"/>
  <c r="L985" i="22"/>
  <c r="K985" i="22"/>
  <c r="O984" i="22"/>
  <c r="N984" i="22"/>
  <c r="M984" i="22"/>
  <c r="L984" i="22"/>
  <c r="K984" i="22"/>
  <c r="O983" i="22"/>
  <c r="N983" i="22"/>
  <c r="M983" i="22"/>
  <c r="L983" i="22"/>
  <c r="K983" i="22"/>
  <c r="O982" i="22"/>
  <c r="N982" i="22"/>
  <c r="M982" i="22"/>
  <c r="L982" i="22"/>
  <c r="K982" i="22"/>
  <c r="O981" i="22"/>
  <c r="N981" i="22"/>
  <c r="M981" i="22"/>
  <c r="L981" i="22"/>
  <c r="K981" i="22"/>
  <c r="O980" i="22"/>
  <c r="N980" i="22"/>
  <c r="M980" i="22"/>
  <c r="L980" i="22"/>
  <c r="K980" i="22"/>
  <c r="O979" i="22"/>
  <c r="N979" i="22"/>
  <c r="M979" i="22"/>
  <c r="L979" i="22"/>
  <c r="K979" i="22"/>
  <c r="O978" i="22"/>
  <c r="N978" i="22"/>
  <c r="M978" i="22"/>
  <c r="L978" i="22"/>
  <c r="K978" i="22"/>
  <c r="O977" i="22"/>
  <c r="N977" i="22"/>
  <c r="M977" i="22"/>
  <c r="L977" i="22"/>
  <c r="K977" i="22"/>
  <c r="O976" i="22"/>
  <c r="N976" i="22"/>
  <c r="M976" i="22"/>
  <c r="L976" i="22"/>
  <c r="K976" i="22"/>
  <c r="O975" i="22"/>
  <c r="N975" i="22"/>
  <c r="M975" i="22"/>
  <c r="L975" i="22"/>
  <c r="K975" i="22"/>
  <c r="O974" i="22"/>
  <c r="N974" i="22"/>
  <c r="M974" i="22"/>
  <c r="L974" i="22"/>
  <c r="K974" i="22"/>
  <c r="O973" i="22"/>
  <c r="N973" i="22"/>
  <c r="M973" i="22"/>
  <c r="L973" i="22"/>
  <c r="K973" i="22"/>
  <c r="O972" i="22"/>
  <c r="N972" i="22"/>
  <c r="M972" i="22"/>
  <c r="L972" i="22"/>
  <c r="K972" i="22"/>
  <c r="O971" i="22"/>
  <c r="N971" i="22"/>
  <c r="M971" i="22"/>
  <c r="L971" i="22"/>
  <c r="K971" i="22"/>
  <c r="O970" i="22"/>
  <c r="N970" i="22"/>
  <c r="M970" i="22"/>
  <c r="L970" i="22"/>
  <c r="K970" i="22"/>
  <c r="O969" i="22"/>
  <c r="N969" i="22"/>
  <c r="M969" i="22"/>
  <c r="L969" i="22"/>
  <c r="K969" i="22"/>
  <c r="O968" i="22"/>
  <c r="N968" i="22"/>
  <c r="M968" i="22"/>
  <c r="L968" i="22"/>
  <c r="K968" i="22"/>
  <c r="O967" i="22"/>
  <c r="N967" i="22"/>
  <c r="M967" i="22"/>
  <c r="L967" i="22"/>
  <c r="K967" i="22"/>
  <c r="O966" i="22"/>
  <c r="N966" i="22"/>
  <c r="M966" i="22"/>
  <c r="L966" i="22"/>
  <c r="K966" i="22"/>
  <c r="O965" i="22"/>
  <c r="N965" i="22"/>
  <c r="M965" i="22"/>
  <c r="L965" i="22"/>
  <c r="K965" i="22"/>
  <c r="O964" i="22"/>
  <c r="N964" i="22"/>
  <c r="M964" i="22"/>
  <c r="L964" i="22"/>
  <c r="K964" i="22"/>
  <c r="O963" i="22"/>
  <c r="N963" i="22"/>
  <c r="M963" i="22"/>
  <c r="L963" i="22"/>
  <c r="K963" i="22"/>
  <c r="O962" i="22"/>
  <c r="N962" i="22"/>
  <c r="M962" i="22"/>
  <c r="L962" i="22"/>
  <c r="K962" i="22"/>
  <c r="O961" i="22"/>
  <c r="N961" i="22"/>
  <c r="M961" i="22"/>
  <c r="L961" i="22"/>
  <c r="K961" i="22"/>
  <c r="O960" i="22"/>
  <c r="N960" i="22"/>
  <c r="M960" i="22"/>
  <c r="L960" i="22"/>
  <c r="K960" i="22"/>
  <c r="O959" i="22"/>
  <c r="N959" i="22"/>
  <c r="M959" i="22"/>
  <c r="L959" i="22"/>
  <c r="K959" i="22"/>
  <c r="O958" i="22"/>
  <c r="N958" i="22"/>
  <c r="M958" i="22"/>
  <c r="L958" i="22"/>
  <c r="K958" i="22"/>
  <c r="O957" i="22"/>
  <c r="N957" i="22"/>
  <c r="M957" i="22"/>
  <c r="L957" i="22"/>
  <c r="K957" i="22"/>
  <c r="O956" i="22"/>
  <c r="N956" i="22"/>
  <c r="M956" i="22"/>
  <c r="L956" i="22"/>
  <c r="K956" i="22"/>
  <c r="O955" i="22"/>
  <c r="N955" i="22"/>
  <c r="M955" i="22"/>
  <c r="L955" i="22"/>
  <c r="K955" i="22"/>
  <c r="O954" i="22"/>
  <c r="N954" i="22"/>
  <c r="M954" i="22"/>
  <c r="L954" i="22"/>
  <c r="K954" i="22"/>
  <c r="O953" i="22"/>
  <c r="N953" i="22"/>
  <c r="M953" i="22"/>
  <c r="L953" i="22"/>
  <c r="K953" i="22"/>
  <c r="O952" i="22"/>
  <c r="N952" i="22"/>
  <c r="M952" i="22"/>
  <c r="L952" i="22"/>
  <c r="K952" i="22"/>
  <c r="O951" i="22"/>
  <c r="N951" i="22"/>
  <c r="M951" i="22"/>
  <c r="L951" i="22"/>
  <c r="K951" i="22"/>
  <c r="O950" i="22"/>
  <c r="N950" i="22"/>
  <c r="M950" i="22"/>
  <c r="L950" i="22"/>
  <c r="K950" i="22"/>
  <c r="O949" i="22"/>
  <c r="N949" i="22"/>
  <c r="M949" i="22"/>
  <c r="L949" i="22"/>
  <c r="K949" i="22"/>
  <c r="O948" i="22"/>
  <c r="N948" i="22"/>
  <c r="M948" i="22"/>
  <c r="L948" i="22"/>
  <c r="K948" i="22"/>
  <c r="O947" i="22"/>
  <c r="N947" i="22"/>
  <c r="M947" i="22"/>
  <c r="L947" i="22"/>
  <c r="K947" i="22"/>
  <c r="O946" i="22"/>
  <c r="N946" i="22"/>
  <c r="M946" i="22"/>
  <c r="L946" i="22"/>
  <c r="K946" i="22"/>
  <c r="O945" i="22"/>
  <c r="N945" i="22"/>
  <c r="M945" i="22"/>
  <c r="L945" i="22"/>
  <c r="K945" i="22"/>
  <c r="O944" i="22"/>
  <c r="N944" i="22"/>
  <c r="M944" i="22"/>
  <c r="L944" i="22"/>
  <c r="K944" i="22"/>
  <c r="O943" i="22"/>
  <c r="N943" i="22"/>
  <c r="M943" i="22"/>
  <c r="L943" i="22"/>
  <c r="K943" i="22"/>
  <c r="O942" i="22"/>
  <c r="N942" i="22"/>
  <c r="M942" i="22"/>
  <c r="L942" i="22"/>
  <c r="K942" i="22"/>
  <c r="O941" i="22"/>
  <c r="N941" i="22"/>
  <c r="M941" i="22"/>
  <c r="L941" i="22"/>
  <c r="K941" i="22"/>
  <c r="O940" i="22"/>
  <c r="N940" i="22"/>
  <c r="M940" i="22"/>
  <c r="L940" i="22"/>
  <c r="K940" i="22"/>
  <c r="O939" i="22"/>
  <c r="N939" i="22"/>
  <c r="M939" i="22"/>
  <c r="L939" i="22"/>
  <c r="K939" i="22"/>
  <c r="O938" i="22"/>
  <c r="N938" i="22"/>
  <c r="M938" i="22"/>
  <c r="L938" i="22"/>
  <c r="K938" i="22"/>
  <c r="O937" i="22"/>
  <c r="N937" i="22"/>
  <c r="M937" i="22"/>
  <c r="L937" i="22"/>
  <c r="K937" i="22"/>
  <c r="O936" i="22"/>
  <c r="N936" i="22"/>
  <c r="M936" i="22"/>
  <c r="L936" i="22"/>
  <c r="K936" i="22"/>
  <c r="O935" i="22"/>
  <c r="N935" i="22"/>
  <c r="M935" i="22"/>
  <c r="L935" i="22"/>
  <c r="K935" i="22"/>
  <c r="O934" i="22"/>
  <c r="N934" i="22"/>
  <c r="M934" i="22"/>
  <c r="L934" i="22"/>
  <c r="K934" i="22"/>
  <c r="O933" i="22"/>
  <c r="N933" i="22"/>
  <c r="M933" i="22"/>
  <c r="L933" i="22"/>
  <c r="K933" i="22"/>
  <c r="O932" i="22"/>
  <c r="N932" i="22"/>
  <c r="M932" i="22"/>
  <c r="L932" i="22"/>
  <c r="K932" i="22"/>
  <c r="O931" i="22"/>
  <c r="N931" i="22"/>
  <c r="M931" i="22"/>
  <c r="L931" i="22"/>
  <c r="K931" i="22"/>
  <c r="O930" i="22"/>
  <c r="N930" i="22"/>
  <c r="M930" i="22"/>
  <c r="L930" i="22"/>
  <c r="K930" i="22"/>
  <c r="O929" i="22"/>
  <c r="N929" i="22"/>
  <c r="M929" i="22"/>
  <c r="L929" i="22"/>
  <c r="K929" i="22"/>
  <c r="O928" i="22"/>
  <c r="N928" i="22"/>
  <c r="M928" i="22"/>
  <c r="L928" i="22"/>
  <c r="K928" i="22"/>
  <c r="O927" i="22"/>
  <c r="N927" i="22"/>
  <c r="M927" i="22"/>
  <c r="L927" i="22"/>
  <c r="K927" i="22"/>
  <c r="O926" i="22"/>
  <c r="N926" i="22"/>
  <c r="M926" i="22"/>
  <c r="L926" i="22"/>
  <c r="K926" i="22"/>
  <c r="O925" i="22"/>
  <c r="N925" i="22"/>
  <c r="M925" i="22"/>
  <c r="L925" i="22"/>
  <c r="K925" i="22"/>
  <c r="O924" i="22"/>
  <c r="N924" i="22"/>
  <c r="M924" i="22"/>
  <c r="L924" i="22"/>
  <c r="K924" i="22"/>
  <c r="O923" i="22"/>
  <c r="N923" i="22"/>
  <c r="M923" i="22"/>
  <c r="L923" i="22"/>
  <c r="K923" i="22"/>
  <c r="O922" i="22"/>
  <c r="N922" i="22"/>
  <c r="M922" i="22"/>
  <c r="L922" i="22"/>
  <c r="K922" i="22"/>
  <c r="O921" i="22"/>
  <c r="N921" i="22"/>
  <c r="M921" i="22"/>
  <c r="L921" i="22"/>
  <c r="K921" i="22"/>
  <c r="O920" i="22"/>
  <c r="N920" i="22"/>
  <c r="M920" i="22"/>
  <c r="L920" i="22"/>
  <c r="K920" i="22"/>
  <c r="O919" i="22"/>
  <c r="N919" i="22"/>
  <c r="M919" i="22"/>
  <c r="L919" i="22"/>
  <c r="K919" i="22"/>
  <c r="O918" i="22"/>
  <c r="N918" i="22"/>
  <c r="M918" i="22"/>
  <c r="L918" i="22"/>
  <c r="K918" i="22"/>
  <c r="O917" i="22"/>
  <c r="N917" i="22"/>
  <c r="M917" i="22"/>
  <c r="L917" i="22"/>
  <c r="K917" i="22"/>
  <c r="O916" i="22"/>
  <c r="N916" i="22"/>
  <c r="M916" i="22"/>
  <c r="L916" i="22"/>
  <c r="K916" i="22"/>
  <c r="O915" i="22"/>
  <c r="N915" i="22"/>
  <c r="M915" i="22"/>
  <c r="L915" i="22"/>
  <c r="K915" i="22"/>
  <c r="O914" i="22"/>
  <c r="N914" i="22"/>
  <c r="M914" i="22"/>
  <c r="L914" i="22"/>
  <c r="K914" i="22"/>
  <c r="O913" i="22"/>
  <c r="N913" i="22"/>
  <c r="M913" i="22"/>
  <c r="L913" i="22"/>
  <c r="K913" i="22"/>
  <c r="O912" i="22"/>
  <c r="N912" i="22"/>
  <c r="M912" i="22"/>
  <c r="L912" i="22"/>
  <c r="K912" i="22"/>
  <c r="O911" i="22"/>
  <c r="N911" i="22"/>
  <c r="M911" i="22"/>
  <c r="L911" i="22"/>
  <c r="K911" i="22"/>
  <c r="O910" i="22"/>
  <c r="N910" i="22"/>
  <c r="M910" i="22"/>
  <c r="L910" i="22"/>
  <c r="K910" i="22"/>
  <c r="O909" i="22"/>
  <c r="N909" i="22"/>
  <c r="M909" i="22"/>
  <c r="L909" i="22"/>
  <c r="K909" i="22"/>
  <c r="O908" i="22"/>
  <c r="N908" i="22"/>
  <c r="M908" i="22"/>
  <c r="L908" i="22"/>
  <c r="K908" i="22"/>
  <c r="O907" i="22"/>
  <c r="N907" i="22"/>
  <c r="M907" i="22"/>
  <c r="L907" i="22"/>
  <c r="K907" i="22"/>
  <c r="O906" i="22"/>
  <c r="N906" i="22"/>
  <c r="M906" i="22"/>
  <c r="L906" i="22"/>
  <c r="K906" i="22"/>
  <c r="O905" i="22"/>
  <c r="N905" i="22"/>
  <c r="M905" i="22"/>
  <c r="L905" i="22"/>
  <c r="K905" i="22"/>
  <c r="O904" i="22"/>
  <c r="N904" i="22"/>
  <c r="M904" i="22"/>
  <c r="L904" i="22"/>
  <c r="K904" i="22"/>
  <c r="O903" i="22"/>
  <c r="N903" i="22"/>
  <c r="M903" i="22"/>
  <c r="L903" i="22"/>
  <c r="K903" i="22"/>
  <c r="O902" i="22"/>
  <c r="N902" i="22"/>
  <c r="M902" i="22"/>
  <c r="L902" i="22"/>
  <c r="K902" i="22"/>
  <c r="O901" i="22"/>
  <c r="N901" i="22"/>
  <c r="M901" i="22"/>
  <c r="L901" i="22"/>
  <c r="K901" i="22"/>
  <c r="O900" i="22"/>
  <c r="N900" i="22"/>
  <c r="M900" i="22"/>
  <c r="L900" i="22"/>
  <c r="K900" i="22"/>
  <c r="O899" i="22"/>
  <c r="N899" i="22"/>
  <c r="M899" i="22"/>
  <c r="L899" i="22"/>
  <c r="K899" i="22"/>
  <c r="O898" i="22"/>
  <c r="N898" i="22"/>
  <c r="M898" i="22"/>
  <c r="L898" i="22"/>
  <c r="K898" i="22"/>
  <c r="O897" i="22"/>
  <c r="N897" i="22"/>
  <c r="M897" i="22"/>
  <c r="L897" i="22"/>
  <c r="K897" i="22"/>
  <c r="O896" i="22"/>
  <c r="N896" i="22"/>
  <c r="M896" i="22"/>
  <c r="L896" i="22"/>
  <c r="K896" i="22"/>
  <c r="O895" i="22"/>
  <c r="N895" i="22"/>
  <c r="M895" i="22"/>
  <c r="L895" i="22"/>
  <c r="K895" i="22"/>
  <c r="O894" i="22"/>
  <c r="N894" i="22"/>
  <c r="M894" i="22"/>
  <c r="L894" i="22"/>
  <c r="K894" i="22"/>
  <c r="O893" i="22"/>
  <c r="N893" i="22"/>
  <c r="M893" i="22"/>
  <c r="L893" i="22"/>
  <c r="K893" i="22"/>
  <c r="O892" i="22"/>
  <c r="N892" i="22"/>
  <c r="M892" i="22"/>
  <c r="L892" i="22"/>
  <c r="K892" i="22"/>
  <c r="O891" i="22"/>
  <c r="N891" i="22"/>
  <c r="M891" i="22"/>
  <c r="L891" i="22"/>
  <c r="K891" i="22"/>
  <c r="O890" i="22"/>
  <c r="N890" i="22"/>
  <c r="M890" i="22"/>
  <c r="L890" i="22"/>
  <c r="K890" i="22"/>
  <c r="O889" i="22"/>
  <c r="N889" i="22"/>
  <c r="M889" i="22"/>
  <c r="L889" i="22"/>
  <c r="K889" i="22"/>
  <c r="O888" i="22"/>
  <c r="N888" i="22"/>
  <c r="M888" i="22"/>
  <c r="L888" i="22"/>
  <c r="K888" i="22"/>
  <c r="O887" i="22"/>
  <c r="N887" i="22"/>
  <c r="M887" i="22"/>
  <c r="L887" i="22"/>
  <c r="K887" i="22"/>
  <c r="O886" i="22"/>
  <c r="N886" i="22"/>
  <c r="M886" i="22"/>
  <c r="L886" i="22"/>
  <c r="K886" i="22"/>
  <c r="O885" i="22"/>
  <c r="N885" i="22"/>
  <c r="M885" i="22"/>
  <c r="L885" i="22"/>
  <c r="K885" i="22"/>
  <c r="O884" i="22"/>
  <c r="N884" i="22"/>
  <c r="M884" i="22"/>
  <c r="L884" i="22"/>
  <c r="K884" i="22"/>
  <c r="O883" i="22"/>
  <c r="N883" i="22"/>
  <c r="M883" i="22"/>
  <c r="L883" i="22"/>
  <c r="K883" i="22"/>
  <c r="O882" i="22"/>
  <c r="N882" i="22"/>
  <c r="M882" i="22"/>
  <c r="L882" i="22"/>
  <c r="K882" i="22"/>
  <c r="O881" i="22"/>
  <c r="N881" i="22"/>
  <c r="M881" i="22"/>
  <c r="L881" i="22"/>
  <c r="K881" i="22"/>
  <c r="O880" i="22"/>
  <c r="N880" i="22"/>
  <c r="M880" i="22"/>
  <c r="L880" i="22"/>
  <c r="K880" i="22"/>
  <c r="O879" i="22"/>
  <c r="N879" i="22"/>
  <c r="M879" i="22"/>
  <c r="L879" i="22"/>
  <c r="K879" i="22"/>
  <c r="O878" i="22"/>
  <c r="N878" i="22"/>
  <c r="M878" i="22"/>
  <c r="L878" i="22"/>
  <c r="K878" i="22"/>
  <c r="O877" i="22"/>
  <c r="N877" i="22"/>
  <c r="M877" i="22"/>
  <c r="L877" i="22"/>
  <c r="K877" i="22"/>
  <c r="O876" i="22"/>
  <c r="N876" i="22"/>
  <c r="M876" i="22"/>
  <c r="L876" i="22"/>
  <c r="K876" i="22"/>
  <c r="O875" i="22"/>
  <c r="N875" i="22"/>
  <c r="M875" i="22"/>
  <c r="L875" i="22"/>
  <c r="K875" i="22"/>
  <c r="O874" i="22"/>
  <c r="N874" i="22"/>
  <c r="M874" i="22"/>
  <c r="L874" i="22"/>
  <c r="K874" i="22"/>
  <c r="O873" i="22"/>
  <c r="N873" i="22"/>
  <c r="M873" i="22"/>
  <c r="L873" i="22"/>
  <c r="K873" i="22"/>
  <c r="O872" i="22"/>
  <c r="N872" i="22"/>
  <c r="M872" i="22"/>
  <c r="L872" i="22"/>
  <c r="K872" i="22"/>
  <c r="O871" i="22"/>
  <c r="N871" i="22"/>
  <c r="M871" i="22"/>
  <c r="L871" i="22"/>
  <c r="K871" i="22"/>
  <c r="O870" i="22"/>
  <c r="N870" i="22"/>
  <c r="M870" i="22"/>
  <c r="L870" i="22"/>
  <c r="K870" i="22"/>
  <c r="O869" i="22"/>
  <c r="N869" i="22"/>
  <c r="M869" i="22"/>
  <c r="L869" i="22"/>
  <c r="K869" i="22"/>
  <c r="O868" i="22"/>
  <c r="N868" i="22"/>
  <c r="M868" i="22"/>
  <c r="L868" i="22"/>
  <c r="K868" i="22"/>
  <c r="O867" i="22"/>
  <c r="N867" i="22"/>
  <c r="M867" i="22"/>
  <c r="L867" i="22"/>
  <c r="K867" i="22"/>
  <c r="O866" i="22"/>
  <c r="N866" i="22"/>
  <c r="M866" i="22"/>
  <c r="L866" i="22"/>
  <c r="K866" i="22"/>
  <c r="O865" i="22"/>
  <c r="N865" i="22"/>
  <c r="M865" i="22"/>
  <c r="L865" i="22"/>
  <c r="K865" i="22"/>
  <c r="O864" i="22"/>
  <c r="N864" i="22"/>
  <c r="M864" i="22"/>
  <c r="L864" i="22"/>
  <c r="K864" i="22"/>
  <c r="O863" i="22"/>
  <c r="N863" i="22"/>
  <c r="M863" i="22"/>
  <c r="L863" i="22"/>
  <c r="K863" i="22"/>
  <c r="O862" i="22"/>
  <c r="N862" i="22"/>
  <c r="M862" i="22"/>
  <c r="L862" i="22"/>
  <c r="K862" i="22"/>
  <c r="O861" i="22"/>
  <c r="N861" i="22"/>
  <c r="M861" i="22"/>
  <c r="L861" i="22"/>
  <c r="K861" i="22"/>
  <c r="O860" i="22"/>
  <c r="N860" i="22"/>
  <c r="M860" i="22"/>
  <c r="L860" i="22"/>
  <c r="K860" i="22"/>
  <c r="O859" i="22"/>
  <c r="N859" i="22"/>
  <c r="M859" i="22"/>
  <c r="L859" i="22"/>
  <c r="K859" i="22"/>
  <c r="O858" i="22"/>
  <c r="N858" i="22"/>
  <c r="M858" i="22"/>
  <c r="L858" i="22"/>
  <c r="K858" i="22"/>
  <c r="O857" i="22"/>
  <c r="N857" i="22"/>
  <c r="M857" i="22"/>
  <c r="L857" i="22"/>
  <c r="K857" i="22"/>
  <c r="O856" i="22"/>
  <c r="N856" i="22"/>
  <c r="M856" i="22"/>
  <c r="L856" i="22"/>
  <c r="K856" i="22"/>
  <c r="O855" i="22"/>
  <c r="N855" i="22"/>
  <c r="M855" i="22"/>
  <c r="L855" i="22"/>
  <c r="K855" i="22"/>
  <c r="O854" i="22"/>
  <c r="N854" i="22"/>
  <c r="M854" i="22"/>
  <c r="L854" i="22"/>
  <c r="K854" i="22"/>
  <c r="O853" i="22"/>
  <c r="N853" i="22"/>
  <c r="M853" i="22"/>
  <c r="L853" i="22"/>
  <c r="K853" i="22"/>
  <c r="O852" i="22"/>
  <c r="N852" i="22"/>
  <c r="M852" i="22"/>
  <c r="L852" i="22"/>
  <c r="K852" i="22"/>
  <c r="O851" i="22"/>
  <c r="N851" i="22"/>
  <c r="M851" i="22"/>
  <c r="L851" i="22"/>
  <c r="K851" i="22"/>
  <c r="O850" i="22"/>
  <c r="N850" i="22"/>
  <c r="M850" i="22"/>
  <c r="L850" i="22"/>
  <c r="K850" i="22"/>
  <c r="O849" i="22"/>
  <c r="N849" i="22"/>
  <c r="M849" i="22"/>
  <c r="L849" i="22"/>
  <c r="K849" i="22"/>
  <c r="O848" i="22"/>
  <c r="N848" i="22"/>
  <c r="M848" i="22"/>
  <c r="L848" i="22"/>
  <c r="K848" i="22"/>
  <c r="O847" i="22"/>
  <c r="N847" i="22"/>
  <c r="M847" i="22"/>
  <c r="L847" i="22"/>
  <c r="K847" i="22"/>
  <c r="O846" i="22"/>
  <c r="N846" i="22"/>
  <c r="M846" i="22"/>
  <c r="L846" i="22"/>
  <c r="K846" i="22"/>
  <c r="O845" i="22"/>
  <c r="N845" i="22"/>
  <c r="M845" i="22"/>
  <c r="L845" i="22"/>
  <c r="K845" i="22"/>
  <c r="O844" i="22"/>
  <c r="N844" i="22"/>
  <c r="M844" i="22"/>
  <c r="L844" i="22"/>
  <c r="K844" i="22"/>
  <c r="O843" i="22"/>
  <c r="N843" i="22"/>
  <c r="M843" i="22"/>
  <c r="L843" i="22"/>
  <c r="K843" i="22"/>
  <c r="O842" i="22"/>
  <c r="N842" i="22"/>
  <c r="M842" i="22"/>
  <c r="L842" i="22"/>
  <c r="K842" i="22"/>
  <c r="O841" i="22"/>
  <c r="N841" i="22"/>
  <c r="M841" i="22"/>
  <c r="L841" i="22"/>
  <c r="K841" i="22"/>
  <c r="O840" i="22"/>
  <c r="N840" i="22"/>
  <c r="M840" i="22"/>
  <c r="L840" i="22"/>
  <c r="K840" i="22"/>
  <c r="O839" i="22"/>
  <c r="N839" i="22"/>
  <c r="M839" i="22"/>
  <c r="L839" i="22"/>
  <c r="K839" i="22"/>
  <c r="O838" i="22"/>
  <c r="N838" i="22"/>
  <c r="M838" i="22"/>
  <c r="L838" i="22"/>
  <c r="K838" i="22"/>
  <c r="O837" i="22"/>
  <c r="N837" i="22"/>
  <c r="M837" i="22"/>
  <c r="L837" i="22"/>
  <c r="K837" i="22"/>
  <c r="O836" i="22"/>
  <c r="N836" i="22"/>
  <c r="M836" i="22"/>
  <c r="L836" i="22"/>
  <c r="K836" i="22"/>
  <c r="O835" i="22"/>
  <c r="N835" i="22"/>
  <c r="M835" i="22"/>
  <c r="L835" i="22"/>
  <c r="K835" i="22"/>
  <c r="O834" i="22"/>
  <c r="N834" i="22"/>
  <c r="M834" i="22"/>
  <c r="L834" i="22"/>
  <c r="K834" i="22"/>
  <c r="O833" i="22"/>
  <c r="N833" i="22"/>
  <c r="M833" i="22"/>
  <c r="L833" i="22"/>
  <c r="K833" i="22"/>
  <c r="O832" i="22"/>
  <c r="N832" i="22"/>
  <c r="M832" i="22"/>
  <c r="L832" i="22"/>
  <c r="K832" i="22"/>
  <c r="O831" i="22"/>
  <c r="N831" i="22"/>
  <c r="M831" i="22"/>
  <c r="L831" i="22"/>
  <c r="K831" i="22"/>
  <c r="O830" i="22"/>
  <c r="N830" i="22"/>
  <c r="M830" i="22"/>
  <c r="L830" i="22"/>
  <c r="K830" i="22"/>
  <c r="O829" i="22"/>
  <c r="N829" i="22"/>
  <c r="M829" i="22"/>
  <c r="L829" i="22"/>
  <c r="K829" i="22"/>
  <c r="O828" i="22"/>
  <c r="N828" i="22"/>
  <c r="M828" i="22"/>
  <c r="L828" i="22"/>
  <c r="K828" i="22"/>
  <c r="O827" i="22"/>
  <c r="N827" i="22"/>
  <c r="M827" i="22"/>
  <c r="L827" i="22"/>
  <c r="K827" i="22"/>
  <c r="O826" i="22"/>
  <c r="N826" i="22"/>
  <c r="M826" i="22"/>
  <c r="L826" i="22"/>
  <c r="K826" i="22"/>
  <c r="O825" i="22"/>
  <c r="N825" i="22"/>
  <c r="M825" i="22"/>
  <c r="L825" i="22"/>
  <c r="K825" i="22"/>
  <c r="O824" i="22"/>
  <c r="N824" i="22"/>
  <c r="M824" i="22"/>
  <c r="L824" i="22"/>
  <c r="K824" i="22"/>
  <c r="O823" i="22"/>
  <c r="N823" i="22"/>
  <c r="M823" i="22"/>
  <c r="L823" i="22"/>
  <c r="K823" i="22"/>
  <c r="O822" i="22"/>
  <c r="N822" i="22"/>
  <c r="M822" i="22"/>
  <c r="L822" i="22"/>
  <c r="K822" i="22"/>
  <c r="O821" i="22"/>
  <c r="N821" i="22"/>
  <c r="M821" i="22"/>
  <c r="L821" i="22"/>
  <c r="K821" i="22"/>
  <c r="O820" i="22"/>
  <c r="N820" i="22"/>
  <c r="M820" i="22"/>
  <c r="L820" i="22"/>
  <c r="K820" i="22"/>
  <c r="O819" i="22"/>
  <c r="N819" i="22"/>
  <c r="M819" i="22"/>
  <c r="L819" i="22"/>
  <c r="K819" i="22"/>
  <c r="O818" i="22"/>
  <c r="N818" i="22"/>
  <c r="M818" i="22"/>
  <c r="L818" i="22"/>
  <c r="K818" i="22"/>
  <c r="O817" i="22"/>
  <c r="N817" i="22"/>
  <c r="M817" i="22"/>
  <c r="L817" i="22"/>
  <c r="K817" i="22"/>
  <c r="O816" i="22"/>
  <c r="N816" i="22"/>
  <c r="M816" i="22"/>
  <c r="L816" i="22"/>
  <c r="K816" i="22"/>
  <c r="O815" i="22"/>
  <c r="N815" i="22"/>
  <c r="M815" i="22"/>
  <c r="L815" i="22"/>
  <c r="K815" i="22"/>
  <c r="O814" i="22"/>
  <c r="N814" i="22"/>
  <c r="M814" i="22"/>
  <c r="L814" i="22"/>
  <c r="K814" i="22"/>
  <c r="O813" i="22"/>
  <c r="N813" i="22"/>
  <c r="M813" i="22"/>
  <c r="L813" i="22"/>
  <c r="K813" i="22"/>
  <c r="O812" i="22"/>
  <c r="N812" i="22"/>
  <c r="M812" i="22"/>
  <c r="L812" i="22"/>
  <c r="K812" i="22"/>
  <c r="O811" i="22"/>
  <c r="N811" i="22"/>
  <c r="M811" i="22"/>
  <c r="L811" i="22"/>
  <c r="K811" i="22"/>
  <c r="O810" i="22"/>
  <c r="N810" i="22"/>
  <c r="M810" i="22"/>
  <c r="L810" i="22"/>
  <c r="K810" i="22"/>
  <c r="O809" i="22"/>
  <c r="N809" i="22"/>
  <c r="M809" i="22"/>
  <c r="L809" i="22"/>
  <c r="K809" i="22"/>
  <c r="O808" i="22"/>
  <c r="N808" i="22"/>
  <c r="M808" i="22"/>
  <c r="L808" i="22"/>
  <c r="K808" i="22"/>
  <c r="O807" i="22"/>
  <c r="N807" i="22"/>
  <c r="M807" i="22"/>
  <c r="L807" i="22"/>
  <c r="K807" i="22"/>
  <c r="O806" i="22"/>
  <c r="N806" i="22"/>
  <c r="M806" i="22"/>
  <c r="L806" i="22"/>
  <c r="K806" i="22"/>
  <c r="O805" i="22"/>
  <c r="N805" i="22"/>
  <c r="M805" i="22"/>
  <c r="L805" i="22"/>
  <c r="K805" i="22"/>
  <c r="O804" i="22"/>
  <c r="N804" i="22"/>
  <c r="M804" i="22"/>
  <c r="L804" i="22"/>
  <c r="K804" i="22"/>
  <c r="O803" i="22"/>
  <c r="N803" i="22"/>
  <c r="M803" i="22"/>
  <c r="L803" i="22"/>
  <c r="K803" i="22"/>
  <c r="O802" i="22"/>
  <c r="N802" i="22"/>
  <c r="M802" i="22"/>
  <c r="L802" i="22"/>
  <c r="K802" i="22"/>
  <c r="O801" i="22"/>
  <c r="N801" i="22"/>
  <c r="M801" i="22"/>
  <c r="L801" i="22"/>
  <c r="K801" i="22"/>
  <c r="O800" i="22"/>
  <c r="N800" i="22"/>
  <c r="M800" i="22"/>
  <c r="L800" i="22"/>
  <c r="K800" i="22"/>
  <c r="O799" i="22"/>
  <c r="N799" i="22"/>
  <c r="M799" i="22"/>
  <c r="L799" i="22"/>
  <c r="K799" i="22"/>
  <c r="O798" i="22"/>
  <c r="N798" i="22"/>
  <c r="M798" i="22"/>
  <c r="L798" i="22"/>
  <c r="K798" i="22"/>
  <c r="O797" i="22"/>
  <c r="N797" i="22"/>
  <c r="M797" i="22"/>
  <c r="L797" i="22"/>
  <c r="K797" i="22"/>
  <c r="O796" i="22"/>
  <c r="N796" i="22"/>
  <c r="M796" i="22"/>
  <c r="L796" i="22"/>
  <c r="K796" i="22"/>
  <c r="O795" i="22"/>
  <c r="N795" i="22"/>
  <c r="M795" i="22"/>
  <c r="L795" i="22"/>
  <c r="K795" i="22"/>
  <c r="O794" i="22"/>
  <c r="N794" i="22"/>
  <c r="M794" i="22"/>
  <c r="L794" i="22"/>
  <c r="K794" i="22"/>
  <c r="O793" i="22"/>
  <c r="N793" i="22"/>
  <c r="M793" i="22"/>
  <c r="L793" i="22"/>
  <c r="K793" i="22"/>
  <c r="O792" i="22"/>
  <c r="N792" i="22"/>
  <c r="M792" i="22"/>
  <c r="L792" i="22"/>
  <c r="K792" i="22"/>
  <c r="O791" i="22"/>
  <c r="N791" i="22"/>
  <c r="M791" i="22"/>
  <c r="L791" i="22"/>
  <c r="K791" i="22"/>
  <c r="O790" i="22"/>
  <c r="N790" i="22"/>
  <c r="M790" i="22"/>
  <c r="L790" i="22"/>
  <c r="K790" i="22"/>
  <c r="O789" i="22"/>
  <c r="N789" i="22"/>
  <c r="M789" i="22"/>
  <c r="L789" i="22"/>
  <c r="K789" i="22"/>
  <c r="O788" i="22"/>
  <c r="N788" i="22"/>
  <c r="M788" i="22"/>
  <c r="L788" i="22"/>
  <c r="K788" i="22"/>
  <c r="O787" i="22"/>
  <c r="N787" i="22"/>
  <c r="M787" i="22"/>
  <c r="L787" i="22"/>
  <c r="K787" i="22"/>
  <c r="O786" i="22"/>
  <c r="N786" i="22"/>
  <c r="M786" i="22"/>
  <c r="L786" i="22"/>
  <c r="K786" i="22"/>
  <c r="O785" i="22"/>
  <c r="N785" i="22"/>
  <c r="M785" i="22"/>
  <c r="L785" i="22"/>
  <c r="K785" i="22"/>
  <c r="O784" i="22"/>
  <c r="N784" i="22"/>
  <c r="M784" i="22"/>
  <c r="L784" i="22"/>
  <c r="K784" i="22"/>
  <c r="O783" i="22"/>
  <c r="N783" i="22"/>
  <c r="M783" i="22"/>
  <c r="L783" i="22"/>
  <c r="K783" i="22"/>
  <c r="O782" i="22"/>
  <c r="N782" i="22"/>
  <c r="M782" i="22"/>
  <c r="L782" i="22"/>
  <c r="K782" i="22"/>
  <c r="O781" i="22"/>
  <c r="N781" i="22"/>
  <c r="M781" i="22"/>
  <c r="L781" i="22"/>
  <c r="K781" i="22"/>
  <c r="O780" i="22"/>
  <c r="N780" i="22"/>
  <c r="M780" i="22"/>
  <c r="L780" i="22"/>
  <c r="K780" i="22"/>
  <c r="O779" i="22"/>
  <c r="N779" i="22"/>
  <c r="M779" i="22"/>
  <c r="L779" i="22"/>
  <c r="K779" i="22"/>
  <c r="O778" i="22"/>
  <c r="N778" i="22"/>
  <c r="M778" i="22"/>
  <c r="L778" i="22"/>
  <c r="K778" i="22"/>
  <c r="O777" i="22"/>
  <c r="N777" i="22"/>
  <c r="M777" i="22"/>
  <c r="L777" i="22"/>
  <c r="K777" i="22"/>
  <c r="O776" i="22"/>
  <c r="N776" i="22"/>
  <c r="M776" i="22"/>
  <c r="L776" i="22"/>
  <c r="K776" i="22"/>
  <c r="O775" i="22"/>
  <c r="N775" i="22"/>
  <c r="M775" i="22"/>
  <c r="L775" i="22"/>
  <c r="K775" i="22"/>
  <c r="O774" i="22"/>
  <c r="N774" i="22"/>
  <c r="M774" i="22"/>
  <c r="L774" i="22"/>
  <c r="K774" i="22"/>
  <c r="O773" i="22"/>
  <c r="N773" i="22"/>
  <c r="M773" i="22"/>
  <c r="L773" i="22"/>
  <c r="K773" i="22"/>
  <c r="O772" i="22"/>
  <c r="N772" i="22"/>
  <c r="M772" i="22"/>
  <c r="L772" i="22"/>
  <c r="K772" i="22"/>
  <c r="O771" i="22"/>
  <c r="N771" i="22"/>
  <c r="M771" i="22"/>
  <c r="L771" i="22"/>
  <c r="K771" i="22"/>
  <c r="O770" i="22"/>
  <c r="N770" i="22"/>
  <c r="M770" i="22"/>
  <c r="L770" i="22"/>
  <c r="K770" i="22"/>
  <c r="O769" i="22"/>
  <c r="N769" i="22"/>
  <c r="M769" i="22"/>
  <c r="L769" i="22"/>
  <c r="K769" i="22"/>
  <c r="O768" i="22"/>
  <c r="N768" i="22"/>
  <c r="M768" i="22"/>
  <c r="L768" i="22"/>
  <c r="K768" i="22"/>
  <c r="O767" i="22"/>
  <c r="N767" i="22"/>
  <c r="M767" i="22"/>
  <c r="L767" i="22"/>
  <c r="K767" i="22"/>
  <c r="O766" i="22"/>
  <c r="N766" i="22"/>
  <c r="M766" i="22"/>
  <c r="L766" i="22"/>
  <c r="K766" i="22"/>
  <c r="O765" i="22"/>
  <c r="N765" i="22"/>
  <c r="M765" i="22"/>
  <c r="L765" i="22"/>
  <c r="K765" i="22"/>
  <c r="O764" i="22"/>
  <c r="N764" i="22"/>
  <c r="M764" i="22"/>
  <c r="L764" i="22"/>
  <c r="K764" i="22"/>
  <c r="O763" i="22"/>
  <c r="N763" i="22"/>
  <c r="M763" i="22"/>
  <c r="L763" i="22"/>
  <c r="K763" i="22"/>
  <c r="O762" i="22"/>
  <c r="N762" i="22"/>
  <c r="M762" i="22"/>
  <c r="L762" i="22"/>
  <c r="K762" i="22"/>
  <c r="O761" i="22"/>
  <c r="N761" i="22"/>
  <c r="M761" i="22"/>
  <c r="L761" i="22"/>
  <c r="K761" i="22"/>
  <c r="O760" i="22"/>
  <c r="N760" i="22"/>
  <c r="M760" i="22"/>
  <c r="L760" i="22"/>
  <c r="K760" i="22"/>
  <c r="O759" i="22"/>
  <c r="N759" i="22"/>
  <c r="M759" i="22"/>
  <c r="L759" i="22"/>
  <c r="K759" i="22"/>
  <c r="O758" i="22"/>
  <c r="N758" i="22"/>
  <c r="M758" i="22"/>
  <c r="L758" i="22"/>
  <c r="K758" i="22"/>
  <c r="O757" i="22"/>
  <c r="N757" i="22"/>
  <c r="M757" i="22"/>
  <c r="L757" i="22"/>
  <c r="K757" i="22"/>
  <c r="O756" i="22"/>
  <c r="N756" i="22"/>
  <c r="M756" i="22"/>
  <c r="L756" i="22"/>
  <c r="K756" i="22"/>
  <c r="O755" i="22"/>
  <c r="N755" i="22"/>
  <c r="M755" i="22"/>
  <c r="L755" i="22"/>
  <c r="K755" i="22"/>
  <c r="O754" i="22"/>
  <c r="N754" i="22"/>
  <c r="M754" i="22"/>
  <c r="L754" i="22"/>
  <c r="K754" i="22"/>
  <c r="O753" i="22"/>
  <c r="N753" i="22"/>
  <c r="M753" i="22"/>
  <c r="L753" i="22"/>
  <c r="K753" i="22"/>
  <c r="O752" i="22"/>
  <c r="N752" i="22"/>
  <c r="M752" i="22"/>
  <c r="L752" i="22"/>
  <c r="K752" i="22"/>
  <c r="O751" i="22"/>
  <c r="N751" i="22"/>
  <c r="M751" i="22"/>
  <c r="L751" i="22"/>
  <c r="K751" i="22"/>
  <c r="O750" i="22"/>
  <c r="N750" i="22"/>
  <c r="M750" i="22"/>
  <c r="L750" i="22"/>
  <c r="K750" i="22"/>
  <c r="O749" i="22"/>
  <c r="N749" i="22"/>
  <c r="M749" i="22"/>
  <c r="L749" i="22"/>
  <c r="K749" i="22"/>
  <c r="O748" i="22"/>
  <c r="N748" i="22"/>
  <c r="M748" i="22"/>
  <c r="L748" i="22"/>
  <c r="K748" i="22"/>
  <c r="O747" i="22"/>
  <c r="N747" i="22"/>
  <c r="M747" i="22"/>
  <c r="L747" i="22"/>
  <c r="K747" i="22"/>
  <c r="O746" i="22"/>
  <c r="N746" i="22"/>
  <c r="M746" i="22"/>
  <c r="L746" i="22"/>
  <c r="K746" i="22"/>
  <c r="O745" i="22"/>
  <c r="N745" i="22"/>
  <c r="M745" i="22"/>
  <c r="L745" i="22"/>
  <c r="K745" i="22"/>
  <c r="O744" i="22"/>
  <c r="N744" i="22"/>
  <c r="M744" i="22"/>
  <c r="L744" i="22"/>
  <c r="K744" i="22"/>
  <c r="O743" i="22"/>
  <c r="N743" i="22"/>
  <c r="M743" i="22"/>
  <c r="L743" i="22"/>
  <c r="K743" i="22"/>
  <c r="O742" i="22"/>
  <c r="N742" i="22"/>
  <c r="M742" i="22"/>
  <c r="L742" i="22"/>
  <c r="K742" i="22"/>
  <c r="O741" i="22"/>
  <c r="N741" i="22"/>
  <c r="M741" i="22"/>
  <c r="L741" i="22"/>
  <c r="K741" i="22"/>
  <c r="O740" i="22"/>
  <c r="N740" i="22"/>
  <c r="M740" i="22"/>
  <c r="L740" i="22"/>
  <c r="K740" i="22"/>
  <c r="O739" i="22"/>
  <c r="N739" i="22"/>
  <c r="M739" i="22"/>
  <c r="L739" i="22"/>
  <c r="K739" i="22"/>
  <c r="O738" i="22"/>
  <c r="N738" i="22"/>
  <c r="M738" i="22"/>
  <c r="L738" i="22"/>
  <c r="K738" i="22"/>
  <c r="O737" i="22"/>
  <c r="N737" i="22"/>
  <c r="M737" i="22"/>
  <c r="L737" i="22"/>
  <c r="K737" i="22"/>
  <c r="O736" i="22"/>
  <c r="N736" i="22"/>
  <c r="M736" i="22"/>
  <c r="L736" i="22"/>
  <c r="K736" i="22"/>
  <c r="O735" i="22"/>
  <c r="N735" i="22"/>
  <c r="M735" i="22"/>
  <c r="L735" i="22"/>
  <c r="K735" i="22"/>
  <c r="O734" i="22"/>
  <c r="N734" i="22"/>
  <c r="M734" i="22"/>
  <c r="L734" i="22"/>
  <c r="K734" i="22"/>
  <c r="O733" i="22"/>
  <c r="N733" i="22"/>
  <c r="M733" i="22"/>
  <c r="L733" i="22"/>
  <c r="K733" i="22"/>
  <c r="O732" i="22"/>
  <c r="N732" i="22"/>
  <c r="M732" i="22"/>
  <c r="L732" i="22"/>
  <c r="K732" i="22"/>
  <c r="O731" i="22"/>
  <c r="N731" i="22"/>
  <c r="M731" i="22"/>
  <c r="L731" i="22"/>
  <c r="K731" i="22"/>
  <c r="O730" i="22"/>
  <c r="N730" i="22"/>
  <c r="M730" i="22"/>
  <c r="L730" i="22"/>
  <c r="K730" i="22"/>
  <c r="O729" i="22"/>
  <c r="N729" i="22"/>
  <c r="M729" i="22"/>
  <c r="L729" i="22"/>
  <c r="K729" i="22"/>
  <c r="O728" i="22"/>
  <c r="N728" i="22"/>
  <c r="M728" i="22"/>
  <c r="L728" i="22"/>
  <c r="K728" i="22"/>
  <c r="O727" i="22"/>
  <c r="N727" i="22"/>
  <c r="M727" i="22"/>
  <c r="L727" i="22"/>
  <c r="K727" i="22"/>
  <c r="O726" i="22"/>
  <c r="N726" i="22"/>
  <c r="M726" i="22"/>
  <c r="L726" i="22"/>
  <c r="K726" i="22"/>
  <c r="O725" i="22"/>
  <c r="N725" i="22"/>
  <c r="M725" i="22"/>
  <c r="L725" i="22"/>
  <c r="K725" i="22"/>
  <c r="O724" i="22"/>
  <c r="N724" i="22"/>
  <c r="M724" i="22"/>
  <c r="L724" i="22"/>
  <c r="K724" i="22"/>
  <c r="O723" i="22"/>
  <c r="N723" i="22"/>
  <c r="M723" i="22"/>
  <c r="L723" i="22"/>
  <c r="K723" i="22"/>
  <c r="O722" i="22"/>
  <c r="N722" i="22"/>
  <c r="M722" i="22"/>
  <c r="L722" i="22"/>
  <c r="K722" i="22"/>
  <c r="O721" i="22"/>
  <c r="N721" i="22"/>
  <c r="M721" i="22"/>
  <c r="L721" i="22"/>
  <c r="K721" i="22"/>
  <c r="O720" i="22"/>
  <c r="N720" i="22"/>
  <c r="M720" i="22"/>
  <c r="L720" i="22"/>
  <c r="K720" i="22"/>
  <c r="O719" i="22"/>
  <c r="N719" i="22"/>
  <c r="M719" i="22"/>
  <c r="L719" i="22"/>
  <c r="K719" i="22"/>
  <c r="O718" i="22"/>
  <c r="N718" i="22"/>
  <c r="M718" i="22"/>
  <c r="L718" i="22"/>
  <c r="K718" i="22"/>
  <c r="O717" i="22"/>
  <c r="N717" i="22"/>
  <c r="M717" i="22"/>
  <c r="L717" i="22"/>
  <c r="K717" i="22"/>
  <c r="O716" i="22"/>
  <c r="N716" i="22"/>
  <c r="M716" i="22"/>
  <c r="L716" i="22"/>
  <c r="K716" i="22"/>
  <c r="O715" i="22"/>
  <c r="N715" i="22"/>
  <c r="M715" i="22"/>
  <c r="L715" i="22"/>
  <c r="K715" i="22"/>
  <c r="O714" i="22"/>
  <c r="N714" i="22"/>
  <c r="M714" i="22"/>
  <c r="L714" i="22"/>
  <c r="K714" i="22"/>
  <c r="O713" i="22"/>
  <c r="N713" i="22"/>
  <c r="M713" i="22"/>
  <c r="L713" i="22"/>
  <c r="K713" i="22"/>
  <c r="O712" i="22"/>
  <c r="N712" i="22"/>
  <c r="M712" i="22"/>
  <c r="L712" i="22"/>
  <c r="K712" i="22"/>
  <c r="O711" i="22"/>
  <c r="N711" i="22"/>
  <c r="M711" i="22"/>
  <c r="L711" i="22"/>
  <c r="K711" i="22"/>
  <c r="O710" i="22"/>
  <c r="N710" i="22"/>
  <c r="M710" i="22"/>
  <c r="L710" i="22"/>
  <c r="K710" i="22"/>
  <c r="O709" i="22"/>
  <c r="N709" i="22"/>
  <c r="M709" i="22"/>
  <c r="L709" i="22"/>
  <c r="K709" i="22"/>
  <c r="O708" i="22"/>
  <c r="N708" i="22"/>
  <c r="M708" i="22"/>
  <c r="L708" i="22"/>
  <c r="K708" i="22"/>
  <c r="O707" i="22"/>
  <c r="N707" i="22"/>
  <c r="M707" i="22"/>
  <c r="L707" i="22"/>
  <c r="K707" i="22"/>
  <c r="O706" i="22"/>
  <c r="N706" i="22"/>
  <c r="M706" i="22"/>
  <c r="L706" i="22"/>
  <c r="K706" i="22"/>
  <c r="O705" i="22"/>
  <c r="N705" i="22"/>
  <c r="M705" i="22"/>
  <c r="L705" i="22"/>
  <c r="K705" i="22"/>
  <c r="O704" i="22"/>
  <c r="N704" i="22"/>
  <c r="M704" i="22"/>
  <c r="L704" i="22"/>
  <c r="K704" i="22"/>
  <c r="O703" i="22"/>
  <c r="N703" i="22"/>
  <c r="M703" i="22"/>
  <c r="L703" i="22"/>
  <c r="K703" i="22"/>
  <c r="O702" i="22"/>
  <c r="N702" i="22"/>
  <c r="M702" i="22"/>
  <c r="L702" i="22"/>
  <c r="K702" i="22"/>
  <c r="O701" i="22"/>
  <c r="N701" i="22"/>
  <c r="M701" i="22"/>
  <c r="L701" i="22"/>
  <c r="K701" i="22"/>
  <c r="O700" i="22"/>
  <c r="N700" i="22"/>
  <c r="M700" i="22"/>
  <c r="L700" i="22"/>
  <c r="K700" i="22"/>
  <c r="O699" i="22"/>
  <c r="N699" i="22"/>
  <c r="M699" i="22"/>
  <c r="L699" i="22"/>
  <c r="K699" i="22"/>
  <c r="O698" i="22"/>
  <c r="N698" i="22"/>
  <c r="M698" i="22"/>
  <c r="L698" i="22"/>
  <c r="K698" i="22"/>
  <c r="O697" i="22"/>
  <c r="N697" i="22"/>
  <c r="M697" i="22"/>
  <c r="L697" i="22"/>
  <c r="K697" i="22"/>
  <c r="O696" i="22"/>
  <c r="N696" i="22"/>
  <c r="M696" i="22"/>
  <c r="L696" i="22"/>
  <c r="K696" i="22"/>
  <c r="O695" i="22"/>
  <c r="N695" i="22"/>
  <c r="M695" i="22"/>
  <c r="L695" i="22"/>
  <c r="K695" i="22"/>
  <c r="O694" i="22"/>
  <c r="N694" i="22"/>
  <c r="M694" i="22"/>
  <c r="L694" i="22"/>
  <c r="K694" i="22"/>
  <c r="O693" i="22"/>
  <c r="N693" i="22"/>
  <c r="M693" i="22"/>
  <c r="L693" i="22"/>
  <c r="K693" i="22"/>
  <c r="O692" i="22"/>
  <c r="N692" i="22"/>
  <c r="M692" i="22"/>
  <c r="L692" i="22"/>
  <c r="K692" i="22"/>
  <c r="O691" i="22"/>
  <c r="N691" i="22"/>
  <c r="M691" i="22"/>
  <c r="L691" i="22"/>
  <c r="K691" i="22"/>
  <c r="O690" i="22"/>
  <c r="N690" i="22"/>
  <c r="M690" i="22"/>
  <c r="L690" i="22"/>
  <c r="K690" i="22"/>
  <c r="O689" i="22"/>
  <c r="N689" i="22"/>
  <c r="M689" i="22"/>
  <c r="L689" i="22"/>
  <c r="K689" i="22"/>
  <c r="O688" i="22"/>
  <c r="N688" i="22"/>
  <c r="M688" i="22"/>
  <c r="L688" i="22"/>
  <c r="K688" i="22"/>
  <c r="O687" i="22"/>
  <c r="N687" i="22"/>
  <c r="M687" i="22"/>
  <c r="L687" i="22"/>
  <c r="K687" i="22"/>
  <c r="O686" i="22"/>
  <c r="N686" i="22"/>
  <c r="M686" i="22"/>
  <c r="L686" i="22"/>
  <c r="K686" i="22"/>
  <c r="O685" i="22"/>
  <c r="N685" i="22"/>
  <c r="M685" i="22"/>
  <c r="L685" i="22"/>
  <c r="K685" i="22"/>
  <c r="O684" i="22"/>
  <c r="N684" i="22"/>
  <c r="M684" i="22"/>
  <c r="L684" i="22"/>
  <c r="K684" i="22"/>
  <c r="O683" i="22"/>
  <c r="N683" i="22"/>
  <c r="M683" i="22"/>
  <c r="L683" i="22"/>
  <c r="K683" i="22"/>
  <c r="O682" i="22"/>
  <c r="N682" i="22"/>
  <c r="M682" i="22"/>
  <c r="L682" i="22"/>
  <c r="K682" i="22"/>
  <c r="O681" i="22"/>
  <c r="N681" i="22"/>
  <c r="M681" i="22"/>
  <c r="L681" i="22"/>
  <c r="K681" i="22"/>
  <c r="O680" i="22"/>
  <c r="N680" i="22"/>
  <c r="M680" i="22"/>
  <c r="L680" i="22"/>
  <c r="K680" i="22"/>
  <c r="O679" i="22"/>
  <c r="N679" i="22"/>
  <c r="M679" i="22"/>
  <c r="L679" i="22"/>
  <c r="K679" i="22"/>
  <c r="O678" i="22"/>
  <c r="N678" i="22"/>
  <c r="M678" i="22"/>
  <c r="L678" i="22"/>
  <c r="K678" i="22"/>
  <c r="O677" i="22"/>
  <c r="N677" i="22"/>
  <c r="M677" i="22"/>
  <c r="L677" i="22"/>
  <c r="K677" i="22"/>
  <c r="O676" i="22"/>
  <c r="N676" i="22"/>
  <c r="M676" i="22"/>
  <c r="L676" i="22"/>
  <c r="K676" i="22"/>
  <c r="O675" i="22"/>
  <c r="N675" i="22"/>
  <c r="M675" i="22"/>
  <c r="L675" i="22"/>
  <c r="K675" i="22"/>
  <c r="O674" i="22"/>
  <c r="N674" i="22"/>
  <c r="M674" i="22"/>
  <c r="L674" i="22"/>
  <c r="K674" i="22"/>
  <c r="O673" i="22"/>
  <c r="N673" i="22"/>
  <c r="M673" i="22"/>
  <c r="L673" i="22"/>
  <c r="K673" i="22"/>
  <c r="O672" i="22"/>
  <c r="N672" i="22"/>
  <c r="M672" i="22"/>
  <c r="L672" i="22"/>
  <c r="K672" i="22"/>
  <c r="O671" i="22"/>
  <c r="N671" i="22"/>
  <c r="M671" i="22"/>
  <c r="L671" i="22"/>
  <c r="K671" i="22"/>
  <c r="O670" i="22"/>
  <c r="N670" i="22"/>
  <c r="M670" i="22"/>
  <c r="L670" i="22"/>
  <c r="K670" i="22"/>
  <c r="O669" i="22"/>
  <c r="N669" i="22"/>
  <c r="M669" i="22"/>
  <c r="L669" i="22"/>
  <c r="K669" i="22"/>
  <c r="O668" i="22"/>
  <c r="N668" i="22"/>
  <c r="M668" i="22"/>
  <c r="L668" i="22"/>
  <c r="K668" i="22"/>
  <c r="O667" i="22"/>
  <c r="N667" i="22"/>
  <c r="M667" i="22"/>
  <c r="L667" i="22"/>
  <c r="K667" i="22"/>
  <c r="O666" i="22"/>
  <c r="N666" i="22"/>
  <c r="M666" i="22"/>
  <c r="L666" i="22"/>
  <c r="K666" i="22"/>
  <c r="O665" i="22"/>
  <c r="N665" i="22"/>
  <c r="M665" i="22"/>
  <c r="L665" i="22"/>
  <c r="K665" i="22"/>
  <c r="O664" i="22"/>
  <c r="N664" i="22"/>
  <c r="M664" i="22"/>
  <c r="L664" i="22"/>
  <c r="K664" i="22"/>
  <c r="O663" i="22"/>
  <c r="N663" i="22"/>
  <c r="M663" i="22"/>
  <c r="L663" i="22"/>
  <c r="K663" i="22"/>
  <c r="O662" i="22"/>
  <c r="N662" i="22"/>
  <c r="M662" i="22"/>
  <c r="L662" i="22"/>
  <c r="K662" i="22"/>
  <c r="O661" i="22"/>
  <c r="N661" i="22"/>
  <c r="M661" i="22"/>
  <c r="L661" i="22"/>
  <c r="K661" i="22"/>
  <c r="O660" i="22"/>
  <c r="N660" i="22"/>
  <c r="M660" i="22"/>
  <c r="L660" i="22"/>
  <c r="K660" i="22"/>
  <c r="O659" i="22"/>
  <c r="N659" i="22"/>
  <c r="M659" i="22"/>
  <c r="L659" i="22"/>
  <c r="K659" i="22"/>
  <c r="O658" i="22"/>
  <c r="N658" i="22"/>
  <c r="M658" i="22"/>
  <c r="L658" i="22"/>
  <c r="K658" i="22"/>
  <c r="O657" i="22"/>
  <c r="N657" i="22"/>
  <c r="M657" i="22"/>
  <c r="L657" i="22"/>
  <c r="K657" i="22"/>
  <c r="O656" i="22"/>
  <c r="N656" i="22"/>
  <c r="M656" i="22"/>
  <c r="L656" i="22"/>
  <c r="K656" i="22"/>
  <c r="P656" i="22" s="1"/>
  <c r="Q656" i="22" s="1"/>
  <c r="O655" i="22"/>
  <c r="N655" i="22"/>
  <c r="M655" i="22"/>
  <c r="L655" i="22"/>
  <c r="K655" i="22"/>
  <c r="O654" i="22"/>
  <c r="N654" i="22"/>
  <c r="M654" i="22"/>
  <c r="L654" i="22"/>
  <c r="K654" i="22"/>
  <c r="O653" i="22"/>
  <c r="N653" i="22"/>
  <c r="M653" i="22"/>
  <c r="L653" i="22"/>
  <c r="K653" i="22"/>
  <c r="O652" i="22"/>
  <c r="N652" i="22"/>
  <c r="M652" i="22"/>
  <c r="L652" i="22"/>
  <c r="K652" i="22"/>
  <c r="O651" i="22"/>
  <c r="N651" i="22"/>
  <c r="M651" i="22"/>
  <c r="L651" i="22"/>
  <c r="K651" i="22"/>
  <c r="O650" i="22"/>
  <c r="N650" i="22"/>
  <c r="M650" i="22"/>
  <c r="L650" i="22"/>
  <c r="K650" i="22"/>
  <c r="O649" i="22"/>
  <c r="N649" i="22"/>
  <c r="M649" i="22"/>
  <c r="L649" i="22"/>
  <c r="K649" i="22"/>
  <c r="O648" i="22"/>
  <c r="N648" i="22"/>
  <c r="M648" i="22"/>
  <c r="L648" i="22"/>
  <c r="K648" i="22"/>
  <c r="O647" i="22"/>
  <c r="N647" i="22"/>
  <c r="M647" i="22"/>
  <c r="L647" i="22"/>
  <c r="K647" i="22"/>
  <c r="O646" i="22"/>
  <c r="N646" i="22"/>
  <c r="M646" i="22"/>
  <c r="L646" i="22"/>
  <c r="K646" i="22"/>
  <c r="O645" i="22"/>
  <c r="N645" i="22"/>
  <c r="M645" i="22"/>
  <c r="L645" i="22"/>
  <c r="K645" i="22"/>
  <c r="O644" i="22"/>
  <c r="N644" i="22"/>
  <c r="M644" i="22"/>
  <c r="L644" i="22"/>
  <c r="K644" i="22"/>
  <c r="O643" i="22"/>
  <c r="N643" i="22"/>
  <c r="M643" i="22"/>
  <c r="L643" i="22"/>
  <c r="K643" i="22"/>
  <c r="O642" i="22"/>
  <c r="N642" i="22"/>
  <c r="M642" i="22"/>
  <c r="L642" i="22"/>
  <c r="K642" i="22"/>
  <c r="O641" i="22"/>
  <c r="N641" i="22"/>
  <c r="M641" i="22"/>
  <c r="L641" i="22"/>
  <c r="K641" i="22"/>
  <c r="O640" i="22"/>
  <c r="N640" i="22"/>
  <c r="M640" i="22"/>
  <c r="L640" i="22"/>
  <c r="K640" i="22"/>
  <c r="O639" i="22"/>
  <c r="N639" i="22"/>
  <c r="M639" i="22"/>
  <c r="L639" i="22"/>
  <c r="K639" i="22"/>
  <c r="O638" i="22"/>
  <c r="N638" i="22"/>
  <c r="M638" i="22"/>
  <c r="L638" i="22"/>
  <c r="K638" i="22"/>
  <c r="O637" i="22"/>
  <c r="N637" i="22"/>
  <c r="M637" i="22"/>
  <c r="L637" i="22"/>
  <c r="K637" i="22"/>
  <c r="O636" i="22"/>
  <c r="N636" i="22"/>
  <c r="M636" i="22"/>
  <c r="L636" i="22"/>
  <c r="K636" i="22"/>
  <c r="O635" i="22"/>
  <c r="N635" i="22"/>
  <c r="M635" i="22"/>
  <c r="L635" i="22"/>
  <c r="K635" i="22"/>
  <c r="O634" i="22"/>
  <c r="N634" i="22"/>
  <c r="M634" i="22"/>
  <c r="L634" i="22"/>
  <c r="K634" i="22"/>
  <c r="O633" i="22"/>
  <c r="N633" i="22"/>
  <c r="M633" i="22"/>
  <c r="L633" i="22"/>
  <c r="K633" i="22"/>
  <c r="O632" i="22"/>
  <c r="N632" i="22"/>
  <c r="M632" i="22"/>
  <c r="L632" i="22"/>
  <c r="K632" i="22"/>
  <c r="O631" i="22"/>
  <c r="N631" i="22"/>
  <c r="M631" i="22"/>
  <c r="L631" i="22"/>
  <c r="K631" i="22"/>
  <c r="O630" i="22"/>
  <c r="N630" i="22"/>
  <c r="M630" i="22"/>
  <c r="L630" i="22"/>
  <c r="K630" i="22"/>
  <c r="O629" i="22"/>
  <c r="N629" i="22"/>
  <c r="M629" i="22"/>
  <c r="L629" i="22"/>
  <c r="K629" i="22"/>
  <c r="O628" i="22"/>
  <c r="N628" i="22"/>
  <c r="M628" i="22"/>
  <c r="L628" i="22"/>
  <c r="K628" i="22"/>
  <c r="O627" i="22"/>
  <c r="N627" i="22"/>
  <c r="M627" i="22"/>
  <c r="L627" i="22"/>
  <c r="K627" i="22"/>
  <c r="O626" i="22"/>
  <c r="N626" i="22"/>
  <c r="M626" i="22"/>
  <c r="L626" i="22"/>
  <c r="K626" i="22"/>
  <c r="O625" i="22"/>
  <c r="N625" i="22"/>
  <c r="M625" i="22"/>
  <c r="L625" i="22"/>
  <c r="K625" i="22"/>
  <c r="O624" i="22"/>
  <c r="N624" i="22"/>
  <c r="M624" i="22"/>
  <c r="L624" i="22"/>
  <c r="K624" i="22"/>
  <c r="O623" i="22"/>
  <c r="N623" i="22"/>
  <c r="M623" i="22"/>
  <c r="L623" i="22"/>
  <c r="K623" i="22"/>
  <c r="O622" i="22"/>
  <c r="N622" i="22"/>
  <c r="M622" i="22"/>
  <c r="L622" i="22"/>
  <c r="K622" i="22"/>
  <c r="O621" i="22"/>
  <c r="N621" i="22"/>
  <c r="M621" i="22"/>
  <c r="L621" i="22"/>
  <c r="K621" i="22"/>
  <c r="O620" i="22"/>
  <c r="N620" i="22"/>
  <c r="M620" i="22"/>
  <c r="L620" i="22"/>
  <c r="K620" i="22"/>
  <c r="O619" i="22"/>
  <c r="N619" i="22"/>
  <c r="M619" i="22"/>
  <c r="L619" i="22"/>
  <c r="K619" i="22"/>
  <c r="O618" i="22"/>
  <c r="N618" i="22"/>
  <c r="M618" i="22"/>
  <c r="L618" i="22"/>
  <c r="K618" i="22"/>
  <c r="O617" i="22"/>
  <c r="N617" i="22"/>
  <c r="M617" i="22"/>
  <c r="L617" i="22"/>
  <c r="K617" i="22"/>
  <c r="O616" i="22"/>
  <c r="N616" i="22"/>
  <c r="M616" i="22"/>
  <c r="L616" i="22"/>
  <c r="K616" i="22"/>
  <c r="O615" i="22"/>
  <c r="N615" i="22"/>
  <c r="M615" i="22"/>
  <c r="L615" i="22"/>
  <c r="K615" i="22"/>
  <c r="O614" i="22"/>
  <c r="N614" i="22"/>
  <c r="M614" i="22"/>
  <c r="L614" i="22"/>
  <c r="K614" i="22"/>
  <c r="O613" i="22"/>
  <c r="N613" i="22"/>
  <c r="M613" i="22"/>
  <c r="L613" i="22"/>
  <c r="K613" i="22"/>
  <c r="O612" i="22"/>
  <c r="N612" i="22"/>
  <c r="M612" i="22"/>
  <c r="L612" i="22"/>
  <c r="K612" i="22"/>
  <c r="O611" i="22"/>
  <c r="N611" i="22"/>
  <c r="M611" i="22"/>
  <c r="L611" i="22"/>
  <c r="K611" i="22"/>
  <c r="O610" i="22"/>
  <c r="N610" i="22"/>
  <c r="M610" i="22"/>
  <c r="L610" i="22"/>
  <c r="K610" i="22"/>
  <c r="O609" i="22"/>
  <c r="N609" i="22"/>
  <c r="M609" i="22"/>
  <c r="L609" i="22"/>
  <c r="K609" i="22"/>
  <c r="O608" i="22"/>
  <c r="N608" i="22"/>
  <c r="M608" i="22"/>
  <c r="L608" i="22"/>
  <c r="K608" i="22"/>
  <c r="O607" i="22"/>
  <c r="N607" i="22"/>
  <c r="M607" i="22"/>
  <c r="L607" i="22"/>
  <c r="K607" i="22"/>
  <c r="O606" i="22"/>
  <c r="N606" i="22"/>
  <c r="M606" i="22"/>
  <c r="L606" i="22"/>
  <c r="K606" i="22"/>
  <c r="O605" i="22"/>
  <c r="N605" i="22"/>
  <c r="M605" i="22"/>
  <c r="L605" i="22"/>
  <c r="K605" i="22"/>
  <c r="O604" i="22"/>
  <c r="N604" i="22"/>
  <c r="M604" i="22"/>
  <c r="L604" i="22"/>
  <c r="K604" i="22"/>
  <c r="O603" i="22"/>
  <c r="N603" i="22"/>
  <c r="M603" i="22"/>
  <c r="L603" i="22"/>
  <c r="K603" i="22"/>
  <c r="O602" i="22"/>
  <c r="N602" i="22"/>
  <c r="M602" i="22"/>
  <c r="L602" i="22"/>
  <c r="K602" i="22"/>
  <c r="O601" i="22"/>
  <c r="N601" i="22"/>
  <c r="M601" i="22"/>
  <c r="L601" i="22"/>
  <c r="K601" i="22"/>
  <c r="O600" i="22"/>
  <c r="N600" i="22"/>
  <c r="M600" i="22"/>
  <c r="L600" i="22"/>
  <c r="K600" i="22"/>
  <c r="O599" i="22"/>
  <c r="N599" i="22"/>
  <c r="M599" i="22"/>
  <c r="L599" i="22"/>
  <c r="K599" i="22"/>
  <c r="O598" i="22"/>
  <c r="N598" i="22"/>
  <c r="M598" i="22"/>
  <c r="L598" i="22"/>
  <c r="K598" i="22"/>
  <c r="O597" i="22"/>
  <c r="N597" i="22"/>
  <c r="M597" i="22"/>
  <c r="L597" i="22"/>
  <c r="K597" i="22"/>
  <c r="O596" i="22"/>
  <c r="N596" i="22"/>
  <c r="M596" i="22"/>
  <c r="L596" i="22"/>
  <c r="K596" i="22"/>
  <c r="O595" i="22"/>
  <c r="N595" i="22"/>
  <c r="M595" i="22"/>
  <c r="L595" i="22"/>
  <c r="K595" i="22"/>
  <c r="O594" i="22"/>
  <c r="N594" i="22"/>
  <c r="M594" i="22"/>
  <c r="L594" i="22"/>
  <c r="K594" i="22"/>
  <c r="O593" i="22"/>
  <c r="N593" i="22"/>
  <c r="M593" i="22"/>
  <c r="L593" i="22"/>
  <c r="K593" i="22"/>
  <c r="O592" i="22"/>
  <c r="N592" i="22"/>
  <c r="M592" i="22"/>
  <c r="L592" i="22"/>
  <c r="K592" i="22"/>
  <c r="O591" i="22"/>
  <c r="N591" i="22"/>
  <c r="M591" i="22"/>
  <c r="L591" i="22"/>
  <c r="K591" i="22"/>
  <c r="O590" i="22"/>
  <c r="N590" i="22"/>
  <c r="M590" i="22"/>
  <c r="L590" i="22"/>
  <c r="K590" i="22"/>
  <c r="O589" i="22"/>
  <c r="N589" i="22"/>
  <c r="M589" i="22"/>
  <c r="L589" i="22"/>
  <c r="K589" i="22"/>
  <c r="O588" i="22"/>
  <c r="N588" i="22"/>
  <c r="M588" i="22"/>
  <c r="L588" i="22"/>
  <c r="K588" i="22"/>
  <c r="O587" i="22"/>
  <c r="N587" i="22"/>
  <c r="M587" i="22"/>
  <c r="L587" i="22"/>
  <c r="K587" i="22"/>
  <c r="O586" i="22"/>
  <c r="N586" i="22"/>
  <c r="M586" i="22"/>
  <c r="L586" i="22"/>
  <c r="K586" i="22"/>
  <c r="O585" i="22"/>
  <c r="N585" i="22"/>
  <c r="M585" i="22"/>
  <c r="L585" i="22"/>
  <c r="K585" i="22"/>
  <c r="O584" i="22"/>
  <c r="N584" i="22"/>
  <c r="M584" i="22"/>
  <c r="L584" i="22"/>
  <c r="K584" i="22"/>
  <c r="O583" i="22"/>
  <c r="N583" i="22"/>
  <c r="M583" i="22"/>
  <c r="L583" i="22"/>
  <c r="K583" i="22"/>
  <c r="O582" i="22"/>
  <c r="N582" i="22"/>
  <c r="M582" i="22"/>
  <c r="L582" i="22"/>
  <c r="K582" i="22"/>
  <c r="O581" i="22"/>
  <c r="N581" i="22"/>
  <c r="M581" i="22"/>
  <c r="L581" i="22"/>
  <c r="K581" i="22"/>
  <c r="O580" i="22"/>
  <c r="N580" i="22"/>
  <c r="M580" i="22"/>
  <c r="L580" i="22"/>
  <c r="K580" i="22"/>
  <c r="O579" i="22"/>
  <c r="N579" i="22"/>
  <c r="M579" i="22"/>
  <c r="L579" i="22"/>
  <c r="K579" i="22"/>
  <c r="O578" i="22"/>
  <c r="N578" i="22"/>
  <c r="M578" i="22"/>
  <c r="L578" i="22"/>
  <c r="K578" i="22"/>
  <c r="O577" i="22"/>
  <c r="N577" i="22"/>
  <c r="M577" i="22"/>
  <c r="L577" i="22"/>
  <c r="K577" i="22"/>
  <c r="O576" i="22"/>
  <c r="N576" i="22"/>
  <c r="M576" i="22"/>
  <c r="L576" i="22"/>
  <c r="K576" i="22"/>
  <c r="O575" i="22"/>
  <c r="N575" i="22"/>
  <c r="M575" i="22"/>
  <c r="L575" i="22"/>
  <c r="K575" i="22"/>
  <c r="O574" i="22"/>
  <c r="N574" i="22"/>
  <c r="M574" i="22"/>
  <c r="L574" i="22"/>
  <c r="K574" i="22"/>
  <c r="O573" i="22"/>
  <c r="N573" i="22"/>
  <c r="M573" i="22"/>
  <c r="L573" i="22"/>
  <c r="K573" i="22"/>
  <c r="O572" i="22"/>
  <c r="N572" i="22"/>
  <c r="M572" i="22"/>
  <c r="L572" i="22"/>
  <c r="K572" i="22"/>
  <c r="O571" i="22"/>
  <c r="N571" i="22"/>
  <c r="M571" i="22"/>
  <c r="L571" i="22"/>
  <c r="K571" i="22"/>
  <c r="O570" i="22"/>
  <c r="N570" i="22"/>
  <c r="M570" i="22"/>
  <c r="L570" i="22"/>
  <c r="K570" i="22"/>
  <c r="O569" i="22"/>
  <c r="N569" i="22"/>
  <c r="M569" i="22"/>
  <c r="L569" i="22"/>
  <c r="K569" i="22"/>
  <c r="O568" i="22"/>
  <c r="N568" i="22"/>
  <c r="M568" i="22"/>
  <c r="L568" i="22"/>
  <c r="K568" i="22"/>
  <c r="O567" i="22"/>
  <c r="N567" i="22"/>
  <c r="M567" i="22"/>
  <c r="L567" i="22"/>
  <c r="K567" i="22"/>
  <c r="O566" i="22"/>
  <c r="N566" i="22"/>
  <c r="M566" i="22"/>
  <c r="L566" i="22"/>
  <c r="K566" i="22"/>
  <c r="O565" i="22"/>
  <c r="N565" i="22"/>
  <c r="M565" i="22"/>
  <c r="L565" i="22"/>
  <c r="K565" i="22"/>
  <c r="O564" i="22"/>
  <c r="N564" i="22"/>
  <c r="M564" i="22"/>
  <c r="L564" i="22"/>
  <c r="K564" i="22"/>
  <c r="O563" i="22"/>
  <c r="N563" i="22"/>
  <c r="M563" i="22"/>
  <c r="L563" i="22"/>
  <c r="K563" i="22"/>
  <c r="O562" i="22"/>
  <c r="N562" i="22"/>
  <c r="M562" i="22"/>
  <c r="L562" i="22"/>
  <c r="K562" i="22"/>
  <c r="O561" i="22"/>
  <c r="N561" i="22"/>
  <c r="M561" i="22"/>
  <c r="L561" i="22"/>
  <c r="K561" i="22"/>
  <c r="O560" i="22"/>
  <c r="N560" i="22"/>
  <c r="M560" i="22"/>
  <c r="L560" i="22"/>
  <c r="K560" i="22"/>
  <c r="O559" i="22"/>
  <c r="N559" i="22"/>
  <c r="M559" i="22"/>
  <c r="L559" i="22"/>
  <c r="K559" i="22"/>
  <c r="O558" i="22"/>
  <c r="N558" i="22"/>
  <c r="M558" i="22"/>
  <c r="L558" i="22"/>
  <c r="K558" i="22"/>
  <c r="O557" i="22"/>
  <c r="N557" i="22"/>
  <c r="M557" i="22"/>
  <c r="L557" i="22"/>
  <c r="K557" i="22"/>
  <c r="O556" i="22"/>
  <c r="N556" i="22"/>
  <c r="M556" i="22"/>
  <c r="L556" i="22"/>
  <c r="K556" i="22"/>
  <c r="O555" i="22"/>
  <c r="N555" i="22"/>
  <c r="M555" i="22"/>
  <c r="L555" i="22"/>
  <c r="K555" i="22"/>
  <c r="O554" i="22"/>
  <c r="N554" i="22"/>
  <c r="M554" i="22"/>
  <c r="L554" i="22"/>
  <c r="K554" i="22"/>
  <c r="O553" i="22"/>
  <c r="N553" i="22"/>
  <c r="M553" i="22"/>
  <c r="L553" i="22"/>
  <c r="K553" i="22"/>
  <c r="O552" i="22"/>
  <c r="N552" i="22"/>
  <c r="M552" i="22"/>
  <c r="L552" i="22"/>
  <c r="K552" i="22"/>
  <c r="O551" i="22"/>
  <c r="N551" i="22"/>
  <c r="M551" i="22"/>
  <c r="L551" i="22"/>
  <c r="K551" i="22"/>
  <c r="O550" i="22"/>
  <c r="N550" i="22"/>
  <c r="M550" i="22"/>
  <c r="L550" i="22"/>
  <c r="K550" i="22"/>
  <c r="O549" i="22"/>
  <c r="N549" i="22"/>
  <c r="M549" i="22"/>
  <c r="L549" i="22"/>
  <c r="K549" i="22"/>
  <c r="O548" i="22"/>
  <c r="N548" i="22"/>
  <c r="M548" i="22"/>
  <c r="L548" i="22"/>
  <c r="K548" i="22"/>
  <c r="O547" i="22"/>
  <c r="N547" i="22"/>
  <c r="M547" i="22"/>
  <c r="L547" i="22"/>
  <c r="K547" i="22"/>
  <c r="O546" i="22"/>
  <c r="N546" i="22"/>
  <c r="M546" i="22"/>
  <c r="L546" i="22"/>
  <c r="K546" i="22"/>
  <c r="O545" i="22"/>
  <c r="N545" i="22"/>
  <c r="M545" i="22"/>
  <c r="L545" i="22"/>
  <c r="K545" i="22"/>
  <c r="O544" i="22"/>
  <c r="N544" i="22"/>
  <c r="M544" i="22"/>
  <c r="L544" i="22"/>
  <c r="K544" i="22"/>
  <c r="O543" i="22"/>
  <c r="N543" i="22"/>
  <c r="M543" i="22"/>
  <c r="L543" i="22"/>
  <c r="K543" i="22"/>
  <c r="O542" i="22"/>
  <c r="N542" i="22"/>
  <c r="M542" i="22"/>
  <c r="L542" i="22"/>
  <c r="K542" i="22"/>
  <c r="O541" i="22"/>
  <c r="N541" i="22"/>
  <c r="M541" i="22"/>
  <c r="L541" i="22"/>
  <c r="K541" i="22"/>
  <c r="O540" i="22"/>
  <c r="N540" i="22"/>
  <c r="M540" i="22"/>
  <c r="L540" i="22"/>
  <c r="K540" i="22"/>
  <c r="O539" i="22"/>
  <c r="N539" i="22"/>
  <c r="M539" i="22"/>
  <c r="L539" i="22"/>
  <c r="K539" i="22"/>
  <c r="O538" i="22"/>
  <c r="N538" i="22"/>
  <c r="M538" i="22"/>
  <c r="L538" i="22"/>
  <c r="K538" i="22"/>
  <c r="O537" i="22"/>
  <c r="N537" i="22"/>
  <c r="M537" i="22"/>
  <c r="L537" i="22"/>
  <c r="K537" i="22"/>
  <c r="O536" i="22"/>
  <c r="N536" i="22"/>
  <c r="M536" i="22"/>
  <c r="L536" i="22"/>
  <c r="K536" i="22"/>
  <c r="O535" i="22"/>
  <c r="N535" i="22"/>
  <c r="M535" i="22"/>
  <c r="L535" i="22"/>
  <c r="K535" i="22"/>
  <c r="O534" i="22"/>
  <c r="N534" i="22"/>
  <c r="M534" i="22"/>
  <c r="L534" i="22"/>
  <c r="K534" i="22"/>
  <c r="O533" i="22"/>
  <c r="N533" i="22"/>
  <c r="M533" i="22"/>
  <c r="L533" i="22"/>
  <c r="K533" i="22"/>
  <c r="O532" i="22"/>
  <c r="N532" i="22"/>
  <c r="M532" i="22"/>
  <c r="L532" i="22"/>
  <c r="K532" i="22"/>
  <c r="O531" i="22"/>
  <c r="N531" i="22"/>
  <c r="M531" i="22"/>
  <c r="L531" i="22"/>
  <c r="K531" i="22"/>
  <c r="O530" i="22"/>
  <c r="N530" i="22"/>
  <c r="M530" i="22"/>
  <c r="L530" i="22"/>
  <c r="K530" i="22"/>
  <c r="O529" i="22"/>
  <c r="N529" i="22"/>
  <c r="M529" i="22"/>
  <c r="L529" i="22"/>
  <c r="K529" i="22"/>
  <c r="P529" i="22" s="1"/>
  <c r="Q529" i="22" s="1"/>
  <c r="O528" i="22"/>
  <c r="N528" i="22"/>
  <c r="M528" i="22"/>
  <c r="L528" i="22"/>
  <c r="K528" i="22"/>
  <c r="O527" i="22"/>
  <c r="N527" i="22"/>
  <c r="M527" i="22"/>
  <c r="L527" i="22"/>
  <c r="K527" i="22"/>
  <c r="O526" i="22"/>
  <c r="N526" i="22"/>
  <c r="M526" i="22"/>
  <c r="L526" i="22"/>
  <c r="K526" i="22"/>
  <c r="O525" i="22"/>
  <c r="N525" i="22"/>
  <c r="M525" i="22"/>
  <c r="L525" i="22"/>
  <c r="K525" i="22"/>
  <c r="O524" i="22"/>
  <c r="N524" i="22"/>
  <c r="M524" i="22"/>
  <c r="L524" i="22"/>
  <c r="K524" i="22"/>
  <c r="O523" i="22"/>
  <c r="N523" i="22"/>
  <c r="M523" i="22"/>
  <c r="L523" i="22"/>
  <c r="K523" i="22"/>
  <c r="O522" i="22"/>
  <c r="N522" i="22"/>
  <c r="M522" i="22"/>
  <c r="L522" i="22"/>
  <c r="K522" i="22"/>
  <c r="O521" i="22"/>
  <c r="N521" i="22"/>
  <c r="M521" i="22"/>
  <c r="L521" i="22"/>
  <c r="K521" i="22"/>
  <c r="O520" i="22"/>
  <c r="N520" i="22"/>
  <c r="M520" i="22"/>
  <c r="L520" i="22"/>
  <c r="K520" i="22"/>
  <c r="O519" i="22"/>
  <c r="N519" i="22"/>
  <c r="M519" i="22"/>
  <c r="L519" i="22"/>
  <c r="K519" i="22"/>
  <c r="O518" i="22"/>
  <c r="N518" i="22"/>
  <c r="M518" i="22"/>
  <c r="L518" i="22"/>
  <c r="K518" i="22"/>
  <c r="O517" i="22"/>
  <c r="N517" i="22"/>
  <c r="M517" i="22"/>
  <c r="L517" i="22"/>
  <c r="K517" i="22"/>
  <c r="O516" i="22"/>
  <c r="N516" i="22"/>
  <c r="M516" i="22"/>
  <c r="L516" i="22"/>
  <c r="K516" i="22"/>
  <c r="O515" i="22"/>
  <c r="N515" i="22"/>
  <c r="M515" i="22"/>
  <c r="L515" i="22"/>
  <c r="K515" i="22"/>
  <c r="O514" i="22"/>
  <c r="N514" i="22"/>
  <c r="M514" i="22"/>
  <c r="L514" i="22"/>
  <c r="K514" i="22"/>
  <c r="O513" i="22"/>
  <c r="N513" i="22"/>
  <c r="M513" i="22"/>
  <c r="L513" i="22"/>
  <c r="K513" i="22"/>
  <c r="O512" i="22"/>
  <c r="N512" i="22"/>
  <c r="M512" i="22"/>
  <c r="L512" i="22"/>
  <c r="K512" i="22"/>
  <c r="O511" i="22"/>
  <c r="N511" i="22"/>
  <c r="M511" i="22"/>
  <c r="L511" i="22"/>
  <c r="K511" i="22"/>
  <c r="O510" i="22"/>
  <c r="N510" i="22"/>
  <c r="M510" i="22"/>
  <c r="L510" i="22"/>
  <c r="K510" i="22"/>
  <c r="O509" i="22"/>
  <c r="N509" i="22"/>
  <c r="M509" i="22"/>
  <c r="L509" i="22"/>
  <c r="K509" i="22"/>
  <c r="O508" i="22"/>
  <c r="N508" i="22"/>
  <c r="M508" i="22"/>
  <c r="L508" i="22"/>
  <c r="K508" i="22"/>
  <c r="O507" i="22"/>
  <c r="N507" i="22"/>
  <c r="M507" i="22"/>
  <c r="L507" i="22"/>
  <c r="K507" i="22"/>
  <c r="O506" i="22"/>
  <c r="N506" i="22"/>
  <c r="M506" i="22"/>
  <c r="L506" i="22"/>
  <c r="K506" i="22"/>
  <c r="O505" i="22"/>
  <c r="N505" i="22"/>
  <c r="M505" i="22"/>
  <c r="L505" i="22"/>
  <c r="K505" i="22"/>
  <c r="P505" i="22" s="1"/>
  <c r="Q505" i="22" s="1"/>
  <c r="O504" i="22"/>
  <c r="N504" i="22"/>
  <c r="M504" i="22"/>
  <c r="L504" i="22"/>
  <c r="K504" i="22"/>
  <c r="O503" i="22"/>
  <c r="N503" i="22"/>
  <c r="M503" i="22"/>
  <c r="L503" i="22"/>
  <c r="K503" i="22"/>
  <c r="O502" i="22"/>
  <c r="N502" i="22"/>
  <c r="M502" i="22"/>
  <c r="L502" i="22"/>
  <c r="K502" i="22"/>
  <c r="O501" i="22"/>
  <c r="N501" i="22"/>
  <c r="M501" i="22"/>
  <c r="L501" i="22"/>
  <c r="K501" i="22"/>
  <c r="O500" i="22"/>
  <c r="N500" i="22"/>
  <c r="M500" i="22"/>
  <c r="L500" i="22"/>
  <c r="K500" i="22"/>
  <c r="P500" i="22" s="1"/>
  <c r="Q500" i="22" s="1"/>
  <c r="O499" i="22"/>
  <c r="N499" i="22"/>
  <c r="M499" i="22"/>
  <c r="L499" i="22"/>
  <c r="K499" i="22"/>
  <c r="O498" i="22"/>
  <c r="N498" i="22"/>
  <c r="M498" i="22"/>
  <c r="L498" i="22"/>
  <c r="K498" i="22"/>
  <c r="O497" i="22"/>
  <c r="N497" i="22"/>
  <c r="M497" i="22"/>
  <c r="L497" i="22"/>
  <c r="K497" i="22"/>
  <c r="O496" i="22"/>
  <c r="N496" i="22"/>
  <c r="M496" i="22"/>
  <c r="L496" i="22"/>
  <c r="K496" i="22"/>
  <c r="O495" i="22"/>
  <c r="N495" i="22"/>
  <c r="M495" i="22"/>
  <c r="L495" i="22"/>
  <c r="K495" i="22"/>
  <c r="O494" i="22"/>
  <c r="N494" i="22"/>
  <c r="M494" i="22"/>
  <c r="L494" i="22"/>
  <c r="K494" i="22"/>
  <c r="O493" i="22"/>
  <c r="N493" i="22"/>
  <c r="M493" i="22"/>
  <c r="L493" i="22"/>
  <c r="K493" i="22"/>
  <c r="O492" i="22"/>
  <c r="N492" i="22"/>
  <c r="M492" i="22"/>
  <c r="L492" i="22"/>
  <c r="K492" i="22"/>
  <c r="O491" i="22"/>
  <c r="N491" i="22"/>
  <c r="M491" i="22"/>
  <c r="L491" i="22"/>
  <c r="K491" i="22"/>
  <c r="O490" i="22"/>
  <c r="N490" i="22"/>
  <c r="M490" i="22"/>
  <c r="L490" i="22"/>
  <c r="K490" i="22"/>
  <c r="O489" i="22"/>
  <c r="N489" i="22"/>
  <c r="M489" i="22"/>
  <c r="L489" i="22"/>
  <c r="K489" i="22"/>
  <c r="O488" i="22"/>
  <c r="N488" i="22"/>
  <c r="M488" i="22"/>
  <c r="L488" i="22"/>
  <c r="K488" i="22"/>
  <c r="O487" i="22"/>
  <c r="N487" i="22"/>
  <c r="M487" i="22"/>
  <c r="L487" i="22"/>
  <c r="K487" i="22"/>
  <c r="O486" i="22"/>
  <c r="N486" i="22"/>
  <c r="M486" i="22"/>
  <c r="L486" i="22"/>
  <c r="K486" i="22"/>
  <c r="O485" i="22"/>
  <c r="N485" i="22"/>
  <c r="M485" i="22"/>
  <c r="L485" i="22"/>
  <c r="K485" i="22"/>
  <c r="O484" i="22"/>
  <c r="N484" i="22"/>
  <c r="M484" i="22"/>
  <c r="L484" i="22"/>
  <c r="K484" i="22"/>
  <c r="O483" i="22"/>
  <c r="N483" i="22"/>
  <c r="M483" i="22"/>
  <c r="L483" i="22"/>
  <c r="K483" i="22"/>
  <c r="O482" i="22"/>
  <c r="N482" i="22"/>
  <c r="M482" i="22"/>
  <c r="L482" i="22"/>
  <c r="K482" i="22"/>
  <c r="O481" i="22"/>
  <c r="N481" i="22"/>
  <c r="M481" i="22"/>
  <c r="L481" i="22"/>
  <c r="K481" i="22"/>
  <c r="O480" i="22"/>
  <c r="N480" i="22"/>
  <c r="M480" i="22"/>
  <c r="L480" i="22"/>
  <c r="K480" i="22"/>
  <c r="O479" i="22"/>
  <c r="N479" i="22"/>
  <c r="M479" i="22"/>
  <c r="L479" i="22"/>
  <c r="K479" i="22"/>
  <c r="O478" i="22"/>
  <c r="N478" i="22"/>
  <c r="M478" i="22"/>
  <c r="L478" i="22"/>
  <c r="K478" i="22"/>
  <c r="O477" i="22"/>
  <c r="N477" i="22"/>
  <c r="M477" i="22"/>
  <c r="L477" i="22"/>
  <c r="K477" i="22"/>
  <c r="O476" i="22"/>
  <c r="N476" i="22"/>
  <c r="M476" i="22"/>
  <c r="L476" i="22"/>
  <c r="K476" i="22"/>
  <c r="O475" i="22"/>
  <c r="N475" i="22"/>
  <c r="M475" i="22"/>
  <c r="L475" i="22"/>
  <c r="K475" i="22"/>
  <c r="O474" i="22"/>
  <c r="N474" i="22"/>
  <c r="M474" i="22"/>
  <c r="L474" i="22"/>
  <c r="K474" i="22"/>
  <c r="O473" i="22"/>
  <c r="N473" i="22"/>
  <c r="M473" i="22"/>
  <c r="L473" i="22"/>
  <c r="K473" i="22"/>
  <c r="O472" i="22"/>
  <c r="N472" i="22"/>
  <c r="M472" i="22"/>
  <c r="L472" i="22"/>
  <c r="K472" i="22"/>
  <c r="O471" i="22"/>
  <c r="N471" i="22"/>
  <c r="M471" i="22"/>
  <c r="L471" i="22"/>
  <c r="K471" i="22"/>
  <c r="O470" i="22"/>
  <c r="N470" i="22"/>
  <c r="M470" i="22"/>
  <c r="L470" i="22"/>
  <c r="K470" i="22"/>
  <c r="O469" i="22"/>
  <c r="N469" i="22"/>
  <c r="M469" i="22"/>
  <c r="L469" i="22"/>
  <c r="K469" i="22"/>
  <c r="O468" i="22"/>
  <c r="N468" i="22"/>
  <c r="M468" i="22"/>
  <c r="L468" i="22"/>
  <c r="K468" i="22"/>
  <c r="O467" i="22"/>
  <c r="N467" i="22"/>
  <c r="M467" i="22"/>
  <c r="L467" i="22"/>
  <c r="K467" i="22"/>
  <c r="O466" i="22"/>
  <c r="N466" i="22"/>
  <c r="M466" i="22"/>
  <c r="L466" i="22"/>
  <c r="K466" i="22"/>
  <c r="O465" i="22"/>
  <c r="N465" i="22"/>
  <c r="M465" i="22"/>
  <c r="L465" i="22"/>
  <c r="K465" i="22"/>
  <c r="O464" i="22"/>
  <c r="N464" i="22"/>
  <c r="M464" i="22"/>
  <c r="L464" i="22"/>
  <c r="K464" i="22"/>
  <c r="O463" i="22"/>
  <c r="N463" i="22"/>
  <c r="M463" i="22"/>
  <c r="L463" i="22"/>
  <c r="K463" i="22"/>
  <c r="O462" i="22"/>
  <c r="N462" i="22"/>
  <c r="M462" i="22"/>
  <c r="L462" i="22"/>
  <c r="K462" i="22"/>
  <c r="O461" i="22"/>
  <c r="N461" i="22"/>
  <c r="M461" i="22"/>
  <c r="L461" i="22"/>
  <c r="K461" i="22"/>
  <c r="O460" i="22"/>
  <c r="N460" i="22"/>
  <c r="M460" i="22"/>
  <c r="L460" i="22"/>
  <c r="K460" i="22"/>
  <c r="O459" i="22"/>
  <c r="N459" i="22"/>
  <c r="M459" i="22"/>
  <c r="L459" i="22"/>
  <c r="K459" i="22"/>
  <c r="O458" i="22"/>
  <c r="N458" i="22"/>
  <c r="M458" i="22"/>
  <c r="L458" i="22"/>
  <c r="K458" i="22"/>
  <c r="O457" i="22"/>
  <c r="N457" i="22"/>
  <c r="M457" i="22"/>
  <c r="L457" i="22"/>
  <c r="K457" i="22"/>
  <c r="O456" i="22"/>
  <c r="N456" i="22"/>
  <c r="M456" i="22"/>
  <c r="L456" i="22"/>
  <c r="K456" i="22"/>
  <c r="O455" i="22"/>
  <c r="N455" i="22"/>
  <c r="M455" i="22"/>
  <c r="L455" i="22"/>
  <c r="K455" i="22"/>
  <c r="O454" i="22"/>
  <c r="N454" i="22"/>
  <c r="M454" i="22"/>
  <c r="L454" i="22"/>
  <c r="K454" i="22"/>
  <c r="O453" i="22"/>
  <c r="N453" i="22"/>
  <c r="M453" i="22"/>
  <c r="L453" i="22"/>
  <c r="K453" i="22"/>
  <c r="O452" i="22"/>
  <c r="N452" i="22"/>
  <c r="M452" i="22"/>
  <c r="L452" i="22"/>
  <c r="K452" i="22"/>
  <c r="O451" i="22"/>
  <c r="N451" i="22"/>
  <c r="M451" i="22"/>
  <c r="L451" i="22"/>
  <c r="K451" i="22"/>
  <c r="O450" i="22"/>
  <c r="N450" i="22"/>
  <c r="M450" i="22"/>
  <c r="L450" i="22"/>
  <c r="K450" i="22"/>
  <c r="O449" i="22"/>
  <c r="N449" i="22"/>
  <c r="M449" i="22"/>
  <c r="L449" i="22"/>
  <c r="K449" i="22"/>
  <c r="O448" i="22"/>
  <c r="N448" i="22"/>
  <c r="M448" i="22"/>
  <c r="L448" i="22"/>
  <c r="K448" i="22"/>
  <c r="O447" i="22"/>
  <c r="N447" i="22"/>
  <c r="M447" i="22"/>
  <c r="L447" i="22"/>
  <c r="K447" i="22"/>
  <c r="O446" i="22"/>
  <c r="N446" i="22"/>
  <c r="M446" i="22"/>
  <c r="L446" i="22"/>
  <c r="K446" i="22"/>
  <c r="O445" i="22"/>
  <c r="N445" i="22"/>
  <c r="M445" i="22"/>
  <c r="L445" i="22"/>
  <c r="K445" i="22"/>
  <c r="O444" i="22"/>
  <c r="N444" i="22"/>
  <c r="M444" i="22"/>
  <c r="L444" i="22"/>
  <c r="K444" i="22"/>
  <c r="O443" i="22"/>
  <c r="N443" i="22"/>
  <c r="M443" i="22"/>
  <c r="L443" i="22"/>
  <c r="K443" i="22"/>
  <c r="O442" i="22"/>
  <c r="N442" i="22"/>
  <c r="M442" i="22"/>
  <c r="L442" i="22"/>
  <c r="K442" i="22"/>
  <c r="O441" i="22"/>
  <c r="N441" i="22"/>
  <c r="M441" i="22"/>
  <c r="L441" i="22"/>
  <c r="K441" i="22"/>
  <c r="O440" i="22"/>
  <c r="N440" i="22"/>
  <c r="M440" i="22"/>
  <c r="L440" i="22"/>
  <c r="K440" i="22"/>
  <c r="O439" i="22"/>
  <c r="N439" i="22"/>
  <c r="M439" i="22"/>
  <c r="L439" i="22"/>
  <c r="K439" i="22"/>
  <c r="O438" i="22"/>
  <c r="N438" i="22"/>
  <c r="M438" i="22"/>
  <c r="L438" i="22"/>
  <c r="K438" i="22"/>
  <c r="O437" i="22"/>
  <c r="N437" i="22"/>
  <c r="M437" i="22"/>
  <c r="L437" i="22"/>
  <c r="K437" i="22"/>
  <c r="O436" i="22"/>
  <c r="N436" i="22"/>
  <c r="M436" i="22"/>
  <c r="L436" i="22"/>
  <c r="K436" i="22"/>
  <c r="O435" i="22"/>
  <c r="N435" i="22"/>
  <c r="M435" i="22"/>
  <c r="L435" i="22"/>
  <c r="K435" i="22"/>
  <c r="O434" i="22"/>
  <c r="N434" i="22"/>
  <c r="M434" i="22"/>
  <c r="L434" i="22"/>
  <c r="K434" i="22"/>
  <c r="O433" i="22"/>
  <c r="N433" i="22"/>
  <c r="M433" i="22"/>
  <c r="L433" i="22"/>
  <c r="K433" i="22"/>
  <c r="O432" i="22"/>
  <c r="N432" i="22"/>
  <c r="M432" i="22"/>
  <c r="L432" i="22"/>
  <c r="K432" i="22"/>
  <c r="O431" i="22"/>
  <c r="N431" i="22"/>
  <c r="M431" i="22"/>
  <c r="L431" i="22"/>
  <c r="K431" i="22"/>
  <c r="O430" i="22"/>
  <c r="N430" i="22"/>
  <c r="M430" i="22"/>
  <c r="L430" i="22"/>
  <c r="K430" i="22"/>
  <c r="O429" i="22"/>
  <c r="N429" i="22"/>
  <c r="M429" i="22"/>
  <c r="L429" i="22"/>
  <c r="K429" i="22"/>
  <c r="O428" i="22"/>
  <c r="N428" i="22"/>
  <c r="M428" i="22"/>
  <c r="L428" i="22"/>
  <c r="K428" i="22"/>
  <c r="O427" i="22"/>
  <c r="N427" i="22"/>
  <c r="M427" i="22"/>
  <c r="L427" i="22"/>
  <c r="K427" i="22"/>
  <c r="O426" i="22"/>
  <c r="N426" i="22"/>
  <c r="M426" i="22"/>
  <c r="L426" i="22"/>
  <c r="K426" i="22"/>
  <c r="O425" i="22"/>
  <c r="N425" i="22"/>
  <c r="M425" i="22"/>
  <c r="L425" i="22"/>
  <c r="K425" i="22"/>
  <c r="O424" i="22"/>
  <c r="N424" i="22"/>
  <c r="M424" i="22"/>
  <c r="L424" i="22"/>
  <c r="K424" i="22"/>
  <c r="O423" i="22"/>
  <c r="N423" i="22"/>
  <c r="M423" i="22"/>
  <c r="L423" i="22"/>
  <c r="K423" i="22"/>
  <c r="O422" i="22"/>
  <c r="N422" i="22"/>
  <c r="M422" i="22"/>
  <c r="L422" i="22"/>
  <c r="K422" i="22"/>
  <c r="O421" i="22"/>
  <c r="N421" i="22"/>
  <c r="M421" i="22"/>
  <c r="L421" i="22"/>
  <c r="K421" i="22"/>
  <c r="O420" i="22"/>
  <c r="N420" i="22"/>
  <c r="M420" i="22"/>
  <c r="L420" i="22"/>
  <c r="K420" i="22"/>
  <c r="O419" i="22"/>
  <c r="N419" i="22"/>
  <c r="M419" i="22"/>
  <c r="L419" i="22"/>
  <c r="K419" i="22"/>
  <c r="O418" i="22"/>
  <c r="N418" i="22"/>
  <c r="M418" i="22"/>
  <c r="L418" i="22"/>
  <c r="K418" i="22"/>
  <c r="O417" i="22"/>
  <c r="N417" i="22"/>
  <c r="M417" i="22"/>
  <c r="L417" i="22"/>
  <c r="K417" i="22"/>
  <c r="O416" i="22"/>
  <c r="N416" i="22"/>
  <c r="M416" i="22"/>
  <c r="L416" i="22"/>
  <c r="K416" i="22"/>
  <c r="O415" i="22"/>
  <c r="N415" i="22"/>
  <c r="M415" i="22"/>
  <c r="L415" i="22"/>
  <c r="K415" i="22"/>
  <c r="O414" i="22"/>
  <c r="N414" i="22"/>
  <c r="M414" i="22"/>
  <c r="L414" i="22"/>
  <c r="K414" i="22"/>
  <c r="O413" i="22"/>
  <c r="N413" i="22"/>
  <c r="M413" i="22"/>
  <c r="L413" i="22"/>
  <c r="K413" i="22"/>
  <c r="O412" i="22"/>
  <c r="N412" i="22"/>
  <c r="M412" i="22"/>
  <c r="L412" i="22"/>
  <c r="K412" i="22"/>
  <c r="O411" i="22"/>
  <c r="N411" i="22"/>
  <c r="M411" i="22"/>
  <c r="L411" i="22"/>
  <c r="K411" i="22"/>
  <c r="O410" i="22"/>
  <c r="N410" i="22"/>
  <c r="M410" i="22"/>
  <c r="L410" i="22"/>
  <c r="K410" i="22"/>
  <c r="O409" i="22"/>
  <c r="N409" i="22"/>
  <c r="M409" i="22"/>
  <c r="L409" i="22"/>
  <c r="K409" i="22"/>
  <c r="O408" i="22"/>
  <c r="N408" i="22"/>
  <c r="M408" i="22"/>
  <c r="L408" i="22"/>
  <c r="K408" i="22"/>
  <c r="O407" i="22"/>
  <c r="N407" i="22"/>
  <c r="M407" i="22"/>
  <c r="L407" i="22"/>
  <c r="K407" i="22"/>
  <c r="O406" i="22"/>
  <c r="N406" i="22"/>
  <c r="M406" i="22"/>
  <c r="L406" i="22"/>
  <c r="K406" i="22"/>
  <c r="O405" i="22"/>
  <c r="N405" i="22"/>
  <c r="M405" i="22"/>
  <c r="L405" i="22"/>
  <c r="K405" i="22"/>
  <c r="O404" i="22"/>
  <c r="N404" i="22"/>
  <c r="M404" i="22"/>
  <c r="L404" i="22"/>
  <c r="K404" i="22"/>
  <c r="O403" i="22"/>
  <c r="N403" i="22"/>
  <c r="M403" i="22"/>
  <c r="L403" i="22"/>
  <c r="K403" i="22"/>
  <c r="O402" i="22"/>
  <c r="N402" i="22"/>
  <c r="M402" i="22"/>
  <c r="L402" i="22"/>
  <c r="K402" i="22"/>
  <c r="O401" i="22"/>
  <c r="N401" i="22"/>
  <c r="M401" i="22"/>
  <c r="L401" i="22"/>
  <c r="K401" i="22"/>
  <c r="O400" i="22"/>
  <c r="N400" i="22"/>
  <c r="M400" i="22"/>
  <c r="L400" i="22"/>
  <c r="K400" i="22"/>
  <c r="O399" i="22"/>
  <c r="N399" i="22"/>
  <c r="M399" i="22"/>
  <c r="L399" i="22"/>
  <c r="K399" i="22"/>
  <c r="O398" i="22"/>
  <c r="N398" i="22"/>
  <c r="M398" i="22"/>
  <c r="L398" i="22"/>
  <c r="K398" i="22"/>
  <c r="O397" i="22"/>
  <c r="N397" i="22"/>
  <c r="M397" i="22"/>
  <c r="L397" i="22"/>
  <c r="K397" i="22"/>
  <c r="O396" i="22"/>
  <c r="N396" i="22"/>
  <c r="M396" i="22"/>
  <c r="L396" i="22"/>
  <c r="K396" i="22"/>
  <c r="O395" i="22"/>
  <c r="N395" i="22"/>
  <c r="M395" i="22"/>
  <c r="L395" i="22"/>
  <c r="K395" i="22"/>
  <c r="O394" i="22"/>
  <c r="N394" i="22"/>
  <c r="M394" i="22"/>
  <c r="L394" i="22"/>
  <c r="K394" i="22"/>
  <c r="O393" i="22"/>
  <c r="N393" i="22"/>
  <c r="M393" i="22"/>
  <c r="L393" i="22"/>
  <c r="K393" i="22"/>
  <c r="O392" i="22"/>
  <c r="N392" i="22"/>
  <c r="M392" i="22"/>
  <c r="L392" i="22"/>
  <c r="K392" i="22"/>
  <c r="O391" i="22"/>
  <c r="N391" i="22"/>
  <c r="M391" i="22"/>
  <c r="L391" i="22"/>
  <c r="K391" i="22"/>
  <c r="O390" i="22"/>
  <c r="N390" i="22"/>
  <c r="M390" i="22"/>
  <c r="L390" i="22"/>
  <c r="K390" i="22"/>
  <c r="O389" i="22"/>
  <c r="N389" i="22"/>
  <c r="M389" i="22"/>
  <c r="L389" i="22"/>
  <c r="K389" i="22"/>
  <c r="O388" i="22"/>
  <c r="N388" i="22"/>
  <c r="M388" i="22"/>
  <c r="L388" i="22"/>
  <c r="K388" i="22"/>
  <c r="O387" i="22"/>
  <c r="N387" i="22"/>
  <c r="M387" i="22"/>
  <c r="L387" i="22"/>
  <c r="K387" i="22"/>
  <c r="O386" i="22"/>
  <c r="N386" i="22"/>
  <c r="M386" i="22"/>
  <c r="L386" i="22"/>
  <c r="K386" i="22"/>
  <c r="O385" i="22"/>
  <c r="N385" i="22"/>
  <c r="M385" i="22"/>
  <c r="L385" i="22"/>
  <c r="K385" i="22"/>
  <c r="O384" i="22"/>
  <c r="N384" i="22"/>
  <c r="M384" i="22"/>
  <c r="L384" i="22"/>
  <c r="K384" i="22"/>
  <c r="O383" i="22"/>
  <c r="N383" i="22"/>
  <c r="M383" i="22"/>
  <c r="L383" i="22"/>
  <c r="K383" i="22"/>
  <c r="O382" i="22"/>
  <c r="N382" i="22"/>
  <c r="M382" i="22"/>
  <c r="L382" i="22"/>
  <c r="K382" i="22"/>
  <c r="O381" i="22"/>
  <c r="N381" i="22"/>
  <c r="M381" i="22"/>
  <c r="L381" i="22"/>
  <c r="K381" i="22"/>
  <c r="O380" i="22"/>
  <c r="N380" i="22"/>
  <c r="M380" i="22"/>
  <c r="L380" i="22"/>
  <c r="K380" i="22"/>
  <c r="O379" i="22"/>
  <c r="N379" i="22"/>
  <c r="M379" i="22"/>
  <c r="L379" i="22"/>
  <c r="K379" i="22"/>
  <c r="O378" i="22"/>
  <c r="N378" i="22"/>
  <c r="M378" i="22"/>
  <c r="L378" i="22"/>
  <c r="K378" i="22"/>
  <c r="O377" i="22"/>
  <c r="N377" i="22"/>
  <c r="M377" i="22"/>
  <c r="L377" i="22"/>
  <c r="K377" i="22"/>
  <c r="O376" i="22"/>
  <c r="N376" i="22"/>
  <c r="M376" i="22"/>
  <c r="L376" i="22"/>
  <c r="K376" i="22"/>
  <c r="O375" i="22"/>
  <c r="N375" i="22"/>
  <c r="M375" i="22"/>
  <c r="L375" i="22"/>
  <c r="K375" i="22"/>
  <c r="O374" i="22"/>
  <c r="N374" i="22"/>
  <c r="M374" i="22"/>
  <c r="L374" i="22"/>
  <c r="K374" i="22"/>
  <c r="O373" i="22"/>
  <c r="N373" i="22"/>
  <c r="M373" i="22"/>
  <c r="L373" i="22"/>
  <c r="K373" i="22"/>
  <c r="O372" i="22"/>
  <c r="N372" i="22"/>
  <c r="M372" i="22"/>
  <c r="L372" i="22"/>
  <c r="K372" i="22"/>
  <c r="O371" i="22"/>
  <c r="N371" i="22"/>
  <c r="M371" i="22"/>
  <c r="L371" i="22"/>
  <c r="K371" i="22"/>
  <c r="O370" i="22"/>
  <c r="N370" i="22"/>
  <c r="M370" i="22"/>
  <c r="L370" i="22"/>
  <c r="K370" i="22"/>
  <c r="O369" i="22"/>
  <c r="N369" i="22"/>
  <c r="M369" i="22"/>
  <c r="L369" i="22"/>
  <c r="K369" i="22"/>
  <c r="O368" i="22"/>
  <c r="N368" i="22"/>
  <c r="M368" i="22"/>
  <c r="L368" i="22"/>
  <c r="K368" i="22"/>
  <c r="O367" i="22"/>
  <c r="N367" i="22"/>
  <c r="M367" i="22"/>
  <c r="L367" i="22"/>
  <c r="K367" i="22"/>
  <c r="O366" i="22"/>
  <c r="N366" i="22"/>
  <c r="M366" i="22"/>
  <c r="L366" i="22"/>
  <c r="K366" i="22"/>
  <c r="O365" i="22"/>
  <c r="N365" i="22"/>
  <c r="M365" i="22"/>
  <c r="L365" i="22"/>
  <c r="K365" i="22"/>
  <c r="O364" i="22"/>
  <c r="N364" i="22"/>
  <c r="M364" i="22"/>
  <c r="L364" i="22"/>
  <c r="K364" i="22"/>
  <c r="O363" i="22"/>
  <c r="N363" i="22"/>
  <c r="M363" i="22"/>
  <c r="L363" i="22"/>
  <c r="K363" i="22"/>
  <c r="O362" i="22"/>
  <c r="N362" i="22"/>
  <c r="M362" i="22"/>
  <c r="L362" i="22"/>
  <c r="K362" i="22"/>
  <c r="O361" i="22"/>
  <c r="N361" i="22"/>
  <c r="M361" i="22"/>
  <c r="L361" i="22"/>
  <c r="K361" i="22"/>
  <c r="O360" i="22"/>
  <c r="N360" i="22"/>
  <c r="M360" i="22"/>
  <c r="L360" i="22"/>
  <c r="K360" i="22"/>
  <c r="O359" i="22"/>
  <c r="N359" i="22"/>
  <c r="M359" i="22"/>
  <c r="L359" i="22"/>
  <c r="K359" i="22"/>
  <c r="O358" i="22"/>
  <c r="N358" i="22"/>
  <c r="M358" i="22"/>
  <c r="L358" i="22"/>
  <c r="K358" i="22"/>
  <c r="O357" i="22"/>
  <c r="N357" i="22"/>
  <c r="M357" i="22"/>
  <c r="L357" i="22"/>
  <c r="K357" i="22"/>
  <c r="O356" i="22"/>
  <c r="N356" i="22"/>
  <c r="M356" i="22"/>
  <c r="L356" i="22"/>
  <c r="K356" i="22"/>
  <c r="O355" i="22"/>
  <c r="N355" i="22"/>
  <c r="M355" i="22"/>
  <c r="L355" i="22"/>
  <c r="K355" i="22"/>
  <c r="O354" i="22"/>
  <c r="N354" i="22"/>
  <c r="M354" i="22"/>
  <c r="L354" i="22"/>
  <c r="K354" i="22"/>
  <c r="O353" i="22"/>
  <c r="N353" i="22"/>
  <c r="M353" i="22"/>
  <c r="L353" i="22"/>
  <c r="K353" i="22"/>
  <c r="O352" i="22"/>
  <c r="N352" i="22"/>
  <c r="M352" i="22"/>
  <c r="L352" i="22"/>
  <c r="K352" i="22"/>
  <c r="O351" i="22"/>
  <c r="N351" i="22"/>
  <c r="M351" i="22"/>
  <c r="L351" i="22"/>
  <c r="K351" i="22"/>
  <c r="O350" i="22"/>
  <c r="N350" i="22"/>
  <c r="M350" i="22"/>
  <c r="L350" i="22"/>
  <c r="K350" i="22"/>
  <c r="O349" i="22"/>
  <c r="N349" i="22"/>
  <c r="M349" i="22"/>
  <c r="L349" i="22"/>
  <c r="K349" i="22"/>
  <c r="O348" i="22"/>
  <c r="N348" i="22"/>
  <c r="M348" i="22"/>
  <c r="L348" i="22"/>
  <c r="K348" i="22"/>
  <c r="O347" i="22"/>
  <c r="N347" i="22"/>
  <c r="M347" i="22"/>
  <c r="L347" i="22"/>
  <c r="K347" i="22"/>
  <c r="O346" i="22"/>
  <c r="N346" i="22"/>
  <c r="M346" i="22"/>
  <c r="L346" i="22"/>
  <c r="K346" i="22"/>
  <c r="O345" i="22"/>
  <c r="N345" i="22"/>
  <c r="M345" i="22"/>
  <c r="L345" i="22"/>
  <c r="K345" i="22"/>
  <c r="O344" i="22"/>
  <c r="N344" i="22"/>
  <c r="M344" i="22"/>
  <c r="L344" i="22"/>
  <c r="K344" i="22"/>
  <c r="O343" i="22"/>
  <c r="N343" i="22"/>
  <c r="M343" i="22"/>
  <c r="L343" i="22"/>
  <c r="K343" i="22"/>
  <c r="O342" i="22"/>
  <c r="N342" i="22"/>
  <c r="M342" i="22"/>
  <c r="L342" i="22"/>
  <c r="K342" i="22"/>
  <c r="O341" i="22"/>
  <c r="N341" i="22"/>
  <c r="M341" i="22"/>
  <c r="L341" i="22"/>
  <c r="K341" i="22"/>
  <c r="O340" i="22"/>
  <c r="N340" i="22"/>
  <c r="M340" i="22"/>
  <c r="L340" i="22"/>
  <c r="K340" i="22"/>
  <c r="O339" i="22"/>
  <c r="N339" i="22"/>
  <c r="M339" i="22"/>
  <c r="L339" i="22"/>
  <c r="K339" i="22"/>
  <c r="O338" i="22"/>
  <c r="N338" i="22"/>
  <c r="M338" i="22"/>
  <c r="L338" i="22"/>
  <c r="K338" i="22"/>
  <c r="O337" i="22"/>
  <c r="N337" i="22"/>
  <c r="M337" i="22"/>
  <c r="L337" i="22"/>
  <c r="K337" i="22"/>
  <c r="O336" i="22"/>
  <c r="N336" i="22"/>
  <c r="M336" i="22"/>
  <c r="L336" i="22"/>
  <c r="K336" i="22"/>
  <c r="O335" i="22"/>
  <c r="N335" i="22"/>
  <c r="M335" i="22"/>
  <c r="L335" i="22"/>
  <c r="K335" i="22"/>
  <c r="O334" i="22"/>
  <c r="N334" i="22"/>
  <c r="M334" i="22"/>
  <c r="L334" i="22"/>
  <c r="K334" i="22"/>
  <c r="O333" i="22"/>
  <c r="N333" i="22"/>
  <c r="M333" i="22"/>
  <c r="L333" i="22"/>
  <c r="K333" i="22"/>
  <c r="O332" i="22"/>
  <c r="N332" i="22"/>
  <c r="M332" i="22"/>
  <c r="L332" i="22"/>
  <c r="K332" i="22"/>
  <c r="O331" i="22"/>
  <c r="N331" i="22"/>
  <c r="M331" i="22"/>
  <c r="L331" i="22"/>
  <c r="K331" i="22"/>
  <c r="O330" i="22"/>
  <c r="N330" i="22"/>
  <c r="M330" i="22"/>
  <c r="L330" i="22"/>
  <c r="K330" i="22"/>
  <c r="O329" i="22"/>
  <c r="N329" i="22"/>
  <c r="M329" i="22"/>
  <c r="L329" i="22"/>
  <c r="K329" i="22"/>
  <c r="O328" i="22"/>
  <c r="N328" i="22"/>
  <c r="M328" i="22"/>
  <c r="L328" i="22"/>
  <c r="K328" i="22"/>
  <c r="O327" i="22"/>
  <c r="N327" i="22"/>
  <c r="M327" i="22"/>
  <c r="L327" i="22"/>
  <c r="K327" i="22"/>
  <c r="O326" i="22"/>
  <c r="N326" i="22"/>
  <c r="M326" i="22"/>
  <c r="L326" i="22"/>
  <c r="K326" i="22"/>
  <c r="O325" i="22"/>
  <c r="N325" i="22"/>
  <c r="M325" i="22"/>
  <c r="L325" i="22"/>
  <c r="K325" i="22"/>
  <c r="O324" i="22"/>
  <c r="N324" i="22"/>
  <c r="M324" i="22"/>
  <c r="L324" i="22"/>
  <c r="K324" i="22"/>
  <c r="O323" i="22"/>
  <c r="N323" i="22"/>
  <c r="M323" i="22"/>
  <c r="L323" i="22"/>
  <c r="K323" i="22"/>
  <c r="O322" i="22"/>
  <c r="N322" i="22"/>
  <c r="M322" i="22"/>
  <c r="L322" i="22"/>
  <c r="K322" i="22"/>
  <c r="O321" i="22"/>
  <c r="N321" i="22"/>
  <c r="M321" i="22"/>
  <c r="L321" i="22"/>
  <c r="K321" i="22"/>
  <c r="O320" i="22"/>
  <c r="N320" i="22"/>
  <c r="M320" i="22"/>
  <c r="L320" i="22"/>
  <c r="K320" i="22"/>
  <c r="O319" i="22"/>
  <c r="N319" i="22"/>
  <c r="M319" i="22"/>
  <c r="L319" i="22"/>
  <c r="K319" i="22"/>
  <c r="O318" i="22"/>
  <c r="N318" i="22"/>
  <c r="M318" i="22"/>
  <c r="L318" i="22"/>
  <c r="K318" i="22"/>
  <c r="O317" i="22"/>
  <c r="N317" i="22"/>
  <c r="M317" i="22"/>
  <c r="L317" i="22"/>
  <c r="K317" i="22"/>
  <c r="O316" i="22"/>
  <c r="N316" i="22"/>
  <c r="M316" i="22"/>
  <c r="L316" i="22"/>
  <c r="K316" i="22"/>
  <c r="O315" i="22"/>
  <c r="N315" i="22"/>
  <c r="M315" i="22"/>
  <c r="L315" i="22"/>
  <c r="K315" i="22"/>
  <c r="O314" i="22"/>
  <c r="N314" i="22"/>
  <c r="M314" i="22"/>
  <c r="L314" i="22"/>
  <c r="K314" i="22"/>
  <c r="O313" i="22"/>
  <c r="N313" i="22"/>
  <c r="M313" i="22"/>
  <c r="L313" i="22"/>
  <c r="K313" i="22"/>
  <c r="O312" i="22"/>
  <c r="N312" i="22"/>
  <c r="M312" i="22"/>
  <c r="L312" i="22"/>
  <c r="K312" i="22"/>
  <c r="O311" i="22"/>
  <c r="N311" i="22"/>
  <c r="M311" i="22"/>
  <c r="L311" i="22"/>
  <c r="K311" i="22"/>
  <c r="O310" i="22"/>
  <c r="N310" i="22"/>
  <c r="M310" i="22"/>
  <c r="L310" i="22"/>
  <c r="K310" i="22"/>
  <c r="O309" i="22"/>
  <c r="N309" i="22"/>
  <c r="M309" i="22"/>
  <c r="L309" i="22"/>
  <c r="K309" i="22"/>
  <c r="O308" i="22"/>
  <c r="N308" i="22"/>
  <c r="M308" i="22"/>
  <c r="L308" i="22"/>
  <c r="K308" i="22"/>
  <c r="O307" i="22"/>
  <c r="N307" i="22"/>
  <c r="M307" i="22"/>
  <c r="L307" i="22"/>
  <c r="K307" i="22"/>
  <c r="O306" i="22"/>
  <c r="N306" i="22"/>
  <c r="M306" i="22"/>
  <c r="L306" i="22"/>
  <c r="K306" i="22"/>
  <c r="O305" i="22"/>
  <c r="N305" i="22"/>
  <c r="M305" i="22"/>
  <c r="L305" i="22"/>
  <c r="K305" i="22"/>
  <c r="O304" i="22"/>
  <c r="N304" i="22"/>
  <c r="M304" i="22"/>
  <c r="L304" i="22"/>
  <c r="K304" i="22"/>
  <c r="O303" i="22"/>
  <c r="N303" i="22"/>
  <c r="M303" i="22"/>
  <c r="L303" i="22"/>
  <c r="K303" i="22"/>
  <c r="O302" i="22"/>
  <c r="N302" i="22"/>
  <c r="M302" i="22"/>
  <c r="L302" i="22"/>
  <c r="K302" i="22"/>
  <c r="O301" i="22"/>
  <c r="N301" i="22"/>
  <c r="M301" i="22"/>
  <c r="L301" i="22"/>
  <c r="K301" i="22"/>
  <c r="O300" i="22"/>
  <c r="N300" i="22"/>
  <c r="M300" i="22"/>
  <c r="L300" i="22"/>
  <c r="K300" i="22"/>
  <c r="O299" i="22"/>
  <c r="N299" i="22"/>
  <c r="M299" i="22"/>
  <c r="L299" i="22"/>
  <c r="K299" i="22"/>
  <c r="O298" i="22"/>
  <c r="N298" i="22"/>
  <c r="M298" i="22"/>
  <c r="L298" i="22"/>
  <c r="K298" i="22"/>
  <c r="O297" i="22"/>
  <c r="N297" i="22"/>
  <c r="M297" i="22"/>
  <c r="L297" i="22"/>
  <c r="K297" i="22"/>
  <c r="O296" i="22"/>
  <c r="N296" i="22"/>
  <c r="M296" i="22"/>
  <c r="L296" i="22"/>
  <c r="K296" i="22"/>
  <c r="O295" i="22"/>
  <c r="N295" i="22"/>
  <c r="M295" i="22"/>
  <c r="L295" i="22"/>
  <c r="K295" i="22"/>
  <c r="O294" i="22"/>
  <c r="N294" i="22"/>
  <c r="M294" i="22"/>
  <c r="L294" i="22"/>
  <c r="K294" i="22"/>
  <c r="O293" i="22"/>
  <c r="N293" i="22"/>
  <c r="M293" i="22"/>
  <c r="L293" i="22"/>
  <c r="K293" i="22"/>
  <c r="O292" i="22"/>
  <c r="N292" i="22"/>
  <c r="M292" i="22"/>
  <c r="L292" i="22"/>
  <c r="K292" i="22"/>
  <c r="O291" i="22"/>
  <c r="N291" i="22"/>
  <c r="M291" i="22"/>
  <c r="L291" i="22"/>
  <c r="K291" i="22"/>
  <c r="O290" i="22"/>
  <c r="N290" i="22"/>
  <c r="M290" i="22"/>
  <c r="L290" i="22"/>
  <c r="K290" i="22"/>
  <c r="O289" i="22"/>
  <c r="N289" i="22"/>
  <c r="M289" i="22"/>
  <c r="L289" i="22"/>
  <c r="K289" i="22"/>
  <c r="O288" i="22"/>
  <c r="N288" i="22"/>
  <c r="M288" i="22"/>
  <c r="L288" i="22"/>
  <c r="K288" i="22"/>
  <c r="O287" i="22"/>
  <c r="N287" i="22"/>
  <c r="M287" i="22"/>
  <c r="L287" i="22"/>
  <c r="K287" i="22"/>
  <c r="O286" i="22"/>
  <c r="N286" i="22"/>
  <c r="M286" i="22"/>
  <c r="L286" i="22"/>
  <c r="K286" i="22"/>
  <c r="O285" i="22"/>
  <c r="N285" i="22"/>
  <c r="M285" i="22"/>
  <c r="L285" i="22"/>
  <c r="K285" i="22"/>
  <c r="O284" i="22"/>
  <c r="N284" i="22"/>
  <c r="M284" i="22"/>
  <c r="L284" i="22"/>
  <c r="K284" i="22"/>
  <c r="O283" i="22"/>
  <c r="N283" i="22"/>
  <c r="M283" i="22"/>
  <c r="L283" i="22"/>
  <c r="K283" i="22"/>
  <c r="O282" i="22"/>
  <c r="N282" i="22"/>
  <c r="M282" i="22"/>
  <c r="L282" i="22"/>
  <c r="K282" i="22"/>
  <c r="O281" i="22"/>
  <c r="N281" i="22"/>
  <c r="M281" i="22"/>
  <c r="L281" i="22"/>
  <c r="K281" i="22"/>
  <c r="O280" i="22"/>
  <c r="N280" i="22"/>
  <c r="M280" i="22"/>
  <c r="L280" i="22"/>
  <c r="K280" i="22"/>
  <c r="O279" i="22"/>
  <c r="N279" i="22"/>
  <c r="M279" i="22"/>
  <c r="L279" i="22"/>
  <c r="K279" i="22"/>
  <c r="O278" i="22"/>
  <c r="N278" i="22"/>
  <c r="M278" i="22"/>
  <c r="L278" i="22"/>
  <c r="K278" i="22"/>
  <c r="O277" i="22"/>
  <c r="N277" i="22"/>
  <c r="M277" i="22"/>
  <c r="L277" i="22"/>
  <c r="K277" i="22"/>
  <c r="O276" i="22"/>
  <c r="N276" i="22"/>
  <c r="M276" i="22"/>
  <c r="L276" i="22"/>
  <c r="K276" i="22"/>
  <c r="O275" i="22"/>
  <c r="N275" i="22"/>
  <c r="M275" i="22"/>
  <c r="L275" i="22"/>
  <c r="K275" i="22"/>
  <c r="O274" i="22"/>
  <c r="N274" i="22"/>
  <c r="M274" i="22"/>
  <c r="L274" i="22"/>
  <c r="K274" i="22"/>
  <c r="O273" i="22"/>
  <c r="N273" i="22"/>
  <c r="M273" i="22"/>
  <c r="L273" i="22"/>
  <c r="K273" i="22"/>
  <c r="O272" i="22"/>
  <c r="N272" i="22"/>
  <c r="M272" i="22"/>
  <c r="L272" i="22"/>
  <c r="K272" i="22"/>
  <c r="O271" i="22"/>
  <c r="N271" i="22"/>
  <c r="M271" i="22"/>
  <c r="L271" i="22"/>
  <c r="K271" i="22"/>
  <c r="O270" i="22"/>
  <c r="N270" i="22"/>
  <c r="M270" i="22"/>
  <c r="L270" i="22"/>
  <c r="K270" i="22"/>
  <c r="O269" i="22"/>
  <c r="N269" i="22"/>
  <c r="M269" i="22"/>
  <c r="L269" i="22"/>
  <c r="K269" i="22"/>
  <c r="O268" i="22"/>
  <c r="N268" i="22"/>
  <c r="M268" i="22"/>
  <c r="L268" i="22"/>
  <c r="K268" i="22"/>
  <c r="O267" i="22"/>
  <c r="N267" i="22"/>
  <c r="M267" i="22"/>
  <c r="L267" i="22"/>
  <c r="K267" i="22"/>
  <c r="O266" i="22"/>
  <c r="N266" i="22"/>
  <c r="M266" i="22"/>
  <c r="L266" i="22"/>
  <c r="K266" i="22"/>
  <c r="O265" i="22"/>
  <c r="N265" i="22"/>
  <c r="M265" i="22"/>
  <c r="L265" i="22"/>
  <c r="K265" i="22"/>
  <c r="O264" i="22"/>
  <c r="N264" i="22"/>
  <c r="M264" i="22"/>
  <c r="L264" i="22"/>
  <c r="K264" i="22"/>
  <c r="O263" i="22"/>
  <c r="N263" i="22"/>
  <c r="M263" i="22"/>
  <c r="L263" i="22"/>
  <c r="K263" i="22"/>
  <c r="O262" i="22"/>
  <c r="N262" i="22"/>
  <c r="M262" i="22"/>
  <c r="L262" i="22"/>
  <c r="K262" i="22"/>
  <c r="O261" i="22"/>
  <c r="N261" i="22"/>
  <c r="M261" i="22"/>
  <c r="L261" i="22"/>
  <c r="K261" i="22"/>
  <c r="O260" i="22"/>
  <c r="N260" i="22"/>
  <c r="M260" i="22"/>
  <c r="L260" i="22"/>
  <c r="K260" i="22"/>
  <c r="E85" i="9" s="1"/>
  <c r="O259" i="22"/>
  <c r="N259" i="22"/>
  <c r="M259" i="22"/>
  <c r="L259" i="22"/>
  <c r="K259" i="22"/>
  <c r="O258" i="22"/>
  <c r="N258" i="22"/>
  <c r="M258" i="22"/>
  <c r="L258" i="22"/>
  <c r="K258" i="22"/>
  <c r="O257" i="22"/>
  <c r="N257" i="22"/>
  <c r="M257" i="22"/>
  <c r="L257" i="22"/>
  <c r="K257" i="22"/>
  <c r="O256" i="22"/>
  <c r="N256" i="22"/>
  <c r="M256" i="22"/>
  <c r="L256" i="22"/>
  <c r="K256" i="22"/>
  <c r="O255" i="22"/>
  <c r="N255" i="22"/>
  <c r="M255" i="22"/>
  <c r="L255" i="22"/>
  <c r="K255" i="22"/>
  <c r="O254" i="22"/>
  <c r="N254" i="22"/>
  <c r="M254" i="22"/>
  <c r="L254" i="22"/>
  <c r="K254" i="22"/>
  <c r="O253" i="22"/>
  <c r="N253" i="22"/>
  <c r="M253" i="22"/>
  <c r="L253" i="22"/>
  <c r="K253" i="22"/>
  <c r="O252" i="22"/>
  <c r="N252" i="22"/>
  <c r="M252" i="22"/>
  <c r="L252" i="22"/>
  <c r="K252" i="22"/>
  <c r="O251" i="22"/>
  <c r="N251" i="22"/>
  <c r="M251" i="22"/>
  <c r="L251" i="22"/>
  <c r="K251" i="22"/>
  <c r="O250" i="22"/>
  <c r="N250" i="22"/>
  <c r="M250" i="22"/>
  <c r="L250" i="22"/>
  <c r="K250" i="22"/>
  <c r="O249" i="22"/>
  <c r="N249" i="22"/>
  <c r="M249" i="22"/>
  <c r="L249" i="22"/>
  <c r="K249" i="22"/>
  <c r="O248" i="22"/>
  <c r="N248" i="22"/>
  <c r="M248" i="22"/>
  <c r="L248" i="22"/>
  <c r="K248" i="22"/>
  <c r="O247" i="22"/>
  <c r="N247" i="22"/>
  <c r="M247" i="22"/>
  <c r="L247" i="22"/>
  <c r="K247" i="22"/>
  <c r="O246" i="22"/>
  <c r="N246" i="22"/>
  <c r="M246" i="22"/>
  <c r="L246" i="22"/>
  <c r="K246" i="22"/>
  <c r="E50" i="9" s="1"/>
  <c r="O245" i="22"/>
  <c r="N245" i="22"/>
  <c r="M245" i="22"/>
  <c r="L245" i="22"/>
  <c r="K245" i="22"/>
  <c r="O244" i="22"/>
  <c r="N244" i="22"/>
  <c r="M244" i="22"/>
  <c r="L244" i="22"/>
  <c r="K244" i="22"/>
  <c r="O243" i="22"/>
  <c r="N243" i="22"/>
  <c r="M243" i="22"/>
  <c r="L243" i="22"/>
  <c r="K243" i="22"/>
  <c r="O242" i="22"/>
  <c r="N242" i="22"/>
  <c r="M242" i="22"/>
  <c r="L242" i="22"/>
  <c r="K242" i="22"/>
  <c r="O241" i="22"/>
  <c r="N241" i="22"/>
  <c r="M241" i="22"/>
  <c r="L241" i="22"/>
  <c r="K241" i="22"/>
  <c r="O240" i="22"/>
  <c r="N240" i="22"/>
  <c r="M240" i="22"/>
  <c r="L240" i="22"/>
  <c r="K240" i="22"/>
  <c r="O239" i="22"/>
  <c r="N239" i="22"/>
  <c r="M239" i="22"/>
  <c r="L239" i="22"/>
  <c r="K239" i="22"/>
  <c r="O238" i="22"/>
  <c r="N238" i="22"/>
  <c r="M238" i="22"/>
  <c r="L238" i="22"/>
  <c r="K238" i="22"/>
  <c r="O237" i="22"/>
  <c r="N237" i="22"/>
  <c r="M237" i="22"/>
  <c r="L237" i="22"/>
  <c r="K237" i="22"/>
  <c r="O236" i="22"/>
  <c r="N236" i="22"/>
  <c r="M236" i="22"/>
  <c r="L236" i="22"/>
  <c r="K236" i="22"/>
  <c r="O235" i="22"/>
  <c r="N235" i="22"/>
  <c r="M235" i="22"/>
  <c r="L235" i="22"/>
  <c r="K235" i="22"/>
  <c r="O234" i="22"/>
  <c r="N234" i="22"/>
  <c r="M234" i="22"/>
  <c r="L234" i="22"/>
  <c r="K234" i="22"/>
  <c r="O233" i="22"/>
  <c r="N233" i="22"/>
  <c r="M233" i="22"/>
  <c r="L233" i="22"/>
  <c r="K233" i="22"/>
  <c r="O232" i="22"/>
  <c r="N232" i="22"/>
  <c r="M232" i="22"/>
  <c r="L232" i="22"/>
  <c r="K232" i="22"/>
  <c r="O231" i="22"/>
  <c r="N231" i="22"/>
  <c r="M231" i="22"/>
  <c r="L231" i="22"/>
  <c r="K231" i="22"/>
  <c r="O230" i="22"/>
  <c r="N230" i="22"/>
  <c r="M230" i="22"/>
  <c r="L230" i="22"/>
  <c r="K230" i="22"/>
  <c r="O229" i="22"/>
  <c r="N229" i="22"/>
  <c r="M229" i="22"/>
  <c r="L229" i="22"/>
  <c r="K229" i="22"/>
  <c r="O228" i="22"/>
  <c r="N228" i="22"/>
  <c r="M228" i="22"/>
  <c r="L228" i="22"/>
  <c r="K228" i="22"/>
  <c r="O227" i="22"/>
  <c r="N227" i="22"/>
  <c r="M227" i="22"/>
  <c r="L227" i="22"/>
  <c r="K227" i="22"/>
  <c r="O226" i="22"/>
  <c r="N226" i="22"/>
  <c r="M226" i="22"/>
  <c r="L226" i="22"/>
  <c r="K226" i="22"/>
  <c r="O225" i="22"/>
  <c r="N225" i="22"/>
  <c r="M225" i="22"/>
  <c r="L225" i="22"/>
  <c r="K225" i="22"/>
  <c r="O224" i="22"/>
  <c r="N224" i="22"/>
  <c r="M224" i="22"/>
  <c r="L224" i="22"/>
  <c r="K224" i="22"/>
  <c r="O223" i="22"/>
  <c r="N223" i="22"/>
  <c r="M223" i="22"/>
  <c r="L223" i="22"/>
  <c r="K223" i="22"/>
  <c r="O222" i="22"/>
  <c r="N222" i="22"/>
  <c r="M222" i="22"/>
  <c r="L222" i="22"/>
  <c r="K222" i="22"/>
  <c r="O221" i="22"/>
  <c r="N221" i="22"/>
  <c r="M221" i="22"/>
  <c r="L221" i="22"/>
  <c r="K221" i="22"/>
  <c r="O220" i="22"/>
  <c r="N220" i="22"/>
  <c r="M220" i="22"/>
  <c r="L220" i="22"/>
  <c r="K220" i="22"/>
  <c r="O219" i="22"/>
  <c r="N219" i="22"/>
  <c r="M219" i="22"/>
  <c r="L219" i="22"/>
  <c r="K219" i="22"/>
  <c r="O218" i="22"/>
  <c r="N218" i="22"/>
  <c r="M218" i="22"/>
  <c r="L218" i="22"/>
  <c r="K218" i="22"/>
  <c r="O217" i="22"/>
  <c r="N217" i="22"/>
  <c r="M217" i="22"/>
  <c r="L217" i="22"/>
  <c r="K217" i="22"/>
  <c r="O216" i="22"/>
  <c r="N216" i="22"/>
  <c r="M216" i="22"/>
  <c r="L216" i="22"/>
  <c r="K216" i="22"/>
  <c r="O215" i="22"/>
  <c r="N215" i="22"/>
  <c r="M215" i="22"/>
  <c r="L215" i="22"/>
  <c r="K215" i="22"/>
  <c r="O214" i="22"/>
  <c r="N214" i="22"/>
  <c r="M214" i="22"/>
  <c r="L214" i="22"/>
  <c r="K214" i="22"/>
  <c r="O213" i="22"/>
  <c r="N213" i="22"/>
  <c r="M213" i="22"/>
  <c r="L213" i="22"/>
  <c r="K213" i="22"/>
  <c r="O212" i="22"/>
  <c r="N212" i="22"/>
  <c r="M212" i="22"/>
  <c r="L212" i="22"/>
  <c r="K212" i="22"/>
  <c r="O211" i="22"/>
  <c r="N211" i="22"/>
  <c r="M211" i="22"/>
  <c r="L211" i="22"/>
  <c r="K211" i="22"/>
  <c r="O210" i="22"/>
  <c r="N210" i="22"/>
  <c r="M210" i="22"/>
  <c r="L210" i="22"/>
  <c r="K210" i="22"/>
  <c r="O209" i="22"/>
  <c r="N209" i="22"/>
  <c r="M209" i="22"/>
  <c r="L209" i="22"/>
  <c r="K209" i="22"/>
  <c r="O208" i="22"/>
  <c r="N208" i="22"/>
  <c r="M208" i="22"/>
  <c r="L208" i="22"/>
  <c r="K208" i="22"/>
  <c r="O207" i="22"/>
  <c r="N207" i="22"/>
  <c r="M207" i="22"/>
  <c r="L207" i="22"/>
  <c r="K207" i="22"/>
  <c r="O206" i="22"/>
  <c r="N206" i="22"/>
  <c r="M206" i="22"/>
  <c r="L206" i="22"/>
  <c r="K206" i="22"/>
  <c r="O205" i="22"/>
  <c r="N205" i="22"/>
  <c r="M205" i="22"/>
  <c r="L205" i="22"/>
  <c r="K205" i="22"/>
  <c r="O204" i="22"/>
  <c r="N204" i="22"/>
  <c r="M204" i="22"/>
  <c r="L204" i="22"/>
  <c r="K204" i="22"/>
  <c r="O203" i="22"/>
  <c r="N203" i="22"/>
  <c r="M203" i="22"/>
  <c r="L203" i="22"/>
  <c r="K203" i="22"/>
  <c r="O202" i="22"/>
  <c r="N202" i="22"/>
  <c r="M202" i="22"/>
  <c r="L202" i="22"/>
  <c r="K202" i="22"/>
  <c r="O201" i="22"/>
  <c r="N201" i="22"/>
  <c r="M201" i="22"/>
  <c r="L201" i="22"/>
  <c r="K201" i="22"/>
  <c r="O200" i="22"/>
  <c r="N200" i="22"/>
  <c r="M200" i="22"/>
  <c r="L200" i="22"/>
  <c r="K200" i="22"/>
  <c r="O199" i="22"/>
  <c r="N199" i="22"/>
  <c r="M199" i="22"/>
  <c r="L199" i="22"/>
  <c r="K199" i="22"/>
  <c r="O198" i="22"/>
  <c r="N198" i="22"/>
  <c r="M198" i="22"/>
  <c r="L198" i="22"/>
  <c r="K198" i="22"/>
  <c r="O197" i="22"/>
  <c r="N197" i="22"/>
  <c r="M197" i="22"/>
  <c r="L197" i="22"/>
  <c r="K197" i="22"/>
  <c r="O196" i="22"/>
  <c r="N196" i="22"/>
  <c r="M196" i="22"/>
  <c r="L196" i="22"/>
  <c r="K196" i="22"/>
  <c r="O195" i="22"/>
  <c r="N195" i="22"/>
  <c r="M195" i="22"/>
  <c r="L195" i="22"/>
  <c r="K195" i="22"/>
  <c r="O194" i="22"/>
  <c r="N194" i="22"/>
  <c r="M194" i="22"/>
  <c r="L194" i="22"/>
  <c r="K194" i="22"/>
  <c r="O193" i="22"/>
  <c r="N193" i="22"/>
  <c r="M193" i="22"/>
  <c r="L193" i="22"/>
  <c r="K193" i="22"/>
  <c r="O192" i="22"/>
  <c r="N192" i="22"/>
  <c r="M192" i="22"/>
  <c r="L192" i="22"/>
  <c r="K192" i="22"/>
  <c r="O191" i="22"/>
  <c r="N191" i="22"/>
  <c r="M191" i="22"/>
  <c r="L191" i="22"/>
  <c r="K191" i="22"/>
  <c r="O190" i="22"/>
  <c r="N190" i="22"/>
  <c r="M190" i="22"/>
  <c r="L190" i="22"/>
  <c r="K190" i="22"/>
  <c r="O189" i="22"/>
  <c r="N189" i="22"/>
  <c r="M189" i="22"/>
  <c r="L189" i="22"/>
  <c r="K189" i="22"/>
  <c r="O188" i="22"/>
  <c r="N188" i="22"/>
  <c r="M188" i="22"/>
  <c r="L188" i="22"/>
  <c r="K188" i="22"/>
  <c r="O187" i="22"/>
  <c r="N187" i="22"/>
  <c r="M187" i="22"/>
  <c r="L187" i="22"/>
  <c r="K187" i="22"/>
  <c r="O186" i="22"/>
  <c r="N186" i="22"/>
  <c r="M186" i="22"/>
  <c r="L186" i="22"/>
  <c r="K186" i="22"/>
  <c r="O185" i="22"/>
  <c r="N185" i="22"/>
  <c r="M185" i="22"/>
  <c r="L185" i="22"/>
  <c r="K185" i="22"/>
  <c r="O184" i="22"/>
  <c r="N184" i="22"/>
  <c r="M184" i="22"/>
  <c r="L184" i="22"/>
  <c r="K184" i="22"/>
  <c r="O183" i="22"/>
  <c r="N183" i="22"/>
  <c r="M183" i="22"/>
  <c r="L183" i="22"/>
  <c r="K183" i="22"/>
  <c r="O182" i="22"/>
  <c r="N182" i="22"/>
  <c r="M182" i="22"/>
  <c r="L182" i="22"/>
  <c r="K182" i="22"/>
  <c r="O181" i="22"/>
  <c r="N181" i="22"/>
  <c r="M181" i="22"/>
  <c r="L181" i="22"/>
  <c r="K181" i="22"/>
  <c r="O180" i="22"/>
  <c r="N180" i="22"/>
  <c r="M180" i="22"/>
  <c r="L180" i="22"/>
  <c r="K180" i="22"/>
  <c r="O179" i="22"/>
  <c r="N179" i="22"/>
  <c r="M179" i="22"/>
  <c r="L179" i="22"/>
  <c r="K179" i="22"/>
  <c r="O178" i="22"/>
  <c r="N178" i="22"/>
  <c r="M178" i="22"/>
  <c r="L178" i="22"/>
  <c r="K178" i="22"/>
  <c r="O177" i="22"/>
  <c r="N177" i="22"/>
  <c r="M177" i="22"/>
  <c r="L177" i="22"/>
  <c r="K177" i="22"/>
  <c r="O176" i="22"/>
  <c r="N176" i="22"/>
  <c r="M176" i="22"/>
  <c r="L176" i="22"/>
  <c r="K176" i="22"/>
  <c r="O175" i="22"/>
  <c r="N175" i="22"/>
  <c r="M175" i="22"/>
  <c r="L175" i="22"/>
  <c r="K175" i="22"/>
  <c r="O174" i="22"/>
  <c r="N174" i="22"/>
  <c r="M174" i="22"/>
  <c r="L174" i="22"/>
  <c r="K174" i="22"/>
  <c r="O173" i="22"/>
  <c r="N173" i="22"/>
  <c r="M173" i="22"/>
  <c r="L173" i="22"/>
  <c r="K173" i="22"/>
  <c r="O172" i="22"/>
  <c r="N172" i="22"/>
  <c r="M172" i="22"/>
  <c r="L172" i="22"/>
  <c r="K172" i="22"/>
  <c r="O171" i="22"/>
  <c r="N171" i="22"/>
  <c r="M171" i="22"/>
  <c r="L171" i="22"/>
  <c r="K171" i="22"/>
  <c r="O170" i="22"/>
  <c r="N170" i="22"/>
  <c r="M170" i="22"/>
  <c r="L170" i="22"/>
  <c r="K170" i="22"/>
  <c r="O169" i="22"/>
  <c r="N169" i="22"/>
  <c r="M169" i="22"/>
  <c r="L169" i="22"/>
  <c r="K169" i="22"/>
  <c r="O168" i="22"/>
  <c r="N168" i="22"/>
  <c r="M168" i="22"/>
  <c r="L168" i="22"/>
  <c r="K168" i="22"/>
  <c r="O167" i="22"/>
  <c r="N167" i="22"/>
  <c r="M167" i="22"/>
  <c r="L167" i="22"/>
  <c r="K167" i="22"/>
  <c r="O166" i="22"/>
  <c r="N166" i="22"/>
  <c r="M166" i="22"/>
  <c r="L166" i="22"/>
  <c r="K166" i="22"/>
  <c r="O165" i="22"/>
  <c r="N165" i="22"/>
  <c r="M165" i="22"/>
  <c r="L165" i="22"/>
  <c r="K165" i="22"/>
  <c r="O164" i="22"/>
  <c r="N164" i="22"/>
  <c r="M164" i="22"/>
  <c r="L164" i="22"/>
  <c r="K164" i="22"/>
  <c r="O163" i="22"/>
  <c r="N163" i="22"/>
  <c r="M163" i="22"/>
  <c r="L163" i="22"/>
  <c r="K163" i="22"/>
  <c r="O162" i="22"/>
  <c r="N162" i="22"/>
  <c r="M162" i="22"/>
  <c r="L162" i="22"/>
  <c r="K162" i="22"/>
  <c r="O161" i="22"/>
  <c r="N161" i="22"/>
  <c r="M161" i="22"/>
  <c r="L161" i="22"/>
  <c r="K161" i="22"/>
  <c r="O160" i="22"/>
  <c r="N160" i="22"/>
  <c r="M160" i="22"/>
  <c r="L160" i="22"/>
  <c r="K160" i="22"/>
  <c r="O159" i="22"/>
  <c r="N159" i="22"/>
  <c r="M159" i="22"/>
  <c r="L159" i="22"/>
  <c r="K159" i="22"/>
  <c r="O158" i="22"/>
  <c r="N158" i="22"/>
  <c r="M158" i="22"/>
  <c r="L158" i="22"/>
  <c r="K158" i="22"/>
  <c r="O157" i="22"/>
  <c r="N157" i="22"/>
  <c r="M157" i="22"/>
  <c r="L157" i="22"/>
  <c r="K157" i="22"/>
  <c r="O156" i="22"/>
  <c r="N156" i="22"/>
  <c r="M156" i="22"/>
  <c r="L156" i="22"/>
  <c r="K156" i="22"/>
  <c r="O155" i="22"/>
  <c r="N155" i="22"/>
  <c r="M155" i="22"/>
  <c r="L155" i="22"/>
  <c r="K155" i="22"/>
  <c r="O154" i="22"/>
  <c r="N154" i="22"/>
  <c r="M154" i="22"/>
  <c r="L154" i="22"/>
  <c r="K154" i="22"/>
  <c r="O153" i="22"/>
  <c r="N153" i="22"/>
  <c r="M153" i="22"/>
  <c r="L153" i="22"/>
  <c r="K153" i="22"/>
  <c r="O152" i="22"/>
  <c r="N152" i="22"/>
  <c r="M152" i="22"/>
  <c r="L152" i="22"/>
  <c r="K152" i="22"/>
  <c r="O151" i="22"/>
  <c r="N151" i="22"/>
  <c r="M151" i="22"/>
  <c r="L151" i="22"/>
  <c r="K151" i="22"/>
  <c r="O150" i="22"/>
  <c r="N150" i="22"/>
  <c r="M150" i="22"/>
  <c r="L150" i="22"/>
  <c r="K150" i="22"/>
  <c r="O149" i="22"/>
  <c r="N149" i="22"/>
  <c r="M149" i="22"/>
  <c r="L149" i="22"/>
  <c r="K149" i="22"/>
  <c r="O148" i="22"/>
  <c r="N148" i="22"/>
  <c r="M148" i="22"/>
  <c r="L148" i="22"/>
  <c r="K148" i="22"/>
  <c r="O147" i="22"/>
  <c r="N147" i="22"/>
  <c r="M147" i="22"/>
  <c r="L147" i="22"/>
  <c r="K147" i="22"/>
  <c r="O146" i="22"/>
  <c r="N146" i="22"/>
  <c r="M146" i="22"/>
  <c r="L146" i="22"/>
  <c r="K146" i="22"/>
  <c r="O145" i="22"/>
  <c r="N145" i="22"/>
  <c r="M145" i="22"/>
  <c r="L145" i="22"/>
  <c r="K145" i="22"/>
  <c r="O144" i="22"/>
  <c r="N144" i="22"/>
  <c r="M144" i="22"/>
  <c r="L144" i="22"/>
  <c r="K144" i="22"/>
  <c r="O143" i="22"/>
  <c r="N143" i="22"/>
  <c r="M143" i="22"/>
  <c r="L143" i="22"/>
  <c r="K143" i="22"/>
  <c r="O142" i="22"/>
  <c r="N142" i="22"/>
  <c r="M142" i="22"/>
  <c r="L142" i="22"/>
  <c r="K142" i="22"/>
  <c r="O141" i="22"/>
  <c r="N141" i="22"/>
  <c r="M141" i="22"/>
  <c r="L141" i="22"/>
  <c r="K141" i="22"/>
  <c r="O140" i="22"/>
  <c r="N140" i="22"/>
  <c r="M140" i="22"/>
  <c r="L140" i="22"/>
  <c r="K140" i="22"/>
  <c r="O139" i="22"/>
  <c r="N139" i="22"/>
  <c r="M139" i="22"/>
  <c r="L139" i="22"/>
  <c r="K139" i="22"/>
  <c r="O138" i="22"/>
  <c r="N138" i="22"/>
  <c r="M138" i="22"/>
  <c r="L138" i="22"/>
  <c r="K138" i="22"/>
  <c r="O137" i="22"/>
  <c r="N137" i="22"/>
  <c r="M137" i="22"/>
  <c r="L137" i="22"/>
  <c r="K137" i="22"/>
  <c r="O136" i="22"/>
  <c r="N136" i="22"/>
  <c r="M136" i="22"/>
  <c r="L136" i="22"/>
  <c r="K136" i="22"/>
  <c r="O135" i="22"/>
  <c r="N135" i="22"/>
  <c r="M135" i="22"/>
  <c r="L135" i="22"/>
  <c r="K135" i="22"/>
  <c r="O134" i="22"/>
  <c r="N134" i="22"/>
  <c r="M134" i="22"/>
  <c r="L134" i="22"/>
  <c r="K134" i="22"/>
  <c r="O133" i="22"/>
  <c r="N133" i="22"/>
  <c r="M133" i="22"/>
  <c r="L133" i="22"/>
  <c r="K133" i="22"/>
  <c r="O132" i="22"/>
  <c r="N132" i="22"/>
  <c r="M132" i="22"/>
  <c r="L132" i="22"/>
  <c r="K132" i="22"/>
  <c r="O131" i="22"/>
  <c r="N131" i="22"/>
  <c r="M131" i="22"/>
  <c r="L131" i="22"/>
  <c r="K131" i="22"/>
  <c r="O130" i="22"/>
  <c r="N130" i="22"/>
  <c r="M130" i="22"/>
  <c r="L130" i="22"/>
  <c r="K130" i="22"/>
  <c r="O129" i="22"/>
  <c r="N129" i="22"/>
  <c r="M129" i="22"/>
  <c r="L129" i="22"/>
  <c r="K129" i="22"/>
  <c r="O128" i="22"/>
  <c r="N128" i="22"/>
  <c r="M128" i="22"/>
  <c r="L128" i="22"/>
  <c r="K128" i="22"/>
  <c r="O127" i="22"/>
  <c r="N127" i="22"/>
  <c r="M127" i="22"/>
  <c r="L127" i="22"/>
  <c r="K127" i="22"/>
  <c r="O126" i="22"/>
  <c r="N126" i="22"/>
  <c r="M126" i="22"/>
  <c r="L126" i="22"/>
  <c r="K126" i="22"/>
  <c r="O125" i="22"/>
  <c r="N125" i="22"/>
  <c r="M125" i="22"/>
  <c r="L125" i="22"/>
  <c r="K125" i="22"/>
  <c r="O124" i="22"/>
  <c r="N124" i="22"/>
  <c r="M124" i="22"/>
  <c r="L124" i="22"/>
  <c r="K124" i="22"/>
  <c r="O123" i="22"/>
  <c r="N123" i="22"/>
  <c r="M123" i="22"/>
  <c r="L123" i="22"/>
  <c r="K123" i="22"/>
  <c r="O122" i="22"/>
  <c r="N122" i="22"/>
  <c r="M122" i="22"/>
  <c r="L122" i="22"/>
  <c r="K122" i="22"/>
  <c r="O121" i="22"/>
  <c r="N121" i="22"/>
  <c r="M121" i="22"/>
  <c r="L121" i="22"/>
  <c r="K121" i="22"/>
  <c r="O120" i="22"/>
  <c r="N120" i="22"/>
  <c r="M120" i="22"/>
  <c r="L120" i="22"/>
  <c r="K120" i="22"/>
  <c r="O119" i="22"/>
  <c r="N119" i="22"/>
  <c r="M119" i="22"/>
  <c r="L119" i="22"/>
  <c r="K119" i="22"/>
  <c r="O118" i="22"/>
  <c r="N118" i="22"/>
  <c r="M118" i="22"/>
  <c r="L118" i="22"/>
  <c r="K118" i="22"/>
  <c r="O117" i="22"/>
  <c r="N117" i="22"/>
  <c r="M117" i="22"/>
  <c r="L117" i="22"/>
  <c r="K117" i="22"/>
  <c r="O116" i="22"/>
  <c r="N116" i="22"/>
  <c r="M116" i="22"/>
  <c r="L116" i="22"/>
  <c r="K116" i="22"/>
  <c r="O115" i="22"/>
  <c r="N115" i="22"/>
  <c r="M115" i="22"/>
  <c r="L115" i="22"/>
  <c r="K115" i="22"/>
  <c r="O114" i="22"/>
  <c r="N114" i="22"/>
  <c r="M114" i="22"/>
  <c r="L114" i="22"/>
  <c r="K114" i="22"/>
  <c r="O113" i="22"/>
  <c r="N113" i="22"/>
  <c r="M113" i="22"/>
  <c r="L113" i="22"/>
  <c r="K113" i="22"/>
  <c r="O112" i="22"/>
  <c r="N112" i="22"/>
  <c r="M112" i="22"/>
  <c r="L112" i="22"/>
  <c r="K112" i="22"/>
  <c r="O111" i="22"/>
  <c r="N111" i="22"/>
  <c r="M111" i="22"/>
  <c r="L111" i="22"/>
  <c r="K111" i="22"/>
  <c r="O110" i="22"/>
  <c r="N110" i="22"/>
  <c r="M110" i="22"/>
  <c r="L110" i="22"/>
  <c r="K110" i="22"/>
  <c r="O109" i="22"/>
  <c r="N109" i="22"/>
  <c r="M109" i="22"/>
  <c r="L109" i="22"/>
  <c r="K109" i="22"/>
  <c r="O108" i="22"/>
  <c r="N108" i="22"/>
  <c r="M108" i="22"/>
  <c r="L108" i="22"/>
  <c r="K108" i="22"/>
  <c r="O107" i="22"/>
  <c r="N107" i="22"/>
  <c r="M107" i="22"/>
  <c r="L107" i="22"/>
  <c r="K107" i="22"/>
  <c r="O106" i="22"/>
  <c r="N106" i="22"/>
  <c r="M106" i="22"/>
  <c r="L106" i="22"/>
  <c r="K106" i="22"/>
  <c r="O105" i="22"/>
  <c r="N105" i="22"/>
  <c r="M105" i="22"/>
  <c r="L105" i="22"/>
  <c r="K105" i="22"/>
  <c r="O104" i="22"/>
  <c r="N104" i="22"/>
  <c r="M104" i="22"/>
  <c r="L104" i="22"/>
  <c r="K104" i="22"/>
  <c r="O103" i="22"/>
  <c r="N103" i="22"/>
  <c r="M103" i="22"/>
  <c r="L103" i="22"/>
  <c r="K103" i="22"/>
  <c r="O102" i="22"/>
  <c r="N102" i="22"/>
  <c r="M102" i="22"/>
  <c r="L102" i="22"/>
  <c r="K102" i="22"/>
  <c r="O101" i="22"/>
  <c r="N101" i="22"/>
  <c r="M101" i="22"/>
  <c r="L101" i="22"/>
  <c r="K101" i="22"/>
  <c r="O100" i="22"/>
  <c r="N100" i="22"/>
  <c r="M100" i="22"/>
  <c r="L100" i="22"/>
  <c r="K100" i="22"/>
  <c r="O99" i="22"/>
  <c r="N99" i="22"/>
  <c r="M99" i="22"/>
  <c r="L99" i="22"/>
  <c r="K99" i="22"/>
  <c r="O98" i="22"/>
  <c r="N98" i="22"/>
  <c r="M98" i="22"/>
  <c r="L98" i="22"/>
  <c r="K98" i="22"/>
  <c r="O97" i="22"/>
  <c r="N97" i="22"/>
  <c r="M97" i="22"/>
  <c r="L97" i="22"/>
  <c r="K97" i="22"/>
  <c r="O96" i="22"/>
  <c r="N96" i="22"/>
  <c r="M96" i="22"/>
  <c r="L96" i="22"/>
  <c r="K96" i="22"/>
  <c r="O95" i="22"/>
  <c r="N95" i="22"/>
  <c r="M95" i="22"/>
  <c r="L95" i="22"/>
  <c r="K95" i="22"/>
  <c r="O94" i="22"/>
  <c r="N94" i="22"/>
  <c r="M94" i="22"/>
  <c r="L94" i="22"/>
  <c r="K94" i="22"/>
  <c r="O93" i="22"/>
  <c r="N93" i="22"/>
  <c r="M93" i="22"/>
  <c r="L93" i="22"/>
  <c r="K93" i="22"/>
  <c r="O92" i="22"/>
  <c r="N92" i="22"/>
  <c r="M92" i="22"/>
  <c r="L92" i="22"/>
  <c r="K92" i="22"/>
  <c r="O91" i="22"/>
  <c r="N91" i="22"/>
  <c r="M91" i="22"/>
  <c r="L91" i="22"/>
  <c r="K91" i="22"/>
  <c r="O90" i="22"/>
  <c r="N90" i="22"/>
  <c r="M90" i="22"/>
  <c r="L90" i="22"/>
  <c r="K90" i="22"/>
  <c r="O89" i="22"/>
  <c r="N89" i="22"/>
  <c r="M89" i="22"/>
  <c r="L89" i="22"/>
  <c r="K89" i="22"/>
  <c r="O88" i="22"/>
  <c r="N88" i="22"/>
  <c r="M88" i="22"/>
  <c r="L88" i="22"/>
  <c r="K88" i="22"/>
  <c r="O87" i="22"/>
  <c r="N87" i="22"/>
  <c r="M87" i="22"/>
  <c r="L87" i="22"/>
  <c r="K87" i="22"/>
  <c r="O86" i="22"/>
  <c r="N86" i="22"/>
  <c r="M86" i="22"/>
  <c r="L86" i="22"/>
  <c r="K86" i="22"/>
  <c r="O85" i="22"/>
  <c r="N85" i="22"/>
  <c r="M85" i="22"/>
  <c r="L85" i="22"/>
  <c r="K85" i="22"/>
  <c r="O84" i="22"/>
  <c r="N84" i="22"/>
  <c r="M84" i="22"/>
  <c r="L84" i="22"/>
  <c r="K84" i="22"/>
  <c r="O83" i="22"/>
  <c r="N83" i="22"/>
  <c r="M83" i="22"/>
  <c r="L83" i="22"/>
  <c r="K83" i="22"/>
  <c r="O82" i="22"/>
  <c r="N82" i="22"/>
  <c r="M82" i="22"/>
  <c r="L82" i="22"/>
  <c r="K82" i="22"/>
  <c r="O81" i="22"/>
  <c r="N81" i="22"/>
  <c r="M81" i="22"/>
  <c r="L81" i="22"/>
  <c r="K81" i="22"/>
  <c r="O80" i="22"/>
  <c r="N80" i="22"/>
  <c r="M80" i="22"/>
  <c r="L80" i="22"/>
  <c r="K80" i="22"/>
  <c r="O79" i="22"/>
  <c r="N79" i="22"/>
  <c r="M79" i="22"/>
  <c r="L79" i="22"/>
  <c r="K79" i="22"/>
  <c r="O78" i="22"/>
  <c r="N78" i="22"/>
  <c r="M78" i="22"/>
  <c r="L78" i="22"/>
  <c r="K78" i="22"/>
  <c r="O77" i="22"/>
  <c r="N77" i="22"/>
  <c r="M77" i="22"/>
  <c r="L77" i="22"/>
  <c r="K77" i="22"/>
  <c r="O76" i="22"/>
  <c r="N76" i="22"/>
  <c r="M76" i="22"/>
  <c r="L76" i="22"/>
  <c r="K76" i="22"/>
  <c r="O75" i="22"/>
  <c r="N75" i="22"/>
  <c r="M75" i="22"/>
  <c r="L75" i="22"/>
  <c r="K75" i="22"/>
  <c r="O74" i="22"/>
  <c r="N74" i="22"/>
  <c r="M74" i="22"/>
  <c r="L74" i="22"/>
  <c r="K74" i="22"/>
  <c r="O73" i="22"/>
  <c r="N73" i="22"/>
  <c r="M73" i="22"/>
  <c r="L73" i="22"/>
  <c r="K73" i="22"/>
  <c r="O72" i="22"/>
  <c r="N72" i="22"/>
  <c r="M72" i="22"/>
  <c r="L72" i="22"/>
  <c r="K72" i="22"/>
  <c r="O71" i="22"/>
  <c r="N71" i="22"/>
  <c r="M71" i="22"/>
  <c r="L71" i="22"/>
  <c r="K71" i="22"/>
  <c r="O70" i="22"/>
  <c r="N70" i="22"/>
  <c r="M70" i="22"/>
  <c r="L70" i="22"/>
  <c r="K70" i="22"/>
  <c r="O69" i="22"/>
  <c r="N69" i="22"/>
  <c r="M69" i="22"/>
  <c r="L69" i="22"/>
  <c r="K69" i="22"/>
  <c r="O68" i="22"/>
  <c r="N68" i="22"/>
  <c r="M68" i="22"/>
  <c r="L68" i="22"/>
  <c r="K68" i="22"/>
  <c r="O67" i="22"/>
  <c r="N67" i="22"/>
  <c r="M67" i="22"/>
  <c r="L67" i="22"/>
  <c r="K67" i="22"/>
  <c r="O66" i="22"/>
  <c r="N66" i="22"/>
  <c r="M66" i="22"/>
  <c r="L66" i="22"/>
  <c r="K66" i="22"/>
  <c r="O65" i="22"/>
  <c r="N65" i="22"/>
  <c r="M65" i="22"/>
  <c r="L65" i="22"/>
  <c r="K65" i="22"/>
  <c r="O64" i="22"/>
  <c r="N64" i="22"/>
  <c r="M64" i="22"/>
  <c r="L64" i="22"/>
  <c r="K64" i="22"/>
  <c r="O63" i="22"/>
  <c r="N63" i="22"/>
  <c r="M63" i="22"/>
  <c r="L63" i="22"/>
  <c r="K63" i="22"/>
  <c r="O62" i="22"/>
  <c r="N62" i="22"/>
  <c r="M62" i="22"/>
  <c r="L62" i="22"/>
  <c r="K62" i="22"/>
  <c r="O61" i="22"/>
  <c r="N61" i="22"/>
  <c r="M61" i="22"/>
  <c r="L61" i="22"/>
  <c r="K61" i="22"/>
  <c r="O60" i="22"/>
  <c r="N60" i="22"/>
  <c r="M60" i="22"/>
  <c r="L60" i="22"/>
  <c r="K60" i="22"/>
  <c r="O59" i="22"/>
  <c r="N59" i="22"/>
  <c r="M59" i="22"/>
  <c r="L59" i="22"/>
  <c r="K59" i="22"/>
  <c r="O58" i="22"/>
  <c r="N58" i="22"/>
  <c r="M58" i="22"/>
  <c r="L58" i="22"/>
  <c r="K58" i="22"/>
  <c r="O57" i="22"/>
  <c r="N57" i="22"/>
  <c r="M57" i="22"/>
  <c r="L57" i="22"/>
  <c r="K57" i="22"/>
  <c r="O56" i="22"/>
  <c r="N56" i="22"/>
  <c r="M56" i="22"/>
  <c r="L56" i="22"/>
  <c r="K56" i="22"/>
  <c r="O55" i="22"/>
  <c r="N55" i="22"/>
  <c r="M55" i="22"/>
  <c r="L55" i="22"/>
  <c r="K55" i="22"/>
  <c r="O54" i="22"/>
  <c r="N54" i="22"/>
  <c r="M54" i="22"/>
  <c r="L54" i="22"/>
  <c r="K54" i="22"/>
  <c r="C199" i="9" s="1"/>
  <c r="O53" i="22"/>
  <c r="N53" i="22"/>
  <c r="M53" i="22"/>
  <c r="L53" i="22"/>
  <c r="K53" i="22"/>
  <c r="O52" i="22"/>
  <c r="N52" i="22"/>
  <c r="M52" i="22"/>
  <c r="L52" i="22"/>
  <c r="K52" i="22"/>
  <c r="O51" i="22"/>
  <c r="N51" i="22"/>
  <c r="M51" i="22"/>
  <c r="L51" i="22"/>
  <c r="K51" i="22"/>
  <c r="O50" i="22"/>
  <c r="N50" i="22"/>
  <c r="M50" i="22"/>
  <c r="L50" i="22"/>
  <c r="K50" i="22"/>
  <c r="O49" i="22"/>
  <c r="N49" i="22"/>
  <c r="M49" i="22"/>
  <c r="L49" i="22"/>
  <c r="K49" i="22"/>
  <c r="O48" i="22"/>
  <c r="N48" i="22"/>
  <c r="M48" i="22"/>
  <c r="L48" i="22"/>
  <c r="K48" i="22"/>
  <c r="O47" i="22"/>
  <c r="N47" i="22"/>
  <c r="M47" i="22"/>
  <c r="L47" i="22"/>
  <c r="K47" i="22"/>
  <c r="O46" i="22"/>
  <c r="N46" i="22"/>
  <c r="M46" i="22"/>
  <c r="L46" i="22"/>
  <c r="K46" i="22"/>
  <c r="O45" i="22"/>
  <c r="N45" i="22"/>
  <c r="M45" i="22"/>
  <c r="L45" i="22"/>
  <c r="K45" i="22"/>
  <c r="O44" i="22"/>
  <c r="N44" i="22"/>
  <c r="M44" i="22"/>
  <c r="L44" i="22"/>
  <c r="K44" i="22"/>
  <c r="O43" i="22"/>
  <c r="N43" i="22"/>
  <c r="M43" i="22"/>
  <c r="L43" i="22"/>
  <c r="K43" i="22"/>
  <c r="O42" i="22"/>
  <c r="N42" i="22"/>
  <c r="M42" i="22"/>
  <c r="L42" i="22"/>
  <c r="K42" i="22"/>
  <c r="O41" i="22"/>
  <c r="N41" i="22"/>
  <c r="M41" i="22"/>
  <c r="L41" i="22"/>
  <c r="K41" i="22"/>
  <c r="O40" i="22"/>
  <c r="N40" i="22"/>
  <c r="M40" i="22"/>
  <c r="L40" i="22"/>
  <c r="K40" i="22"/>
  <c r="O39" i="22"/>
  <c r="N39" i="22"/>
  <c r="M39" i="22"/>
  <c r="L39" i="22"/>
  <c r="K39" i="22"/>
  <c r="O38" i="22"/>
  <c r="N38" i="22"/>
  <c r="M38" i="22"/>
  <c r="L38" i="22"/>
  <c r="K38" i="22"/>
  <c r="O37" i="22"/>
  <c r="N37" i="22"/>
  <c r="M37" i="22"/>
  <c r="L37" i="22"/>
  <c r="K37" i="22"/>
  <c r="O36" i="22"/>
  <c r="N36" i="22"/>
  <c r="M36" i="22"/>
  <c r="L36" i="22"/>
  <c r="K36" i="22"/>
  <c r="O35" i="22"/>
  <c r="N35" i="22"/>
  <c r="M35" i="22"/>
  <c r="L35" i="22"/>
  <c r="K35" i="22"/>
  <c r="O34" i="22"/>
  <c r="N34" i="22"/>
  <c r="M34" i="22"/>
  <c r="L34" i="22"/>
  <c r="K34" i="22"/>
  <c r="O33" i="22"/>
  <c r="N33" i="22"/>
  <c r="M33" i="22"/>
  <c r="L33" i="22"/>
  <c r="K33" i="22"/>
  <c r="O32" i="22"/>
  <c r="N32" i="22"/>
  <c r="M32" i="22"/>
  <c r="L32" i="22"/>
  <c r="K32" i="22"/>
  <c r="O31" i="22"/>
  <c r="N31" i="22"/>
  <c r="M31" i="22"/>
  <c r="L31" i="22"/>
  <c r="K31" i="22"/>
  <c r="O30" i="22"/>
  <c r="N30" i="22"/>
  <c r="M30" i="22"/>
  <c r="L30" i="22"/>
  <c r="K30" i="22"/>
  <c r="O29" i="22"/>
  <c r="N29" i="22"/>
  <c r="M29" i="22"/>
  <c r="L29" i="22"/>
  <c r="K29" i="22"/>
  <c r="O28" i="22"/>
  <c r="N28" i="22"/>
  <c r="M28" i="22"/>
  <c r="L28" i="22"/>
  <c r="K28" i="22"/>
  <c r="O27" i="22"/>
  <c r="N27" i="22"/>
  <c r="M27" i="22"/>
  <c r="L27" i="22"/>
  <c r="K27" i="22"/>
  <c r="O26" i="22"/>
  <c r="N26" i="22"/>
  <c r="M26" i="22"/>
  <c r="L26" i="22"/>
  <c r="K26" i="22"/>
  <c r="O25" i="22"/>
  <c r="N25" i="22"/>
  <c r="M25" i="22"/>
  <c r="L25" i="22"/>
  <c r="K25" i="22"/>
  <c r="O24" i="22"/>
  <c r="N24" i="22"/>
  <c r="M24" i="22"/>
  <c r="L24" i="22"/>
  <c r="K24" i="22"/>
  <c r="O23" i="22"/>
  <c r="N23" i="22"/>
  <c r="M23" i="22"/>
  <c r="L23" i="22"/>
  <c r="K23" i="22"/>
  <c r="O22" i="22"/>
  <c r="N22" i="22"/>
  <c r="M22" i="22"/>
  <c r="L22" i="22"/>
  <c r="K22" i="22"/>
  <c r="O21" i="22"/>
  <c r="N21" i="22"/>
  <c r="M21" i="22"/>
  <c r="L21" i="22"/>
  <c r="K21" i="22"/>
  <c r="O20" i="22"/>
  <c r="N20" i="22"/>
  <c r="M20" i="22"/>
  <c r="L20" i="22"/>
  <c r="K20" i="22"/>
  <c r="O19" i="22"/>
  <c r="N19" i="22"/>
  <c r="M19" i="22"/>
  <c r="L19" i="22"/>
  <c r="K19" i="22"/>
  <c r="O18" i="22"/>
  <c r="N18" i="22"/>
  <c r="M18" i="22"/>
  <c r="L18" i="22"/>
  <c r="K18" i="22"/>
  <c r="O17" i="22"/>
  <c r="N17" i="22"/>
  <c r="M17" i="22"/>
  <c r="L17" i="22"/>
  <c r="K17" i="22"/>
  <c r="O16" i="22"/>
  <c r="N16" i="22"/>
  <c r="M16" i="22"/>
  <c r="L16" i="22"/>
  <c r="K16" i="22"/>
  <c r="O15" i="22"/>
  <c r="N15" i="22"/>
  <c r="M15" i="22"/>
  <c r="L15" i="22"/>
  <c r="K15" i="22"/>
  <c r="O14" i="22"/>
  <c r="N14" i="22"/>
  <c r="M14" i="22"/>
  <c r="L14" i="22"/>
  <c r="K14" i="22"/>
  <c r="O13" i="22"/>
  <c r="N13" i="22"/>
  <c r="M13" i="22"/>
  <c r="L13" i="22"/>
  <c r="K13" i="22"/>
  <c r="O12" i="22"/>
  <c r="N12" i="22"/>
  <c r="M12" i="22"/>
  <c r="L12" i="22"/>
  <c r="K12" i="22"/>
  <c r="O11" i="22"/>
  <c r="N11" i="22"/>
  <c r="M11" i="22"/>
  <c r="L11" i="22"/>
  <c r="K11" i="22"/>
  <c r="O10" i="22"/>
  <c r="N10" i="22"/>
  <c r="M10" i="22"/>
  <c r="L10" i="22"/>
  <c r="K10" i="22"/>
  <c r="O9" i="22"/>
  <c r="N9" i="22"/>
  <c r="M9" i="22"/>
  <c r="L9" i="22"/>
  <c r="K9" i="22"/>
  <c r="O8" i="22"/>
  <c r="N8" i="22"/>
  <c r="M8" i="22"/>
  <c r="L8" i="22"/>
  <c r="K8" i="22"/>
  <c r="O7" i="22"/>
  <c r="N7" i="22"/>
  <c r="M7" i="22"/>
  <c r="L7" i="22"/>
  <c r="K7" i="22"/>
  <c r="O6" i="22"/>
  <c r="N6" i="22"/>
  <c r="M6" i="22"/>
  <c r="L6" i="22"/>
  <c r="K6" i="22"/>
  <c r="O5" i="22"/>
  <c r="N5" i="22"/>
  <c r="M5" i="22"/>
  <c r="L5" i="22"/>
  <c r="K5" i="22"/>
  <c r="O4" i="22"/>
  <c r="N4" i="22"/>
  <c r="M4" i="22"/>
  <c r="L4" i="22"/>
  <c r="K4" i="22"/>
  <c r="O3" i="22"/>
  <c r="N3" i="22"/>
  <c r="M3" i="22"/>
  <c r="L3" i="22"/>
  <c r="K3" i="22"/>
  <c r="O2" i="22"/>
  <c r="M2" i="22"/>
  <c r="L2" i="22"/>
  <c r="K2" i="22"/>
  <c r="E26" i="9" s="1"/>
  <c r="F3" i="9" a="1"/>
  <c r="F3" i="9" s="1"/>
  <c r="F26" i="9" a="1"/>
  <c r="F26" i="9" s="1"/>
  <c r="F23" i="9" a="1"/>
  <c r="F23" i="9" s="1"/>
  <c r="F29" i="9" a="1"/>
  <c r="F29" i="9" s="1"/>
  <c r="F30" i="9" a="1"/>
  <c r="F30" i="9" s="1"/>
  <c r="F31" i="9" a="1"/>
  <c r="F31" i="9" s="1"/>
  <c r="F14" i="9" a="1"/>
  <c r="F14" i="9" s="1"/>
  <c r="F24" i="9" a="1"/>
  <c r="F24" i="9" s="1"/>
  <c r="F15" i="9" a="1"/>
  <c r="F15" i="9" s="1"/>
  <c r="F4" i="9" a="1"/>
  <c r="F4" i="9" s="1"/>
  <c r="F16" i="9" a="1"/>
  <c r="F16" i="9" s="1"/>
  <c r="F27" i="9" a="1"/>
  <c r="F27" i="9" s="1"/>
  <c r="F12" i="9" a="1"/>
  <c r="F12" i="9" s="1"/>
  <c r="F13" i="9" a="1"/>
  <c r="F13" i="9" s="1"/>
  <c r="F17" i="9" a="1"/>
  <c r="F17" i="9" s="1"/>
  <c r="F5" i="9" a="1"/>
  <c r="F5" i="9" s="1"/>
  <c r="F6" i="9" a="1"/>
  <c r="F6" i="9" s="1"/>
  <c r="F7" i="9" a="1"/>
  <c r="F7" i="9" s="1"/>
  <c r="F8" i="9" a="1"/>
  <c r="F8" i="9" s="1"/>
  <c r="F9" i="9" a="1"/>
  <c r="F9" i="9" s="1"/>
  <c r="F18" i="9" a="1"/>
  <c r="F18" i="9" s="1"/>
  <c r="F19" i="9" a="1"/>
  <c r="F19" i="9" s="1"/>
  <c r="F25" i="9" a="1"/>
  <c r="F25" i="9" s="1"/>
  <c r="F32" i="9" a="1"/>
  <c r="F32" i="9" s="1"/>
  <c r="F33" i="9" a="1"/>
  <c r="F33" i="9" s="1"/>
  <c r="F20" i="9" a="1"/>
  <c r="F20" i="9" s="1"/>
  <c r="F10" i="9" a="1"/>
  <c r="F10" i="9" s="1"/>
  <c r="F21" i="9" a="1"/>
  <c r="F21" i="9" s="1"/>
  <c r="F11" i="9" a="1"/>
  <c r="F11" i="9" s="1"/>
  <c r="F22" i="9" a="1"/>
  <c r="F22" i="9" s="1"/>
  <c r="D3" i="9" a="1"/>
  <c r="D3" i="9" s="1"/>
  <c r="D26" i="9" a="1"/>
  <c r="D26" i="9" s="1"/>
  <c r="D29" i="9" a="1"/>
  <c r="D29" i="9" s="1"/>
  <c r="D30" i="9" a="1"/>
  <c r="D30" i="9" s="1"/>
  <c r="D31" i="9" a="1"/>
  <c r="D31" i="9" s="1"/>
  <c r="D14" i="9" a="1"/>
  <c r="D14" i="9" s="1"/>
  <c r="D15" i="9" a="1"/>
  <c r="D15" i="9" s="1"/>
  <c r="D4" i="9" a="1"/>
  <c r="D4" i="9" s="1"/>
  <c r="D16" i="9" a="1"/>
  <c r="D16" i="9" s="1"/>
  <c r="D27" i="9" a="1"/>
  <c r="D27" i="9" s="1"/>
  <c r="D12" i="9" a="1"/>
  <c r="D12" i="9" s="1"/>
  <c r="D13" i="9" a="1"/>
  <c r="D13" i="9" s="1"/>
  <c r="D17" i="9" a="1"/>
  <c r="D17" i="9" s="1"/>
  <c r="D5" i="9" a="1"/>
  <c r="D5" i="9" s="1"/>
  <c r="D6" i="9" a="1"/>
  <c r="D6" i="9" s="1"/>
  <c r="D7" i="9" a="1"/>
  <c r="D7" i="9" s="1"/>
  <c r="D8" i="9" a="1"/>
  <c r="D8" i="9" s="1"/>
  <c r="D9" i="9" a="1"/>
  <c r="D9" i="9" s="1"/>
  <c r="D18" i="9" a="1"/>
  <c r="D18" i="9" s="1"/>
  <c r="D19" i="9" a="1"/>
  <c r="D19" i="9" s="1"/>
  <c r="D32" i="9" a="1"/>
  <c r="D32" i="9" s="1"/>
  <c r="D33" i="9" a="1"/>
  <c r="D33" i="9" s="1"/>
  <c r="D20" i="9" a="1"/>
  <c r="D20" i="9" s="1"/>
  <c r="D10" i="9" a="1"/>
  <c r="D10" i="9" s="1"/>
  <c r="D21" i="9" a="1"/>
  <c r="D21" i="9" s="1"/>
  <c r="D11" i="9" a="1"/>
  <c r="D11" i="9" s="1"/>
  <c r="D22" i="9" a="1"/>
  <c r="D22" i="9" s="1"/>
  <c r="C126" i="9" l="1"/>
  <c r="E197" i="9"/>
  <c r="E84" i="9"/>
  <c r="C194" i="9"/>
  <c r="C110" i="9"/>
  <c r="E216" i="9"/>
  <c r="E73" i="9"/>
  <c r="C79" i="9"/>
  <c r="E204" i="9"/>
  <c r="C77" i="9"/>
  <c r="E194" i="9"/>
  <c r="E61" i="9"/>
  <c r="E49" i="9"/>
  <c r="C174" i="9"/>
  <c r="C76" i="9"/>
  <c r="E188" i="9"/>
  <c r="E58" i="9"/>
  <c r="E177" i="9"/>
  <c r="E205" i="9"/>
  <c r="C37" i="9"/>
  <c r="C184" i="9"/>
  <c r="C133" i="9"/>
  <c r="E34" i="9"/>
  <c r="C162" i="9"/>
  <c r="C111" i="9"/>
  <c r="C61" i="9"/>
  <c r="E203" i="9"/>
  <c r="E133" i="9"/>
  <c r="E60" i="9"/>
  <c r="C161" i="9"/>
  <c r="C6" i="9"/>
  <c r="C223" i="9"/>
  <c r="C91" i="9"/>
  <c r="E98" i="9"/>
  <c r="E71" i="9"/>
  <c r="E155" i="9"/>
  <c r="C211" i="9"/>
  <c r="C149" i="9"/>
  <c r="C90" i="9"/>
  <c r="C42" i="9"/>
  <c r="E185" i="9"/>
  <c r="E125" i="9"/>
  <c r="E37" i="9"/>
  <c r="C43" i="9"/>
  <c r="C55" i="9"/>
  <c r="C17" i="9"/>
  <c r="E38" i="9"/>
  <c r="E96" i="9"/>
  <c r="E109" i="9"/>
  <c r="C19" i="9"/>
  <c r="C7" i="9"/>
  <c r="C49" i="9"/>
  <c r="E149" i="9"/>
  <c r="C108" i="9"/>
  <c r="C210" i="9"/>
  <c r="C142" i="9"/>
  <c r="C88" i="9"/>
  <c r="C30" i="9"/>
  <c r="E182" i="9"/>
  <c r="E110" i="9"/>
  <c r="E33" i="9"/>
  <c r="E53" i="9"/>
  <c r="C118" i="9"/>
  <c r="E24" i="9"/>
  <c r="C138" i="9"/>
  <c r="E170" i="9"/>
  <c r="E108" i="9"/>
  <c r="E32" i="9"/>
  <c r="C197" i="9"/>
  <c r="C28" i="9"/>
  <c r="E165" i="9"/>
  <c r="E105" i="9"/>
  <c r="E35" i="9"/>
  <c r="C193" i="9"/>
  <c r="C217" i="9"/>
  <c r="C101" i="9"/>
  <c r="E31" i="9"/>
  <c r="E67" i="9"/>
  <c r="C160" i="9"/>
  <c r="C39" i="9"/>
  <c r="C87" i="9"/>
  <c r="C148" i="9"/>
  <c r="C5" i="9"/>
  <c r="E163" i="9"/>
  <c r="C196" i="9"/>
  <c r="C173" i="9"/>
  <c r="E12" i="9"/>
  <c r="E48" i="9"/>
  <c r="C180" i="9"/>
  <c r="E56" i="9"/>
  <c r="E224" i="9"/>
  <c r="E106" i="9"/>
  <c r="E180" i="9"/>
  <c r="E139" i="9"/>
  <c r="E22" i="9"/>
  <c r="C163" i="9"/>
  <c r="C97" i="9"/>
  <c r="C198" i="9"/>
  <c r="E145" i="9"/>
  <c r="E3" i="9"/>
  <c r="E166" i="9"/>
  <c r="E176" i="9"/>
  <c r="C132" i="9"/>
  <c r="E152" i="9"/>
  <c r="C18" i="9"/>
  <c r="E193" i="9"/>
  <c r="E97" i="9"/>
  <c r="C169" i="9"/>
  <c r="C15" i="9"/>
  <c r="E72" i="9"/>
  <c r="C202" i="9"/>
  <c r="E55" i="9"/>
  <c r="E103" i="9"/>
  <c r="C136" i="9"/>
  <c r="C72" i="9"/>
  <c r="E202" i="9"/>
  <c r="E164" i="9"/>
  <c r="E200" i="9"/>
  <c r="C159" i="9"/>
  <c r="C75" i="9"/>
  <c r="E107" i="9"/>
  <c r="E82" i="9"/>
  <c r="E154" i="9"/>
  <c r="E65" i="9"/>
  <c r="C82" i="9"/>
  <c r="C154" i="9"/>
  <c r="E191" i="9"/>
  <c r="C65" i="9"/>
  <c r="C123" i="9"/>
  <c r="E212" i="9"/>
  <c r="E95" i="9"/>
  <c r="C147" i="9"/>
  <c r="E57" i="9"/>
  <c r="E189" i="9"/>
  <c r="E23" i="9"/>
  <c r="E44" i="9"/>
  <c r="E116" i="9"/>
  <c r="E190" i="9"/>
  <c r="E161" i="9"/>
  <c r="C190" i="9"/>
  <c r="C220" i="9"/>
  <c r="E8" i="9"/>
  <c r="E81" i="9"/>
  <c r="C13" i="9"/>
  <c r="C208" i="9"/>
  <c r="E144" i="9"/>
  <c r="E79" i="9"/>
  <c r="C172" i="9"/>
  <c r="C113" i="9"/>
  <c r="C144" i="9"/>
  <c r="E47" i="9"/>
  <c r="C102" i="9"/>
  <c r="E92" i="9"/>
  <c r="E140" i="9"/>
  <c r="C109" i="9"/>
  <c r="C25" i="9"/>
  <c r="C207" i="9"/>
  <c r="C178" i="9"/>
  <c r="E36" i="9"/>
  <c r="C36" i="9"/>
  <c r="E178" i="9"/>
  <c r="C53" i="9"/>
  <c r="E132" i="9"/>
  <c r="E168" i="9"/>
  <c r="C41" i="9"/>
  <c r="E11" i="9"/>
  <c r="C46" i="9"/>
  <c r="E187" i="9"/>
  <c r="E7" i="9"/>
  <c r="C120" i="9"/>
  <c r="E46" i="9"/>
  <c r="E225" i="9"/>
  <c r="C86" i="9"/>
  <c r="E120" i="9"/>
  <c r="C192" i="9"/>
  <c r="E20" i="9"/>
  <c r="E156" i="9"/>
  <c r="E192" i="9"/>
  <c r="C89" i="9"/>
  <c r="C156" i="9"/>
  <c r="E215" i="9"/>
  <c r="C40" i="9"/>
  <c r="E146" i="9"/>
  <c r="E128" i="9"/>
  <c r="C181" i="9"/>
  <c r="C10" i="9"/>
  <c r="C14" i="9"/>
  <c r="C187" i="9"/>
  <c r="C151" i="9"/>
  <c r="C115" i="9"/>
  <c r="C54" i="9"/>
  <c r="E218" i="9"/>
  <c r="E86" i="9"/>
  <c r="E101" i="9"/>
  <c r="E117" i="9"/>
  <c r="E113" i="9"/>
  <c r="C222" i="9"/>
  <c r="C186" i="9"/>
  <c r="C150" i="9"/>
  <c r="C114" i="9"/>
  <c r="E217" i="9"/>
  <c r="E181" i="9"/>
  <c r="C22" i="9"/>
  <c r="E89" i="9"/>
  <c r="C221" i="9"/>
  <c r="E213" i="9"/>
  <c r="C67" i="9"/>
  <c r="C31" i="9"/>
  <c r="E169" i="9"/>
  <c r="E74" i="9"/>
  <c r="C175" i="9"/>
  <c r="C139" i="9"/>
  <c r="C66" i="9"/>
  <c r="E206" i="9"/>
  <c r="E122" i="9"/>
  <c r="E25" i="9"/>
  <c r="E173" i="9"/>
  <c r="C70" i="9"/>
  <c r="E199" i="9"/>
  <c r="E70" i="9"/>
  <c r="C51" i="9"/>
  <c r="E129" i="9"/>
  <c r="E131" i="9"/>
  <c r="C16" i="9"/>
  <c r="C103" i="9"/>
  <c r="E121" i="9"/>
  <c r="E14" i="9"/>
  <c r="E68" i="9"/>
  <c r="E10" i="9"/>
  <c r="E143" i="9"/>
  <c r="E13" i="9"/>
  <c r="C124" i="9"/>
  <c r="C100" i="9"/>
  <c r="C52" i="9"/>
  <c r="E179" i="9"/>
  <c r="E83" i="9"/>
  <c r="C218" i="9"/>
  <c r="C206" i="9"/>
  <c r="C170" i="9"/>
  <c r="C146" i="9"/>
  <c r="C122" i="9"/>
  <c r="C98" i="9"/>
  <c r="C74" i="9"/>
  <c r="C50" i="9"/>
  <c r="C38" i="9"/>
  <c r="E201" i="9"/>
  <c r="E153" i="9"/>
  <c r="E141" i="9"/>
  <c r="E93" i="9"/>
  <c r="E69" i="9"/>
  <c r="E45" i="9"/>
  <c r="E21" i="9"/>
  <c r="E9" i="9"/>
  <c r="C219" i="9"/>
  <c r="C171" i="9"/>
  <c r="C99" i="9"/>
  <c r="C27" i="9"/>
  <c r="C3" i="9"/>
  <c r="E118" i="9"/>
  <c r="E94" i="9"/>
  <c r="C204" i="9"/>
  <c r="C168" i="9"/>
  <c r="C84" i="9"/>
  <c r="C48" i="9"/>
  <c r="C2" i="9"/>
  <c r="C215" i="9"/>
  <c r="C203" i="9"/>
  <c r="C191" i="9"/>
  <c r="C179" i="9"/>
  <c r="C167" i="9"/>
  <c r="C155" i="9"/>
  <c r="C143" i="9"/>
  <c r="C131" i="9"/>
  <c r="C119" i="9"/>
  <c r="C107" i="9"/>
  <c r="C95" i="9"/>
  <c r="C83" i="9"/>
  <c r="C71" i="9"/>
  <c r="C59" i="9"/>
  <c r="C47" i="9"/>
  <c r="C35" i="9"/>
  <c r="C23" i="9"/>
  <c r="C11" i="9"/>
  <c r="E222" i="9"/>
  <c r="E210" i="9"/>
  <c r="E198" i="9"/>
  <c r="E186" i="9"/>
  <c r="E174" i="9"/>
  <c r="E162" i="9"/>
  <c r="E150" i="9"/>
  <c r="E138" i="9"/>
  <c r="E126" i="9"/>
  <c r="E114" i="9"/>
  <c r="E102" i="9"/>
  <c r="E90" i="9"/>
  <c r="E78" i="9"/>
  <c r="E66" i="9"/>
  <c r="E54" i="9"/>
  <c r="E42" i="9"/>
  <c r="E30" i="9"/>
  <c r="E18" i="9"/>
  <c r="E6" i="9"/>
  <c r="C4" i="9"/>
  <c r="E167" i="9"/>
  <c r="E119" i="9"/>
  <c r="E59" i="9"/>
  <c r="C24" i="9"/>
  <c r="C12" i="9"/>
  <c r="E223" i="9"/>
  <c r="E211" i="9"/>
  <c r="E175" i="9"/>
  <c r="E151" i="9"/>
  <c r="E115" i="9"/>
  <c r="E91" i="9"/>
  <c r="E43" i="9"/>
  <c r="E19" i="9"/>
  <c r="E2" i="9"/>
  <c r="C214" i="9"/>
  <c r="C166" i="9"/>
  <c r="C106" i="9"/>
  <c r="C94" i="9"/>
  <c r="C34" i="9"/>
  <c r="E221" i="9"/>
  <c r="E41" i="9"/>
  <c r="E29" i="9"/>
  <c r="E17" i="9"/>
  <c r="E5" i="9"/>
  <c r="C183" i="9"/>
  <c r="C135" i="9"/>
  <c r="E214" i="9"/>
  <c r="C145" i="9"/>
  <c r="C121" i="9"/>
  <c r="C85" i="9"/>
  <c r="E104" i="9"/>
  <c r="E80" i="9"/>
  <c r="C96" i="9"/>
  <c r="C225" i="9"/>
  <c r="C213" i="9"/>
  <c r="C201" i="9"/>
  <c r="C189" i="9"/>
  <c r="C177" i="9"/>
  <c r="C165" i="9"/>
  <c r="C153" i="9"/>
  <c r="C141" i="9"/>
  <c r="C129" i="9"/>
  <c r="C117" i="9"/>
  <c r="C105" i="9"/>
  <c r="C93" i="9"/>
  <c r="C81" i="9"/>
  <c r="C69" i="9"/>
  <c r="C57" i="9"/>
  <c r="C45" i="9"/>
  <c r="C33" i="9"/>
  <c r="C21" i="9"/>
  <c r="C9" i="9"/>
  <c r="E220" i="9"/>
  <c r="E208" i="9"/>
  <c r="E196" i="9"/>
  <c r="E184" i="9"/>
  <c r="E172" i="9"/>
  <c r="E160" i="9"/>
  <c r="E148" i="9"/>
  <c r="E136" i="9"/>
  <c r="E124" i="9"/>
  <c r="E112" i="9"/>
  <c r="E100" i="9"/>
  <c r="E88" i="9"/>
  <c r="E76" i="9"/>
  <c r="E64" i="9"/>
  <c r="E52" i="9"/>
  <c r="E40" i="9"/>
  <c r="E28" i="9"/>
  <c r="E16" i="9"/>
  <c r="E4" i="9"/>
  <c r="C205" i="9"/>
  <c r="C224" i="9"/>
  <c r="C212" i="9"/>
  <c r="C200" i="9"/>
  <c r="C188" i="9"/>
  <c r="C176" i="9"/>
  <c r="C164" i="9"/>
  <c r="C152" i="9"/>
  <c r="C140" i="9"/>
  <c r="C128" i="9"/>
  <c r="C116" i="9"/>
  <c r="C104" i="9"/>
  <c r="C92" i="9"/>
  <c r="C80" i="9"/>
  <c r="C68" i="9"/>
  <c r="C56" i="9"/>
  <c r="C44" i="9"/>
  <c r="C32" i="9"/>
  <c r="C20" i="9"/>
  <c r="C8" i="9"/>
  <c r="E219" i="9"/>
  <c r="E207" i="9"/>
  <c r="E195" i="9"/>
  <c r="E183" i="9"/>
  <c r="E171" i="9"/>
  <c r="E159" i="9"/>
  <c r="E147" i="9"/>
  <c r="E135" i="9"/>
  <c r="E123" i="9"/>
  <c r="E111" i="9"/>
  <c r="E99" i="9"/>
  <c r="E87" i="9"/>
  <c r="E75" i="9"/>
  <c r="E63" i="9"/>
  <c r="E51" i="9"/>
  <c r="E39" i="9"/>
  <c r="E27" i="9"/>
  <c r="E15" i="9"/>
  <c r="P4009" i="22"/>
  <c r="Q4009" i="22" s="1"/>
  <c r="P3901" i="22"/>
  <c r="Q3901" i="22" s="1"/>
  <c r="P3873" i="22"/>
  <c r="Q3873" i="22" s="1"/>
  <c r="P3853" i="22"/>
  <c r="Q3853" i="22" s="1"/>
  <c r="P3841" i="22"/>
  <c r="Q3841" i="22" s="1"/>
  <c r="P3803" i="22"/>
  <c r="Q3803" i="22" s="1"/>
  <c r="P3674" i="22"/>
  <c r="Q3674" i="22" s="1"/>
  <c r="P3544" i="22"/>
  <c r="Q3544" i="22" s="1"/>
  <c r="P3473" i="22"/>
  <c r="Q3473" i="22" s="1"/>
  <c r="P3400" i="22"/>
  <c r="Q3400" i="22" s="1"/>
  <c r="P2511" i="22"/>
  <c r="Q2511" i="22" s="1"/>
  <c r="P3934" i="22"/>
  <c r="Q3934" i="22" s="1"/>
  <c r="P3868" i="22"/>
  <c r="Q3868" i="22" s="1"/>
  <c r="P3852" i="22"/>
  <c r="Q3852" i="22" s="1"/>
  <c r="P3829" i="22"/>
  <c r="Q3829" i="22" s="1"/>
  <c r="P3827" i="22"/>
  <c r="Q3827" i="22" s="1"/>
  <c r="P3825" i="22"/>
  <c r="Q3825" i="22" s="1"/>
  <c r="P3823" i="22"/>
  <c r="Q3823" i="22" s="1"/>
  <c r="P3712" i="22"/>
  <c r="Q3712" i="22" s="1"/>
  <c r="P3688" i="22"/>
  <c r="Q3688" i="22" s="1"/>
  <c r="P4033" i="22"/>
  <c r="Q4033" i="22" s="1"/>
  <c r="P3655" i="22"/>
  <c r="Q3655" i="22" s="1"/>
  <c r="P3565" i="22"/>
  <c r="Q3565" i="22" s="1"/>
  <c r="P3513" i="22"/>
  <c r="Q3513" i="22" s="1"/>
  <c r="P3383" i="22"/>
  <c r="Q3383" i="22" s="1"/>
  <c r="P3936" i="22"/>
  <c r="Q3936" i="22" s="1"/>
  <c r="P3684" i="22"/>
  <c r="Q3684" i="22" s="1"/>
  <c r="P3553" i="22"/>
  <c r="Q3553" i="22" s="1"/>
  <c r="P3743" i="22"/>
  <c r="Q3743" i="22" s="1"/>
  <c r="P3683" i="22"/>
  <c r="Q3683" i="22" s="1"/>
  <c r="P318" i="22"/>
  <c r="Q318" i="22" s="1"/>
  <c r="P3306" i="22"/>
  <c r="Q3306" i="22" s="1"/>
  <c r="P3977" i="22"/>
  <c r="Q3977" i="22" s="1"/>
  <c r="P3947" i="22"/>
  <c r="Q3947" i="22" s="1"/>
  <c r="P3905" i="22"/>
  <c r="Q3905" i="22" s="1"/>
  <c r="P3845" i="22"/>
  <c r="Q3845" i="22" s="1"/>
  <c r="P3833" i="22"/>
  <c r="Q3833" i="22" s="1"/>
  <c r="P3775" i="22"/>
  <c r="Q3775" i="22" s="1"/>
  <c r="P3745" i="22"/>
  <c r="Q3745" i="22" s="1"/>
  <c r="P3709" i="22"/>
  <c r="Q3709" i="22" s="1"/>
  <c r="P3697" i="22"/>
  <c r="Q3697" i="22" s="1"/>
  <c r="P3503" i="22"/>
  <c r="Q3503" i="22" s="1"/>
  <c r="P3465" i="22"/>
  <c r="Q3465" i="22" s="1"/>
  <c r="P1848" i="22"/>
  <c r="Q1848" i="22" s="1"/>
  <c r="P3707" i="22"/>
  <c r="Q3707" i="22" s="1"/>
  <c r="P3508" i="22"/>
  <c r="Q3508" i="22" s="1"/>
  <c r="P3791" i="22"/>
  <c r="Q3791" i="22" s="1"/>
  <c r="P3605" i="22"/>
  <c r="Q3605" i="22" s="1"/>
  <c r="P3445" i="22"/>
  <c r="Q3445" i="22" s="1"/>
  <c r="P3427" i="22"/>
  <c r="Q3427" i="22" s="1"/>
  <c r="P3413" i="22"/>
  <c r="Q3413" i="22" s="1"/>
  <c r="P478" i="22"/>
  <c r="Q478" i="22" s="1"/>
  <c r="P646" i="22"/>
  <c r="Q646" i="22" s="1"/>
  <c r="P3773" i="22"/>
  <c r="Q3773" i="22" s="1"/>
  <c r="P3629" i="22"/>
  <c r="Q3629" i="22" s="1"/>
  <c r="P3539" i="22"/>
  <c r="Q3539" i="22" s="1"/>
  <c r="P3482" i="22"/>
  <c r="Q3482" i="22" s="1"/>
  <c r="P3793" i="22"/>
  <c r="Q3793" i="22" s="1"/>
  <c r="P3600" i="22"/>
  <c r="Q3600" i="22" s="1"/>
  <c r="P592" i="22"/>
  <c r="Q592" i="22" s="1"/>
  <c r="P3979" i="22"/>
  <c r="Q3979" i="22" s="1"/>
  <c r="P3940" i="22"/>
  <c r="Q3940" i="22" s="1"/>
  <c r="P3919" i="22"/>
  <c r="Q3919" i="22" s="1"/>
  <c r="P3908" i="22"/>
  <c r="Q3908" i="22" s="1"/>
  <c r="P3847" i="22"/>
  <c r="Q3847" i="22" s="1"/>
  <c r="P3813" i="22"/>
  <c r="Q3813" i="22" s="1"/>
  <c r="P3811" i="22"/>
  <c r="Q3811" i="22" s="1"/>
  <c r="P3777" i="22"/>
  <c r="Q3777" i="22" s="1"/>
  <c r="P3765" i="22"/>
  <c r="Q3765" i="22" s="1"/>
  <c r="P3729" i="22"/>
  <c r="Q3729" i="22" s="1"/>
  <c r="P3673" i="22"/>
  <c r="Q3673" i="22" s="1"/>
  <c r="P3637" i="22"/>
  <c r="Q3637" i="22" s="1"/>
  <c r="P3621" i="22"/>
  <c r="Q3621" i="22" s="1"/>
  <c r="P3590" i="22"/>
  <c r="Q3590" i="22" s="1"/>
  <c r="P3578" i="22"/>
  <c r="Q3578" i="22" s="1"/>
  <c r="P3557" i="22"/>
  <c r="Q3557" i="22" s="1"/>
  <c r="P3433" i="22"/>
  <c r="Q3433" i="22" s="1"/>
  <c r="P658" i="22"/>
  <c r="Q658" i="22" s="1"/>
  <c r="P3818" i="22"/>
  <c r="Q3818" i="22" s="1"/>
  <c r="P3787" i="22"/>
  <c r="Q3787" i="22" s="1"/>
  <c r="P3739" i="22"/>
  <c r="Q3739" i="22" s="1"/>
  <c r="P3643" i="22"/>
  <c r="Q3643" i="22" s="1"/>
  <c r="P3939" i="22"/>
  <c r="Q3939" i="22" s="1"/>
  <c r="P3932" i="22"/>
  <c r="Q3932" i="22" s="1"/>
  <c r="P3925" i="22"/>
  <c r="Q3925" i="22" s="1"/>
  <c r="P3854" i="22"/>
  <c r="Q3854" i="22" s="1"/>
  <c r="P3842" i="22"/>
  <c r="Q3842" i="22" s="1"/>
  <c r="P3784" i="22"/>
  <c r="Q3784" i="22" s="1"/>
  <c r="P3760" i="22"/>
  <c r="Q3760" i="22" s="1"/>
  <c r="P3736" i="22"/>
  <c r="Q3736" i="22" s="1"/>
  <c r="P3647" i="22"/>
  <c r="Q3647" i="22" s="1"/>
  <c r="P3481" i="22"/>
  <c r="Q3481" i="22" s="1"/>
  <c r="P3401" i="22"/>
  <c r="Q3401" i="22" s="1"/>
  <c r="P3389" i="22"/>
  <c r="Q3389" i="22" s="1"/>
  <c r="P3981" i="22"/>
  <c r="Q3981" i="22" s="1"/>
  <c r="P3724" i="22"/>
  <c r="Q3724" i="22" s="1"/>
  <c r="P3726" i="22"/>
  <c r="Q3726" i="22" s="1"/>
  <c r="P3980" i="22"/>
  <c r="Q3980" i="22" s="1"/>
  <c r="P3962" i="22"/>
  <c r="Q3962" i="22" s="1"/>
  <c r="P3937" i="22"/>
  <c r="Q3937" i="22" s="1"/>
  <c r="P3902" i="22"/>
  <c r="Q3902" i="22" s="1"/>
  <c r="P3839" i="22"/>
  <c r="Q3839" i="22" s="1"/>
  <c r="P3840" i="22"/>
  <c r="Q3840" i="22" s="1"/>
  <c r="P3767" i="22"/>
  <c r="Q3767" i="22" s="1"/>
  <c r="P3659" i="22"/>
  <c r="Q3659" i="22" s="1"/>
  <c r="P3660" i="22"/>
  <c r="Q3660" i="22" s="1"/>
  <c r="P4018" i="22"/>
  <c r="Q4018" i="22" s="1"/>
  <c r="P3796" i="22"/>
  <c r="Q3796" i="22" s="1"/>
  <c r="P3798" i="22"/>
  <c r="Q3798" i="22" s="1"/>
  <c r="P3551" i="22"/>
  <c r="Q3551" i="22" s="1"/>
  <c r="P3550" i="22"/>
  <c r="Q3550" i="22" s="1"/>
  <c r="P3555" i="22"/>
  <c r="Q3555" i="22" s="1"/>
  <c r="P3552" i="22"/>
  <c r="Q3552" i="22" s="1"/>
  <c r="P3837" i="22"/>
  <c r="Q3837" i="22" s="1"/>
  <c r="P3838" i="22"/>
  <c r="Q3838" i="22" s="1"/>
  <c r="P3836" i="22"/>
  <c r="Q3836" i="22" s="1"/>
  <c r="P3806" i="22"/>
  <c r="Q3806" i="22" s="1"/>
  <c r="P3807" i="22"/>
  <c r="Q3807" i="22" s="1"/>
  <c r="P4003" i="22"/>
  <c r="Q4003" i="22" s="1"/>
  <c r="P3920" i="22"/>
  <c r="Q3920" i="22" s="1"/>
  <c r="P3914" i="22"/>
  <c r="Q3914" i="22" s="1"/>
  <c r="P3918" i="22"/>
  <c r="Q3918" i="22" s="1"/>
  <c r="P3985" i="22"/>
  <c r="Q3985" i="22" s="1"/>
  <c r="P4028" i="22"/>
  <c r="Q4028" i="22" s="1"/>
  <c r="P4027" i="22"/>
  <c r="Q4027" i="22" s="1"/>
  <c r="P3909" i="22"/>
  <c r="Q3909" i="22" s="1"/>
  <c r="P4021" i="22"/>
  <c r="Q4021" i="22" s="1"/>
  <c r="P4016" i="22"/>
  <c r="Q4016" i="22" s="1"/>
  <c r="P4015" i="22"/>
  <c r="Q4015" i="22" s="1"/>
  <c r="P3992" i="22"/>
  <c r="Q3992" i="22" s="1"/>
  <c r="P3986" i="22"/>
  <c r="Q3986" i="22" s="1"/>
  <c r="P3973" i="22"/>
  <c r="Q3973" i="22" s="1"/>
  <c r="P3978" i="22"/>
  <c r="Q3978" i="22" s="1"/>
  <c r="P3961" i="22"/>
  <c r="Q3961" i="22" s="1"/>
  <c r="P3890" i="22"/>
  <c r="Q3890" i="22" s="1"/>
  <c r="P3623" i="22"/>
  <c r="Q3623" i="22" s="1"/>
  <c r="P3624" i="22"/>
  <c r="Q3624" i="22" s="1"/>
  <c r="P3453" i="22"/>
  <c r="Q3453" i="22" s="1"/>
  <c r="P3454" i="22"/>
  <c r="Q3454" i="22" s="1"/>
  <c r="P3998" i="22"/>
  <c r="Q3998" i="22" s="1"/>
  <c r="P3761" i="22"/>
  <c r="Q3761" i="22" s="1"/>
  <c r="P3768" i="22"/>
  <c r="Q3768" i="22" s="1"/>
  <c r="P3766" i="22"/>
  <c r="Q3766" i="22" s="1"/>
  <c r="P3762" i="22"/>
  <c r="Q3762" i="22" s="1"/>
  <c r="P3764" i="22"/>
  <c r="Q3764" i="22" s="1"/>
  <c r="P3515" i="22"/>
  <c r="Q3515" i="22" s="1"/>
  <c r="P3514" i="22"/>
  <c r="Q3514" i="22" s="1"/>
  <c r="P3516" i="22"/>
  <c r="Q3516" i="22" s="1"/>
  <c r="P3907" i="22"/>
  <c r="Q3907" i="22" s="1"/>
  <c r="P3906" i="22"/>
  <c r="Q3906" i="22" s="1"/>
  <c r="P4008" i="22"/>
  <c r="Q4008" i="22" s="1"/>
  <c r="P3695" i="22"/>
  <c r="Q3695" i="22" s="1"/>
  <c r="P3694" i="22"/>
  <c r="Q3694" i="22" s="1"/>
  <c r="P3696" i="22"/>
  <c r="Q3696" i="22" s="1"/>
  <c r="P3434" i="22"/>
  <c r="Q3434" i="22" s="1"/>
  <c r="P3438" i="22"/>
  <c r="Q3438" i="22" s="1"/>
  <c r="P3435" i="22"/>
  <c r="Q3435" i="22" s="1"/>
  <c r="P3913" i="22"/>
  <c r="Q3913" i="22" s="1"/>
  <c r="P3835" i="22"/>
  <c r="Q3835" i="22" s="1"/>
  <c r="P3834" i="22"/>
  <c r="Q3834" i="22" s="1"/>
  <c r="P3587" i="22"/>
  <c r="Q3587" i="22" s="1"/>
  <c r="P3586" i="22"/>
  <c r="Q3586" i="22" s="1"/>
  <c r="P3588" i="22"/>
  <c r="Q3588" i="22" s="1"/>
  <c r="P3769" i="22"/>
  <c r="Q3769" i="22" s="1"/>
  <c r="P4012" i="22"/>
  <c r="Q4012" i="22" s="1"/>
  <c r="P3763" i="22"/>
  <c r="Q3763" i="22" s="1"/>
  <c r="P4011" i="22"/>
  <c r="Q4011" i="22" s="1"/>
  <c r="P3991" i="22"/>
  <c r="Q3991" i="22" s="1"/>
  <c r="P3899" i="22"/>
  <c r="Q3899" i="22" s="1"/>
  <c r="P3448" i="22"/>
  <c r="Q3448" i="22" s="1"/>
  <c r="P3450" i="22"/>
  <c r="Q3450" i="22" s="1"/>
  <c r="P3983" i="22"/>
  <c r="Q3983" i="22" s="1"/>
  <c r="P3917" i="22"/>
  <c r="Q3917" i="22" s="1"/>
  <c r="P3746" i="22"/>
  <c r="Q3746" i="22" s="1"/>
  <c r="P3747" i="22"/>
  <c r="Q3747" i="22" s="1"/>
  <c r="P3705" i="22"/>
  <c r="Q3705" i="22" s="1"/>
  <c r="P3666" i="22"/>
  <c r="Q3666" i="22" s="1"/>
  <c r="P3652" i="22"/>
  <c r="Q3652" i="22" s="1"/>
  <c r="P3633" i="22"/>
  <c r="Q3633" i="22" s="1"/>
  <c r="P3634" i="22"/>
  <c r="Q3634" i="22" s="1"/>
  <c r="P3630" i="22"/>
  <c r="Q3630" i="22" s="1"/>
  <c r="P3616" i="22"/>
  <c r="Q3616" i="22" s="1"/>
  <c r="P3597" i="22"/>
  <c r="Q3597" i="22" s="1"/>
  <c r="P3594" i="22"/>
  <c r="Q3594" i="22" s="1"/>
  <c r="P3580" i="22"/>
  <c r="Q3580" i="22" s="1"/>
  <c r="P3579" i="22"/>
  <c r="Q3579" i="22" s="1"/>
  <c r="P3561" i="22"/>
  <c r="Q3561" i="22" s="1"/>
  <c r="P3560" i="22"/>
  <c r="Q3560" i="22" s="1"/>
  <c r="P3562" i="22"/>
  <c r="Q3562" i="22" s="1"/>
  <c r="P3558" i="22"/>
  <c r="Q3558" i="22" s="1"/>
  <c r="P3525" i="22"/>
  <c r="Q3525" i="22" s="1"/>
  <c r="P3489" i="22"/>
  <c r="Q3489" i="22" s="1"/>
  <c r="P3490" i="22"/>
  <c r="Q3490" i="22" s="1"/>
  <c r="P3486" i="22"/>
  <c r="Q3486" i="22" s="1"/>
  <c r="P3443" i="22"/>
  <c r="Q3443" i="22" s="1"/>
  <c r="P3444" i="22"/>
  <c r="Q3444" i="22" s="1"/>
  <c r="P3429" i="22"/>
  <c r="Q3429" i="22" s="1"/>
  <c r="P3415" i="22"/>
  <c r="Q3415" i="22" s="1"/>
  <c r="P3418" i="22"/>
  <c r="Q3418" i="22" s="1"/>
  <c r="P3416" i="22"/>
  <c r="Q3416" i="22" s="1"/>
  <c r="P4032" i="22"/>
  <c r="Q4032" i="22" s="1"/>
  <c r="P4005" i="22"/>
  <c r="Q4005" i="22" s="1"/>
  <c r="P3995" i="22"/>
  <c r="Q3995" i="22" s="1"/>
  <c r="P3964" i="22"/>
  <c r="Q3964" i="22" s="1"/>
  <c r="P3960" i="22"/>
  <c r="Q3960" i="22" s="1"/>
  <c r="P3933" i="22"/>
  <c r="Q3933" i="22" s="1"/>
  <c r="P3923" i="22"/>
  <c r="Q3923" i="22" s="1"/>
  <c r="P3892" i="22"/>
  <c r="Q3892" i="22" s="1"/>
  <c r="P3888" i="22"/>
  <c r="Q3888" i="22" s="1"/>
  <c r="P3846" i="22"/>
  <c r="Q3846" i="22" s="1"/>
  <c r="P3820" i="22"/>
  <c r="Q3820" i="22" s="1"/>
  <c r="P3819" i="22"/>
  <c r="Q3819" i="22" s="1"/>
  <c r="P3774" i="22"/>
  <c r="Q3774" i="22" s="1"/>
  <c r="P3748" i="22"/>
  <c r="Q3748" i="22" s="1"/>
  <c r="P3708" i="22"/>
  <c r="Q3708" i="22" s="1"/>
  <c r="P3635" i="22"/>
  <c r="Q3635" i="22" s="1"/>
  <c r="P3599" i="22"/>
  <c r="Q3599" i="22" s="1"/>
  <c r="P3563" i="22"/>
  <c r="Q3563" i="22" s="1"/>
  <c r="P3529" i="22"/>
  <c r="Q3529" i="22" s="1"/>
  <c r="P3527" i="22"/>
  <c r="Q3527" i="22" s="1"/>
  <c r="P3526" i="22"/>
  <c r="Q3526" i="22" s="1"/>
  <c r="P3531" i="22"/>
  <c r="Q3531" i="22" s="1"/>
  <c r="P3491" i="22"/>
  <c r="Q3491" i="22" s="1"/>
  <c r="P3457" i="22"/>
  <c r="Q3457" i="22" s="1"/>
  <c r="P3424" i="22"/>
  <c r="Q3424" i="22" s="1"/>
  <c r="P3428" i="22"/>
  <c r="Q3428" i="22" s="1"/>
  <c r="P3430" i="22"/>
  <c r="Q3430" i="22" s="1"/>
  <c r="P3426" i="22"/>
  <c r="Q3426" i="22" s="1"/>
  <c r="P3921" i="22"/>
  <c r="Q3921" i="22" s="1"/>
  <c r="P3703" i="22"/>
  <c r="Q3703" i="22" s="1"/>
  <c r="P3704" i="22"/>
  <c r="Q3704" i="22" s="1"/>
  <c r="P3989" i="22"/>
  <c r="Q3989" i="22" s="1"/>
  <c r="P3949" i="22"/>
  <c r="Q3949" i="22" s="1"/>
  <c r="P3886" i="22"/>
  <c r="Q3886" i="22" s="1"/>
  <c r="P1179" i="22"/>
  <c r="Q1179" i="22" s="1"/>
  <c r="P4004" i="22"/>
  <c r="Q4004" i="22" s="1"/>
  <c r="P4001" i="22"/>
  <c r="Q4001" i="22" s="1"/>
  <c r="P3990" i="22"/>
  <c r="Q3990" i="22" s="1"/>
  <c r="P3970" i="22"/>
  <c r="Q3970" i="22" s="1"/>
  <c r="P3963" i="22"/>
  <c r="Q3963" i="22" s="1"/>
  <c r="P3929" i="22"/>
  <c r="Q3929" i="22" s="1"/>
  <c r="P3898" i="22"/>
  <c r="Q3898" i="22" s="1"/>
  <c r="P3891" i="22"/>
  <c r="Q3891" i="22" s="1"/>
  <c r="P3857" i="22"/>
  <c r="Q3857" i="22" s="1"/>
  <c r="P3850" i="22"/>
  <c r="Q3850" i="22" s="1"/>
  <c r="P3830" i="22"/>
  <c r="Q3830" i="22" s="1"/>
  <c r="P3831" i="22"/>
  <c r="Q3831" i="22" s="1"/>
  <c r="P3789" i="22"/>
  <c r="Q3789" i="22" s="1"/>
  <c r="P3785" i="22"/>
  <c r="Q3785" i="22" s="1"/>
  <c r="P3778" i="22"/>
  <c r="Q3778" i="22" s="1"/>
  <c r="P3776" i="22"/>
  <c r="Q3776" i="22" s="1"/>
  <c r="P3758" i="22"/>
  <c r="Q3758" i="22" s="1"/>
  <c r="P3717" i="22"/>
  <c r="Q3717" i="22" s="1"/>
  <c r="P3715" i="22"/>
  <c r="Q3715" i="22" s="1"/>
  <c r="P3713" i="22"/>
  <c r="Q3713" i="22" s="1"/>
  <c r="P3706" i="22"/>
  <c r="Q3706" i="22" s="1"/>
  <c r="P3672" i="22"/>
  <c r="Q3672" i="22" s="1"/>
  <c r="P3636" i="22"/>
  <c r="Q3636" i="22" s="1"/>
  <c r="P3528" i="22"/>
  <c r="Q3528" i="22" s="1"/>
  <c r="P3492" i="22"/>
  <c r="Q3492" i="22" s="1"/>
  <c r="P3431" i="22"/>
  <c r="Q3431" i="22" s="1"/>
  <c r="P3417" i="22"/>
  <c r="Q3417" i="22" s="1"/>
  <c r="P3405" i="22"/>
  <c r="Q3405" i="22" s="1"/>
  <c r="P3406" i="22"/>
  <c r="Q3406" i="22" s="1"/>
  <c r="P3403" i="22"/>
  <c r="Q3403" i="22" s="1"/>
  <c r="P3402" i="22"/>
  <c r="Q3402" i="22" s="1"/>
  <c r="P3911" i="22"/>
  <c r="Q3911" i="22" s="1"/>
  <c r="P3542" i="22"/>
  <c r="Q3542" i="22" s="1"/>
  <c r="P3543" i="22"/>
  <c r="Q3543" i="22" s="1"/>
  <c r="P3523" i="22"/>
  <c r="Q3523" i="22" s="1"/>
  <c r="P3524" i="22"/>
  <c r="Q3524" i="22" s="1"/>
  <c r="P3436" i="22"/>
  <c r="Q3436" i="22" s="1"/>
  <c r="P3951" i="22"/>
  <c r="Q3951" i="22" s="1"/>
  <c r="P3669" i="22"/>
  <c r="Q3669" i="22" s="1"/>
  <c r="P4017" i="22"/>
  <c r="Q4017" i="22" s="1"/>
  <c r="P4007" i="22"/>
  <c r="Q4007" i="22" s="1"/>
  <c r="P3976" i="22"/>
  <c r="Q3976" i="22" s="1"/>
  <c r="P3972" i="22"/>
  <c r="Q3972" i="22" s="1"/>
  <c r="P3945" i="22"/>
  <c r="Q3945" i="22" s="1"/>
  <c r="P3904" i="22"/>
  <c r="Q3904" i="22" s="1"/>
  <c r="P3900" i="22"/>
  <c r="Q3900" i="22" s="1"/>
  <c r="P3832" i="22"/>
  <c r="Q3832" i="22" s="1"/>
  <c r="P3677" i="22"/>
  <c r="Q3677" i="22" s="1"/>
  <c r="P3662" i="22"/>
  <c r="Q3662" i="22" s="1"/>
  <c r="P3663" i="22"/>
  <c r="Q3663" i="22" s="1"/>
  <c r="P3641" i="22"/>
  <c r="Q3641" i="22" s="1"/>
  <c r="P3607" i="22"/>
  <c r="Q3607" i="22" s="1"/>
  <c r="P3610" i="22"/>
  <c r="Q3610" i="22" s="1"/>
  <c r="P3608" i="22"/>
  <c r="Q3608" i="22" s="1"/>
  <c r="P3571" i="22"/>
  <c r="Q3571" i="22" s="1"/>
  <c r="P3572" i="22"/>
  <c r="Q3572" i="22" s="1"/>
  <c r="P3554" i="22"/>
  <c r="Q3554" i="22" s="1"/>
  <c r="P3518" i="22"/>
  <c r="Q3518" i="22" s="1"/>
  <c r="P3519" i="22"/>
  <c r="Q3519" i="22" s="1"/>
  <c r="P3499" i="22"/>
  <c r="Q3499" i="22" s="1"/>
  <c r="P3500" i="22"/>
  <c r="Q3500" i="22" s="1"/>
  <c r="P3412" i="22"/>
  <c r="Q3412" i="22" s="1"/>
  <c r="P3414" i="22"/>
  <c r="Q3414" i="22" s="1"/>
  <c r="P3411" i="22"/>
  <c r="Q3411" i="22" s="1"/>
  <c r="P3386" i="22"/>
  <c r="Q3386" i="22" s="1"/>
  <c r="P3384" i="22"/>
  <c r="Q3384" i="22" s="1"/>
  <c r="P3467" i="22"/>
  <c r="Q3467" i="22" s="1"/>
  <c r="P3455" i="22"/>
  <c r="Q3455" i="22" s="1"/>
  <c r="P3456" i="22"/>
  <c r="Q3456" i="22" s="1"/>
  <c r="P3422" i="22"/>
  <c r="Q3422" i="22" s="1"/>
  <c r="P3423" i="22"/>
  <c r="Q3423" i="22" s="1"/>
  <c r="P4030" i="22"/>
  <c r="Q4030" i="22" s="1"/>
  <c r="P4013" i="22"/>
  <c r="Q4013" i="22" s="1"/>
  <c r="P3982" i="22"/>
  <c r="Q3982" i="22" s="1"/>
  <c r="P3975" i="22"/>
  <c r="Q3975" i="22" s="1"/>
  <c r="P3941" i="22"/>
  <c r="Q3941" i="22" s="1"/>
  <c r="P3910" i="22"/>
  <c r="Q3910" i="22" s="1"/>
  <c r="P3903" i="22"/>
  <c r="Q3903" i="22" s="1"/>
  <c r="P3877" i="22"/>
  <c r="Q3877" i="22" s="1"/>
  <c r="P3875" i="22"/>
  <c r="Q3875" i="22" s="1"/>
  <c r="P3871" i="22"/>
  <c r="Q3871" i="22" s="1"/>
  <c r="P3869" i="22"/>
  <c r="Q3869" i="22" s="1"/>
  <c r="P3799" i="22"/>
  <c r="Q3799" i="22" s="1"/>
  <c r="P3797" i="22"/>
  <c r="Q3797" i="22" s="1"/>
  <c r="P3770" i="22"/>
  <c r="Q3770" i="22" s="1"/>
  <c r="P3733" i="22"/>
  <c r="Q3733" i="22" s="1"/>
  <c r="P3731" i="22"/>
  <c r="Q3731" i="22" s="1"/>
  <c r="P3735" i="22"/>
  <c r="Q3735" i="22" s="1"/>
  <c r="P3727" i="22"/>
  <c r="Q3727" i="22" s="1"/>
  <c r="P3725" i="22"/>
  <c r="Q3725" i="22" s="1"/>
  <c r="P3716" i="22"/>
  <c r="Q3716" i="22" s="1"/>
  <c r="P3700" i="22"/>
  <c r="Q3700" i="22" s="1"/>
  <c r="P3699" i="22"/>
  <c r="Q3699" i="22" s="1"/>
  <c r="P3681" i="22"/>
  <c r="Q3681" i="22" s="1"/>
  <c r="P3678" i="22"/>
  <c r="Q3678" i="22" s="1"/>
  <c r="P3664" i="22"/>
  <c r="Q3664" i="22" s="1"/>
  <c r="P3645" i="22"/>
  <c r="Q3645" i="22" s="1"/>
  <c r="P3646" i="22"/>
  <c r="Q3646" i="22" s="1"/>
  <c r="P3644" i="22"/>
  <c r="Q3644" i="22" s="1"/>
  <c r="P3642" i="22"/>
  <c r="Q3642" i="22" s="1"/>
  <c r="P3628" i="22"/>
  <c r="Q3628" i="22" s="1"/>
  <c r="P3627" i="22"/>
  <c r="Q3627" i="22" s="1"/>
  <c r="P3609" i="22"/>
  <c r="Q3609" i="22" s="1"/>
  <c r="P3606" i="22"/>
  <c r="Q3606" i="22" s="1"/>
  <c r="P3592" i="22"/>
  <c r="Q3592" i="22" s="1"/>
  <c r="P3591" i="22"/>
  <c r="Q3591" i="22" s="1"/>
  <c r="P3573" i="22"/>
  <c r="Q3573" i="22" s="1"/>
  <c r="P3574" i="22"/>
  <c r="Q3574" i="22" s="1"/>
  <c r="P3570" i="22"/>
  <c r="Q3570" i="22" s="1"/>
  <c r="P3556" i="22"/>
  <c r="Q3556" i="22" s="1"/>
  <c r="P3537" i="22"/>
  <c r="Q3537" i="22" s="1"/>
  <c r="P3536" i="22"/>
  <c r="Q3536" i="22" s="1"/>
  <c r="P3538" i="22"/>
  <c r="Q3538" i="22" s="1"/>
  <c r="P3534" i="22"/>
  <c r="Q3534" i="22" s="1"/>
  <c r="P3520" i="22"/>
  <c r="Q3520" i="22" s="1"/>
  <c r="P3501" i="22"/>
  <c r="Q3501" i="22" s="1"/>
  <c r="P3502" i="22"/>
  <c r="Q3502" i="22" s="1"/>
  <c r="P3498" i="22"/>
  <c r="Q3498" i="22" s="1"/>
  <c r="P3484" i="22"/>
  <c r="Q3484" i="22" s="1"/>
  <c r="P3475" i="22"/>
  <c r="Q3475" i="22" s="1"/>
  <c r="P3476" i="22"/>
  <c r="Q3476" i="22" s="1"/>
  <c r="P3407" i="22"/>
  <c r="Q3407" i="22" s="1"/>
  <c r="P3408" i="22"/>
  <c r="Q3408" i="22" s="1"/>
  <c r="P3393" i="22"/>
  <c r="Q3393" i="22" s="1"/>
  <c r="P3392" i="22"/>
  <c r="Q3392" i="22" s="1"/>
  <c r="P3394" i="22"/>
  <c r="Q3394" i="22" s="1"/>
  <c r="P3441" i="22"/>
  <c r="Q3441" i="22" s="1"/>
  <c r="P3442" i="22"/>
  <c r="Q3442" i="22" s="1"/>
  <c r="P4020" i="22"/>
  <c r="Q4020" i="22" s="1"/>
  <c r="P4029" i="22"/>
  <c r="Q4029" i="22" s="1"/>
  <c r="P4019" i="22"/>
  <c r="Q4019" i="22" s="1"/>
  <c r="P3988" i="22"/>
  <c r="Q3988" i="22" s="1"/>
  <c r="P3984" i="22"/>
  <c r="Q3984" i="22" s="1"/>
  <c r="P3950" i="22"/>
  <c r="Q3950" i="22" s="1"/>
  <c r="P3916" i="22"/>
  <c r="Q3916" i="22" s="1"/>
  <c r="P3912" i="22"/>
  <c r="Q3912" i="22" s="1"/>
  <c r="P3876" i="22"/>
  <c r="Q3876" i="22" s="1"/>
  <c r="P3870" i="22"/>
  <c r="Q3870" i="22" s="1"/>
  <c r="P3844" i="22"/>
  <c r="Q3844" i="22" s="1"/>
  <c r="P3843" i="22"/>
  <c r="Q3843" i="22" s="1"/>
  <c r="P3804" i="22"/>
  <c r="Q3804" i="22" s="1"/>
  <c r="P3772" i="22"/>
  <c r="Q3772" i="22" s="1"/>
  <c r="P3771" i="22"/>
  <c r="Q3771" i="22" s="1"/>
  <c r="P3732" i="22"/>
  <c r="Q3732" i="22" s="1"/>
  <c r="P3685" i="22"/>
  <c r="Q3685" i="22" s="1"/>
  <c r="P3613" i="22"/>
  <c r="Q3613" i="22" s="1"/>
  <c r="P3611" i="22"/>
  <c r="Q3611" i="22" s="1"/>
  <c r="P3615" i="22"/>
  <c r="Q3615" i="22" s="1"/>
  <c r="P3577" i="22"/>
  <c r="Q3577" i="22" s="1"/>
  <c r="P3505" i="22"/>
  <c r="Q3505" i="22" s="1"/>
  <c r="P3461" i="22"/>
  <c r="Q3461" i="22" s="1"/>
  <c r="P3449" i="22"/>
  <c r="Q3449" i="22" s="1"/>
  <c r="P3388" i="22"/>
  <c r="Q3388" i="22" s="1"/>
  <c r="P3390" i="22"/>
  <c r="Q3390" i="22" s="1"/>
  <c r="P3387" i="22"/>
  <c r="Q3387" i="22" s="1"/>
  <c r="P3993" i="22"/>
  <c r="Q3993" i="22" s="1"/>
  <c r="P3808" i="22"/>
  <c r="Q3808" i="22" s="1"/>
  <c r="P3686" i="22"/>
  <c r="Q3686" i="22" s="1"/>
  <c r="P3687" i="22"/>
  <c r="Q3687" i="22" s="1"/>
  <c r="P3667" i="22"/>
  <c r="Q3667" i="22" s="1"/>
  <c r="P3668" i="22"/>
  <c r="Q3668" i="22" s="1"/>
  <c r="P3670" i="22"/>
  <c r="Q3670" i="22" s="1"/>
  <c r="P3596" i="22"/>
  <c r="Q3596" i="22" s="1"/>
  <c r="P3598" i="22"/>
  <c r="Q3598" i="22" s="1"/>
  <c r="P3593" i="22"/>
  <c r="Q3593" i="22" s="1"/>
  <c r="P3506" i="22"/>
  <c r="Q3506" i="22" s="1"/>
  <c r="P3507" i="22"/>
  <c r="Q3507" i="22" s="1"/>
  <c r="P3487" i="22"/>
  <c r="Q3487" i="22" s="1"/>
  <c r="P3488" i="22"/>
  <c r="Q3488" i="22" s="1"/>
  <c r="P4025" i="22"/>
  <c r="Q4025" i="22" s="1"/>
  <c r="P3994" i="22"/>
  <c r="Q3994" i="22" s="1"/>
  <c r="P3987" i="22"/>
  <c r="Q3987" i="22" s="1"/>
  <c r="P3953" i="22"/>
  <c r="Q3953" i="22" s="1"/>
  <c r="P3922" i="22"/>
  <c r="Q3922" i="22" s="1"/>
  <c r="P3915" i="22"/>
  <c r="Q3915" i="22" s="1"/>
  <c r="P3874" i="22"/>
  <c r="Q3874" i="22" s="1"/>
  <c r="P3872" i="22"/>
  <c r="Q3872" i="22" s="1"/>
  <c r="P3817" i="22"/>
  <c r="Q3817" i="22" s="1"/>
  <c r="P3815" i="22"/>
  <c r="Q3815" i="22" s="1"/>
  <c r="P3809" i="22"/>
  <c r="Q3809" i="22" s="1"/>
  <c r="P3802" i="22"/>
  <c r="Q3802" i="22" s="1"/>
  <c r="P3800" i="22"/>
  <c r="Q3800" i="22" s="1"/>
  <c r="P3782" i="22"/>
  <c r="Q3782" i="22" s="1"/>
  <c r="P3783" i="22"/>
  <c r="Q3783" i="22" s="1"/>
  <c r="P3741" i="22"/>
  <c r="Q3741" i="22" s="1"/>
  <c r="P3737" i="22"/>
  <c r="Q3737" i="22" s="1"/>
  <c r="P3730" i="22"/>
  <c r="Q3730" i="22" s="1"/>
  <c r="P3728" i="22"/>
  <c r="Q3728" i="22" s="1"/>
  <c r="P3710" i="22"/>
  <c r="Q3710" i="22" s="1"/>
  <c r="P3711" i="22"/>
  <c r="Q3711" i="22" s="1"/>
  <c r="P3648" i="22"/>
  <c r="Q3648" i="22" s="1"/>
  <c r="P3612" i="22"/>
  <c r="Q3612" i="22" s="1"/>
  <c r="P3576" i="22"/>
  <c r="Q3576" i="22" s="1"/>
  <c r="P3540" i="22"/>
  <c r="Q3540" i="22" s="1"/>
  <c r="P3504" i="22"/>
  <c r="Q3504" i="22" s="1"/>
  <c r="P3477" i="22"/>
  <c r="Q3477" i="22" s="1"/>
  <c r="P3478" i="22"/>
  <c r="Q3478" i="22" s="1"/>
  <c r="P3437" i="22"/>
  <c r="Q3437" i="22" s="1"/>
  <c r="P3395" i="22"/>
  <c r="Q3395" i="22" s="1"/>
  <c r="P3396" i="22"/>
  <c r="Q3396" i="22" s="1"/>
  <c r="P3399" i="22"/>
  <c r="Q3399" i="22" s="1"/>
  <c r="P4024" i="22"/>
  <c r="Q4024" i="22" s="1"/>
  <c r="P3952" i="22"/>
  <c r="Q3952" i="22" s="1"/>
  <c r="P3880" i="22"/>
  <c r="Q3880" i="22" s="1"/>
  <c r="P3879" i="22"/>
  <c r="Q3879" i="22" s="1"/>
  <c r="P3650" i="22"/>
  <c r="Q3650" i="22" s="1"/>
  <c r="P3651" i="22"/>
  <c r="Q3651" i="22" s="1"/>
  <c r="P3631" i="22"/>
  <c r="Q3631" i="22" s="1"/>
  <c r="P3632" i="22"/>
  <c r="Q3632" i="22" s="1"/>
  <c r="P4023" i="22"/>
  <c r="Q4023" i="22" s="1"/>
  <c r="P3958" i="22"/>
  <c r="Q3958" i="22" s="1"/>
  <c r="P4022" i="22"/>
  <c r="Q4022" i="22" s="1"/>
  <c r="P4031" i="22"/>
  <c r="Q4031" i="22" s="1"/>
  <c r="P4000" i="22"/>
  <c r="Q4000" i="22" s="1"/>
  <c r="P3996" i="22"/>
  <c r="Q3996" i="22" s="1"/>
  <c r="P3969" i="22"/>
  <c r="Q3969" i="22" s="1"/>
  <c r="P3959" i="22"/>
  <c r="Q3959" i="22" s="1"/>
  <c r="P3928" i="22"/>
  <c r="Q3928" i="22" s="1"/>
  <c r="P3897" i="22"/>
  <c r="Q3897" i="22" s="1"/>
  <c r="P3887" i="22"/>
  <c r="Q3887" i="22" s="1"/>
  <c r="P3856" i="22"/>
  <c r="Q3856" i="22" s="1"/>
  <c r="P3855" i="22"/>
  <c r="Q3855" i="22" s="1"/>
  <c r="P3816" i="22"/>
  <c r="Q3816" i="22" s="1"/>
  <c r="P3689" i="22"/>
  <c r="Q3689" i="22" s="1"/>
  <c r="P3656" i="22"/>
  <c r="Q3656" i="22" s="1"/>
  <c r="P3653" i="22"/>
  <c r="Q3653" i="22" s="1"/>
  <c r="P3638" i="22"/>
  <c r="Q3638" i="22" s="1"/>
  <c r="P3639" i="22"/>
  <c r="Q3639" i="22" s="1"/>
  <c r="P3619" i="22"/>
  <c r="Q3619" i="22" s="1"/>
  <c r="P3620" i="22"/>
  <c r="Q3620" i="22" s="1"/>
  <c r="P3622" i="22"/>
  <c r="Q3622" i="22" s="1"/>
  <c r="P3617" i="22"/>
  <c r="Q3617" i="22" s="1"/>
  <c r="P3602" i="22"/>
  <c r="Q3602" i="22" s="1"/>
  <c r="P3603" i="22"/>
  <c r="Q3603" i="22" s="1"/>
  <c r="P3583" i="22"/>
  <c r="Q3583" i="22" s="1"/>
  <c r="P3581" i="22"/>
  <c r="Q3581" i="22" s="1"/>
  <c r="P3566" i="22"/>
  <c r="Q3566" i="22" s="1"/>
  <c r="P3567" i="22"/>
  <c r="Q3567" i="22" s="1"/>
  <c r="P3545" i="22"/>
  <c r="Q3545" i="22" s="1"/>
  <c r="P3530" i="22"/>
  <c r="Q3530" i="22" s="1"/>
  <c r="P3511" i="22"/>
  <c r="Q3511" i="22" s="1"/>
  <c r="P3512" i="22"/>
  <c r="Q3512" i="22" s="1"/>
  <c r="P3509" i="22"/>
  <c r="Q3509" i="22" s="1"/>
  <c r="P3494" i="22"/>
  <c r="Q3494" i="22" s="1"/>
  <c r="P3470" i="22"/>
  <c r="Q3470" i="22" s="1"/>
  <c r="P3474" i="22"/>
  <c r="Q3474" i="22" s="1"/>
  <c r="P3471" i="22"/>
  <c r="Q3471" i="22" s="1"/>
  <c r="P3463" i="22"/>
  <c r="Q3463" i="22" s="1"/>
  <c r="P3464" i="22"/>
  <c r="Q3464" i="22" s="1"/>
  <c r="P3466" i="22"/>
  <c r="Q3466" i="22" s="1"/>
  <c r="P3468" i="22"/>
  <c r="Q3468" i="22" s="1"/>
  <c r="P3451" i="22"/>
  <c r="Q3451" i="22" s="1"/>
  <c r="P3452" i="22"/>
  <c r="Q3452" i="22" s="1"/>
  <c r="P4026" i="22"/>
  <c r="Q4026" i="22" s="1"/>
  <c r="P4006" i="22"/>
  <c r="Q4006" i="22" s="1"/>
  <c r="P3999" i="22"/>
  <c r="Q3999" i="22" s="1"/>
  <c r="P3965" i="22"/>
  <c r="Q3965" i="22" s="1"/>
  <c r="P3927" i="22"/>
  <c r="Q3927" i="22" s="1"/>
  <c r="P3893" i="22"/>
  <c r="Q3893" i="22" s="1"/>
  <c r="P3866" i="22"/>
  <c r="Q3866" i="22" s="1"/>
  <c r="P3867" i="22"/>
  <c r="Q3867" i="22" s="1"/>
  <c r="P3821" i="22"/>
  <c r="Q3821" i="22" s="1"/>
  <c r="P3794" i="22"/>
  <c r="Q3794" i="22" s="1"/>
  <c r="P3795" i="22"/>
  <c r="Q3795" i="22" s="1"/>
  <c r="P3757" i="22"/>
  <c r="Q3757" i="22" s="1"/>
  <c r="P3755" i="22"/>
  <c r="Q3755" i="22" s="1"/>
  <c r="P3753" i="22"/>
  <c r="Q3753" i="22" s="1"/>
  <c r="P3751" i="22"/>
  <c r="Q3751" i="22" s="1"/>
  <c r="P3759" i="22"/>
  <c r="Q3759" i="22" s="1"/>
  <c r="P3749" i="22"/>
  <c r="Q3749" i="22" s="1"/>
  <c r="P3722" i="22"/>
  <c r="Q3722" i="22" s="1"/>
  <c r="P3723" i="22"/>
  <c r="Q3723" i="22" s="1"/>
  <c r="P3693" i="22"/>
  <c r="Q3693" i="22" s="1"/>
  <c r="P3692" i="22"/>
  <c r="Q3692" i="22" s="1"/>
  <c r="P3690" i="22"/>
  <c r="Q3690" i="22" s="1"/>
  <c r="P3676" i="22"/>
  <c r="Q3676" i="22" s="1"/>
  <c r="P3680" i="22"/>
  <c r="Q3680" i="22" s="1"/>
  <c r="P3682" i="22"/>
  <c r="Q3682" i="22" s="1"/>
  <c r="P3675" i="22"/>
  <c r="Q3675" i="22" s="1"/>
  <c r="P3657" i="22"/>
  <c r="Q3657" i="22" s="1"/>
  <c r="P3658" i="22"/>
  <c r="Q3658" i="22" s="1"/>
  <c r="P3640" i="22"/>
  <c r="Q3640" i="22" s="1"/>
  <c r="P3618" i="22"/>
  <c r="Q3618" i="22" s="1"/>
  <c r="P3604" i="22"/>
  <c r="Q3604" i="22" s="1"/>
  <c r="P3585" i="22"/>
  <c r="Q3585" i="22" s="1"/>
  <c r="P3584" i="22"/>
  <c r="Q3584" i="22" s="1"/>
  <c r="P3582" i="22"/>
  <c r="Q3582" i="22" s="1"/>
  <c r="P3568" i="22"/>
  <c r="Q3568" i="22" s="1"/>
  <c r="P3549" i="22"/>
  <c r="Q3549" i="22" s="1"/>
  <c r="P3548" i="22"/>
  <c r="Q3548" i="22" s="1"/>
  <c r="P3532" i="22"/>
  <c r="Q3532" i="22" s="1"/>
  <c r="P3510" i="22"/>
  <c r="Q3510" i="22" s="1"/>
  <c r="P3496" i="22"/>
  <c r="Q3496" i="22" s="1"/>
  <c r="P3495" i="22"/>
  <c r="Q3495" i="22" s="1"/>
  <c r="P3479" i="22"/>
  <c r="Q3479" i="22" s="1"/>
  <c r="P3480" i="22"/>
  <c r="Q3480" i="22" s="1"/>
  <c r="P3483" i="22"/>
  <c r="Q3483" i="22" s="1"/>
  <c r="P3458" i="22"/>
  <c r="Q3458" i="22" s="1"/>
  <c r="P3462" i="22"/>
  <c r="Q3462" i="22" s="1"/>
  <c r="P3459" i="22"/>
  <c r="Q3459" i="22" s="1"/>
  <c r="P3446" i="22"/>
  <c r="Q3446" i="22" s="1"/>
  <c r="P3447" i="22"/>
  <c r="Q3447" i="22" s="1"/>
  <c r="P3439" i="22"/>
  <c r="Q3439" i="22" s="1"/>
  <c r="P3440" i="22"/>
  <c r="Q3440" i="22" s="1"/>
  <c r="P3425" i="22"/>
  <c r="Q3425" i="22" s="1"/>
  <c r="P3541" i="22"/>
  <c r="Q3541" i="22" s="1"/>
  <c r="P3517" i="22"/>
  <c r="Q3517" i="22" s="1"/>
  <c r="P3409" i="22"/>
  <c r="Q3409" i="22" s="1"/>
  <c r="P3397" i="22"/>
  <c r="Q3397" i="22" s="1"/>
  <c r="P3380" i="22"/>
  <c r="Q3380" i="22" s="1"/>
  <c r="P3649" i="22"/>
  <c r="Q3649" i="22" s="1"/>
  <c r="P3493" i="22"/>
  <c r="Q3493" i="22" s="1"/>
  <c r="P3805" i="22"/>
  <c r="Q3805" i="22" s="1"/>
  <c r="P3661" i="22"/>
  <c r="Q3661" i="22" s="1"/>
  <c r="P3625" i="22"/>
  <c r="Q3625" i="22" s="1"/>
  <c r="P3385" i="22"/>
  <c r="Q3385" i="22" s="1"/>
  <c r="P3379" i="22"/>
  <c r="Q3379" i="22" s="1"/>
  <c r="P1014" i="22"/>
  <c r="Q1014" i="22" s="1"/>
  <c r="P1139" i="22"/>
  <c r="Q1139" i="22" s="1"/>
  <c r="P625" i="22"/>
  <c r="Q625" i="22" s="1"/>
  <c r="P610" i="22"/>
  <c r="Q610" i="22" s="1"/>
  <c r="P1884" i="22"/>
  <c r="Q1884" i="22" s="1"/>
  <c r="P1934" i="22"/>
  <c r="Q1934" i="22" s="1"/>
  <c r="P2065" i="22"/>
  <c r="Q2065" i="22" s="1"/>
  <c r="P469" i="22"/>
  <c r="Q469" i="22" s="1"/>
  <c r="P454" i="22"/>
  <c r="Q454" i="22" s="1"/>
  <c r="P1940" i="22"/>
  <c r="Q1940" i="22" s="1"/>
  <c r="P2170" i="22"/>
  <c r="Q2170" i="22" s="1"/>
  <c r="P105" i="22"/>
  <c r="Q105" i="22" s="1"/>
  <c r="P177" i="22"/>
  <c r="Q177" i="22" s="1"/>
  <c r="P1696" i="22"/>
  <c r="Q1696" i="22" s="1"/>
  <c r="P1883" i="22"/>
  <c r="Q1883" i="22" s="1"/>
  <c r="P364" i="22"/>
  <c r="Q364" i="22" s="1"/>
  <c r="P81" i="22"/>
  <c r="Q81" i="22" s="1"/>
  <c r="P15" i="22"/>
  <c r="Q15" i="22" s="1"/>
  <c r="P1226" i="22"/>
  <c r="Q1226" i="22" s="1"/>
  <c r="P1324" i="22"/>
  <c r="Q1324" i="22" s="1"/>
  <c r="P1730" i="22"/>
  <c r="Q1730" i="22" s="1"/>
  <c r="P319" i="22"/>
  <c r="Q319" i="22" s="1"/>
  <c r="P1968" i="22"/>
  <c r="Q1968" i="22" s="1"/>
  <c r="P844" i="22"/>
  <c r="Q844" i="22" s="1"/>
  <c r="P132" i="22"/>
  <c r="Q132" i="22" s="1"/>
  <c r="P168" i="22"/>
  <c r="Q168" i="22" s="1"/>
  <c r="P1151" i="22"/>
  <c r="Q1151" i="22" s="1"/>
  <c r="P1171" i="22"/>
  <c r="Q1171" i="22" s="1"/>
  <c r="P1223" i="22"/>
  <c r="Q1223" i="22" s="1"/>
  <c r="P1234" i="22"/>
  <c r="Q1234" i="22" s="1"/>
  <c r="P1243" i="22"/>
  <c r="Q1243" i="22" s="1"/>
  <c r="P1459" i="22"/>
  <c r="Q1459" i="22" s="1"/>
  <c r="P1567" i="22"/>
  <c r="Q1567" i="22" s="1"/>
  <c r="P2215" i="22"/>
  <c r="Q2215" i="22" s="1"/>
  <c r="P334" i="22"/>
  <c r="Q334" i="22" s="1"/>
  <c r="P1914" i="22"/>
  <c r="Q1914" i="22" s="1"/>
  <c r="P1135" i="22"/>
  <c r="Q1135" i="22" s="1"/>
  <c r="P1168" i="22"/>
  <c r="Q1168" i="22" s="1"/>
  <c r="P463" i="22"/>
  <c r="Q463" i="22" s="1"/>
  <c r="P1944" i="22"/>
  <c r="Q1944" i="22" s="1"/>
  <c r="P886" i="22"/>
  <c r="Q886" i="22" s="1"/>
  <c r="P2560" i="22"/>
  <c r="Q2560" i="22" s="1"/>
  <c r="P850" i="22"/>
  <c r="Q850" i="22" s="1"/>
  <c r="P655" i="22"/>
  <c r="Q655" i="22" s="1"/>
  <c r="P667" i="22"/>
  <c r="Q667" i="22" s="1"/>
  <c r="P703" i="22"/>
  <c r="Q703" i="22" s="1"/>
  <c r="P735" i="22"/>
  <c r="Q735" i="22" s="1"/>
  <c r="P739" i="22"/>
  <c r="Q739" i="22" s="1"/>
  <c r="P1063" i="22"/>
  <c r="Q1063" i="22" s="1"/>
  <c r="P1390" i="22"/>
  <c r="Q1390" i="22" s="1"/>
  <c r="P292" i="22"/>
  <c r="Q292" i="22" s="1"/>
  <c r="P629" i="22"/>
  <c r="Q629" i="22" s="1"/>
  <c r="P2213" i="22"/>
  <c r="Q2213" i="22" s="1"/>
  <c r="P215" i="22"/>
  <c r="Q215" i="22" s="1"/>
  <c r="P223" i="22"/>
  <c r="Q223" i="22" s="1"/>
  <c r="P287" i="22"/>
  <c r="Q287" i="22" s="1"/>
  <c r="P422" i="22"/>
  <c r="Q422" i="22" s="1"/>
  <c r="P565" i="22"/>
  <c r="Q565" i="22" s="1"/>
  <c r="P609" i="22"/>
  <c r="Q609" i="22" s="1"/>
  <c r="P616" i="22"/>
  <c r="Q616" i="22" s="1"/>
  <c r="P927" i="22"/>
  <c r="Q927" i="22" s="1"/>
  <c r="P1208" i="22"/>
  <c r="Q1208" i="22" s="1"/>
  <c r="P1667" i="22"/>
  <c r="Q1667" i="22" s="1"/>
  <c r="P1758" i="22"/>
  <c r="Q1758" i="22" s="1"/>
  <c r="P1842" i="22"/>
  <c r="Q1842" i="22" s="1"/>
  <c r="P1855" i="22"/>
  <c r="Q1855" i="22" s="1"/>
  <c r="P2012" i="22"/>
  <c r="Q2012" i="22" s="1"/>
  <c r="P2038" i="22"/>
  <c r="Q2038" i="22" s="1"/>
  <c r="P2144" i="22"/>
  <c r="Q2144" i="22" s="1"/>
  <c r="P2200" i="22"/>
  <c r="Q2200" i="22" s="1"/>
  <c r="P2406" i="22"/>
  <c r="Q2406" i="22" s="1"/>
  <c r="P2428" i="22"/>
  <c r="Q2428" i="22" s="1"/>
  <c r="P2883" i="22"/>
  <c r="Q2883" i="22" s="1"/>
  <c r="P2964" i="22"/>
  <c r="Q2964" i="22" s="1"/>
  <c r="P2452" i="22"/>
  <c r="Q2452" i="22" s="1"/>
  <c r="P2153" i="22"/>
  <c r="Q2153" i="22" s="1"/>
  <c r="P285" i="22"/>
  <c r="Q285" i="22" s="1"/>
  <c r="P802" i="22"/>
  <c r="Q802" i="22" s="1"/>
  <c r="P1229" i="22"/>
  <c r="Q1229" i="22" s="1"/>
  <c r="P608" i="22"/>
  <c r="Q608" i="22" s="1"/>
  <c r="P403" i="22"/>
  <c r="Q403" i="22" s="1"/>
  <c r="P1553" i="22"/>
  <c r="Q1553" i="22" s="1"/>
  <c r="P1739" i="22"/>
  <c r="Q1739" i="22" s="1"/>
  <c r="P1969" i="22"/>
  <c r="Q1969" i="22" s="1"/>
  <c r="P147" i="22"/>
  <c r="Q147" i="22" s="1"/>
  <c r="P1645" i="22"/>
  <c r="Q1645" i="22" s="1"/>
  <c r="P249" i="22"/>
  <c r="Q249" i="22" s="1"/>
  <c r="P373" i="22"/>
  <c r="Q373" i="22" s="1"/>
  <c r="P400" i="22"/>
  <c r="Q400" i="22" s="1"/>
  <c r="P539" i="22"/>
  <c r="Q539" i="22" s="1"/>
  <c r="P547" i="22"/>
  <c r="Q547" i="22" s="1"/>
  <c r="P563" i="22"/>
  <c r="Q563" i="22" s="1"/>
  <c r="P734" i="22"/>
  <c r="Q734" i="22" s="1"/>
  <c r="P877" i="22"/>
  <c r="Q877" i="22" s="1"/>
  <c r="P957" i="22"/>
  <c r="Q957" i="22" s="1"/>
  <c r="P2665" i="22"/>
  <c r="Q2665" i="22" s="1"/>
  <c r="P1036" i="22"/>
  <c r="Q1036" i="22" s="1"/>
  <c r="P1091" i="22"/>
  <c r="Q1091" i="22" s="1"/>
  <c r="P1514" i="22"/>
  <c r="Q1514" i="22" s="1"/>
  <c r="P1838" i="22"/>
  <c r="Q1838" i="22" s="1"/>
  <c r="P2903" i="22"/>
  <c r="Q2903" i="22" s="1"/>
  <c r="P8" i="22"/>
  <c r="Q8" i="22" s="1"/>
  <c r="P617" i="22"/>
  <c r="Q617" i="22" s="1"/>
  <c r="P698" i="22"/>
  <c r="Q698" i="22" s="1"/>
  <c r="P1513" i="22"/>
  <c r="Q1513" i="22" s="1"/>
  <c r="P2033" i="22"/>
  <c r="Q2033" i="22" s="1"/>
  <c r="P313" i="22"/>
  <c r="Q313" i="22" s="1"/>
  <c r="P455" i="22"/>
  <c r="Q455" i="22" s="1"/>
  <c r="P1075" i="22"/>
  <c r="Q1075" i="22" s="1"/>
  <c r="P1164" i="22"/>
  <c r="Q1164" i="22" s="1"/>
  <c r="P1187" i="22"/>
  <c r="Q1187" i="22" s="1"/>
  <c r="P1284" i="22"/>
  <c r="Q1284" i="22" s="1"/>
  <c r="P1871" i="22"/>
  <c r="Q1871" i="22" s="1"/>
  <c r="P2442" i="22"/>
  <c r="Q2442" i="22" s="1"/>
  <c r="P409" i="22"/>
  <c r="Q409" i="22" s="1"/>
  <c r="P418" i="22"/>
  <c r="Q418" i="22" s="1"/>
  <c r="P584" i="22"/>
  <c r="Q584" i="22" s="1"/>
  <c r="P671" i="22"/>
  <c r="Q671" i="22" s="1"/>
  <c r="P3133" i="22"/>
  <c r="Q3133" i="22" s="1"/>
  <c r="P970" i="22"/>
  <c r="Q970" i="22" s="1"/>
  <c r="P1471" i="22"/>
  <c r="Q1471" i="22" s="1"/>
  <c r="P1092" i="22"/>
  <c r="Q1092" i="22" s="1"/>
  <c r="P1217" i="22"/>
  <c r="Q1217" i="22" s="1"/>
  <c r="P790" i="22"/>
  <c r="Q790" i="22" s="1"/>
  <c r="P391" i="22"/>
  <c r="Q391" i="22" s="1"/>
  <c r="P580" i="22"/>
  <c r="Q580" i="22" s="1"/>
  <c r="P1055" i="22"/>
  <c r="Q1055" i="22" s="1"/>
  <c r="P1612" i="22"/>
  <c r="Q1612" i="22" s="1"/>
  <c r="P2193" i="22"/>
  <c r="Q2193" i="22" s="1"/>
  <c r="P2293" i="22"/>
  <c r="Q2293" i="22" s="1"/>
  <c r="P53" i="22"/>
  <c r="Q53" i="22" s="1"/>
  <c r="P125" i="22"/>
  <c r="Q125" i="22" s="1"/>
  <c r="P140" i="22"/>
  <c r="Q140" i="22" s="1"/>
  <c r="P218" i="22"/>
  <c r="Q218" i="22" s="1"/>
  <c r="P240" i="22"/>
  <c r="Q240" i="22" s="1"/>
  <c r="P358" i="22"/>
  <c r="Q358" i="22" s="1"/>
  <c r="P377" i="22"/>
  <c r="Q377" i="22" s="1"/>
  <c r="P530" i="22"/>
  <c r="Q530" i="22" s="1"/>
  <c r="P532" i="22"/>
  <c r="Q532" i="22" s="1"/>
  <c r="P564" i="22"/>
  <c r="Q564" i="22" s="1"/>
  <c r="P866" i="22"/>
  <c r="Q866" i="22" s="1"/>
  <c r="P1199" i="22"/>
  <c r="Q1199" i="22" s="1"/>
  <c r="P1211" i="22"/>
  <c r="Q1211" i="22" s="1"/>
  <c r="P1242" i="22"/>
  <c r="Q1242" i="22" s="1"/>
  <c r="P1718" i="22"/>
  <c r="Q1718" i="22" s="1"/>
  <c r="P2011" i="22"/>
  <c r="Q2011" i="22" s="1"/>
  <c r="P2618" i="22"/>
  <c r="Q2618" i="22" s="1"/>
  <c r="P3078" i="22"/>
  <c r="Q3078" i="22" s="1"/>
  <c r="P637" i="22"/>
  <c r="Q637" i="22" s="1"/>
  <c r="P1732" i="22"/>
  <c r="Q1732" i="22" s="1"/>
  <c r="P412" i="22"/>
  <c r="Q412" i="22" s="1"/>
  <c r="P1346" i="22"/>
  <c r="Q1346" i="22" s="1"/>
  <c r="P1222" i="22"/>
  <c r="Q1222" i="22" s="1"/>
  <c r="P1681" i="22"/>
  <c r="Q1681" i="22" s="1"/>
  <c r="P1919" i="22"/>
  <c r="Q1919" i="22" s="1"/>
  <c r="P20" i="22"/>
  <c r="Q20" i="22" s="1"/>
  <c r="P453" i="22"/>
  <c r="Q453" i="22" s="1"/>
  <c r="P683" i="22"/>
  <c r="Q683" i="22" s="1"/>
  <c r="P990" i="22"/>
  <c r="Q990" i="22" s="1"/>
  <c r="P1061" i="22"/>
  <c r="Q1061" i="22" s="1"/>
  <c r="P1277" i="22"/>
  <c r="Q1277" i="22" s="1"/>
  <c r="P2211" i="22"/>
  <c r="Q2211" i="22" s="1"/>
  <c r="P213" i="22"/>
  <c r="Q213" i="22" s="1"/>
  <c r="P266" i="22"/>
  <c r="Q266" i="22" s="1"/>
  <c r="P801" i="22"/>
  <c r="Q801" i="22" s="1"/>
  <c r="P102" i="22"/>
  <c r="Q102" i="22" s="1"/>
  <c r="P176" i="22"/>
  <c r="Q176" i="22" s="1"/>
  <c r="P183" i="22"/>
  <c r="Q183" i="22" s="1"/>
  <c r="P382" i="22"/>
  <c r="Q382" i="22" s="1"/>
  <c r="P501" i="22"/>
  <c r="Q501" i="22" s="1"/>
  <c r="P535" i="22"/>
  <c r="Q535" i="22" s="1"/>
  <c r="P748" i="22"/>
  <c r="Q748" i="22" s="1"/>
  <c r="P768" i="22"/>
  <c r="Q768" i="22" s="1"/>
  <c r="P1433" i="22"/>
  <c r="Q1433" i="22" s="1"/>
  <c r="P1454" i="22"/>
  <c r="Q1454" i="22" s="1"/>
  <c r="P1460" i="22"/>
  <c r="Q1460" i="22" s="1"/>
  <c r="P1738" i="22"/>
  <c r="Q1738" i="22" s="1"/>
  <c r="P1996" i="22"/>
  <c r="Q1996" i="22" s="1"/>
  <c r="P2236" i="22"/>
  <c r="Q2236" i="22" s="1"/>
  <c r="P736" i="22"/>
  <c r="Q736" i="22" s="1"/>
  <c r="P1216" i="22"/>
  <c r="Q1216" i="22" s="1"/>
  <c r="P1235" i="22"/>
  <c r="Q1235" i="22" s="1"/>
  <c r="P1457" i="22"/>
  <c r="Q1457" i="22" s="1"/>
  <c r="P1587" i="22"/>
  <c r="Q1587" i="22" s="1"/>
  <c r="P39" i="22"/>
  <c r="Q39" i="22" s="1"/>
  <c r="P73" i="22"/>
  <c r="Q73" i="22" s="1"/>
  <c r="P95" i="22"/>
  <c r="Q95" i="22" s="1"/>
  <c r="P336" i="22"/>
  <c r="Q336" i="22" s="1"/>
  <c r="P1328" i="22"/>
  <c r="Q1328" i="22" s="1"/>
  <c r="P494" i="22"/>
  <c r="Q494" i="22" s="1"/>
  <c r="P502" i="22"/>
  <c r="Q502" i="22" s="1"/>
  <c r="P574" i="22"/>
  <c r="Q574" i="22" s="1"/>
  <c r="P787" i="22"/>
  <c r="Q787" i="22" s="1"/>
  <c r="P852" i="22"/>
  <c r="Q852" i="22" s="1"/>
  <c r="P1000" i="22"/>
  <c r="Q1000" i="22" s="1"/>
  <c r="P1161" i="22"/>
  <c r="Q1161" i="22" s="1"/>
  <c r="P2141" i="22"/>
  <c r="Q2141" i="22" s="1"/>
  <c r="P1379" i="22"/>
  <c r="Q1379" i="22" s="1"/>
  <c r="P1383" i="22"/>
  <c r="Q1383" i="22" s="1"/>
  <c r="P1565" i="22"/>
  <c r="Q1565" i="22" s="1"/>
  <c r="P1725" i="22"/>
  <c r="Q1725" i="22" s="1"/>
  <c r="P1954" i="22"/>
  <c r="Q1954" i="22" s="1"/>
  <c r="P2217" i="22"/>
  <c r="Q2217" i="22" s="1"/>
  <c r="P2529" i="22"/>
  <c r="Q2529" i="22" s="1"/>
  <c r="P2596" i="22"/>
  <c r="Q2596" i="22" s="1"/>
  <c r="P490" i="22"/>
  <c r="Q490" i="22" s="1"/>
  <c r="P638" i="22"/>
  <c r="Q638" i="22" s="1"/>
  <c r="P1636" i="22"/>
  <c r="Q1636" i="22" s="1"/>
  <c r="P2069" i="22"/>
  <c r="Q2069" i="22" s="1"/>
  <c r="P3116" i="22"/>
  <c r="Q3116" i="22" s="1"/>
  <c r="P261" i="22"/>
  <c r="Q261" i="22" s="1"/>
  <c r="P289" i="22"/>
  <c r="Q289" i="22" s="1"/>
  <c r="P467" i="22"/>
  <c r="Q467" i="22" s="1"/>
  <c r="P601" i="22"/>
  <c r="Q601" i="22" s="1"/>
  <c r="P1108" i="22"/>
  <c r="Q1108" i="22" s="1"/>
  <c r="P1241" i="22"/>
  <c r="Q1241" i="22" s="1"/>
  <c r="P1780" i="22"/>
  <c r="Q1780" i="22" s="1"/>
  <c r="P1793" i="22"/>
  <c r="Q1793" i="22" s="1"/>
  <c r="P1794" i="22"/>
  <c r="Q1794" i="22" s="1"/>
  <c r="P611" i="22"/>
  <c r="Q611" i="22" s="1"/>
  <c r="P839" i="22"/>
  <c r="Q839" i="22" s="1"/>
  <c r="P1064" i="22"/>
  <c r="Q1064" i="22" s="1"/>
  <c r="P1215" i="22"/>
  <c r="Q1215" i="22" s="1"/>
  <c r="P194" i="22"/>
  <c r="Q194" i="22" s="1"/>
  <c r="P568" i="22"/>
  <c r="Q568" i="22" s="1"/>
  <c r="P685" i="22"/>
  <c r="Q685" i="22" s="1"/>
  <c r="P892" i="22"/>
  <c r="Q892" i="22" s="1"/>
  <c r="P2648" i="22"/>
  <c r="Q2648" i="22" s="1"/>
  <c r="P46" i="22"/>
  <c r="Q46" i="22" s="1"/>
  <c r="P1605" i="22"/>
  <c r="Q1605" i="22" s="1"/>
  <c r="P219" i="22"/>
  <c r="Q219" i="22" s="1"/>
  <c r="P355" i="22"/>
  <c r="Q355" i="22" s="1"/>
  <c r="P523" i="22"/>
  <c r="Q523" i="22" s="1"/>
  <c r="P32" i="22"/>
  <c r="Q32" i="22" s="1"/>
  <c r="P69" i="22"/>
  <c r="Q69" i="22" s="1"/>
  <c r="P2360" i="22"/>
  <c r="Q2360" i="22" s="1"/>
  <c r="P485" i="22"/>
  <c r="Q485" i="22" s="1"/>
  <c r="P487" i="22"/>
  <c r="Q487" i="22" s="1"/>
  <c r="P499" i="22"/>
  <c r="Q499" i="22" s="1"/>
  <c r="P670" i="22"/>
  <c r="Q670" i="22" s="1"/>
  <c r="P682" i="22"/>
  <c r="Q682" i="22" s="1"/>
  <c r="P706" i="22"/>
  <c r="Q706" i="22" s="1"/>
  <c r="P718" i="22"/>
  <c r="Q718" i="22" s="1"/>
  <c r="P905" i="22"/>
  <c r="Q905" i="22" s="1"/>
  <c r="P1154" i="22"/>
  <c r="Q1154" i="22" s="1"/>
  <c r="P1400" i="22"/>
  <c r="Q1400" i="22" s="1"/>
  <c r="P1554" i="22"/>
  <c r="Q1554" i="22" s="1"/>
  <c r="P1669" i="22"/>
  <c r="Q1669" i="22" s="1"/>
  <c r="P1697" i="22"/>
  <c r="Q1697" i="22" s="1"/>
  <c r="P1708" i="22"/>
  <c r="Q1708" i="22" s="1"/>
  <c r="P1717" i="22"/>
  <c r="Q1717" i="22" s="1"/>
  <c r="P1729" i="22"/>
  <c r="Q1729" i="22" s="1"/>
  <c r="P1970" i="22"/>
  <c r="Q1970" i="22" s="1"/>
  <c r="P2042" i="22"/>
  <c r="Q2042" i="22" s="1"/>
  <c r="P2609" i="22"/>
  <c r="Q2609" i="22" s="1"/>
  <c r="P1095" i="22"/>
  <c r="Q1095" i="22" s="1"/>
  <c r="P311" i="22"/>
  <c r="Q311" i="22" s="1"/>
  <c r="P436" i="22"/>
  <c r="Q436" i="22" s="1"/>
  <c r="P1140" i="22"/>
  <c r="Q1140" i="22" s="1"/>
  <c r="P1777" i="22"/>
  <c r="Q1777" i="22" s="1"/>
  <c r="P206" i="22"/>
  <c r="Q206" i="22" s="1"/>
  <c r="P988" i="22"/>
  <c r="Q988" i="22" s="1"/>
  <c r="P1952" i="22"/>
  <c r="Q1952" i="22" s="1"/>
  <c r="P173" i="22"/>
  <c r="Q173" i="22" s="1"/>
  <c r="P356" i="22"/>
  <c r="Q356" i="22" s="1"/>
  <c r="P1090" i="22"/>
  <c r="Q1090" i="22" s="1"/>
  <c r="P1432" i="22"/>
  <c r="Q1432" i="22" s="1"/>
  <c r="P1904" i="22"/>
  <c r="Q1904" i="22" s="1"/>
  <c r="P116" i="22"/>
  <c r="Q116" i="22" s="1"/>
  <c r="P193" i="22"/>
  <c r="Q193" i="22" s="1"/>
  <c r="P221" i="22"/>
  <c r="Q221" i="22" s="1"/>
  <c r="P509" i="22"/>
  <c r="Q509" i="22" s="1"/>
  <c r="P521" i="22"/>
  <c r="Q521" i="22" s="1"/>
  <c r="P566" i="22"/>
  <c r="Q566" i="22" s="1"/>
  <c r="P721" i="22"/>
  <c r="Q721" i="22" s="1"/>
  <c r="P837" i="22"/>
  <c r="Q837" i="22" s="1"/>
  <c r="P863" i="22"/>
  <c r="Q863" i="22" s="1"/>
  <c r="P918" i="22"/>
  <c r="Q918" i="22" s="1"/>
  <c r="P926" i="22"/>
  <c r="Q926" i="22" s="1"/>
  <c r="P930" i="22"/>
  <c r="Q930" i="22" s="1"/>
  <c r="P952" i="22"/>
  <c r="Q952" i="22" s="1"/>
  <c r="P966" i="22"/>
  <c r="Q966" i="22" s="1"/>
  <c r="P1318" i="22"/>
  <c r="Q1318" i="22" s="1"/>
  <c r="P1367" i="22"/>
  <c r="Q1367" i="22" s="1"/>
  <c r="P1615" i="22"/>
  <c r="Q1615" i="22" s="1"/>
  <c r="P1701" i="22"/>
  <c r="Q1701" i="22" s="1"/>
  <c r="P1893" i="22"/>
  <c r="Q1893" i="22" s="1"/>
  <c r="P1950" i="22"/>
  <c r="Q1950" i="22" s="1"/>
  <c r="P1992" i="22"/>
  <c r="Q1992" i="22" s="1"/>
  <c r="P2214" i="22"/>
  <c r="Q2214" i="22" s="1"/>
  <c r="P2699" i="22"/>
  <c r="Q2699" i="22" s="1"/>
  <c r="P2892" i="22"/>
  <c r="Q2892" i="22" s="1"/>
  <c r="P2891" i="22"/>
  <c r="Q2891" i="22" s="1"/>
  <c r="P2963" i="22"/>
  <c r="Q2963" i="22" s="1"/>
  <c r="P2975" i="22"/>
  <c r="Q2975" i="22" s="1"/>
  <c r="P3270" i="22"/>
  <c r="Q3270" i="22" s="1"/>
  <c r="P482" i="22"/>
  <c r="Q482" i="22" s="1"/>
  <c r="P1372" i="22"/>
  <c r="Q1372" i="22" s="1"/>
  <c r="P185" i="22"/>
  <c r="Q185" i="22" s="1"/>
  <c r="P715" i="22"/>
  <c r="Q715" i="22" s="1"/>
  <c r="P1320" i="22"/>
  <c r="Q1320" i="22" s="1"/>
  <c r="P2274" i="22"/>
  <c r="Q2274" i="22" s="1"/>
  <c r="P2676" i="22"/>
  <c r="Q2676" i="22" s="1"/>
  <c r="P1293" i="22"/>
  <c r="Q1293" i="22" s="1"/>
  <c r="P1900" i="22"/>
  <c r="Q1900" i="22" s="1"/>
  <c r="P112" i="22"/>
  <c r="Q112" i="22" s="1"/>
  <c r="P276" i="22"/>
  <c r="Q276" i="22" s="1"/>
  <c r="P394" i="22"/>
  <c r="Q394" i="22" s="1"/>
  <c r="P117" i="22"/>
  <c r="Q117" i="22" s="1"/>
  <c r="P164" i="22"/>
  <c r="Q164" i="22" s="1"/>
  <c r="P205" i="22"/>
  <c r="Q205" i="22" s="1"/>
  <c r="P209" i="22"/>
  <c r="Q209" i="22" s="1"/>
  <c r="P226" i="22"/>
  <c r="Q226" i="22" s="1"/>
  <c r="P228" i="22"/>
  <c r="Q228" i="22" s="1"/>
  <c r="P250" i="22"/>
  <c r="Q250" i="22" s="1"/>
  <c r="P2330" i="22"/>
  <c r="Q2330" i="22" s="1"/>
  <c r="P295" i="22"/>
  <c r="Q295" i="22" s="1"/>
  <c r="P325" i="22"/>
  <c r="Q325" i="22" s="1"/>
  <c r="P333" i="22"/>
  <c r="Q333" i="22" s="1"/>
  <c r="P372" i="22"/>
  <c r="Q372" i="22" s="1"/>
  <c r="P379" i="22"/>
  <c r="Q379" i="22" s="1"/>
  <c r="P424" i="22"/>
  <c r="Q424" i="22" s="1"/>
  <c r="P433" i="22"/>
  <c r="Q433" i="22" s="1"/>
  <c r="P2120" i="22"/>
  <c r="Q2120" i="22" s="1"/>
  <c r="P444" i="22"/>
  <c r="Q444" i="22" s="1"/>
  <c r="P448" i="22"/>
  <c r="Q448" i="22" s="1"/>
  <c r="P484" i="22"/>
  <c r="Q484" i="22" s="1"/>
  <c r="P491" i="22"/>
  <c r="Q491" i="22" s="1"/>
  <c r="P714" i="22"/>
  <c r="Q714" i="22" s="1"/>
  <c r="P830" i="22"/>
  <c r="Q830" i="22" s="1"/>
  <c r="P838" i="22"/>
  <c r="Q838" i="22" s="1"/>
  <c r="P856" i="22"/>
  <c r="Q856" i="22" s="1"/>
  <c r="P876" i="22"/>
  <c r="Q876" i="22" s="1"/>
  <c r="P911" i="22"/>
  <c r="Q911" i="22" s="1"/>
  <c r="P923" i="22"/>
  <c r="Q923" i="22" s="1"/>
  <c r="P955" i="22"/>
  <c r="Q955" i="22" s="1"/>
  <c r="P1033" i="22"/>
  <c r="Q1033" i="22" s="1"/>
  <c r="P1280" i="22"/>
  <c r="Q1280" i="22" s="1"/>
  <c r="P1586" i="22"/>
  <c r="Q1586" i="22" s="1"/>
  <c r="P1619" i="22"/>
  <c r="Q1619" i="22" s="1"/>
  <c r="P1648" i="22"/>
  <c r="Q1648" i="22" s="1"/>
  <c r="P1898" i="22"/>
  <c r="Q1898" i="22" s="1"/>
  <c r="P2126" i="22"/>
  <c r="Q2126" i="22" s="1"/>
  <c r="P2137" i="22"/>
  <c r="Q2137" i="22" s="1"/>
  <c r="P2254" i="22"/>
  <c r="Q2254" i="22" s="1"/>
  <c r="P2654" i="22"/>
  <c r="Q2654" i="22" s="1"/>
  <c r="P2884" i="22"/>
  <c r="Q2884" i="22" s="1"/>
  <c r="P550" i="22"/>
  <c r="Q550" i="22" s="1"/>
  <c r="P1785" i="22"/>
  <c r="Q1785" i="22" s="1"/>
  <c r="P1801" i="22"/>
  <c r="Q1801" i="22" s="1"/>
  <c r="P1809" i="22"/>
  <c r="Q1809" i="22" s="1"/>
  <c r="P161" i="22"/>
  <c r="Q161" i="22" s="1"/>
  <c r="P259" i="22"/>
  <c r="Q259" i="22" s="1"/>
  <c r="P1873" i="22"/>
  <c r="Q1873" i="22" s="1"/>
  <c r="P169" i="22"/>
  <c r="Q169" i="22" s="1"/>
  <c r="P363" i="22"/>
  <c r="Q363" i="22" s="1"/>
  <c r="P921" i="22"/>
  <c r="Q921" i="22" s="1"/>
  <c r="P2756" i="22"/>
  <c r="Q2756" i="22" s="1"/>
  <c r="P167" i="22"/>
  <c r="Q167" i="22" s="1"/>
  <c r="P342" i="22"/>
  <c r="Q342" i="22" s="1"/>
  <c r="P517" i="22"/>
  <c r="Q517" i="22" s="1"/>
  <c r="P152" i="22"/>
  <c r="Q152" i="22" s="1"/>
  <c r="P10" i="22"/>
  <c r="Q10" i="22" s="1"/>
  <c r="P210" i="22"/>
  <c r="Q210" i="22" s="1"/>
  <c r="P233" i="22"/>
  <c r="Q233" i="22" s="1"/>
  <c r="P248" i="22"/>
  <c r="Q248" i="22" s="1"/>
  <c r="P257" i="22"/>
  <c r="Q257" i="22" s="1"/>
  <c r="P312" i="22"/>
  <c r="Q312" i="22" s="1"/>
  <c r="P365" i="22"/>
  <c r="Q365" i="22" s="1"/>
  <c r="P410" i="22"/>
  <c r="Q410" i="22" s="1"/>
  <c r="P835" i="22"/>
  <c r="Q835" i="22" s="1"/>
  <c r="P869" i="22"/>
  <c r="Q869" i="22" s="1"/>
  <c r="P878" i="22"/>
  <c r="Q878" i="22" s="1"/>
  <c r="P1065" i="22"/>
  <c r="Q1065" i="22" s="1"/>
  <c r="P1182" i="22"/>
  <c r="Q1182" i="22" s="1"/>
  <c r="P1209" i="22"/>
  <c r="Q1209" i="22" s="1"/>
  <c r="P1213" i="22"/>
  <c r="Q1213" i="22" s="1"/>
  <c r="P1332" i="22"/>
  <c r="Q1332" i="22" s="1"/>
  <c r="P1365" i="22"/>
  <c r="Q1365" i="22" s="1"/>
  <c r="P1557" i="22"/>
  <c r="Q1557" i="22" s="1"/>
  <c r="P1561" i="22"/>
  <c r="Q1561" i="22" s="1"/>
  <c r="P1579" i="22"/>
  <c r="Q1579" i="22" s="1"/>
  <c r="P1606" i="22"/>
  <c r="Q1606" i="22" s="1"/>
  <c r="P1610" i="22"/>
  <c r="Q1610" i="22" s="1"/>
  <c r="P1891" i="22"/>
  <c r="Q1891" i="22" s="1"/>
  <c r="P1907" i="22"/>
  <c r="Q1907" i="22" s="1"/>
  <c r="P2162" i="22"/>
  <c r="Q2162" i="22" s="1"/>
  <c r="P2759" i="22"/>
  <c r="Q2759" i="22" s="1"/>
  <c r="P2851" i="22"/>
  <c r="Q2851" i="22" s="1"/>
  <c r="P2882" i="22"/>
  <c r="Q2882" i="22" s="1"/>
  <c r="P1374" i="22"/>
  <c r="Q1374" i="22" s="1"/>
  <c r="P492" i="22"/>
  <c r="Q492" i="22" s="1"/>
  <c r="P916" i="22"/>
  <c r="Q916" i="22" s="1"/>
  <c r="P2232" i="22"/>
  <c r="Q2232" i="22" s="1"/>
  <c r="P192" i="22"/>
  <c r="Q192" i="22" s="1"/>
  <c r="P381" i="22"/>
  <c r="Q381" i="22" s="1"/>
  <c r="P1101" i="22"/>
  <c r="Q1101" i="22" s="1"/>
  <c r="P1119" i="22"/>
  <c r="Q1119" i="22" s="1"/>
  <c r="P1931" i="22"/>
  <c r="Q1931" i="22" s="1"/>
  <c r="P3181" i="22"/>
  <c r="Q3181" i="22" s="1"/>
  <c r="P212" i="22"/>
  <c r="Q212" i="22" s="1"/>
  <c r="P242" i="22"/>
  <c r="Q242" i="22" s="1"/>
  <c r="P273" i="22"/>
  <c r="Q273" i="22" s="1"/>
  <c r="P386" i="22"/>
  <c r="Q386" i="22" s="1"/>
  <c r="P37" i="22"/>
  <c r="Q37" i="22" s="1"/>
  <c r="P160" i="22"/>
  <c r="Q160" i="22" s="1"/>
  <c r="P3" i="22"/>
  <c r="Q3" i="22" s="1"/>
  <c r="P153" i="22"/>
  <c r="Q153" i="22" s="1"/>
  <c r="P255" i="22"/>
  <c r="Q255" i="22" s="1"/>
  <c r="P300" i="22"/>
  <c r="Q300" i="22" s="1"/>
  <c r="P380" i="22"/>
  <c r="Q380" i="22" s="1"/>
  <c r="P437" i="22"/>
  <c r="Q437" i="22" s="1"/>
  <c r="P481" i="22"/>
  <c r="Q481" i="22" s="1"/>
  <c r="P823" i="22"/>
  <c r="Q823" i="22" s="1"/>
  <c r="P4" i="22"/>
  <c r="Q4" i="22" s="1"/>
  <c r="P11" i="22"/>
  <c r="Q11" i="22" s="1"/>
  <c r="P50" i="22"/>
  <c r="Q50" i="22" s="1"/>
  <c r="P96" i="22"/>
  <c r="Q96" i="22" s="1"/>
  <c r="P100" i="22"/>
  <c r="Q100" i="22" s="1"/>
  <c r="P107" i="22"/>
  <c r="Q107" i="22" s="1"/>
  <c r="P115" i="22"/>
  <c r="Q115" i="22" s="1"/>
  <c r="P203" i="22"/>
  <c r="Q203" i="22" s="1"/>
  <c r="P262" i="22"/>
  <c r="Q262" i="22" s="1"/>
  <c r="P264" i="22"/>
  <c r="Q264" i="22" s="1"/>
  <c r="P284" i="22"/>
  <c r="Q284" i="22" s="1"/>
  <c r="P307" i="22"/>
  <c r="Q307" i="22" s="1"/>
  <c r="P314" i="22"/>
  <c r="Q314" i="22" s="1"/>
  <c r="P316" i="22"/>
  <c r="Q316" i="22" s="1"/>
  <c r="P323" i="22"/>
  <c r="Q323" i="22" s="1"/>
  <c r="P331" i="22"/>
  <c r="Q331" i="22" s="1"/>
  <c r="P404" i="22"/>
  <c r="Q404" i="22" s="1"/>
  <c r="P406" i="22"/>
  <c r="Q406" i="22" s="1"/>
  <c r="P415" i="22"/>
  <c r="Q415" i="22" s="1"/>
  <c r="P624" i="22"/>
  <c r="Q624" i="22" s="1"/>
  <c r="P647" i="22"/>
  <c r="Q647" i="22" s="1"/>
  <c r="P697" i="22"/>
  <c r="Q697" i="22" s="1"/>
  <c r="P705" i="22"/>
  <c r="Q705" i="22" s="1"/>
  <c r="P812" i="22"/>
  <c r="Q812" i="22" s="1"/>
  <c r="P826" i="22"/>
  <c r="Q826" i="22" s="1"/>
  <c r="P854" i="22"/>
  <c r="Q854" i="22" s="1"/>
  <c r="P1195" i="22"/>
  <c r="Q1195" i="22" s="1"/>
  <c r="P1258" i="22"/>
  <c r="Q1258" i="22" s="1"/>
  <c r="P1321" i="22"/>
  <c r="Q1321" i="22" s="1"/>
  <c r="P1344" i="22"/>
  <c r="Q1344" i="22" s="1"/>
  <c r="P1509" i="22"/>
  <c r="Q1509" i="22" s="1"/>
  <c r="P1552" i="22"/>
  <c r="Q1552" i="22" s="1"/>
  <c r="P1570" i="22"/>
  <c r="Q1570" i="22" s="1"/>
  <c r="P1596" i="22"/>
  <c r="Q1596" i="22" s="1"/>
  <c r="P1767" i="22"/>
  <c r="Q1767" i="22" s="1"/>
  <c r="P1806" i="22"/>
  <c r="Q1806" i="22" s="1"/>
  <c r="P1858" i="22"/>
  <c r="Q1858" i="22" s="1"/>
  <c r="P1896" i="22"/>
  <c r="Q1896" i="22" s="1"/>
  <c r="P2030" i="22"/>
  <c r="Q2030" i="22" s="1"/>
  <c r="P2035" i="22"/>
  <c r="Q2035" i="22" s="1"/>
  <c r="P2101" i="22"/>
  <c r="Q2101" i="22" s="1"/>
  <c r="P2116" i="22"/>
  <c r="Q2116" i="22" s="1"/>
  <c r="P2371" i="22"/>
  <c r="Q2371" i="22" s="1"/>
  <c r="P2605" i="22"/>
  <c r="Q2605" i="22" s="1"/>
  <c r="P2604" i="22"/>
  <c r="Q2604" i="22" s="1"/>
  <c r="P2724" i="22"/>
  <c r="Q2724" i="22" s="1"/>
  <c r="P1868" i="22"/>
  <c r="Q1868" i="22" s="1"/>
  <c r="P796" i="22"/>
  <c r="Q796" i="22" s="1"/>
  <c r="P2220" i="22"/>
  <c r="Q2220" i="22" s="1"/>
  <c r="P374" i="22"/>
  <c r="Q374" i="22" s="1"/>
  <c r="P1150" i="22"/>
  <c r="Q1150" i="22" s="1"/>
  <c r="P2947" i="22"/>
  <c r="Q2947" i="22" s="1"/>
  <c r="P2946" i="22"/>
  <c r="Q2946" i="22" s="1"/>
  <c r="P12" i="22"/>
  <c r="Q12" i="22" s="1"/>
  <c r="P124" i="22"/>
  <c r="Q124" i="22" s="1"/>
  <c r="P335" i="22"/>
  <c r="Q335" i="22" s="1"/>
  <c r="P498" i="22"/>
  <c r="Q498" i="22" s="1"/>
  <c r="P2152" i="22"/>
  <c r="Q2152" i="22" s="1"/>
  <c r="P1335" i="22"/>
  <c r="Q1335" i="22" s="1"/>
  <c r="P79" i="22"/>
  <c r="Q79" i="22" s="1"/>
  <c r="P103" i="22"/>
  <c r="Q103" i="22" s="1"/>
  <c r="P141" i="22"/>
  <c r="Q141" i="22" s="1"/>
  <c r="P62" i="22"/>
  <c r="Q62" i="22" s="1"/>
  <c r="P108" i="22"/>
  <c r="Q108" i="22" s="1"/>
  <c r="P122" i="22"/>
  <c r="Q122" i="22" s="1"/>
  <c r="P143" i="22"/>
  <c r="Q143" i="22" s="1"/>
  <c r="P151" i="22"/>
  <c r="Q151" i="22" s="1"/>
  <c r="P155" i="22"/>
  <c r="Q155" i="22" s="1"/>
  <c r="P196" i="22"/>
  <c r="Q196" i="22" s="1"/>
  <c r="P200" i="22"/>
  <c r="Q200" i="22" s="1"/>
  <c r="P239" i="22"/>
  <c r="Q239" i="22" s="1"/>
  <c r="P265" i="22"/>
  <c r="Q265" i="22" s="1"/>
  <c r="P302" i="22"/>
  <c r="Q302" i="22" s="1"/>
  <c r="P357" i="22"/>
  <c r="Q357" i="22" s="1"/>
  <c r="P378" i="22"/>
  <c r="Q378" i="22" s="1"/>
  <c r="P662" i="22"/>
  <c r="Q662" i="22" s="1"/>
  <c r="P664" i="22"/>
  <c r="Q664" i="22" s="1"/>
  <c r="P676" i="22"/>
  <c r="Q676" i="22" s="1"/>
  <c r="P805" i="22"/>
  <c r="Q805" i="22" s="1"/>
  <c r="P817" i="22"/>
  <c r="Q817" i="22" s="1"/>
  <c r="P821" i="22"/>
  <c r="Q821" i="22" s="1"/>
  <c r="P829" i="22"/>
  <c r="Q829" i="22" s="1"/>
  <c r="P833" i="22"/>
  <c r="Q833" i="22" s="1"/>
  <c r="P841" i="22"/>
  <c r="Q841" i="22" s="1"/>
  <c r="P867" i="22"/>
  <c r="Q867" i="22" s="1"/>
  <c r="P1007" i="22"/>
  <c r="Q1007" i="22" s="1"/>
  <c r="P1024" i="22"/>
  <c r="Q1024" i="22" s="1"/>
  <c r="P1180" i="22"/>
  <c r="Q1180" i="22" s="1"/>
  <c r="P1207" i="22"/>
  <c r="Q1207" i="22" s="1"/>
  <c r="P1247" i="22"/>
  <c r="Q1247" i="22" s="1"/>
  <c r="P1275" i="22"/>
  <c r="Q1275" i="22" s="1"/>
  <c r="P1371" i="22"/>
  <c r="Q1371" i="22" s="1"/>
  <c r="P1463" i="22"/>
  <c r="Q1463" i="22" s="1"/>
  <c r="P1525" i="22"/>
  <c r="Q1525" i="22" s="1"/>
  <c r="P1549" i="22"/>
  <c r="Q1549" i="22" s="1"/>
  <c r="P1566" i="22"/>
  <c r="Q1566" i="22" s="1"/>
  <c r="P1573" i="22"/>
  <c r="Q1573" i="22" s="1"/>
  <c r="P1577" i="22"/>
  <c r="Q1577" i="22" s="1"/>
  <c r="P1597" i="22"/>
  <c r="Q1597" i="22" s="1"/>
  <c r="P1634" i="22"/>
  <c r="Q1634" i="22" s="1"/>
  <c r="P1649" i="22"/>
  <c r="Q1649" i="22" s="1"/>
  <c r="P1722" i="22"/>
  <c r="Q1722" i="22" s="1"/>
  <c r="P1757" i="22"/>
  <c r="Q1757" i="22" s="1"/>
  <c r="P1889" i="22"/>
  <c r="Q1889" i="22" s="1"/>
  <c r="P2036" i="22"/>
  <c r="Q2036" i="22" s="1"/>
  <c r="P2050" i="22"/>
  <c r="Q2050" i="22" s="1"/>
  <c r="P2403" i="22"/>
  <c r="Q2403" i="22" s="1"/>
  <c r="P1479" i="22"/>
  <c r="Q1479" i="22" s="1"/>
  <c r="P1773" i="22"/>
  <c r="Q1773" i="22" s="1"/>
  <c r="P362" i="22"/>
  <c r="Q362" i="22" s="1"/>
  <c r="P1617" i="22"/>
  <c r="Q1617" i="22" s="1"/>
  <c r="P214" i="22"/>
  <c r="Q214" i="22" s="1"/>
  <c r="P341" i="22"/>
  <c r="Q341" i="22" s="1"/>
  <c r="P1720" i="22"/>
  <c r="Q1720" i="22" s="1"/>
  <c r="P2147" i="22"/>
  <c r="Q2147" i="22" s="1"/>
  <c r="P5" i="22"/>
  <c r="Q5" i="22" s="1"/>
  <c r="P128" i="22"/>
  <c r="Q128" i="22" s="1"/>
  <c r="P332" i="22"/>
  <c r="Q332" i="22" s="1"/>
  <c r="P472" i="22"/>
  <c r="Q472" i="22" s="1"/>
  <c r="P13" i="22"/>
  <c r="Q13" i="22" s="1"/>
  <c r="P2" i="22"/>
  <c r="Q2" i="22" s="1"/>
  <c r="P9" i="22"/>
  <c r="Q9" i="22" s="1"/>
  <c r="P41" i="22"/>
  <c r="Q41" i="22" s="1"/>
  <c r="P48" i="22"/>
  <c r="Q48" i="22" s="1"/>
  <c r="P55" i="22"/>
  <c r="Q55" i="22" s="1"/>
  <c r="P70" i="22"/>
  <c r="Q70" i="22" s="1"/>
  <c r="P94" i="22"/>
  <c r="Q94" i="22" s="1"/>
  <c r="P98" i="22"/>
  <c r="Q98" i="22" s="1"/>
  <c r="P149" i="22"/>
  <c r="Q149" i="22" s="1"/>
  <c r="P158" i="22"/>
  <c r="Q158" i="22" s="1"/>
  <c r="P3195" i="22"/>
  <c r="Q3195" i="22" s="1"/>
  <c r="P224" i="22"/>
  <c r="Q224" i="22" s="1"/>
  <c r="P232" i="22"/>
  <c r="Q232" i="22" s="1"/>
  <c r="P446" i="22"/>
  <c r="Q446" i="22" s="1"/>
  <c r="P544" i="22"/>
  <c r="Q544" i="22" s="1"/>
  <c r="P548" i="22"/>
  <c r="Q548" i="22" s="1"/>
  <c r="P581" i="22"/>
  <c r="Q581" i="22" s="1"/>
  <c r="P615" i="22"/>
  <c r="Q615" i="22" s="1"/>
  <c r="P653" i="22"/>
  <c r="Q653" i="22" s="1"/>
  <c r="P684" i="22"/>
  <c r="Q684" i="22" s="1"/>
  <c r="P772" i="22"/>
  <c r="Q772" i="22" s="1"/>
  <c r="P791" i="22"/>
  <c r="Q791" i="22" s="1"/>
  <c r="P810" i="22"/>
  <c r="Q810" i="22" s="1"/>
  <c r="P862" i="22"/>
  <c r="Q862" i="22" s="1"/>
  <c r="P991" i="22"/>
  <c r="Q991" i="22" s="1"/>
  <c r="P999" i="22"/>
  <c r="Q999" i="22" s="1"/>
  <c r="P1157" i="22"/>
  <c r="Q1157" i="22" s="1"/>
  <c r="P1181" i="22"/>
  <c r="Q1181" i="22" s="1"/>
  <c r="P1475" i="22"/>
  <c r="Q1475" i="22" s="1"/>
  <c r="P1564" i="22"/>
  <c r="Q1564" i="22" s="1"/>
  <c r="P1609" i="22"/>
  <c r="Q1609" i="22" s="1"/>
  <c r="P1886" i="22"/>
  <c r="Q1886" i="22" s="1"/>
  <c r="P2066" i="22"/>
  <c r="Q2066" i="22" s="1"/>
  <c r="P2074" i="22"/>
  <c r="Q2074" i="22" s="1"/>
  <c r="P2309" i="22"/>
  <c r="Q2309" i="22" s="1"/>
  <c r="P2329" i="22"/>
  <c r="Q2329" i="22" s="1"/>
  <c r="P2377" i="22"/>
  <c r="Q2377" i="22" s="1"/>
  <c r="P2400" i="22"/>
  <c r="Q2400" i="22" s="1"/>
  <c r="P2480" i="22"/>
  <c r="Q2480" i="22" s="1"/>
  <c r="P2528" i="22"/>
  <c r="Q2528" i="22" s="1"/>
  <c r="P3076" i="22"/>
  <c r="Q3076" i="22" s="1"/>
  <c r="P1384" i="22"/>
  <c r="Q1384" i="22" s="1"/>
  <c r="P1789" i="22"/>
  <c r="Q1789" i="22" s="1"/>
  <c r="P251" i="22"/>
  <c r="Q251" i="22" s="1"/>
  <c r="P880" i="22"/>
  <c r="Q880" i="22" s="1"/>
  <c r="P978" i="22"/>
  <c r="Q978" i="22" s="1"/>
  <c r="P1704" i="22"/>
  <c r="Q1704" i="22" s="1"/>
  <c r="P252" i="22"/>
  <c r="Q252" i="22" s="1"/>
  <c r="P2323" i="22"/>
  <c r="Q2323" i="22" s="1"/>
  <c r="P7" i="22"/>
  <c r="Q7" i="22" s="1"/>
  <c r="P49" i="22"/>
  <c r="Q49" i="22" s="1"/>
  <c r="P56" i="22"/>
  <c r="Q56" i="22" s="1"/>
  <c r="P91" i="22"/>
  <c r="Q91" i="22" s="1"/>
  <c r="P99" i="22"/>
  <c r="Q99" i="22" s="1"/>
  <c r="P113" i="22"/>
  <c r="Q113" i="22" s="1"/>
  <c r="P110" i="22"/>
  <c r="Q110" i="22" s="1"/>
  <c r="P493" i="22"/>
  <c r="Q493" i="22" s="1"/>
  <c r="P496" i="22"/>
  <c r="Q496" i="22" s="1"/>
  <c r="P503" i="22"/>
  <c r="Q503" i="22" s="1"/>
  <c r="P511" i="22"/>
  <c r="Q511" i="22" s="1"/>
  <c r="P538" i="22"/>
  <c r="Q538" i="22" s="1"/>
  <c r="P561" i="22"/>
  <c r="Q561" i="22" s="1"/>
  <c r="P575" i="22"/>
  <c r="Q575" i="22" s="1"/>
  <c r="P577" i="22"/>
  <c r="Q577" i="22" s="1"/>
  <c r="P593" i="22"/>
  <c r="Q593" i="22" s="1"/>
  <c r="P661" i="22"/>
  <c r="Q661" i="22" s="1"/>
  <c r="P674" i="22"/>
  <c r="Q674" i="22" s="1"/>
  <c r="P746" i="22"/>
  <c r="Q746" i="22" s="1"/>
  <c r="P769" i="22"/>
  <c r="Q769" i="22" s="1"/>
  <c r="P781" i="22"/>
  <c r="Q781" i="22" s="1"/>
  <c r="P968" i="22"/>
  <c r="Q968" i="22" s="1"/>
  <c r="P984" i="22"/>
  <c r="Q984" i="22" s="1"/>
  <c r="P1015" i="22"/>
  <c r="Q1015" i="22" s="1"/>
  <c r="P1127" i="22"/>
  <c r="Q1127" i="22" s="1"/>
  <c r="P1155" i="22"/>
  <c r="Q1155" i="22" s="1"/>
  <c r="P1158" i="22"/>
  <c r="Q1158" i="22" s="1"/>
  <c r="P1197" i="22"/>
  <c r="Q1197" i="22" s="1"/>
  <c r="P1231" i="22"/>
  <c r="Q1231" i="22" s="1"/>
  <c r="P2834" i="22"/>
  <c r="Q2834" i="22" s="1"/>
  <c r="P1461" i="22"/>
  <c r="Q1461" i="22" s="1"/>
  <c r="P1480" i="22"/>
  <c r="Q1480" i="22" s="1"/>
  <c r="P1492" i="22"/>
  <c r="Q1492" i="22" s="1"/>
  <c r="P1512" i="22"/>
  <c r="Q1512" i="22" s="1"/>
  <c r="P1519" i="22"/>
  <c r="Q1519" i="22" s="1"/>
  <c r="P1523" i="22"/>
  <c r="Q1523" i="22" s="1"/>
  <c r="P1543" i="22"/>
  <c r="Q1543" i="22" s="1"/>
  <c r="P1547" i="22"/>
  <c r="Q1547" i="22" s="1"/>
  <c r="P1770" i="22"/>
  <c r="Q1770" i="22" s="1"/>
  <c r="P1832" i="22"/>
  <c r="Q1832" i="22" s="1"/>
  <c r="P1948" i="22"/>
  <c r="Q1948" i="22" s="1"/>
  <c r="P1963" i="22"/>
  <c r="Q1963" i="22" s="1"/>
  <c r="P1964" i="22"/>
  <c r="Q1964" i="22" s="1"/>
  <c r="P2001" i="22"/>
  <c r="Q2001" i="22" s="1"/>
  <c r="P2032" i="22"/>
  <c r="Q2032" i="22" s="1"/>
  <c r="P2041" i="22"/>
  <c r="Q2041" i="22" s="1"/>
  <c r="P2138" i="22"/>
  <c r="Q2138" i="22" s="1"/>
  <c r="P2146" i="22"/>
  <c r="Q2146" i="22" s="1"/>
  <c r="P2150" i="22"/>
  <c r="Q2150" i="22" s="1"/>
  <c r="P2382" i="22"/>
  <c r="Q2382" i="22" s="1"/>
  <c r="P518" i="22"/>
  <c r="Q518" i="22" s="1"/>
  <c r="P1392" i="22"/>
  <c r="Q1392" i="22" s="1"/>
  <c r="P283" i="22"/>
  <c r="Q283" i="22" s="1"/>
  <c r="P131" i="22"/>
  <c r="Q131" i="22" s="1"/>
  <c r="P337" i="22"/>
  <c r="Q337" i="22" s="1"/>
  <c r="P945" i="22"/>
  <c r="Q945" i="22" s="1"/>
  <c r="P1282" i="22"/>
  <c r="Q1282" i="22" s="1"/>
  <c r="P1811" i="22"/>
  <c r="Q1811" i="22" s="1"/>
  <c r="P35" i="22"/>
  <c r="Q35" i="22" s="1"/>
  <c r="P68" i="22"/>
  <c r="Q68" i="22" s="1"/>
  <c r="P21" i="22"/>
  <c r="Q21" i="22" s="1"/>
  <c r="P82" i="22"/>
  <c r="Q82" i="22" s="1"/>
  <c r="P84" i="22"/>
  <c r="Q84" i="22" s="1"/>
  <c r="P305" i="22"/>
  <c r="Q305" i="22" s="1"/>
  <c r="P329" i="22"/>
  <c r="Q329" i="22" s="1"/>
  <c r="P385" i="22"/>
  <c r="Q385" i="22" s="1"/>
  <c r="P397" i="22"/>
  <c r="Q397" i="22" s="1"/>
  <c r="P457" i="22"/>
  <c r="Q457" i="22" s="1"/>
  <c r="P504" i="22"/>
  <c r="Q504" i="22" s="1"/>
  <c r="P516" i="22"/>
  <c r="Q516" i="22" s="1"/>
  <c r="P520" i="22"/>
  <c r="Q520" i="22" s="1"/>
  <c r="P594" i="22"/>
  <c r="Q594" i="22" s="1"/>
  <c r="P2493" i="22"/>
  <c r="Q2493" i="22" s="1"/>
  <c r="P620" i="22"/>
  <c r="Q620" i="22" s="1"/>
  <c r="P622" i="22"/>
  <c r="Q622" i="22" s="1"/>
  <c r="P720" i="22"/>
  <c r="Q720" i="22" s="1"/>
  <c r="P732" i="22"/>
  <c r="Q732" i="22" s="1"/>
  <c r="P989" i="22"/>
  <c r="Q989" i="22" s="1"/>
  <c r="P1066" i="22"/>
  <c r="Q1066" i="22" s="1"/>
  <c r="P1078" i="22"/>
  <c r="Q1078" i="22" s="1"/>
  <c r="P1109" i="22"/>
  <c r="Q1109" i="22" s="1"/>
  <c r="P1121" i="22"/>
  <c r="Q1121" i="22" s="1"/>
  <c r="P1153" i="22"/>
  <c r="Q1153" i="22" s="1"/>
  <c r="P1163" i="22"/>
  <c r="Q1163" i="22" s="1"/>
  <c r="P1169" i="22"/>
  <c r="Q1169" i="22" s="1"/>
  <c r="P1347" i="22"/>
  <c r="Q1347" i="22" s="1"/>
  <c r="P1393" i="22"/>
  <c r="Q1393" i="22" s="1"/>
  <c r="P1436" i="22"/>
  <c r="Q1436" i="22" s="1"/>
  <c r="P1440" i="22"/>
  <c r="Q1440" i="22" s="1"/>
  <c r="P1466" i="22"/>
  <c r="Q1466" i="22" s="1"/>
  <c r="P1473" i="22"/>
  <c r="Q1473" i="22" s="1"/>
  <c r="P1516" i="22"/>
  <c r="Q1516" i="22" s="1"/>
  <c r="P1885" i="22"/>
  <c r="Q1885" i="22" s="1"/>
  <c r="P1939" i="22"/>
  <c r="Q1939" i="22" s="1"/>
  <c r="P2045" i="22"/>
  <c r="Q2045" i="22" s="1"/>
  <c r="P2072" i="22"/>
  <c r="Q2072" i="22" s="1"/>
  <c r="P2221" i="22"/>
  <c r="Q2221" i="22" s="1"/>
  <c r="P2252" i="22"/>
  <c r="Q2252" i="22" s="1"/>
  <c r="P2260" i="22"/>
  <c r="Q2260" i="22" s="1"/>
  <c r="P2272" i="22"/>
  <c r="Q2272" i="22" s="1"/>
  <c r="P512" i="22"/>
  <c r="Q512" i="22" s="1"/>
  <c r="P554" i="22"/>
  <c r="Q554" i="22" s="1"/>
  <c r="P562" i="22"/>
  <c r="Q562" i="22" s="1"/>
  <c r="P701" i="22"/>
  <c r="Q701" i="22" s="1"/>
  <c r="P710" i="22"/>
  <c r="Q710" i="22" s="1"/>
  <c r="P717" i="22"/>
  <c r="Q717" i="22" s="1"/>
  <c r="P767" i="22"/>
  <c r="Q767" i="22" s="1"/>
  <c r="P789" i="22"/>
  <c r="Q789" i="22" s="1"/>
  <c r="P815" i="22"/>
  <c r="Q815" i="22" s="1"/>
  <c r="P822" i="22"/>
  <c r="Q822" i="22" s="1"/>
  <c r="P834" i="22"/>
  <c r="Q834" i="22" s="1"/>
  <c r="P2597" i="22"/>
  <c r="Q2597" i="22" s="1"/>
  <c r="P885" i="22"/>
  <c r="Q885" i="22" s="1"/>
  <c r="P907" i="22"/>
  <c r="Q907" i="22" s="1"/>
  <c r="P909" i="22"/>
  <c r="Q909" i="22" s="1"/>
  <c r="P1017" i="22"/>
  <c r="Q1017" i="22" s="1"/>
  <c r="P1021" i="22"/>
  <c r="Q1021" i="22" s="1"/>
  <c r="P1097" i="22"/>
  <c r="Q1097" i="22" s="1"/>
  <c r="P1131" i="22"/>
  <c r="Q1131" i="22" s="1"/>
  <c r="P1138" i="22"/>
  <c r="Q1138" i="22" s="1"/>
  <c r="P1224" i="22"/>
  <c r="Q1224" i="22" s="1"/>
  <c r="P1245" i="22"/>
  <c r="Q1245" i="22" s="1"/>
  <c r="P1319" i="22"/>
  <c r="Q1319" i="22" s="1"/>
  <c r="P1349" i="22"/>
  <c r="Q1349" i="22" s="1"/>
  <c r="P1419" i="22"/>
  <c r="Q1419" i="22" s="1"/>
  <c r="P1431" i="22"/>
  <c r="Q1431" i="22" s="1"/>
  <c r="P1478" i="22"/>
  <c r="Q1478" i="22" s="1"/>
  <c r="P1498" i="22"/>
  <c r="Q1498" i="22" s="1"/>
  <c r="P1510" i="22"/>
  <c r="Q1510" i="22" s="1"/>
  <c r="P1521" i="22"/>
  <c r="Q1521" i="22" s="1"/>
  <c r="P1541" i="22"/>
  <c r="Q1541" i="22" s="1"/>
  <c r="P1568" i="22"/>
  <c r="Q1568" i="22" s="1"/>
  <c r="P1786" i="22"/>
  <c r="Q1786" i="22" s="1"/>
  <c r="P1802" i="22"/>
  <c r="Q1802" i="22" s="1"/>
  <c r="P1852" i="22"/>
  <c r="Q1852" i="22" s="1"/>
  <c r="P1994" i="22"/>
  <c r="Q1994" i="22" s="1"/>
  <c r="P1997" i="22"/>
  <c r="Q1997" i="22" s="1"/>
  <c r="P2008" i="22"/>
  <c r="Q2008" i="22" s="1"/>
  <c r="P2037" i="22"/>
  <c r="Q2037" i="22" s="1"/>
  <c r="P2205" i="22"/>
  <c r="Q2205" i="22" s="1"/>
  <c r="P2223" i="22"/>
  <c r="Q2223" i="22" s="1"/>
  <c r="P2242" i="22"/>
  <c r="Q2242" i="22" s="1"/>
  <c r="P2801" i="22"/>
  <c r="Q2801" i="22" s="1"/>
  <c r="P2977" i="22"/>
  <c r="Q2977" i="22" s="1"/>
  <c r="P1867" i="22"/>
  <c r="Q1867" i="22" s="1"/>
  <c r="P2129" i="22"/>
  <c r="Q2129" i="22" s="1"/>
  <c r="P2470" i="22"/>
  <c r="Q2470" i="22" s="1"/>
  <c r="P2758" i="22"/>
  <c r="Q2758" i="22" s="1"/>
  <c r="P2846" i="22"/>
  <c r="Q2846" i="22" s="1"/>
  <c r="P26" i="22"/>
  <c r="Q26" i="22" s="1"/>
  <c r="P30" i="22"/>
  <c r="Q30" i="22" s="1"/>
  <c r="P33" i="22"/>
  <c r="Q33" i="22" s="1"/>
  <c r="P40" i="22"/>
  <c r="Q40" i="22" s="1"/>
  <c r="P44" i="22"/>
  <c r="Q44" i="22" s="1"/>
  <c r="P47" i="22"/>
  <c r="Q47" i="22" s="1"/>
  <c r="P54" i="22"/>
  <c r="Q54" i="22" s="1"/>
  <c r="P89" i="22"/>
  <c r="Q89" i="22" s="1"/>
  <c r="P104" i="22"/>
  <c r="Q104" i="22" s="1"/>
  <c r="P111" i="22"/>
  <c r="Q111" i="22" s="1"/>
  <c r="P127" i="22"/>
  <c r="Q127" i="22" s="1"/>
  <c r="P134" i="22"/>
  <c r="Q134" i="22" s="1"/>
  <c r="P179" i="22"/>
  <c r="Q179" i="22" s="1"/>
  <c r="P187" i="22"/>
  <c r="Q187" i="22" s="1"/>
  <c r="P191" i="22"/>
  <c r="Q191" i="22" s="1"/>
  <c r="P253" i="22"/>
  <c r="Q253" i="22" s="1"/>
  <c r="P347" i="22"/>
  <c r="Q347" i="22" s="1"/>
  <c r="P376" i="22"/>
  <c r="Q376" i="22" s="1"/>
  <c r="P401" i="22"/>
  <c r="Q401" i="22" s="1"/>
  <c r="P468" i="22"/>
  <c r="Q468" i="22" s="1"/>
  <c r="P489" i="22"/>
  <c r="Q489" i="22" s="1"/>
  <c r="P708" i="22"/>
  <c r="Q708" i="22" s="1"/>
  <c r="P780" i="22"/>
  <c r="Q780" i="22" s="1"/>
  <c r="P794" i="22"/>
  <c r="Q794" i="22" s="1"/>
  <c r="P813" i="22"/>
  <c r="Q813" i="22" s="1"/>
  <c r="P820" i="22"/>
  <c r="Q820" i="22" s="1"/>
  <c r="P832" i="22"/>
  <c r="Q832" i="22" s="1"/>
  <c r="P853" i="22"/>
  <c r="Q853" i="22" s="1"/>
  <c r="P1041" i="22"/>
  <c r="Q1041" i="22" s="1"/>
  <c r="P1067" i="22"/>
  <c r="Q1067" i="22" s="1"/>
  <c r="P1122" i="22"/>
  <c r="Q1122" i="22" s="1"/>
  <c r="P1219" i="22"/>
  <c r="Q1219" i="22" s="1"/>
  <c r="P1295" i="22"/>
  <c r="Q1295" i="22" s="1"/>
  <c r="P1337" i="22"/>
  <c r="Q1337" i="22" s="1"/>
  <c r="P1354" i="22"/>
  <c r="Q1354" i="22" s="1"/>
  <c r="P1727" i="22"/>
  <c r="Q1727" i="22" s="1"/>
  <c r="P1860" i="22"/>
  <c r="Q1860" i="22" s="1"/>
  <c r="P1872" i="22"/>
  <c r="Q1872" i="22" s="1"/>
  <c r="P1888" i="22"/>
  <c r="Q1888" i="22" s="1"/>
  <c r="P1960" i="22"/>
  <c r="Q1960" i="22" s="1"/>
  <c r="P1999" i="22"/>
  <c r="Q1999" i="22" s="1"/>
  <c r="P2002" i="22"/>
  <c r="Q2002" i="22" s="1"/>
  <c r="P2081" i="22"/>
  <c r="Q2081" i="22" s="1"/>
  <c r="P2096" i="22"/>
  <c r="Q2096" i="22" s="1"/>
  <c r="P2157" i="22"/>
  <c r="Q2157" i="22" s="1"/>
  <c r="P2174" i="22"/>
  <c r="Q2174" i="22" s="1"/>
  <c r="P2402" i="22"/>
  <c r="Q2402" i="22" s="1"/>
  <c r="P2607" i="22"/>
  <c r="Q2607" i="22" s="1"/>
  <c r="P2668" i="22"/>
  <c r="Q2668" i="22" s="1"/>
  <c r="P2667" i="22"/>
  <c r="Q2667" i="22" s="1"/>
  <c r="P3041" i="22"/>
  <c r="Q3041" i="22" s="1"/>
  <c r="P3134" i="22"/>
  <c r="Q3134" i="22" s="1"/>
  <c r="P2167" i="22"/>
  <c r="Q2167" i="22" s="1"/>
  <c r="P2198" i="22"/>
  <c r="Q2198" i="22" s="1"/>
  <c r="P2514" i="22"/>
  <c r="Q2514" i="22" s="1"/>
  <c r="P31" i="22"/>
  <c r="Q31" i="22" s="1"/>
  <c r="P52" i="22"/>
  <c r="Q52" i="22" s="1"/>
  <c r="P97" i="22"/>
  <c r="Q97" i="22" s="1"/>
  <c r="P101" i="22"/>
  <c r="Q101" i="22" s="1"/>
  <c r="P118" i="22"/>
  <c r="Q118" i="22" s="1"/>
  <c r="P142" i="22"/>
  <c r="Q142" i="22" s="1"/>
  <c r="P146" i="22"/>
  <c r="Q146" i="22" s="1"/>
  <c r="P180" i="22"/>
  <c r="Q180" i="22" s="1"/>
  <c r="P2326" i="22"/>
  <c r="Q2326" i="22" s="1"/>
  <c r="P260" i="22"/>
  <c r="Q260" i="22" s="1"/>
  <c r="P268" i="22"/>
  <c r="Q268" i="22" s="1"/>
  <c r="P293" i="22"/>
  <c r="Q293" i="22" s="1"/>
  <c r="P392" i="22"/>
  <c r="Q392" i="22" s="1"/>
  <c r="P395" i="22"/>
  <c r="Q395" i="22" s="1"/>
  <c r="P413" i="22"/>
  <c r="Q413" i="22" s="1"/>
  <c r="P421" i="22"/>
  <c r="Q421" i="22" s="1"/>
  <c r="P439" i="22"/>
  <c r="Q439" i="22" s="1"/>
  <c r="P445" i="22"/>
  <c r="Q445" i="22" s="1"/>
  <c r="P451" i="22"/>
  <c r="Q451" i="22" s="1"/>
  <c r="P458" i="22"/>
  <c r="Q458" i="22" s="1"/>
  <c r="P480" i="22"/>
  <c r="Q480" i="22" s="1"/>
  <c r="P669" i="22"/>
  <c r="Q669" i="22" s="1"/>
  <c r="P716" i="22"/>
  <c r="Q716" i="22" s="1"/>
  <c r="P758" i="22"/>
  <c r="Q758" i="22" s="1"/>
  <c r="P997" i="22"/>
  <c r="Q997" i="22" s="1"/>
  <c r="P1013" i="22"/>
  <c r="Q1013" i="22" s="1"/>
  <c r="P1031" i="22"/>
  <c r="Q1031" i="22" s="1"/>
  <c r="P1038" i="22"/>
  <c r="Q1038" i="22" s="1"/>
  <c r="P1057" i="22"/>
  <c r="Q1057" i="22" s="1"/>
  <c r="P1072" i="22"/>
  <c r="Q1072" i="22" s="1"/>
  <c r="P1099" i="22"/>
  <c r="Q1099" i="22" s="1"/>
  <c r="P1198" i="22"/>
  <c r="Q1198" i="22" s="1"/>
  <c r="P1286" i="22"/>
  <c r="Q1286" i="22" s="1"/>
  <c r="P1356" i="22"/>
  <c r="Q1356" i="22" s="1"/>
  <c r="P1380" i="22"/>
  <c r="Q1380" i="22" s="1"/>
  <c r="P1422" i="22"/>
  <c r="Q1422" i="22" s="1"/>
  <c r="P1430" i="22"/>
  <c r="Q1430" i="22" s="1"/>
  <c r="P1470" i="22"/>
  <c r="Q1470" i="22" s="1"/>
  <c r="P1477" i="22"/>
  <c r="Q1477" i="22" s="1"/>
  <c r="P1481" i="22"/>
  <c r="Q1481" i="22" s="1"/>
  <c r="P1493" i="22"/>
  <c r="Q1493" i="22" s="1"/>
  <c r="P1675" i="22"/>
  <c r="Q1675" i="22" s="1"/>
  <c r="P1709" i="22"/>
  <c r="Q1709" i="22" s="1"/>
  <c r="P1808" i="22"/>
  <c r="Q1808" i="22" s="1"/>
  <c r="P1865" i="22"/>
  <c r="Q1865" i="22" s="1"/>
  <c r="P1993" i="22"/>
  <c r="Q1993" i="22" s="1"/>
  <c r="P2158" i="22"/>
  <c r="Q2158" i="22" s="1"/>
  <c r="P2196" i="22"/>
  <c r="Q2196" i="22" s="1"/>
  <c r="P2426" i="22"/>
  <c r="Q2426" i="22" s="1"/>
  <c r="P2433" i="22"/>
  <c r="Q2433" i="22" s="1"/>
  <c r="P2512" i="22"/>
  <c r="Q2512" i="22" s="1"/>
  <c r="P2926" i="22"/>
  <c r="Q2926" i="22" s="1"/>
  <c r="P2974" i="22"/>
  <c r="Q2974" i="22" s="1"/>
  <c r="P3036" i="22"/>
  <c r="Q3036" i="22" s="1"/>
  <c r="P3175" i="22"/>
  <c r="Q3175" i="22" s="1"/>
  <c r="P1941" i="22"/>
  <c r="Q1941" i="22" s="1"/>
  <c r="P1958" i="22"/>
  <c r="Q1958" i="22" s="1"/>
  <c r="P1991" i="22"/>
  <c r="Q1991" i="22" s="1"/>
  <c r="P2080" i="22"/>
  <c r="Q2080" i="22" s="1"/>
  <c r="P2149" i="22"/>
  <c r="Q2149" i="22" s="1"/>
  <c r="P2155" i="22"/>
  <c r="Q2155" i="22" s="1"/>
  <c r="P2418" i="22"/>
  <c r="Q2418" i="22" s="1"/>
  <c r="P3003" i="22"/>
  <c r="Q3003" i="22" s="1"/>
  <c r="P3168" i="22"/>
  <c r="Q3168" i="22" s="1"/>
  <c r="P80" i="22"/>
  <c r="Q80" i="22" s="1"/>
  <c r="P88" i="22"/>
  <c r="Q88" i="22" s="1"/>
  <c r="P92" i="22"/>
  <c r="Q92" i="22" s="1"/>
  <c r="P133" i="22"/>
  <c r="Q133" i="22" s="1"/>
  <c r="P137" i="22"/>
  <c r="Q137" i="22" s="1"/>
  <c r="P154" i="22"/>
  <c r="Q154" i="22" s="1"/>
  <c r="P156" i="22"/>
  <c r="Q156" i="22" s="1"/>
  <c r="P178" i="22"/>
  <c r="Q178" i="22" s="1"/>
  <c r="P182" i="22"/>
  <c r="Q182" i="22" s="1"/>
  <c r="P247" i="22"/>
  <c r="Q247" i="22" s="1"/>
  <c r="P299" i="22"/>
  <c r="Q299" i="22" s="1"/>
  <c r="P310" i="22"/>
  <c r="Q310" i="22" s="1"/>
  <c r="P317" i="22"/>
  <c r="Q317" i="22" s="1"/>
  <c r="P320" i="22"/>
  <c r="Q320" i="22" s="1"/>
  <c r="P346" i="22"/>
  <c r="Q346" i="22" s="1"/>
  <c r="P350" i="22"/>
  <c r="Q350" i="22" s="1"/>
  <c r="P367" i="22"/>
  <c r="Q367" i="22" s="1"/>
  <c r="P419" i="22"/>
  <c r="Q419" i="22" s="1"/>
  <c r="P449" i="22"/>
  <c r="Q449" i="22" s="1"/>
  <c r="P456" i="22"/>
  <c r="Q456" i="22" s="1"/>
  <c r="P525" i="22"/>
  <c r="Q525" i="22" s="1"/>
  <c r="P541" i="22"/>
  <c r="Q541" i="22" s="1"/>
  <c r="P586" i="22"/>
  <c r="Q586" i="22" s="1"/>
  <c r="P588" i="22"/>
  <c r="Q588" i="22" s="1"/>
  <c r="P595" i="22"/>
  <c r="Q595" i="22" s="1"/>
  <c r="P603" i="22"/>
  <c r="Q603" i="22" s="1"/>
  <c r="P604" i="22"/>
  <c r="Q604" i="22" s="1"/>
  <c r="P640" i="22"/>
  <c r="Q640" i="22" s="1"/>
  <c r="P649" i="22"/>
  <c r="Q649" i="22" s="1"/>
  <c r="P660" i="22"/>
  <c r="Q660" i="22" s="1"/>
  <c r="P700" i="22"/>
  <c r="Q700" i="22" s="1"/>
  <c r="P709" i="22"/>
  <c r="Q709" i="22" s="1"/>
  <c r="P733" i="22"/>
  <c r="Q733" i="22" s="1"/>
  <c r="P756" i="22"/>
  <c r="Q756" i="22" s="1"/>
  <c r="P953" i="22"/>
  <c r="Q953" i="22" s="1"/>
  <c r="P992" i="22"/>
  <c r="Q992" i="22" s="1"/>
  <c r="P1019" i="22"/>
  <c r="Q1019" i="22" s="1"/>
  <c r="P1018" i="22"/>
  <c r="Q1018" i="22" s="1"/>
  <c r="P1025" i="22"/>
  <c r="Q1025" i="22" s="1"/>
  <c r="P1185" i="22"/>
  <c r="Q1185" i="22" s="1"/>
  <c r="P1225" i="22"/>
  <c r="Q1225" i="22" s="1"/>
  <c r="P1246" i="22"/>
  <c r="Q1246" i="22" s="1"/>
  <c r="P1274" i="22"/>
  <c r="Q1274" i="22" s="1"/>
  <c r="P1569" i="22"/>
  <c r="Q1569" i="22" s="1"/>
  <c r="P1581" i="22"/>
  <c r="Q1581" i="22" s="1"/>
  <c r="P1593" i="22"/>
  <c r="Q1593" i="22" s="1"/>
  <c r="P1719" i="22"/>
  <c r="Q1719" i="22" s="1"/>
  <c r="P1741" i="22"/>
  <c r="Q1741" i="22" s="1"/>
  <c r="P1814" i="22"/>
  <c r="Q1814" i="22" s="1"/>
  <c r="P1966" i="22"/>
  <c r="Q1966" i="22" s="1"/>
  <c r="P1965" i="22"/>
  <c r="Q1965" i="22" s="1"/>
  <c r="P2044" i="22"/>
  <c r="Q2044" i="22" s="1"/>
  <c r="P2064" i="22"/>
  <c r="Q2064" i="22" s="1"/>
  <c r="P2114" i="22"/>
  <c r="Q2114" i="22" s="1"/>
  <c r="P2133" i="22"/>
  <c r="Q2133" i="22" s="1"/>
  <c r="P2510" i="22"/>
  <c r="Q2510" i="22" s="1"/>
  <c r="P2255" i="22"/>
  <c r="Q2255" i="22" s="1"/>
  <c r="P2328" i="22"/>
  <c r="Q2328" i="22" s="1"/>
  <c r="P2398" i="22"/>
  <c r="Q2398" i="22" s="1"/>
  <c r="P2843" i="22"/>
  <c r="Q2843" i="22" s="1"/>
  <c r="P2879" i="22"/>
  <c r="Q2879" i="22" s="1"/>
  <c r="P3080" i="22"/>
  <c r="Q3080" i="22" s="1"/>
  <c r="P2241" i="22"/>
  <c r="Q2241" i="22" s="1"/>
  <c r="P2248" i="22"/>
  <c r="Q2248" i="22" s="1"/>
  <c r="P2505" i="22"/>
  <c r="Q2505" i="22" s="1"/>
  <c r="P2538" i="22"/>
  <c r="Q2538" i="22" s="1"/>
  <c r="P2593" i="22"/>
  <c r="Q2593" i="22" s="1"/>
  <c r="P2881" i="22"/>
  <c r="Q2881" i="22" s="1"/>
  <c r="P2939" i="22"/>
  <c r="Q2939" i="22" s="1"/>
  <c r="P3125" i="22"/>
  <c r="Q3125" i="22" s="1"/>
  <c r="P589" i="22"/>
  <c r="Q589" i="22" s="1"/>
  <c r="P599" i="22"/>
  <c r="Q599" i="22" s="1"/>
  <c r="P635" i="22"/>
  <c r="Q635" i="22" s="1"/>
  <c r="P675" i="22"/>
  <c r="Q675" i="22" s="1"/>
  <c r="P731" i="22"/>
  <c r="Q731" i="22" s="1"/>
  <c r="P737" i="22"/>
  <c r="Q737" i="22" s="1"/>
  <c r="P749" i="22"/>
  <c r="Q749" i="22" s="1"/>
  <c r="P757" i="22"/>
  <c r="Q757" i="22" s="1"/>
  <c r="P761" i="22"/>
  <c r="Q761" i="22" s="1"/>
  <c r="P770" i="22"/>
  <c r="Q770" i="22" s="1"/>
  <c r="P778" i="22"/>
  <c r="Q778" i="22" s="1"/>
  <c r="P808" i="22"/>
  <c r="Q808" i="22" s="1"/>
  <c r="P874" i="22"/>
  <c r="Q874" i="22" s="1"/>
  <c r="P883" i="22"/>
  <c r="Q883" i="22" s="1"/>
  <c r="P895" i="22"/>
  <c r="Q895" i="22" s="1"/>
  <c r="P903" i="22"/>
  <c r="Q903" i="22" s="1"/>
  <c r="P2633" i="22"/>
  <c r="Q2633" i="22" s="1"/>
  <c r="P929" i="22"/>
  <c r="Q929" i="22" s="1"/>
  <c r="P959" i="22"/>
  <c r="Q959" i="22" s="1"/>
  <c r="P1006" i="22"/>
  <c r="Q1006" i="22" s="1"/>
  <c r="P1020" i="22"/>
  <c r="Q1020" i="22" s="1"/>
  <c r="P1029" i="22"/>
  <c r="Q1029" i="22" s="1"/>
  <c r="P1037" i="22"/>
  <c r="Q1037" i="22" s="1"/>
  <c r="P1050" i="22"/>
  <c r="Q1050" i="22" s="1"/>
  <c r="P1060" i="22"/>
  <c r="Q1060" i="22" s="1"/>
  <c r="P1069" i="22"/>
  <c r="Q1069" i="22" s="1"/>
  <c r="P1089" i="22"/>
  <c r="Q1089" i="22" s="1"/>
  <c r="P1120" i="22"/>
  <c r="Q1120" i="22" s="1"/>
  <c r="P1128" i="22"/>
  <c r="Q1128" i="22" s="1"/>
  <c r="P1133" i="22"/>
  <c r="Q1133" i="22" s="1"/>
  <c r="P1165" i="22"/>
  <c r="Q1165" i="22" s="1"/>
  <c r="P1170" i="22"/>
  <c r="Q1170" i="22" s="1"/>
  <c r="P1239" i="22"/>
  <c r="Q1239" i="22" s="1"/>
  <c r="P1257" i="22"/>
  <c r="Q1257" i="22" s="1"/>
  <c r="P1269" i="22"/>
  <c r="Q1269" i="22" s="1"/>
  <c r="P1296" i="22"/>
  <c r="Q1296" i="22" s="1"/>
  <c r="P1396" i="22"/>
  <c r="Q1396" i="22" s="1"/>
  <c r="P1539" i="22"/>
  <c r="Q1539" i="22" s="1"/>
  <c r="P1551" i="22"/>
  <c r="Q1551" i="22" s="1"/>
  <c r="P1576" i="22"/>
  <c r="Q1576" i="22" s="1"/>
  <c r="P1646" i="22"/>
  <c r="Q1646" i="22" s="1"/>
  <c r="P1665" i="22"/>
  <c r="Q1665" i="22" s="1"/>
  <c r="P1668" i="22"/>
  <c r="Q1668" i="22" s="1"/>
  <c r="P1700" i="22"/>
  <c r="Q1700" i="22" s="1"/>
  <c r="P1826" i="22"/>
  <c r="Q1826" i="22" s="1"/>
  <c r="P1862" i="22"/>
  <c r="Q1862" i="22" s="1"/>
  <c r="P1913" i="22"/>
  <c r="Q1913" i="22" s="1"/>
  <c r="P2013" i="22"/>
  <c r="Q2013" i="22" s="1"/>
  <c r="P2048" i="22"/>
  <c r="Q2048" i="22" s="1"/>
  <c r="P2098" i="22"/>
  <c r="Q2098" i="22" s="1"/>
  <c r="P2154" i="22"/>
  <c r="Q2154" i="22" s="1"/>
  <c r="P2310" i="22"/>
  <c r="Q2310" i="22" s="1"/>
  <c r="P2407" i="22"/>
  <c r="Q2407" i="22" s="1"/>
  <c r="P2710" i="22"/>
  <c r="Q2710" i="22" s="1"/>
  <c r="P2922" i="22"/>
  <c r="Q2922" i="22" s="1"/>
  <c r="P533" i="22"/>
  <c r="Q533" i="22" s="1"/>
  <c r="P536" i="22"/>
  <c r="Q536" i="22" s="1"/>
  <c r="P578" i="22"/>
  <c r="Q578" i="22" s="1"/>
  <c r="P600" i="22"/>
  <c r="Q600" i="22" s="1"/>
  <c r="P607" i="22"/>
  <c r="Q607" i="22" s="1"/>
  <c r="P628" i="22"/>
  <c r="Q628" i="22" s="1"/>
  <c r="P665" i="22"/>
  <c r="Q665" i="22" s="1"/>
  <c r="P672" i="22"/>
  <c r="Q672" i="22" s="1"/>
  <c r="P724" i="22"/>
  <c r="Q724" i="22" s="1"/>
  <c r="P750" i="22"/>
  <c r="Q750" i="22" s="1"/>
  <c r="P754" i="22"/>
  <c r="Q754" i="22" s="1"/>
  <c r="P773" i="22"/>
  <c r="Q773" i="22" s="1"/>
  <c r="P816" i="22"/>
  <c r="Q816" i="22" s="1"/>
  <c r="P849" i="22"/>
  <c r="Q849" i="22" s="1"/>
  <c r="P865" i="22"/>
  <c r="Q865" i="22" s="1"/>
  <c r="P884" i="22"/>
  <c r="Q884" i="22" s="1"/>
  <c r="P948" i="22"/>
  <c r="Q948" i="22" s="1"/>
  <c r="P964" i="22"/>
  <c r="Q964" i="22" s="1"/>
  <c r="P972" i="22"/>
  <c r="Q972" i="22" s="1"/>
  <c r="P1027" i="22"/>
  <c r="Q1027" i="22" s="1"/>
  <c r="P1082" i="22"/>
  <c r="Q1082" i="22" s="1"/>
  <c r="P1117" i="22"/>
  <c r="Q1117" i="22" s="1"/>
  <c r="P1166" i="22"/>
  <c r="Q1166" i="22" s="1"/>
  <c r="P1193" i="22"/>
  <c r="Q1193" i="22" s="1"/>
  <c r="P1236" i="22"/>
  <c r="Q1236" i="22" s="1"/>
  <c r="P1278" i="22"/>
  <c r="Q1278" i="22" s="1"/>
  <c r="P1281" i="22"/>
  <c r="Q1281" i="22" s="1"/>
  <c r="P1322" i="22"/>
  <c r="Q1322" i="22" s="1"/>
  <c r="P1353" i="22"/>
  <c r="Q1353" i="22" s="1"/>
  <c r="P1453" i="22"/>
  <c r="Q1453" i="22" s="1"/>
  <c r="P1487" i="22"/>
  <c r="Q1487" i="22" s="1"/>
  <c r="P1520" i="22"/>
  <c r="Q1520" i="22" s="1"/>
  <c r="P1644" i="22"/>
  <c r="Q1644" i="22" s="1"/>
  <c r="P1670" i="22"/>
  <c r="Q1670" i="22" s="1"/>
  <c r="P1672" i="22"/>
  <c r="Q1672" i="22" s="1"/>
  <c r="P1680" i="22"/>
  <c r="Q1680" i="22" s="1"/>
  <c r="P1714" i="22"/>
  <c r="Q1714" i="22" s="1"/>
  <c r="P1787" i="22"/>
  <c r="Q1787" i="22" s="1"/>
  <c r="P1807" i="22"/>
  <c r="Q1807" i="22" s="1"/>
  <c r="P1882" i="22"/>
  <c r="Q1882" i="22" s="1"/>
  <c r="P1945" i="22"/>
  <c r="Q1945" i="22" s="1"/>
  <c r="P2014" i="22"/>
  <c r="Q2014" i="22" s="1"/>
  <c r="P3084" i="22"/>
  <c r="Q3084" i="22" s="1"/>
  <c r="P2113" i="22"/>
  <c r="Q2113" i="22" s="1"/>
  <c r="P2122" i="22"/>
  <c r="Q2122" i="22" s="1"/>
  <c r="P2159" i="22"/>
  <c r="Q2159" i="22" s="1"/>
  <c r="P2201" i="22"/>
  <c r="Q2201" i="22" s="1"/>
  <c r="P2208" i="22"/>
  <c r="Q2208" i="22" s="1"/>
  <c r="P2271" i="22"/>
  <c r="Q2271" i="22" s="1"/>
  <c r="P2405" i="22"/>
  <c r="Q2405" i="22" s="1"/>
  <c r="P2477" i="22"/>
  <c r="Q2477" i="22" s="1"/>
  <c r="P2503" i="22"/>
  <c r="Q2503" i="22" s="1"/>
  <c r="P2760" i="22"/>
  <c r="Q2760" i="22" s="1"/>
  <c r="P2828" i="22"/>
  <c r="Q2828" i="22" s="1"/>
  <c r="P3091" i="22"/>
  <c r="Q3091" i="22" s="1"/>
  <c r="P3114" i="22"/>
  <c r="Q3114" i="22" s="1"/>
  <c r="P3176" i="22"/>
  <c r="Q3176" i="22" s="1"/>
  <c r="P3367" i="22"/>
  <c r="Q3367" i="22" s="1"/>
  <c r="P534" i="22"/>
  <c r="Q534" i="22" s="1"/>
  <c r="P2474" i="22"/>
  <c r="Q2474" i="22" s="1"/>
  <c r="P572" i="22"/>
  <c r="Q572" i="22" s="1"/>
  <c r="P579" i="22"/>
  <c r="Q579" i="22" s="1"/>
  <c r="P590" i="22"/>
  <c r="Q590" i="22" s="1"/>
  <c r="P597" i="22"/>
  <c r="Q597" i="22" s="1"/>
  <c r="P652" i="22"/>
  <c r="Q652" i="22" s="1"/>
  <c r="P673" i="22"/>
  <c r="Q673" i="22" s="1"/>
  <c r="P795" i="22"/>
  <c r="Q795" i="22" s="1"/>
  <c r="P814" i="22"/>
  <c r="Q814" i="22" s="1"/>
  <c r="P828" i="22"/>
  <c r="Q828" i="22" s="1"/>
  <c r="P881" i="22"/>
  <c r="Q881" i="22" s="1"/>
  <c r="P893" i="22"/>
  <c r="Q893" i="22" s="1"/>
  <c r="P901" i="22"/>
  <c r="Q901" i="22" s="1"/>
  <c r="P913" i="22"/>
  <c r="Q913" i="22" s="1"/>
  <c r="P1056" i="22"/>
  <c r="Q1056" i="22" s="1"/>
  <c r="P1079" i="22"/>
  <c r="Q1079" i="22" s="1"/>
  <c r="P1125" i="22"/>
  <c r="Q1125" i="22" s="1"/>
  <c r="P1186" i="22"/>
  <c r="Q1186" i="22" s="1"/>
  <c r="P1200" i="22"/>
  <c r="Q1200" i="22" s="1"/>
  <c r="P1204" i="22"/>
  <c r="Q1204" i="22" s="1"/>
  <c r="P1287" i="22"/>
  <c r="Q1287" i="22" s="1"/>
  <c r="P1331" i="22"/>
  <c r="Q1331" i="22" s="1"/>
  <c r="P1350" i="22"/>
  <c r="Q1350" i="22" s="1"/>
  <c r="P1394" i="22"/>
  <c r="Q1394" i="22" s="1"/>
  <c r="P1449" i="22"/>
  <c r="Q1449" i="22" s="1"/>
  <c r="P1472" i="22"/>
  <c r="Q1472" i="22" s="1"/>
  <c r="P1484" i="22"/>
  <c r="Q1484" i="22" s="1"/>
  <c r="P1518" i="22"/>
  <c r="Q1518" i="22" s="1"/>
  <c r="P1595" i="22"/>
  <c r="Q1595" i="22" s="1"/>
  <c r="P1676" i="22"/>
  <c r="Q1676" i="22" s="1"/>
  <c r="P1698" i="22"/>
  <c r="Q1698" i="22" s="1"/>
  <c r="P1723" i="22"/>
  <c r="Q1723" i="22" s="1"/>
  <c r="P1747" i="22"/>
  <c r="Q1747" i="22" s="1"/>
  <c r="P1841" i="22"/>
  <c r="Q1841" i="22" s="1"/>
  <c r="P1910" i="22"/>
  <c r="Q1910" i="22" s="1"/>
  <c r="P1929" i="22"/>
  <c r="Q1929" i="22" s="1"/>
  <c r="P1937" i="22"/>
  <c r="Q1937" i="22" s="1"/>
  <c r="P1957" i="22"/>
  <c r="Q1957" i="22" s="1"/>
  <c r="P2089" i="22"/>
  <c r="Q2089" i="22" s="1"/>
  <c r="P2197" i="22"/>
  <c r="Q2197" i="22" s="1"/>
  <c r="P2212" i="22"/>
  <c r="Q2212" i="22" s="1"/>
  <c r="P2333" i="22"/>
  <c r="Q2333" i="22" s="1"/>
  <c r="P2374" i="22"/>
  <c r="Q2374" i="22" s="1"/>
  <c r="P2627" i="22"/>
  <c r="Q2627" i="22" s="1"/>
  <c r="P2742" i="22"/>
  <c r="Q2742" i="22" s="1"/>
  <c r="P3002" i="22"/>
  <c r="Q3002" i="22" s="1"/>
  <c r="P508" i="22"/>
  <c r="Q508" i="22" s="1"/>
  <c r="P2460" i="22"/>
  <c r="Q2460" i="22" s="1"/>
  <c r="P598" i="22"/>
  <c r="Q598" i="22" s="1"/>
  <c r="P602" i="22"/>
  <c r="Q602" i="22" s="1"/>
  <c r="P613" i="22"/>
  <c r="Q613" i="22" s="1"/>
  <c r="P645" i="22"/>
  <c r="Q645" i="22" s="1"/>
  <c r="P712" i="22"/>
  <c r="Q712" i="22" s="1"/>
  <c r="P719" i="22"/>
  <c r="Q719" i="22" s="1"/>
  <c r="P760" i="22"/>
  <c r="Q760" i="22" s="1"/>
  <c r="P793" i="22"/>
  <c r="Q793" i="22" s="1"/>
  <c r="P861" i="22"/>
  <c r="Q861" i="22" s="1"/>
  <c r="P868" i="22"/>
  <c r="Q868" i="22" s="1"/>
  <c r="P882" i="22"/>
  <c r="Q882" i="22" s="1"/>
  <c r="P906" i="22"/>
  <c r="Q906" i="22" s="1"/>
  <c r="P2666" i="22"/>
  <c r="Q2666" i="22" s="1"/>
  <c r="P1035" i="22"/>
  <c r="Q1035" i="22" s="1"/>
  <c r="P1096" i="22"/>
  <c r="Q1096" i="22" s="1"/>
  <c r="P1115" i="22"/>
  <c r="Q1115" i="22" s="1"/>
  <c r="P1129" i="22"/>
  <c r="Q1129" i="22" s="1"/>
  <c r="P1159" i="22"/>
  <c r="Q1159" i="22" s="1"/>
  <c r="P1162" i="22"/>
  <c r="Q1162" i="22" s="1"/>
  <c r="P1299" i="22"/>
  <c r="Q1299" i="22" s="1"/>
  <c r="P1378" i="22"/>
  <c r="Q1378" i="22" s="1"/>
  <c r="P1583" i="22"/>
  <c r="Q1583" i="22" s="1"/>
  <c r="P1766" i="22"/>
  <c r="Q1766" i="22" s="1"/>
  <c r="P2075" i="22"/>
  <c r="Q2075" i="22" s="1"/>
  <c r="P2087" i="22"/>
  <c r="Q2087" i="22" s="1"/>
  <c r="P2099" i="22"/>
  <c r="Q2099" i="22" s="1"/>
  <c r="P2383" i="22"/>
  <c r="Q2383" i="22" s="1"/>
  <c r="P2532" i="22"/>
  <c r="Q2532" i="22" s="1"/>
  <c r="P274" i="22"/>
  <c r="Q274" i="22" s="1"/>
  <c r="P460" i="22"/>
  <c r="Q460" i="22" s="1"/>
  <c r="P725" i="22"/>
  <c r="Q725" i="22" s="1"/>
  <c r="P2777" i="22"/>
  <c r="Q2777" i="22" s="1"/>
  <c r="P1259" i="22"/>
  <c r="Q1259" i="22" s="1"/>
  <c r="P38" i="22"/>
  <c r="Q38" i="22" s="1"/>
  <c r="P64" i="22"/>
  <c r="Q64" i="22" s="1"/>
  <c r="P237" i="22"/>
  <c r="Q237" i="22" s="1"/>
  <c r="P321" i="22"/>
  <c r="Q321" i="22" s="1"/>
  <c r="P766" i="22"/>
  <c r="Q766" i="22" s="1"/>
  <c r="P938" i="22"/>
  <c r="Q938" i="22" s="1"/>
  <c r="P6" i="22"/>
  <c r="Q6" i="22" s="1"/>
  <c r="P24" i="22"/>
  <c r="Q24" i="22" s="1"/>
  <c r="P51" i="22"/>
  <c r="Q51" i="22" s="1"/>
  <c r="P71" i="22"/>
  <c r="Q71" i="22" s="1"/>
  <c r="P119" i="22"/>
  <c r="Q119" i="22" s="1"/>
  <c r="P138" i="22"/>
  <c r="Q138" i="22" s="1"/>
  <c r="P201" i="22"/>
  <c r="Q201" i="22" s="1"/>
  <c r="P217" i="22"/>
  <c r="Q217" i="22" s="1"/>
  <c r="P229" i="22"/>
  <c r="Q229" i="22" s="1"/>
  <c r="P235" i="22"/>
  <c r="Q235" i="22" s="1"/>
  <c r="P244" i="22"/>
  <c r="Q244" i="22" s="1"/>
  <c r="P269" i="22"/>
  <c r="Q269" i="22" s="1"/>
  <c r="P278" i="22"/>
  <c r="Q278" i="22" s="1"/>
  <c r="P297" i="22"/>
  <c r="Q297" i="22" s="1"/>
  <c r="P2364" i="22"/>
  <c r="Q2364" i="22" s="1"/>
  <c r="P327" i="22"/>
  <c r="Q327" i="22" s="1"/>
  <c r="P345" i="22"/>
  <c r="Q345" i="22" s="1"/>
  <c r="P384" i="22"/>
  <c r="Q384" i="22" s="1"/>
  <c r="P466" i="22"/>
  <c r="Q466" i="22" s="1"/>
  <c r="P537" i="22"/>
  <c r="Q537" i="22" s="1"/>
  <c r="P556" i="22"/>
  <c r="Q556" i="22" s="1"/>
  <c r="P571" i="22"/>
  <c r="Q571" i="22" s="1"/>
  <c r="P573" i="22"/>
  <c r="Q573" i="22" s="1"/>
  <c r="P691" i="22"/>
  <c r="Q691" i="22" s="1"/>
  <c r="P782" i="22"/>
  <c r="Q782" i="22" s="1"/>
  <c r="P939" i="22"/>
  <c r="Q939" i="22" s="1"/>
  <c r="P946" i="22"/>
  <c r="Q946" i="22" s="1"/>
  <c r="P57" i="22"/>
  <c r="Q57" i="22" s="1"/>
  <c r="P679" i="22"/>
  <c r="Q679" i="22" s="1"/>
  <c r="P680" i="22"/>
  <c r="Q680" i="22" s="1"/>
  <c r="P25" i="22"/>
  <c r="Q25" i="22" s="1"/>
  <c r="P211" i="22"/>
  <c r="Q211" i="22" s="1"/>
  <c r="P694" i="22"/>
  <c r="Q694" i="22" s="1"/>
  <c r="P22" i="22"/>
  <c r="Q22" i="22" s="1"/>
  <c r="P165" i="22"/>
  <c r="Q165" i="22" s="1"/>
  <c r="P181" i="22"/>
  <c r="Q181" i="22" s="1"/>
  <c r="P199" i="22"/>
  <c r="Q199" i="22" s="1"/>
  <c r="P208" i="22"/>
  <c r="Q208" i="22" s="1"/>
  <c r="P340" i="22"/>
  <c r="Q340" i="22" s="1"/>
  <c r="P359" i="22"/>
  <c r="Q359" i="22" s="1"/>
  <c r="P361" i="22"/>
  <c r="Q361" i="22" s="1"/>
  <c r="P2468" i="22"/>
  <c r="Q2468" i="22" s="1"/>
  <c r="P543" i="22"/>
  <c r="Q543" i="22" s="1"/>
  <c r="P545" i="22"/>
  <c r="Q545" i="22" s="1"/>
  <c r="P633" i="22"/>
  <c r="Q633" i="22" s="1"/>
  <c r="P643" i="22"/>
  <c r="Q643" i="22" s="1"/>
  <c r="P689" i="22"/>
  <c r="Q689" i="22" s="1"/>
  <c r="P743" i="22"/>
  <c r="Q743" i="22" s="1"/>
  <c r="P941" i="22"/>
  <c r="Q941" i="22" s="1"/>
  <c r="P958" i="22"/>
  <c r="Q958" i="22" s="1"/>
  <c r="P961" i="22"/>
  <c r="Q961" i="22" s="1"/>
  <c r="P960" i="22"/>
  <c r="Q960" i="22" s="1"/>
  <c r="P1254" i="22"/>
  <c r="Q1254" i="22" s="1"/>
  <c r="P1545" i="22"/>
  <c r="Q1545" i="22" s="1"/>
  <c r="P1546" i="22"/>
  <c r="Q1546" i="22" s="1"/>
  <c r="P1761" i="22"/>
  <c r="Q1761" i="22" s="1"/>
  <c r="P1762" i="22"/>
  <c r="Q1762" i="22" s="1"/>
  <c r="P696" i="22"/>
  <c r="Q696" i="22" s="1"/>
  <c r="P797" i="22"/>
  <c r="Q797" i="22" s="1"/>
  <c r="P280" i="22"/>
  <c r="Q280" i="22" s="1"/>
  <c r="P2354" i="22"/>
  <c r="Q2354" i="22" s="1"/>
  <c r="P301" i="22"/>
  <c r="Q301" i="22" s="1"/>
  <c r="P238" i="22"/>
  <c r="Q238" i="22" s="1"/>
  <c r="P383" i="22"/>
  <c r="Q383" i="22" s="1"/>
  <c r="P2440" i="22"/>
  <c r="Q2440" i="22" s="1"/>
  <c r="P464" i="22"/>
  <c r="Q464" i="22" s="1"/>
  <c r="P742" i="22"/>
  <c r="Q742" i="22" s="1"/>
  <c r="P61" i="22"/>
  <c r="Q61" i="22" s="1"/>
  <c r="P29" i="22"/>
  <c r="Q29" i="22" s="1"/>
  <c r="P1403" i="22"/>
  <c r="Q1403" i="22" s="1"/>
  <c r="P65" i="22"/>
  <c r="Q65" i="22" s="1"/>
  <c r="P166" i="22"/>
  <c r="Q166" i="22" s="1"/>
  <c r="P175" i="22"/>
  <c r="Q175" i="22" s="1"/>
  <c r="P184" i="22"/>
  <c r="Q184" i="22" s="1"/>
  <c r="P272" i="22"/>
  <c r="Q272" i="22" s="1"/>
  <c r="P275" i="22"/>
  <c r="Q275" i="22" s="1"/>
  <c r="P277" i="22"/>
  <c r="Q277" i="22" s="1"/>
  <c r="P281" i="22"/>
  <c r="Q281" i="22" s="1"/>
  <c r="P286" i="22"/>
  <c r="Q286" i="22" s="1"/>
  <c r="P309" i="22"/>
  <c r="Q309" i="22" s="1"/>
  <c r="P352" i="22"/>
  <c r="Q352" i="22" s="1"/>
  <c r="P387" i="22"/>
  <c r="Q387" i="22" s="1"/>
  <c r="P388" i="22"/>
  <c r="Q388" i="22" s="1"/>
  <c r="P428" i="22"/>
  <c r="Q428" i="22" s="1"/>
  <c r="P475" i="22"/>
  <c r="Q475" i="22" s="1"/>
  <c r="P626" i="22"/>
  <c r="Q626" i="22" s="1"/>
  <c r="P681" i="22"/>
  <c r="Q681" i="22" s="1"/>
  <c r="P727" i="22"/>
  <c r="Q727" i="22" s="1"/>
  <c r="P845" i="22"/>
  <c r="Q845" i="22" s="1"/>
  <c r="P887" i="22"/>
  <c r="Q887" i="22" s="1"/>
  <c r="P947" i="22"/>
  <c r="Q947" i="22" s="1"/>
  <c r="P934" i="22"/>
  <c r="Q934" i="22" s="1"/>
  <c r="P942" i="22"/>
  <c r="Q942" i="22" s="1"/>
  <c r="P963" i="22"/>
  <c r="Q963" i="22" s="1"/>
  <c r="P995" i="22"/>
  <c r="Q995" i="22" s="1"/>
  <c r="P1002" i="22"/>
  <c r="Q1002" i="22" s="1"/>
  <c r="P1086" i="22"/>
  <c r="Q1086" i="22" s="1"/>
  <c r="P728" i="22"/>
  <c r="Q728" i="22" s="1"/>
  <c r="P526" i="22"/>
  <c r="Q526" i="22" s="1"/>
  <c r="P528" i="22"/>
  <c r="Q528" i="22" s="1"/>
  <c r="P765" i="22"/>
  <c r="Q765" i="22" s="1"/>
  <c r="P1145" i="22"/>
  <c r="Q1145" i="22" s="1"/>
  <c r="P1144" i="22"/>
  <c r="Q1144" i="22" s="1"/>
  <c r="P1143" i="22"/>
  <c r="Q1143" i="22" s="1"/>
  <c r="P763" i="22"/>
  <c r="Q763" i="22" s="1"/>
  <c r="P890" i="22"/>
  <c r="Q890" i="22" s="1"/>
  <c r="P889" i="22"/>
  <c r="Q889" i="22" s="1"/>
  <c r="P202" i="22"/>
  <c r="Q202" i="22" s="1"/>
  <c r="P636" i="22"/>
  <c r="Q636" i="22" s="1"/>
  <c r="P783" i="22"/>
  <c r="Q783" i="22" s="1"/>
  <c r="P785" i="22"/>
  <c r="Q785" i="22" s="1"/>
  <c r="P58" i="22"/>
  <c r="Q58" i="22" s="1"/>
  <c r="P83" i="22"/>
  <c r="Q83" i="22" s="1"/>
  <c r="P14" i="22"/>
  <c r="Q14" i="22" s="1"/>
  <c r="P349" i="22"/>
  <c r="Q349" i="22" s="1"/>
  <c r="P23" i="22"/>
  <c r="Q23" i="22" s="1"/>
  <c r="P59" i="22"/>
  <c r="Q59" i="22" s="1"/>
  <c r="P74" i="22"/>
  <c r="Q74" i="22" s="1"/>
  <c r="P18" i="22"/>
  <c r="Q18" i="22" s="1"/>
  <c r="P36" i="22"/>
  <c r="Q36" i="22" s="1"/>
  <c r="P66" i="22"/>
  <c r="Q66" i="22" s="1"/>
  <c r="P75" i="22"/>
  <c r="Q75" i="22" s="1"/>
  <c r="P86" i="22"/>
  <c r="Q86" i="22" s="1"/>
  <c r="P129" i="22"/>
  <c r="Q129" i="22" s="1"/>
  <c r="P145" i="22"/>
  <c r="Q145" i="22" s="1"/>
  <c r="P157" i="22"/>
  <c r="Q157" i="22" s="1"/>
  <c r="P163" i="22"/>
  <c r="Q163" i="22" s="1"/>
  <c r="P172" i="22"/>
  <c r="Q172" i="22" s="1"/>
  <c r="P197" i="22"/>
  <c r="Q197" i="22" s="1"/>
  <c r="P230" i="22"/>
  <c r="Q230" i="22" s="1"/>
  <c r="P263" i="22"/>
  <c r="Q263" i="22" s="1"/>
  <c r="P282" i="22"/>
  <c r="Q282" i="22" s="1"/>
  <c r="P338" i="22"/>
  <c r="Q338" i="22" s="1"/>
  <c r="P370" i="22"/>
  <c r="Q370" i="22" s="1"/>
  <c r="P2414" i="22"/>
  <c r="Q2414" i="22" s="1"/>
  <c r="P2416" i="22"/>
  <c r="Q2416" i="22" s="1"/>
  <c r="P408" i="22"/>
  <c r="Q408" i="22" s="1"/>
  <c r="P429" i="22"/>
  <c r="Q429" i="22" s="1"/>
  <c r="P476" i="22"/>
  <c r="Q476" i="22" s="1"/>
  <c r="P2457" i="22"/>
  <c r="Q2457" i="22" s="1"/>
  <c r="P513" i="22"/>
  <c r="Q513" i="22" s="1"/>
  <c r="P514" i="22"/>
  <c r="Q514" i="22" s="1"/>
  <c r="P527" i="22"/>
  <c r="Q527" i="22" s="1"/>
  <c r="P552" i="22"/>
  <c r="Q552" i="22" s="1"/>
  <c r="P631" i="22"/>
  <c r="Q631" i="22" s="1"/>
  <c r="P741" i="22"/>
  <c r="Q741" i="22" s="1"/>
  <c r="P806" i="22"/>
  <c r="Q806" i="22" s="1"/>
  <c r="P1252" i="22"/>
  <c r="Q1252" i="22" s="1"/>
  <c r="P344" i="22"/>
  <c r="Q344" i="22" s="1"/>
  <c r="P343" i="22"/>
  <c r="Q343" i="22" s="1"/>
  <c r="P1445" i="22"/>
  <c r="Q1445" i="22" s="1"/>
  <c r="P1444" i="22"/>
  <c r="Q1444" i="22" s="1"/>
  <c r="P1446" i="22"/>
  <c r="Q1446" i="22" s="1"/>
  <c r="P1448" i="22"/>
  <c r="Q1448" i="22" s="1"/>
  <c r="P85" i="22"/>
  <c r="Q85" i="22" s="1"/>
  <c r="P1482" i="22"/>
  <c r="Q1482" i="22" s="1"/>
  <c r="P174" i="22"/>
  <c r="Q174" i="22" s="1"/>
  <c r="P1174" i="22"/>
  <c r="Q1174" i="22" s="1"/>
  <c r="P1173" i="22"/>
  <c r="Q1173" i="22" s="1"/>
  <c r="P1175" i="22"/>
  <c r="Q1175" i="22" s="1"/>
  <c r="P644" i="22"/>
  <c r="Q644" i="22" s="1"/>
  <c r="P63" i="22"/>
  <c r="Q63" i="22" s="1"/>
  <c r="P77" i="22"/>
  <c r="Q77" i="22" s="1"/>
  <c r="P729" i="22"/>
  <c r="Q729" i="22" s="1"/>
  <c r="P730" i="22"/>
  <c r="Q730" i="22" s="1"/>
  <c r="P19" i="22"/>
  <c r="Q19" i="22" s="1"/>
  <c r="P27" i="22"/>
  <c r="Q27" i="22" s="1"/>
  <c r="P43" i="22"/>
  <c r="Q43" i="22" s="1"/>
  <c r="P120" i="22"/>
  <c r="Q120" i="22" s="1"/>
  <c r="P130" i="22"/>
  <c r="Q130" i="22" s="1"/>
  <c r="P139" i="22"/>
  <c r="Q139" i="22" s="1"/>
  <c r="P148" i="22"/>
  <c r="Q148" i="22" s="1"/>
  <c r="P188" i="22"/>
  <c r="Q188" i="22" s="1"/>
  <c r="P204" i="22"/>
  <c r="Q204" i="22" s="1"/>
  <c r="P216" i="22"/>
  <c r="Q216" i="22" s="1"/>
  <c r="P236" i="22"/>
  <c r="Q236" i="22" s="1"/>
  <c r="P241" i="22"/>
  <c r="Q241" i="22" s="1"/>
  <c r="P245" i="22"/>
  <c r="Q245" i="22" s="1"/>
  <c r="P254" i="22"/>
  <c r="Q254" i="22" s="1"/>
  <c r="P290" i="22"/>
  <c r="Q290" i="22" s="1"/>
  <c r="P298" i="22"/>
  <c r="Q298" i="22" s="1"/>
  <c r="P328" i="22"/>
  <c r="Q328" i="22" s="1"/>
  <c r="P348" i="22"/>
  <c r="Q348" i="22" s="1"/>
  <c r="P420" i="22"/>
  <c r="Q420" i="22" s="1"/>
  <c r="P473" i="22"/>
  <c r="Q473" i="22" s="1"/>
  <c r="P553" i="22"/>
  <c r="Q553" i="22" s="1"/>
  <c r="P557" i="22"/>
  <c r="Q557" i="22" s="1"/>
  <c r="P583" i="22"/>
  <c r="Q583" i="22" s="1"/>
  <c r="P688" i="22"/>
  <c r="Q688" i="22" s="1"/>
  <c r="P1107" i="22"/>
  <c r="Q1107" i="22" s="1"/>
  <c r="P1105" i="22"/>
  <c r="Q1105" i="22" s="1"/>
  <c r="P1103" i="22"/>
  <c r="Q1103" i="22" s="1"/>
  <c r="P60" i="22"/>
  <c r="Q60" i="22" s="1"/>
  <c r="P76" i="22"/>
  <c r="Q76" i="22" s="1"/>
  <c r="P271" i="22"/>
  <c r="Q271" i="22" s="1"/>
  <c r="P17" i="22"/>
  <c r="Q17" i="22" s="1"/>
  <c r="P45" i="22"/>
  <c r="Q45" i="22" s="1"/>
  <c r="P1308" i="22"/>
  <c r="Q1308" i="22" s="1"/>
  <c r="P1306" i="22"/>
  <c r="Q1306" i="22" s="1"/>
  <c r="P936" i="22"/>
  <c r="Q936" i="22" s="1"/>
  <c r="P1054" i="22"/>
  <c r="Q1054" i="22" s="1"/>
  <c r="P1261" i="22"/>
  <c r="Q1261" i="22" s="1"/>
  <c r="P16" i="22"/>
  <c r="Q16" i="22" s="1"/>
  <c r="P28" i="22"/>
  <c r="Q28" i="22" s="1"/>
  <c r="P34" i="22"/>
  <c r="Q34" i="22" s="1"/>
  <c r="P93" i="22"/>
  <c r="Q93" i="22" s="1"/>
  <c r="P121" i="22"/>
  <c r="Q121" i="22" s="1"/>
  <c r="P136" i="22"/>
  <c r="Q136" i="22" s="1"/>
  <c r="P170" i="22"/>
  <c r="Q170" i="22" s="1"/>
  <c r="P189" i="22"/>
  <c r="Q189" i="22" s="1"/>
  <c r="P227" i="22"/>
  <c r="Q227" i="22" s="1"/>
  <c r="P246" i="22"/>
  <c r="Q246" i="22" s="1"/>
  <c r="P304" i="22"/>
  <c r="Q304" i="22" s="1"/>
  <c r="P322" i="22"/>
  <c r="Q322" i="22" s="1"/>
  <c r="P368" i="22"/>
  <c r="Q368" i="22" s="1"/>
  <c r="P417" i="22"/>
  <c r="Q417" i="22" s="1"/>
  <c r="P427" i="22"/>
  <c r="Q427" i="22" s="1"/>
  <c r="P431" i="22"/>
  <c r="Q431" i="22" s="1"/>
  <c r="P465" i="22"/>
  <c r="Q465" i="22" s="1"/>
  <c r="P558" i="22"/>
  <c r="Q558" i="22" s="1"/>
  <c r="P559" i="22"/>
  <c r="Q559" i="22" s="1"/>
  <c r="P784" i="22"/>
  <c r="Q784" i="22" s="1"/>
  <c r="P804" i="22"/>
  <c r="Q804" i="22" s="1"/>
  <c r="P900" i="22"/>
  <c r="Q900" i="22" s="1"/>
  <c r="P902" i="22"/>
  <c r="Q902" i="22" s="1"/>
  <c r="P933" i="22"/>
  <c r="Q933" i="22" s="1"/>
  <c r="P1985" i="22"/>
  <c r="Q1985" i="22" s="1"/>
  <c r="P1982" i="22"/>
  <c r="Q1982" i="22" s="1"/>
  <c r="P398" i="22"/>
  <c r="Q398" i="22" s="1"/>
  <c r="P1113" i="22"/>
  <c r="Q1113" i="22" s="1"/>
  <c r="P596" i="22"/>
  <c r="Q596" i="22" s="1"/>
  <c r="P2688" i="22"/>
  <c r="Q2688" i="22" s="1"/>
  <c r="P1062" i="22"/>
  <c r="Q1062" i="22" s="1"/>
  <c r="P1339" i="22"/>
  <c r="Q1339" i="22" s="1"/>
  <c r="P1877" i="22"/>
  <c r="Q1877" i="22" s="1"/>
  <c r="P162" i="22"/>
  <c r="Q162" i="22" s="1"/>
  <c r="P207" i="22"/>
  <c r="Q207" i="22" s="1"/>
  <c r="P270" i="22"/>
  <c r="Q270" i="22" s="1"/>
  <c r="P430" i="22"/>
  <c r="Q430" i="22" s="1"/>
  <c r="P585" i="22"/>
  <c r="Q585" i="22" s="1"/>
  <c r="P650" i="22"/>
  <c r="Q650" i="22" s="1"/>
  <c r="P977" i="22"/>
  <c r="Q977" i="22" s="1"/>
  <c r="P1148" i="22"/>
  <c r="Q1148" i="22" s="1"/>
  <c r="P1206" i="22"/>
  <c r="Q1206" i="22" s="1"/>
  <c r="P1205" i="22"/>
  <c r="Q1205" i="22" s="1"/>
  <c r="P1409" i="22"/>
  <c r="Q1409" i="22" s="1"/>
  <c r="P1439" i="22"/>
  <c r="Q1439" i="22" s="1"/>
  <c r="P1535" i="22"/>
  <c r="Q1535" i="22" s="1"/>
  <c r="P1805" i="22"/>
  <c r="Q1805" i="22" s="1"/>
  <c r="P2264" i="22"/>
  <c r="Q2264" i="22" s="1"/>
  <c r="P2266" i="22"/>
  <c r="Q2266" i="22" s="1"/>
  <c r="P2265" i="22"/>
  <c r="Q2265" i="22" s="1"/>
  <c r="P2276" i="22"/>
  <c r="Q2276" i="22" s="1"/>
  <c r="P2501" i="22"/>
  <c r="Q2501" i="22" s="1"/>
  <c r="P2624" i="22"/>
  <c r="Q2624" i="22" s="1"/>
  <c r="P3163" i="22"/>
  <c r="Q3163" i="22" s="1"/>
  <c r="P3211" i="22"/>
  <c r="Q3211" i="22" s="1"/>
  <c r="P3206" i="22"/>
  <c r="Q3206" i="22" s="1"/>
  <c r="P3205" i="22"/>
  <c r="Q3205" i="22" s="1"/>
  <c r="P2349" i="22"/>
  <c r="Q2349" i="22" s="1"/>
  <c r="P2348" i="22"/>
  <c r="Q2348" i="22" s="1"/>
  <c r="P3145" i="22"/>
  <c r="Q3145" i="22" s="1"/>
  <c r="P3151" i="22"/>
  <c r="Q3151" i="22" s="1"/>
  <c r="P2313" i="22"/>
  <c r="Q2313" i="22" s="1"/>
  <c r="P324" i="22"/>
  <c r="Q324" i="22" s="1"/>
  <c r="P354" i="22"/>
  <c r="Q354" i="22" s="1"/>
  <c r="P3230" i="22"/>
  <c r="Q3230" i="22" s="1"/>
  <c r="P2385" i="22"/>
  <c r="Q2385" i="22" s="1"/>
  <c r="P2391" i="22"/>
  <c r="Q2391" i="22" s="1"/>
  <c r="P371" i="22"/>
  <c r="Q371" i="22" s="1"/>
  <c r="P2388" i="22"/>
  <c r="Q2388" i="22" s="1"/>
  <c r="P389" i="22"/>
  <c r="Q389" i="22" s="1"/>
  <c r="P2420" i="22"/>
  <c r="Q2420" i="22" s="1"/>
  <c r="P416" i="22"/>
  <c r="Q416" i="22" s="1"/>
  <c r="P540" i="22"/>
  <c r="Q540" i="22" s="1"/>
  <c r="P570" i="22"/>
  <c r="Q570" i="22" s="1"/>
  <c r="P587" i="22"/>
  <c r="Q587" i="22" s="1"/>
  <c r="P605" i="22"/>
  <c r="Q605" i="22" s="1"/>
  <c r="P632" i="22"/>
  <c r="Q632" i="22" s="1"/>
  <c r="P747" i="22"/>
  <c r="Q747" i="22" s="1"/>
  <c r="P753" i="22"/>
  <c r="Q753" i="22" s="1"/>
  <c r="P774" i="22"/>
  <c r="Q774" i="22" s="1"/>
  <c r="P807" i="22"/>
  <c r="Q807" i="22" s="1"/>
  <c r="P1001" i="22"/>
  <c r="Q1001" i="22" s="1"/>
  <c r="P1043" i="22"/>
  <c r="Q1043" i="22" s="1"/>
  <c r="P1046" i="22"/>
  <c r="Q1046" i="22" s="1"/>
  <c r="P1047" i="22"/>
  <c r="Q1047" i="22" s="1"/>
  <c r="P1126" i="22"/>
  <c r="Q1126" i="22" s="1"/>
  <c r="P1137" i="22"/>
  <c r="Q1137" i="22" s="1"/>
  <c r="P1141" i="22"/>
  <c r="Q1141" i="22" s="1"/>
  <c r="P1210" i="22"/>
  <c r="Q1210" i="22" s="1"/>
  <c r="P1212" i="22"/>
  <c r="Q1212" i="22" s="1"/>
  <c r="P1327" i="22"/>
  <c r="Q1327" i="22" s="1"/>
  <c r="P1351" i="22"/>
  <c r="Q1351" i="22" s="1"/>
  <c r="P1352" i="22"/>
  <c r="Q1352" i="22" s="1"/>
  <c r="P2810" i="22"/>
  <c r="Q2810" i="22" s="1"/>
  <c r="P1366" i="22"/>
  <c r="Q1366" i="22" s="1"/>
  <c r="P1399" i="22"/>
  <c r="Q1399" i="22" s="1"/>
  <c r="P1537" i="22"/>
  <c r="Q1537" i="22" s="1"/>
  <c r="P1585" i="22"/>
  <c r="Q1585" i="22" s="1"/>
  <c r="P1590" i="22"/>
  <c r="Q1590" i="22" s="1"/>
  <c r="P1588" i="22"/>
  <c r="Q1588" i="22" s="1"/>
  <c r="P1604" i="22"/>
  <c r="Q1604" i="22" s="1"/>
  <c r="P1703" i="22"/>
  <c r="Q1703" i="22" s="1"/>
  <c r="P1820" i="22"/>
  <c r="Q1820" i="22" s="1"/>
  <c r="P1818" i="22"/>
  <c r="Q1818" i="22" s="1"/>
  <c r="P1816" i="22"/>
  <c r="Q1816" i="22" s="1"/>
  <c r="P1827" i="22"/>
  <c r="Q1827" i="22" s="1"/>
  <c r="P1831" i="22"/>
  <c r="Q1831" i="22" s="1"/>
  <c r="P2186" i="22"/>
  <c r="Q2186" i="22" s="1"/>
  <c r="P2189" i="22"/>
  <c r="Q2189" i="22" s="1"/>
  <c r="P2394" i="22"/>
  <c r="Q2394" i="22" s="1"/>
  <c r="P2490" i="22"/>
  <c r="Q2490" i="22" s="1"/>
  <c r="P423" i="22"/>
  <c r="Q423" i="22" s="1"/>
  <c r="P549" i="22"/>
  <c r="Q549" i="22" s="1"/>
  <c r="P614" i="22"/>
  <c r="Q614" i="22" s="1"/>
  <c r="P1485" i="22"/>
  <c r="Q1485" i="22" s="1"/>
  <c r="P190" i="22"/>
  <c r="Q190" i="22" s="1"/>
  <c r="P353" i="22"/>
  <c r="Q353" i="22" s="1"/>
  <c r="P775" i="22"/>
  <c r="Q775" i="22" s="1"/>
  <c r="P1152" i="22"/>
  <c r="Q1152" i="22" s="1"/>
  <c r="P1249" i="22"/>
  <c r="Q1249" i="22" s="1"/>
  <c r="P1600" i="22"/>
  <c r="Q1600" i="22" s="1"/>
  <c r="P1598" i="22"/>
  <c r="Q1598" i="22" s="1"/>
  <c r="P3166" i="22"/>
  <c r="Q3166" i="22" s="1"/>
  <c r="P399" i="22"/>
  <c r="Q399" i="22" s="1"/>
  <c r="P459" i="22"/>
  <c r="Q459" i="22" s="1"/>
  <c r="P940" i="22"/>
  <c r="Q940" i="22" s="1"/>
  <c r="P1045" i="22"/>
  <c r="Q1045" i="22" s="1"/>
  <c r="P2692" i="22"/>
  <c r="Q2692" i="22" s="1"/>
  <c r="P1068" i="22"/>
  <c r="Q1068" i="22" s="1"/>
  <c r="P435" i="22"/>
  <c r="Q435" i="22" s="1"/>
  <c r="P621" i="22"/>
  <c r="Q621" i="22" s="1"/>
  <c r="P818" i="22"/>
  <c r="Q818" i="22" s="1"/>
  <c r="P922" i="22"/>
  <c r="Q922" i="22" s="1"/>
  <c r="P1044" i="22"/>
  <c r="Q1044" i="22" s="1"/>
  <c r="P1361" i="22"/>
  <c r="Q1361" i="22" s="1"/>
  <c r="P2807" i="22"/>
  <c r="Q2807" i="22" s="1"/>
  <c r="P1364" i="22"/>
  <c r="Q1364" i="22" s="1"/>
  <c r="P1643" i="22"/>
  <c r="Q1643" i="22" s="1"/>
  <c r="P1641" i="22"/>
  <c r="Q1641" i="22" s="1"/>
  <c r="P1640" i="22"/>
  <c r="Q1640" i="22" s="1"/>
  <c r="P1642" i="22"/>
  <c r="Q1642" i="22" s="1"/>
  <c r="P3232" i="22"/>
  <c r="Q3232" i="22" s="1"/>
  <c r="P2481" i="22"/>
  <c r="Q2481" i="22" s="1"/>
  <c r="P360" i="22"/>
  <c r="Q360" i="22" s="1"/>
  <c r="P2396" i="22"/>
  <c r="Q2396" i="22" s="1"/>
  <c r="P390" i="22"/>
  <c r="Q390" i="22" s="1"/>
  <c r="P393" i="22"/>
  <c r="Q393" i="22" s="1"/>
  <c r="P407" i="22"/>
  <c r="Q407" i="22" s="1"/>
  <c r="P425" i="22"/>
  <c r="Q425" i="22" s="1"/>
  <c r="P440" i="22"/>
  <c r="Q440" i="22" s="1"/>
  <c r="P442" i="22"/>
  <c r="Q442" i="22" s="1"/>
  <c r="P452" i="22"/>
  <c r="Q452" i="22" s="1"/>
  <c r="P2465" i="22"/>
  <c r="Q2465" i="22" s="1"/>
  <c r="P576" i="22"/>
  <c r="Q576" i="22" s="1"/>
  <c r="P2488" i="22"/>
  <c r="Q2488" i="22" s="1"/>
  <c r="P606" i="22"/>
  <c r="Q606" i="22" s="1"/>
  <c r="P623" i="22"/>
  <c r="Q623" i="22" s="1"/>
  <c r="P641" i="22"/>
  <c r="Q641" i="22" s="1"/>
  <c r="P668" i="22"/>
  <c r="Q668" i="22" s="1"/>
  <c r="P2521" i="22"/>
  <c r="Q2521" i="22" s="1"/>
  <c r="P759" i="22"/>
  <c r="Q759" i="22" s="1"/>
  <c r="P875" i="22"/>
  <c r="Q875" i="22" s="1"/>
  <c r="P920" i="22"/>
  <c r="Q920" i="22" s="1"/>
  <c r="P924" i="22"/>
  <c r="Q924" i="22" s="1"/>
  <c r="P965" i="22"/>
  <c r="Q965" i="22" s="1"/>
  <c r="P2655" i="22"/>
  <c r="Q2655" i="22" s="1"/>
  <c r="P985" i="22"/>
  <c r="Q985" i="22" s="1"/>
  <c r="P1022" i="22"/>
  <c r="Q1022" i="22" s="1"/>
  <c r="P1314" i="22"/>
  <c r="Q1314" i="22" s="1"/>
  <c r="P1315" i="22"/>
  <c r="Q1315" i="22" s="1"/>
  <c r="P2804" i="22"/>
  <c r="Q2804" i="22" s="1"/>
  <c r="P1343" i="22"/>
  <c r="Q1343" i="22" s="1"/>
  <c r="P1387" i="22"/>
  <c r="Q1387" i="22" s="1"/>
  <c r="P1385" i="22"/>
  <c r="Q1385" i="22" s="1"/>
  <c r="P1391" i="22"/>
  <c r="Q1391" i="22" s="1"/>
  <c r="P1395" i="22"/>
  <c r="Q1395" i="22" s="1"/>
  <c r="P1417" i="22"/>
  <c r="Q1417" i="22" s="1"/>
  <c r="P1418" i="22"/>
  <c r="Q1418" i="22" s="1"/>
  <c r="P1416" i="22"/>
  <c r="Q1416" i="22" s="1"/>
  <c r="P1533" i="22"/>
  <c r="Q1533" i="22" s="1"/>
  <c r="P1584" i="22"/>
  <c r="Q1584" i="22" s="1"/>
  <c r="P1713" i="22"/>
  <c r="Q1713" i="22" s="1"/>
  <c r="P1712" i="22"/>
  <c r="Q1712" i="22" s="1"/>
  <c r="P1775" i="22"/>
  <c r="Q1775" i="22" s="1"/>
  <c r="P2229" i="22"/>
  <c r="Q2229" i="22" s="1"/>
  <c r="P2467" i="22"/>
  <c r="Q2467" i="22" s="1"/>
  <c r="P515" i="22"/>
  <c r="Q515" i="22" s="1"/>
  <c r="P870" i="22"/>
  <c r="Q870" i="22" s="1"/>
  <c r="P288" i="22"/>
  <c r="Q288" i="22" s="1"/>
  <c r="P1080" i="22"/>
  <c r="Q1080" i="22" s="1"/>
  <c r="P1083" i="22"/>
  <c r="Q1083" i="22" s="1"/>
  <c r="P1156" i="22"/>
  <c r="Q1156" i="22" s="1"/>
  <c r="P551" i="22"/>
  <c r="Q551" i="22" s="1"/>
  <c r="P764" i="22"/>
  <c r="Q764" i="22" s="1"/>
  <c r="P1071" i="22"/>
  <c r="Q1071" i="22" s="1"/>
  <c r="P1734" i="22"/>
  <c r="Q1734" i="22" s="1"/>
  <c r="P2282" i="22"/>
  <c r="Q2282" i="22" s="1"/>
  <c r="P803" i="22"/>
  <c r="Q803" i="22" s="1"/>
  <c r="P888" i="22"/>
  <c r="Q888" i="22" s="1"/>
  <c r="P1085" i="22"/>
  <c r="Q1085" i="22" s="1"/>
  <c r="P470" i="22"/>
  <c r="Q470" i="22" s="1"/>
  <c r="P3236" i="22"/>
  <c r="Q3236" i="22" s="1"/>
  <c r="P3234" i="22"/>
  <c r="Q3234" i="22" s="1"/>
  <c r="P711" i="22"/>
  <c r="Q711" i="22" s="1"/>
  <c r="P873" i="22"/>
  <c r="Q873" i="22" s="1"/>
  <c r="P915" i="22"/>
  <c r="Q915" i="22" s="1"/>
  <c r="P1123" i="22"/>
  <c r="Q1123" i="22" s="1"/>
  <c r="P1359" i="22"/>
  <c r="Q1359" i="22" s="1"/>
  <c r="P1465" i="22"/>
  <c r="Q1465" i="22" s="1"/>
  <c r="P1522" i="22"/>
  <c r="Q1522" i="22" s="1"/>
  <c r="P1650" i="22"/>
  <c r="Q1650" i="22" s="1"/>
  <c r="P1657" i="22"/>
  <c r="Q1657" i="22" s="1"/>
  <c r="P1656" i="22"/>
  <c r="Q1656" i="22" s="1"/>
  <c r="P1986" i="22"/>
  <c r="Q1986" i="22" s="1"/>
  <c r="P2238" i="22"/>
  <c r="Q2238" i="22" s="1"/>
  <c r="P2262" i="22"/>
  <c r="Q2262" i="22" s="1"/>
  <c r="P2263" i="22"/>
  <c r="Q2263" i="22" s="1"/>
  <c r="P2261" i="22"/>
  <c r="Q2261" i="22" s="1"/>
  <c r="P2587" i="22"/>
  <c r="Q2587" i="22" s="1"/>
  <c r="P106" i="22"/>
  <c r="Q106" i="22" s="1"/>
  <c r="P2294" i="22"/>
  <c r="Q2294" i="22" s="1"/>
  <c r="P2292" i="22"/>
  <c r="Q2292" i="22" s="1"/>
  <c r="P72" i="22"/>
  <c r="Q72" i="22" s="1"/>
  <c r="P3001" i="22"/>
  <c r="Q3001" i="22" s="1"/>
  <c r="P1925" i="22"/>
  <c r="Q1925" i="22" s="1"/>
  <c r="P1920" i="22"/>
  <c r="Q1920" i="22" s="1"/>
  <c r="P78" i="22"/>
  <c r="Q78" i="22" s="1"/>
  <c r="P87" i="22"/>
  <c r="Q87" i="22" s="1"/>
  <c r="P114" i="22"/>
  <c r="Q114" i="22" s="1"/>
  <c r="P123" i="22"/>
  <c r="Q123" i="22" s="1"/>
  <c r="P2288" i="22"/>
  <c r="Q2288" i="22" s="1"/>
  <c r="P144" i="22"/>
  <c r="Q144" i="22" s="1"/>
  <c r="P150" i="22"/>
  <c r="Q150" i="22" s="1"/>
  <c r="P159" i="22"/>
  <c r="Q159" i="22" s="1"/>
  <c r="P186" i="22"/>
  <c r="Q186" i="22" s="1"/>
  <c r="P195" i="22"/>
  <c r="Q195" i="22" s="1"/>
  <c r="P222" i="22"/>
  <c r="Q222" i="22" s="1"/>
  <c r="P225" i="22"/>
  <c r="Q225" i="22" s="1"/>
  <c r="P231" i="22"/>
  <c r="Q231" i="22" s="1"/>
  <c r="P258" i="22"/>
  <c r="Q258" i="22" s="1"/>
  <c r="P267" i="22"/>
  <c r="Q267" i="22" s="1"/>
  <c r="P315" i="22"/>
  <c r="Q315" i="22" s="1"/>
  <c r="P441" i="22"/>
  <c r="Q441" i="22" s="1"/>
  <c r="P471" i="22"/>
  <c r="Q471" i="22" s="1"/>
  <c r="P486" i="22"/>
  <c r="Q486" i="22" s="1"/>
  <c r="P506" i="22"/>
  <c r="Q506" i="22" s="1"/>
  <c r="P531" i="22"/>
  <c r="Q531" i="22" s="1"/>
  <c r="P657" i="22"/>
  <c r="Q657" i="22" s="1"/>
  <c r="P687" i="22"/>
  <c r="Q687" i="22" s="1"/>
  <c r="P702" i="22"/>
  <c r="Q702" i="22" s="1"/>
  <c r="P722" i="22"/>
  <c r="Q722" i="22" s="1"/>
  <c r="P786" i="22"/>
  <c r="Q786" i="22" s="1"/>
  <c r="P788" i="22"/>
  <c r="Q788" i="22" s="1"/>
  <c r="P792" i="22"/>
  <c r="Q792" i="22" s="1"/>
  <c r="P799" i="22"/>
  <c r="Q799" i="22" s="1"/>
  <c r="P819" i="22"/>
  <c r="Q819" i="22" s="1"/>
  <c r="P825" i="22"/>
  <c r="Q825" i="22" s="1"/>
  <c r="P2585" i="22"/>
  <c r="Q2585" i="22" s="1"/>
  <c r="P2583" i="22"/>
  <c r="Q2583" i="22" s="1"/>
  <c r="P846" i="22"/>
  <c r="Q846" i="22" s="1"/>
  <c r="P879" i="22"/>
  <c r="Q879" i="22" s="1"/>
  <c r="P908" i="22"/>
  <c r="Q908" i="22" s="1"/>
  <c r="P914" i="22"/>
  <c r="Q914" i="22" s="1"/>
  <c r="P981" i="22"/>
  <c r="Q981" i="22" s="1"/>
  <c r="P983" i="22"/>
  <c r="Q983" i="22" s="1"/>
  <c r="P986" i="22"/>
  <c r="Q986" i="22" s="1"/>
  <c r="P993" i="22"/>
  <c r="Q993" i="22" s="1"/>
  <c r="P1009" i="22"/>
  <c r="Q1009" i="22" s="1"/>
  <c r="P1026" i="22"/>
  <c r="Q1026" i="22" s="1"/>
  <c r="P2678" i="22"/>
  <c r="Q2678" i="22" s="1"/>
  <c r="P2679" i="22"/>
  <c r="Q2679" i="22" s="1"/>
  <c r="P1028" i="22"/>
  <c r="Q1028" i="22" s="1"/>
  <c r="P1040" i="22"/>
  <c r="Q1040" i="22" s="1"/>
  <c r="P1074" i="22"/>
  <c r="Q1074" i="22" s="1"/>
  <c r="P1077" i="22"/>
  <c r="Q1077" i="22" s="1"/>
  <c r="P1111" i="22"/>
  <c r="Q1111" i="22" s="1"/>
  <c r="P2708" i="22"/>
  <c r="Q2708" i="22" s="1"/>
  <c r="P1114" i="22"/>
  <c r="Q1114" i="22" s="1"/>
  <c r="P1118" i="22"/>
  <c r="Q1118" i="22" s="1"/>
  <c r="P1189" i="22"/>
  <c r="Q1189" i="22" s="1"/>
  <c r="P1218" i="22"/>
  <c r="Q1218" i="22" s="1"/>
  <c r="P1311" i="22"/>
  <c r="Q1311" i="22" s="1"/>
  <c r="P1323" i="22"/>
  <c r="Q1323" i="22" s="1"/>
  <c r="P1345" i="22"/>
  <c r="Q1345" i="22" s="1"/>
  <c r="P1368" i="22"/>
  <c r="Q1368" i="22" s="1"/>
  <c r="P1376" i="22"/>
  <c r="Q1376" i="22" s="1"/>
  <c r="P1389" i="22"/>
  <c r="Q1389" i="22" s="1"/>
  <c r="P2823" i="22"/>
  <c r="Q2823" i="22" s="1"/>
  <c r="P1406" i="22"/>
  <c r="Q1406" i="22" s="1"/>
  <c r="P1412" i="22"/>
  <c r="Q1412" i="22" s="1"/>
  <c r="P1407" i="22"/>
  <c r="Q1407" i="22" s="1"/>
  <c r="P1468" i="22"/>
  <c r="Q1468" i="22" s="1"/>
  <c r="P1500" i="22"/>
  <c r="Q1500" i="22" s="1"/>
  <c r="P1507" i="22"/>
  <c r="Q1507" i="22" s="1"/>
  <c r="P1511" i="22"/>
  <c r="Q1511" i="22" s="1"/>
  <c r="P1558" i="22"/>
  <c r="Q1558" i="22" s="1"/>
  <c r="P1582" i="22"/>
  <c r="Q1582" i="22" s="1"/>
  <c r="P1639" i="22"/>
  <c r="Q1639" i="22" s="1"/>
  <c r="P1978" i="22"/>
  <c r="Q1978" i="22" s="1"/>
  <c r="P2163" i="22"/>
  <c r="Q2163" i="22" s="1"/>
  <c r="P2164" i="22"/>
  <c r="Q2164" i="22" s="1"/>
  <c r="P843" i="22"/>
  <c r="Q843" i="22" s="1"/>
  <c r="P3187" i="22"/>
  <c r="Q3187" i="22" s="1"/>
  <c r="P3188" i="22"/>
  <c r="Q3188" i="22" s="1"/>
  <c r="P2305" i="22"/>
  <c r="Q2305" i="22" s="1"/>
  <c r="P1263" i="22"/>
  <c r="Q1263" i="22" s="1"/>
  <c r="P1441" i="22"/>
  <c r="Q1441" i="22" s="1"/>
  <c r="P1660" i="22"/>
  <c r="Q1660" i="22" s="1"/>
  <c r="P1661" i="22"/>
  <c r="Q1661" i="22" s="1"/>
  <c r="P109" i="22"/>
  <c r="Q109" i="22" s="1"/>
  <c r="P855" i="22"/>
  <c r="Q855" i="22" s="1"/>
  <c r="P1051" i="22"/>
  <c r="Q1051" i="22" s="1"/>
  <c r="P2755" i="22"/>
  <c r="Q2755" i="22" s="1"/>
  <c r="P2780" i="22"/>
  <c r="Q2780" i="22" s="1"/>
  <c r="P1270" i="22"/>
  <c r="Q1270" i="22" s="1"/>
  <c r="P1268" i="22"/>
  <c r="Q1268" i="22" s="1"/>
  <c r="P1267" i="22"/>
  <c r="Q1267" i="22" s="1"/>
  <c r="P3338" i="22"/>
  <c r="Q3338" i="22" s="1"/>
  <c r="P126" i="22"/>
  <c r="Q126" i="22" s="1"/>
  <c r="P198" i="22"/>
  <c r="Q198" i="22" s="1"/>
  <c r="P279" i="22"/>
  <c r="Q279" i="22" s="1"/>
  <c r="P369" i="22"/>
  <c r="Q369" i="22" s="1"/>
  <c r="P434" i="22"/>
  <c r="Q434" i="22" s="1"/>
  <c r="P630" i="22"/>
  <c r="Q630" i="22" s="1"/>
  <c r="P897" i="22"/>
  <c r="Q897" i="22" s="1"/>
  <c r="P1005" i="22"/>
  <c r="Q1005" i="22" s="1"/>
  <c r="P450" i="22"/>
  <c r="Q450" i="22" s="1"/>
  <c r="P666" i="22"/>
  <c r="Q666" i="22" s="1"/>
  <c r="P847" i="22"/>
  <c r="Q847" i="22" s="1"/>
  <c r="P919" i="22"/>
  <c r="Q919" i="22" s="1"/>
  <c r="P3325" i="22"/>
  <c r="Q3325" i="22" s="1"/>
  <c r="P2286" i="22"/>
  <c r="Q2286" i="22" s="1"/>
  <c r="P396" i="22"/>
  <c r="Q396" i="22" s="1"/>
  <c r="P426" i="22"/>
  <c r="Q426" i="22" s="1"/>
  <c r="P443" i="22"/>
  <c r="Q443" i="22" s="1"/>
  <c r="P461" i="22"/>
  <c r="Q461" i="22" s="1"/>
  <c r="P488" i="22"/>
  <c r="Q488" i="22" s="1"/>
  <c r="P2489" i="22"/>
  <c r="Q2489" i="22" s="1"/>
  <c r="P612" i="22"/>
  <c r="Q612" i="22" s="1"/>
  <c r="P642" i="22"/>
  <c r="Q642" i="22" s="1"/>
  <c r="P659" i="22"/>
  <c r="Q659" i="22" s="1"/>
  <c r="P677" i="22"/>
  <c r="Q677" i="22" s="1"/>
  <c r="P692" i="22"/>
  <c r="Q692" i="22" s="1"/>
  <c r="P704" i="22"/>
  <c r="Q704" i="22" s="1"/>
  <c r="P707" i="22"/>
  <c r="Q707" i="22" s="1"/>
  <c r="P745" i="22"/>
  <c r="Q745" i="22" s="1"/>
  <c r="P2571" i="22"/>
  <c r="Q2571" i="22" s="1"/>
  <c r="P827" i="22"/>
  <c r="Q827" i="22" s="1"/>
  <c r="P2576" i="22"/>
  <c r="Q2576" i="22" s="1"/>
  <c r="P2574" i="22"/>
  <c r="Q2574" i="22" s="1"/>
  <c r="P2573" i="22"/>
  <c r="Q2573" i="22" s="1"/>
  <c r="P2589" i="22"/>
  <c r="Q2589" i="22" s="1"/>
  <c r="P857" i="22"/>
  <c r="Q857" i="22" s="1"/>
  <c r="P859" i="22"/>
  <c r="Q859" i="22" s="1"/>
  <c r="P910" i="22"/>
  <c r="Q910" i="22" s="1"/>
  <c r="P912" i="22"/>
  <c r="Q912" i="22" s="1"/>
  <c r="P937" i="22"/>
  <c r="Q937" i="22" s="1"/>
  <c r="P979" i="22"/>
  <c r="Q979" i="22" s="1"/>
  <c r="P982" i="22"/>
  <c r="Q982" i="22" s="1"/>
  <c r="P2673" i="22"/>
  <c r="Q2673" i="22" s="1"/>
  <c r="P1010" i="22"/>
  <c r="Q1010" i="22" s="1"/>
  <c r="P1011" i="22"/>
  <c r="Q1011" i="22" s="1"/>
  <c r="P1030" i="22"/>
  <c r="Q1030" i="22" s="1"/>
  <c r="P1032" i="22"/>
  <c r="Q1032" i="22" s="1"/>
  <c r="P1087" i="22"/>
  <c r="Q1087" i="22" s="1"/>
  <c r="P1093" i="22"/>
  <c r="Q1093" i="22" s="1"/>
  <c r="P1112" i="22"/>
  <c r="Q1112" i="22" s="1"/>
  <c r="P1116" i="22"/>
  <c r="Q1116" i="22" s="1"/>
  <c r="P1146" i="22"/>
  <c r="Q1146" i="22" s="1"/>
  <c r="P1149" i="22"/>
  <c r="Q1149" i="22" s="1"/>
  <c r="P1177" i="22"/>
  <c r="Q1177" i="22" s="1"/>
  <c r="P2731" i="22"/>
  <c r="Q2731" i="22" s="1"/>
  <c r="P2732" i="22"/>
  <c r="Q2732" i="22" s="1"/>
  <c r="P1183" i="22"/>
  <c r="Q1183" i="22" s="1"/>
  <c r="P1190" i="22"/>
  <c r="Q1190" i="22" s="1"/>
  <c r="P1191" i="22"/>
  <c r="Q1191" i="22" s="1"/>
  <c r="P1265" i="22"/>
  <c r="Q1265" i="22" s="1"/>
  <c r="P1272" i="22"/>
  <c r="Q1272" i="22" s="1"/>
  <c r="P1279" i="22"/>
  <c r="Q1279" i="22" s="1"/>
  <c r="P1294" i="22"/>
  <c r="Q1294" i="22" s="1"/>
  <c r="P1312" i="22"/>
  <c r="Q1312" i="22" s="1"/>
  <c r="P1342" i="22"/>
  <c r="Q1342" i="22" s="1"/>
  <c r="P1401" i="22"/>
  <c r="Q1401" i="22" s="1"/>
  <c r="P1504" i="22"/>
  <c r="Q1504" i="22" s="1"/>
  <c r="P1781" i="22"/>
  <c r="Q1781" i="22" s="1"/>
  <c r="P1784" i="22"/>
  <c r="Q1784" i="22" s="1"/>
  <c r="P1782" i="22"/>
  <c r="Q1782" i="22" s="1"/>
  <c r="P2210" i="22"/>
  <c r="Q2210" i="22" s="1"/>
  <c r="P2209" i="22"/>
  <c r="Q2209" i="22" s="1"/>
  <c r="P2228" i="22"/>
  <c r="Q2228" i="22" s="1"/>
  <c r="P2230" i="22"/>
  <c r="Q2230" i="22" s="1"/>
  <c r="P2235" i="22"/>
  <c r="Q2235" i="22" s="1"/>
  <c r="P2237" i="22"/>
  <c r="Q2237" i="22" s="1"/>
  <c r="P2424" i="22"/>
  <c r="Q2424" i="22" s="1"/>
  <c r="P1736" i="22"/>
  <c r="Q1736" i="22" s="1"/>
  <c r="P1735" i="22"/>
  <c r="Q1735" i="22" s="1"/>
  <c r="P639" i="22"/>
  <c r="Q639" i="22" s="1"/>
  <c r="P851" i="22"/>
  <c r="Q851" i="22" s="1"/>
  <c r="P1110" i="22"/>
  <c r="Q1110" i="22" s="1"/>
  <c r="P1404" i="22"/>
  <c r="Q1404" i="22" s="1"/>
  <c r="P1556" i="22"/>
  <c r="Q1556" i="22" s="1"/>
  <c r="P3223" i="22"/>
  <c r="Q3223" i="22" s="1"/>
  <c r="P1073" i="22"/>
  <c r="Q1073" i="22" s="1"/>
  <c r="P1411" i="22"/>
  <c r="Q1411" i="22" s="1"/>
  <c r="P1755" i="22"/>
  <c r="Q1755" i="22" s="1"/>
  <c r="P1753" i="22"/>
  <c r="Q1753" i="22" s="1"/>
  <c r="P42" i="22"/>
  <c r="Q42" i="22" s="1"/>
  <c r="P135" i="22"/>
  <c r="Q135" i="22" s="1"/>
  <c r="P234" i="22"/>
  <c r="Q234" i="22" s="1"/>
  <c r="P935" i="22"/>
  <c r="Q935" i="22" s="1"/>
  <c r="P2940" i="22"/>
  <c r="Q2940" i="22" s="1"/>
  <c r="P2942" i="22"/>
  <c r="Q2942" i="22" s="1"/>
  <c r="P2345" i="22"/>
  <c r="Q2345" i="22" s="1"/>
  <c r="P405" i="22"/>
  <c r="Q405" i="22" s="1"/>
  <c r="P651" i="22"/>
  <c r="Q651" i="22" s="1"/>
  <c r="P755" i="22"/>
  <c r="Q755" i="22" s="1"/>
  <c r="P836" i="22"/>
  <c r="Q836" i="22" s="1"/>
  <c r="P925" i="22"/>
  <c r="Q925" i="22" s="1"/>
  <c r="P1042" i="22"/>
  <c r="Q1042" i="22" s="1"/>
  <c r="P2793" i="22"/>
  <c r="Q2793" i="22" s="1"/>
  <c r="P2792" i="22"/>
  <c r="Q2792" i="22" s="1"/>
  <c r="P1302" i="22"/>
  <c r="Q1302" i="22" s="1"/>
  <c r="P1300" i="22"/>
  <c r="Q1300" i="22" s="1"/>
  <c r="P1304" i="22"/>
  <c r="Q1304" i="22" s="1"/>
  <c r="P2819" i="22"/>
  <c r="Q2819" i="22" s="1"/>
  <c r="P1531" i="22"/>
  <c r="Q1531" i="22" s="1"/>
  <c r="P2018" i="22"/>
  <c r="Q2018" i="22" s="1"/>
  <c r="P2016" i="22"/>
  <c r="Q2016" i="22" s="1"/>
  <c r="P2295" i="22"/>
  <c r="Q2295" i="22" s="1"/>
  <c r="P2298" i="22"/>
  <c r="Q2298" i="22" s="1"/>
  <c r="P2296" i="22"/>
  <c r="Q2296" i="22" s="1"/>
  <c r="P291" i="22"/>
  <c r="Q291" i="22" s="1"/>
  <c r="P306" i="22"/>
  <c r="Q306" i="22" s="1"/>
  <c r="P326" i="22"/>
  <c r="Q326" i="22" s="1"/>
  <c r="P351" i="22"/>
  <c r="Q351" i="22" s="1"/>
  <c r="P2410" i="22"/>
  <c r="Q2410" i="22" s="1"/>
  <c r="P477" i="22"/>
  <c r="Q477" i="22" s="1"/>
  <c r="P507" i="22"/>
  <c r="Q507" i="22" s="1"/>
  <c r="P522" i="22"/>
  <c r="Q522" i="22" s="1"/>
  <c r="P542" i="22"/>
  <c r="Q542" i="22" s="1"/>
  <c r="P567" i="22"/>
  <c r="Q567" i="22" s="1"/>
  <c r="P2500" i="22"/>
  <c r="Q2500" i="22" s="1"/>
  <c r="P634" i="22"/>
  <c r="Q634" i="22" s="1"/>
  <c r="P693" i="22"/>
  <c r="Q693" i="22" s="1"/>
  <c r="P723" i="22"/>
  <c r="Q723" i="22" s="1"/>
  <c r="P2535" i="22"/>
  <c r="Q2535" i="22" s="1"/>
  <c r="P738" i="22"/>
  <c r="Q738" i="22" s="1"/>
  <c r="P740" i="22"/>
  <c r="Q740" i="22" s="1"/>
  <c r="P744" i="22"/>
  <c r="Q744" i="22" s="1"/>
  <c r="P751" i="22"/>
  <c r="Q751" i="22" s="1"/>
  <c r="P2550" i="22"/>
  <c r="Q2550" i="22" s="1"/>
  <c r="P2546" i="22"/>
  <c r="Q2546" i="22" s="1"/>
  <c r="P771" i="22"/>
  <c r="Q771" i="22" s="1"/>
  <c r="P777" i="22"/>
  <c r="Q777" i="22" s="1"/>
  <c r="P798" i="22"/>
  <c r="Q798" i="22" s="1"/>
  <c r="P831" i="22"/>
  <c r="Q831" i="22" s="1"/>
  <c r="P2601" i="22"/>
  <c r="Q2601" i="22" s="1"/>
  <c r="P2600" i="22"/>
  <c r="Q2600" i="22" s="1"/>
  <c r="P949" i="22"/>
  <c r="Q949" i="22" s="1"/>
  <c r="P973" i="22"/>
  <c r="Q973" i="22" s="1"/>
  <c r="P994" i="22"/>
  <c r="Q994" i="22" s="1"/>
  <c r="P996" i="22"/>
  <c r="Q996" i="22" s="1"/>
  <c r="P1004" i="22"/>
  <c r="Q1004" i="22" s="1"/>
  <c r="P1008" i="22"/>
  <c r="Q1008" i="22" s="1"/>
  <c r="P1049" i="22"/>
  <c r="Q1049" i="22" s="1"/>
  <c r="P1053" i="22"/>
  <c r="Q1053" i="22" s="1"/>
  <c r="P1104" i="22"/>
  <c r="Q1104" i="22" s="1"/>
  <c r="P1132" i="22"/>
  <c r="Q1132" i="22" s="1"/>
  <c r="P1188" i="22"/>
  <c r="Q1188" i="22" s="1"/>
  <c r="P1233" i="22"/>
  <c r="Q1233" i="22" s="1"/>
  <c r="P1240" i="22"/>
  <c r="Q1240" i="22" s="1"/>
  <c r="P1251" i="22"/>
  <c r="Q1251" i="22" s="1"/>
  <c r="P1253" i="22"/>
  <c r="Q1253" i="22" s="1"/>
  <c r="P1289" i="22"/>
  <c r="Q1289" i="22" s="1"/>
  <c r="P1428" i="22"/>
  <c r="Q1428" i="22" s="1"/>
  <c r="P1426" i="22"/>
  <c r="Q1426" i="22" s="1"/>
  <c r="P1424" i="22"/>
  <c r="Q1424" i="22" s="1"/>
  <c r="P1437" i="22"/>
  <c r="Q1437" i="22" s="1"/>
  <c r="P1488" i="22"/>
  <c r="Q1488" i="22" s="1"/>
  <c r="P1589" i="22"/>
  <c r="Q1589" i="22" s="1"/>
  <c r="P1618" i="22"/>
  <c r="Q1618" i="22" s="1"/>
  <c r="P1630" i="22"/>
  <c r="Q1630" i="22" s="1"/>
  <c r="P1628" i="22"/>
  <c r="Q1628" i="22" s="1"/>
  <c r="P1629" i="22"/>
  <c r="Q1629" i="22" s="1"/>
  <c r="P1932" i="22"/>
  <c r="Q1932" i="22" s="1"/>
  <c r="P2321" i="22"/>
  <c r="Q2321" i="22" s="1"/>
  <c r="P560" i="22"/>
  <c r="Q560" i="22" s="1"/>
  <c r="P2277" i="22"/>
  <c r="Q2277" i="22" s="1"/>
  <c r="P2284" i="22"/>
  <c r="Q2284" i="22" s="1"/>
  <c r="P2280" i="22"/>
  <c r="Q2280" i="22" s="1"/>
  <c r="P917" i="22"/>
  <c r="Q917" i="22" s="1"/>
  <c r="P569" i="22"/>
  <c r="Q569" i="22" s="1"/>
  <c r="P762" i="22"/>
  <c r="Q762" i="22" s="1"/>
  <c r="P1076" i="22"/>
  <c r="Q1076" i="22" s="1"/>
  <c r="P90" i="22"/>
  <c r="Q90" i="22" s="1"/>
  <c r="P171" i="22"/>
  <c r="Q171" i="22" s="1"/>
  <c r="P243" i="22"/>
  <c r="Q243" i="22" s="1"/>
  <c r="P414" i="22"/>
  <c r="Q414" i="22" s="1"/>
  <c r="P2454" i="22"/>
  <c r="Q2454" i="22" s="1"/>
  <c r="P495" i="22"/>
  <c r="Q495" i="22" s="1"/>
  <c r="P686" i="22"/>
  <c r="Q686" i="22" s="1"/>
  <c r="P840" i="22"/>
  <c r="Q840" i="22" s="1"/>
  <c r="P896" i="22"/>
  <c r="Q896" i="22" s="1"/>
  <c r="P2657" i="22"/>
  <c r="Q2657" i="22" s="1"/>
  <c r="P969" i="22"/>
  <c r="Q969" i="22" s="1"/>
  <c r="P67" i="22"/>
  <c r="Q67" i="22" s="1"/>
  <c r="P220" i="22"/>
  <c r="Q220" i="22" s="1"/>
  <c r="P256" i="22"/>
  <c r="Q256" i="22" s="1"/>
  <c r="P296" i="22"/>
  <c r="Q296" i="22" s="1"/>
  <c r="P308" i="22"/>
  <c r="Q308" i="22" s="1"/>
  <c r="P432" i="22"/>
  <c r="Q432" i="22" s="1"/>
  <c r="P462" i="22"/>
  <c r="Q462" i="22" s="1"/>
  <c r="P479" i="22"/>
  <c r="Q479" i="22" s="1"/>
  <c r="P497" i="22"/>
  <c r="Q497" i="22" s="1"/>
  <c r="P524" i="22"/>
  <c r="Q524" i="22" s="1"/>
  <c r="P2463" i="22"/>
  <c r="Q2463" i="22" s="1"/>
  <c r="P619" i="22"/>
  <c r="Q619" i="22" s="1"/>
  <c r="P2506" i="22"/>
  <c r="Q2506" i="22" s="1"/>
  <c r="P648" i="22"/>
  <c r="Q648" i="22" s="1"/>
  <c r="P678" i="22"/>
  <c r="Q678" i="22" s="1"/>
  <c r="P695" i="22"/>
  <c r="Q695" i="22" s="1"/>
  <c r="P713" i="22"/>
  <c r="Q713" i="22" s="1"/>
  <c r="P779" i="22"/>
  <c r="Q779" i="22" s="1"/>
  <c r="P809" i="22"/>
  <c r="Q809" i="22" s="1"/>
  <c r="P811" i="22"/>
  <c r="Q811" i="22" s="1"/>
  <c r="P842" i="22"/>
  <c r="Q842" i="22" s="1"/>
  <c r="P858" i="22"/>
  <c r="Q858" i="22" s="1"/>
  <c r="P860" i="22"/>
  <c r="Q860" i="22" s="1"/>
  <c r="P864" i="22"/>
  <c r="Q864" i="22" s="1"/>
  <c r="P871" i="22"/>
  <c r="Q871" i="22" s="1"/>
  <c r="P891" i="22"/>
  <c r="Q891" i="22" s="1"/>
  <c r="P894" i="22"/>
  <c r="Q894" i="22" s="1"/>
  <c r="P899" i="22"/>
  <c r="Q899" i="22" s="1"/>
  <c r="P904" i="22"/>
  <c r="Q904" i="22" s="1"/>
  <c r="P943" i="22"/>
  <c r="Q943" i="22" s="1"/>
  <c r="P2644" i="22"/>
  <c r="Q2644" i="22" s="1"/>
  <c r="P2645" i="22"/>
  <c r="Q2645" i="22" s="1"/>
  <c r="P950" i="22"/>
  <c r="Q950" i="22" s="1"/>
  <c r="P971" i="22"/>
  <c r="Q971" i="22" s="1"/>
  <c r="P974" i="22"/>
  <c r="Q974" i="22" s="1"/>
  <c r="P975" i="22"/>
  <c r="Q975" i="22" s="1"/>
  <c r="P976" i="22"/>
  <c r="Q976" i="22" s="1"/>
  <c r="P1081" i="22"/>
  <c r="Q1081" i="22" s="1"/>
  <c r="P1102" i="22"/>
  <c r="Q1102" i="22" s="1"/>
  <c r="P1176" i="22"/>
  <c r="Q1176" i="22" s="1"/>
  <c r="P1203" i="22"/>
  <c r="Q1203" i="22" s="1"/>
  <c r="P1227" i="22"/>
  <c r="Q1227" i="22" s="1"/>
  <c r="P1271" i="22"/>
  <c r="Q1271" i="22" s="1"/>
  <c r="P1273" i="22"/>
  <c r="Q1273" i="22" s="1"/>
  <c r="P1310" i="22"/>
  <c r="Q1310" i="22" s="1"/>
  <c r="P1313" i="22"/>
  <c r="Q1313" i="22" s="1"/>
  <c r="P1438" i="22"/>
  <c r="Q1438" i="22" s="1"/>
  <c r="P1501" i="22"/>
  <c r="Q1501" i="22" s="1"/>
  <c r="P1496" i="22"/>
  <c r="Q1496" i="22" s="1"/>
  <c r="P1540" i="22"/>
  <c r="Q1540" i="22" s="1"/>
  <c r="P1542" i="22"/>
  <c r="Q1542" i="22" s="1"/>
  <c r="P1544" i="22"/>
  <c r="Q1544" i="22" s="1"/>
  <c r="P2932" i="22"/>
  <c r="Q2932" i="22" s="1"/>
  <c r="P1689" i="22"/>
  <c r="Q1689" i="22" s="1"/>
  <c r="P1690" i="22"/>
  <c r="Q1690" i="22" s="1"/>
  <c r="P1688" i="22"/>
  <c r="Q1688" i="22" s="1"/>
  <c r="P1693" i="22"/>
  <c r="Q1693" i="22" s="1"/>
  <c r="P2136" i="22"/>
  <c r="Q2136" i="22" s="1"/>
  <c r="P2233" i="22"/>
  <c r="Q2233" i="22" s="1"/>
  <c r="P2353" i="22"/>
  <c r="Q2353" i="22" s="1"/>
  <c r="P2392" i="22"/>
  <c r="Q2392" i="22" s="1"/>
  <c r="P1039" i="22"/>
  <c r="Q1039" i="22" s="1"/>
  <c r="P1059" i="22"/>
  <c r="Q1059" i="22" s="1"/>
  <c r="P1228" i="22"/>
  <c r="Q1228" i="22" s="1"/>
  <c r="P1230" i="22"/>
  <c r="Q1230" i="22" s="1"/>
  <c r="P1237" i="22"/>
  <c r="Q1237" i="22" s="1"/>
  <c r="P1292" i="22"/>
  <c r="Q1292" i="22" s="1"/>
  <c r="P1316" i="22"/>
  <c r="Q1316" i="22" s="1"/>
  <c r="P1317" i="22"/>
  <c r="Q1317" i="22" s="1"/>
  <c r="P1358" i="22"/>
  <c r="Q1358" i="22" s="1"/>
  <c r="P1360" i="22"/>
  <c r="Q1360" i="22" s="1"/>
  <c r="P1447" i="22"/>
  <c r="Q1447" i="22" s="1"/>
  <c r="P1451" i="22"/>
  <c r="Q1451" i="22" s="1"/>
  <c r="P1502" i="22"/>
  <c r="Q1502" i="22" s="1"/>
  <c r="P1526" i="22"/>
  <c r="Q1526" i="22" s="1"/>
  <c r="P1572" i="22"/>
  <c r="Q1572" i="22" s="1"/>
  <c r="P1578" i="22"/>
  <c r="Q1578" i="22" s="1"/>
  <c r="P1613" i="22"/>
  <c r="Q1613" i="22" s="1"/>
  <c r="P1621" i="22"/>
  <c r="Q1621" i="22" s="1"/>
  <c r="P1679" i="22"/>
  <c r="Q1679" i="22" s="1"/>
  <c r="P1748" i="22"/>
  <c r="Q1748" i="22" s="1"/>
  <c r="P1744" i="22"/>
  <c r="Q1744" i="22" s="1"/>
  <c r="P1792" i="22"/>
  <c r="Q1792" i="22" s="1"/>
  <c r="P1864" i="22"/>
  <c r="Q1864" i="22" s="1"/>
  <c r="P954" i="22"/>
  <c r="Q954" i="22" s="1"/>
  <c r="P956" i="22"/>
  <c r="Q956" i="22" s="1"/>
  <c r="P1003" i="22"/>
  <c r="Q1003" i="22" s="1"/>
  <c r="P1023" i="22"/>
  <c r="Q1023" i="22" s="1"/>
  <c r="P1084" i="22"/>
  <c r="Q1084" i="22" s="1"/>
  <c r="P1130" i="22"/>
  <c r="Q1130" i="22" s="1"/>
  <c r="P1172" i="22"/>
  <c r="Q1172" i="22" s="1"/>
  <c r="P2770" i="22"/>
  <c r="Q2770" i="22" s="1"/>
  <c r="P2769" i="22"/>
  <c r="Q2769" i="22" s="1"/>
  <c r="P1244" i="22"/>
  <c r="Q1244" i="22" s="1"/>
  <c r="P1288" i="22"/>
  <c r="Q1288" i="22" s="1"/>
  <c r="P1307" i="22"/>
  <c r="Q1307" i="22" s="1"/>
  <c r="P1375" i="22"/>
  <c r="Q1375" i="22" s="1"/>
  <c r="P1402" i="22"/>
  <c r="Q1402" i="22" s="1"/>
  <c r="P1408" i="22"/>
  <c r="Q1408" i="22" s="1"/>
  <c r="P1410" i="22"/>
  <c r="Q1410" i="22" s="1"/>
  <c r="P1458" i="22"/>
  <c r="Q1458" i="22" s="1"/>
  <c r="P1462" i="22"/>
  <c r="Q1462" i="22" s="1"/>
  <c r="P1499" i="22"/>
  <c r="Q1499" i="22" s="1"/>
  <c r="P1508" i="22"/>
  <c r="Q1508" i="22" s="1"/>
  <c r="P1524" i="22"/>
  <c r="Q1524" i="22" s="1"/>
  <c r="P1632" i="22"/>
  <c r="Q1632" i="22" s="1"/>
  <c r="P1677" i="22"/>
  <c r="Q1677" i="22" s="1"/>
  <c r="P1686" i="22"/>
  <c r="Q1686" i="22" s="1"/>
  <c r="P1711" i="22"/>
  <c r="Q1711" i="22" s="1"/>
  <c r="P1847" i="22"/>
  <c r="Q1847" i="22" s="1"/>
  <c r="P2368" i="22"/>
  <c r="Q2368" i="22" s="1"/>
  <c r="P2422" i="22"/>
  <c r="Q2422" i="22" s="1"/>
  <c r="P2772" i="22"/>
  <c r="Q2772" i="22" s="1"/>
  <c r="P1248" i="22"/>
  <c r="Q1248" i="22" s="1"/>
  <c r="P1255" i="22"/>
  <c r="Q1255" i="22" s="1"/>
  <c r="P1329" i="22"/>
  <c r="Q1329" i="22" s="1"/>
  <c r="P1334" i="22"/>
  <c r="Q1334" i="22" s="1"/>
  <c r="P1369" i="22"/>
  <c r="Q1369" i="22" s="1"/>
  <c r="P1373" i="22"/>
  <c r="Q1373" i="22" s="1"/>
  <c r="P1397" i="22"/>
  <c r="Q1397" i="22" s="1"/>
  <c r="P1452" i="22"/>
  <c r="Q1452" i="22" s="1"/>
  <c r="P1456" i="22"/>
  <c r="Q1456" i="22" s="1"/>
  <c r="P1505" i="22"/>
  <c r="Q1505" i="22" s="1"/>
  <c r="P1591" i="22"/>
  <c r="Q1591" i="22" s="1"/>
  <c r="P1594" i="22"/>
  <c r="Q1594" i="22" s="1"/>
  <c r="P1616" i="22"/>
  <c r="Q1616" i="22" s="1"/>
  <c r="P1678" i="22"/>
  <c r="Q1678" i="22" s="1"/>
  <c r="P1769" i="22"/>
  <c r="Q1769" i="22" s="1"/>
  <c r="P1771" i="22"/>
  <c r="Q1771" i="22" s="1"/>
  <c r="P1863" i="22"/>
  <c r="Q1863" i="22" s="1"/>
  <c r="P1911" i="22"/>
  <c r="Q1911" i="22" s="1"/>
  <c r="P2997" i="22"/>
  <c r="Q2997" i="22" s="1"/>
  <c r="P1924" i="22"/>
  <c r="Q1924" i="22" s="1"/>
  <c r="P1972" i="22"/>
  <c r="Q1972" i="22" s="1"/>
  <c r="P1973" i="22"/>
  <c r="Q1973" i="22" s="1"/>
  <c r="P2192" i="22"/>
  <c r="Q2192" i="22" s="1"/>
  <c r="P2281" i="22"/>
  <c r="Q2281" i="22" s="1"/>
  <c r="P2533" i="22"/>
  <c r="Q2533" i="22" s="1"/>
  <c r="P2786" i="22"/>
  <c r="Q2786" i="22" s="1"/>
  <c r="P2787" i="22"/>
  <c r="Q2787" i="22" s="1"/>
  <c r="P294" i="22"/>
  <c r="Q294" i="22" s="1"/>
  <c r="P303" i="22"/>
  <c r="Q303" i="22" s="1"/>
  <c r="P330" i="22"/>
  <c r="Q330" i="22" s="1"/>
  <c r="P339" i="22"/>
  <c r="Q339" i="22" s="1"/>
  <c r="P366" i="22"/>
  <c r="Q366" i="22" s="1"/>
  <c r="P375" i="22"/>
  <c r="Q375" i="22" s="1"/>
  <c r="P402" i="22"/>
  <c r="Q402" i="22" s="1"/>
  <c r="P411" i="22"/>
  <c r="Q411" i="22" s="1"/>
  <c r="P438" i="22"/>
  <c r="Q438" i="22" s="1"/>
  <c r="P447" i="22"/>
  <c r="Q447" i="22" s="1"/>
  <c r="P474" i="22"/>
  <c r="Q474" i="22" s="1"/>
  <c r="P483" i="22"/>
  <c r="Q483" i="22" s="1"/>
  <c r="P510" i="22"/>
  <c r="Q510" i="22" s="1"/>
  <c r="P519" i="22"/>
  <c r="Q519" i="22" s="1"/>
  <c r="P546" i="22"/>
  <c r="Q546" i="22" s="1"/>
  <c r="P555" i="22"/>
  <c r="Q555" i="22" s="1"/>
  <c r="P582" i="22"/>
  <c r="Q582" i="22" s="1"/>
  <c r="P591" i="22"/>
  <c r="Q591" i="22" s="1"/>
  <c r="P618" i="22"/>
  <c r="Q618" i="22" s="1"/>
  <c r="P627" i="22"/>
  <c r="Q627" i="22" s="1"/>
  <c r="P654" i="22"/>
  <c r="Q654" i="22" s="1"/>
  <c r="P663" i="22"/>
  <c r="Q663" i="22" s="1"/>
  <c r="P690" i="22"/>
  <c r="Q690" i="22" s="1"/>
  <c r="P699" i="22"/>
  <c r="Q699" i="22" s="1"/>
  <c r="P726" i="22"/>
  <c r="Q726" i="22" s="1"/>
  <c r="P928" i="22"/>
  <c r="Q928" i="22" s="1"/>
  <c r="P931" i="22"/>
  <c r="Q931" i="22" s="1"/>
  <c r="P2651" i="22"/>
  <c r="Q2651" i="22" s="1"/>
  <c r="P2652" i="22"/>
  <c r="Q2652" i="22" s="1"/>
  <c r="P967" i="22"/>
  <c r="Q967" i="22" s="1"/>
  <c r="P987" i="22"/>
  <c r="Q987" i="22" s="1"/>
  <c r="P1048" i="22"/>
  <c r="Q1048" i="22" s="1"/>
  <c r="P1094" i="22"/>
  <c r="Q1094" i="22" s="1"/>
  <c r="P1134" i="22"/>
  <c r="Q1134" i="22" s="1"/>
  <c r="P1136" i="22"/>
  <c r="Q1136" i="22" s="1"/>
  <c r="P1221" i="22"/>
  <c r="Q1221" i="22" s="1"/>
  <c r="P1303" i="22"/>
  <c r="Q1303" i="22" s="1"/>
  <c r="P1330" i="22"/>
  <c r="Q1330" i="22" s="1"/>
  <c r="P1336" i="22"/>
  <c r="Q1336" i="22" s="1"/>
  <c r="P1340" i="22"/>
  <c r="Q1340" i="22" s="1"/>
  <c r="P1338" i="22"/>
  <c r="Q1338" i="22" s="1"/>
  <c r="P1425" i="22"/>
  <c r="Q1425" i="22" s="1"/>
  <c r="P1469" i="22"/>
  <c r="Q1469" i="22" s="1"/>
  <c r="P1506" i="22"/>
  <c r="Q1506" i="22" s="1"/>
  <c r="P1532" i="22"/>
  <c r="Q1532" i="22" s="1"/>
  <c r="P1627" i="22"/>
  <c r="Q1627" i="22" s="1"/>
  <c r="P1638" i="22"/>
  <c r="Q1638" i="22" s="1"/>
  <c r="P1684" i="22"/>
  <c r="Q1684" i="22" s="1"/>
  <c r="P1759" i="22"/>
  <c r="Q1759" i="22" s="1"/>
  <c r="P1756" i="22"/>
  <c r="Q1756" i="22" s="1"/>
  <c r="P2960" i="22"/>
  <c r="Q2960" i="22" s="1"/>
  <c r="P1774" i="22"/>
  <c r="Q1774" i="22" s="1"/>
  <c r="P2021" i="22"/>
  <c r="Q2021" i="22" s="1"/>
  <c r="P2028" i="22"/>
  <c r="Q2028" i="22" s="1"/>
  <c r="P2029" i="22"/>
  <c r="Q2029" i="22" s="1"/>
  <c r="P1260" i="22"/>
  <c r="Q1260" i="22" s="1"/>
  <c r="P1262" i="22"/>
  <c r="Q1262" i="22" s="1"/>
  <c r="P1297" i="22"/>
  <c r="Q1297" i="22" s="1"/>
  <c r="P1301" i="22"/>
  <c r="Q1301" i="22" s="1"/>
  <c r="P1325" i="22"/>
  <c r="Q1325" i="22" s="1"/>
  <c r="P1386" i="22"/>
  <c r="Q1386" i="22" s="1"/>
  <c r="P1423" i="22"/>
  <c r="Q1423" i="22" s="1"/>
  <c r="P1443" i="22"/>
  <c r="Q1443" i="22" s="1"/>
  <c r="P1490" i="22"/>
  <c r="Q1490" i="22" s="1"/>
  <c r="P1497" i="22"/>
  <c r="Q1497" i="22" s="1"/>
  <c r="P1530" i="22"/>
  <c r="Q1530" i="22" s="1"/>
  <c r="P1560" i="22"/>
  <c r="Q1560" i="22" s="1"/>
  <c r="P1559" i="22"/>
  <c r="Q1559" i="22" s="1"/>
  <c r="P1574" i="22"/>
  <c r="Q1574" i="22" s="1"/>
  <c r="P1607" i="22"/>
  <c r="Q1607" i="22" s="1"/>
  <c r="P1622" i="22"/>
  <c r="Q1622" i="22" s="1"/>
  <c r="P1625" i="22"/>
  <c r="Q1625" i="22" s="1"/>
  <c r="P1624" i="22"/>
  <c r="Q1624" i="22" s="1"/>
  <c r="P1626" i="22"/>
  <c r="Q1626" i="22" s="1"/>
  <c r="P1631" i="22"/>
  <c r="Q1631" i="22" s="1"/>
  <c r="P1653" i="22"/>
  <c r="Q1653" i="22" s="1"/>
  <c r="P1813" i="22"/>
  <c r="Q1813" i="22" s="1"/>
  <c r="P1869" i="22"/>
  <c r="Q1869" i="22" s="1"/>
  <c r="P1878" i="22"/>
  <c r="Q1878" i="22" s="1"/>
  <c r="P1922" i="22"/>
  <c r="Q1922" i="22" s="1"/>
  <c r="P1956" i="22"/>
  <c r="Q1956" i="22" s="1"/>
  <c r="P2051" i="22"/>
  <c r="Q2051" i="22" s="1"/>
  <c r="P2053" i="22"/>
  <c r="Q2053" i="22" s="1"/>
  <c r="P2257" i="22"/>
  <c r="Q2257" i="22" s="1"/>
  <c r="P2259" i="22"/>
  <c r="Q2259" i="22" s="1"/>
  <c r="P2316" i="22"/>
  <c r="Q2316" i="22" s="1"/>
  <c r="P2569" i="22"/>
  <c r="Q2569" i="22" s="1"/>
  <c r="P2356" i="22"/>
  <c r="Q2356" i="22" s="1"/>
  <c r="P2357" i="22"/>
  <c r="Q2357" i="22" s="1"/>
  <c r="P2362" i="22"/>
  <c r="Q2362" i="22" s="1"/>
  <c r="P2367" i="22"/>
  <c r="Q2367" i="22" s="1"/>
  <c r="P2413" i="22"/>
  <c r="Q2413" i="22" s="1"/>
  <c r="P2412" i="22"/>
  <c r="Q2412" i="22" s="1"/>
  <c r="P2472" i="22"/>
  <c r="Q2472" i="22" s="1"/>
  <c r="P2542" i="22"/>
  <c r="Q2542" i="22" s="1"/>
  <c r="P2540" i="22"/>
  <c r="Q2540" i="22" s="1"/>
  <c r="P752" i="22"/>
  <c r="Q752" i="22" s="1"/>
  <c r="P776" i="22"/>
  <c r="Q776" i="22" s="1"/>
  <c r="P800" i="22"/>
  <c r="Q800" i="22" s="1"/>
  <c r="P824" i="22"/>
  <c r="Q824" i="22" s="1"/>
  <c r="P848" i="22"/>
  <c r="Q848" i="22" s="1"/>
  <c r="P872" i="22"/>
  <c r="Q872" i="22" s="1"/>
  <c r="P2621" i="22"/>
  <c r="Q2621" i="22" s="1"/>
  <c r="P898" i="22"/>
  <c r="Q898" i="22" s="1"/>
  <c r="P951" i="22"/>
  <c r="Q951" i="22" s="1"/>
  <c r="P1012" i="22"/>
  <c r="Q1012" i="22" s="1"/>
  <c r="P2681" i="22"/>
  <c r="Q2681" i="22" s="1"/>
  <c r="P2680" i="22"/>
  <c r="Q2680" i="22" s="1"/>
  <c r="P1058" i="22"/>
  <c r="Q1058" i="22" s="1"/>
  <c r="P2704" i="22"/>
  <c r="Q2704" i="22" s="1"/>
  <c r="P2701" i="22"/>
  <c r="Q2701" i="22" s="1"/>
  <c r="P2703" i="22"/>
  <c r="Q2703" i="22" s="1"/>
  <c r="P1098" i="22"/>
  <c r="Q1098" i="22" s="1"/>
  <c r="P1100" i="22"/>
  <c r="Q1100" i="22" s="1"/>
  <c r="P1147" i="22"/>
  <c r="Q1147" i="22" s="1"/>
  <c r="P1167" i="22"/>
  <c r="Q1167" i="22" s="1"/>
  <c r="P1192" i="22"/>
  <c r="Q1192" i="22" s="1"/>
  <c r="P1194" i="22"/>
  <c r="Q1194" i="22" s="1"/>
  <c r="P1201" i="22"/>
  <c r="Q1201" i="22" s="1"/>
  <c r="P1264" i="22"/>
  <c r="Q1264" i="22" s="1"/>
  <c r="P1266" i="22"/>
  <c r="Q1266" i="22" s="1"/>
  <c r="P1382" i="22"/>
  <c r="Q1382" i="22" s="1"/>
  <c r="P1414" i="22"/>
  <c r="Q1414" i="22" s="1"/>
  <c r="P1415" i="22"/>
  <c r="Q1415" i="22" s="1"/>
  <c r="P3296" i="22"/>
  <c r="Q3296" i="22" s="1"/>
  <c r="P3295" i="22"/>
  <c r="Q3295" i="22" s="1"/>
  <c r="P1421" i="22"/>
  <c r="Q1421" i="22" s="1"/>
  <c r="P1464" i="22"/>
  <c r="Q1464" i="22" s="1"/>
  <c r="P1489" i="22"/>
  <c r="Q1489" i="22" s="1"/>
  <c r="P1651" i="22"/>
  <c r="Q1651" i="22" s="1"/>
  <c r="P1663" i="22"/>
  <c r="Q1663" i="22" s="1"/>
  <c r="P1662" i="22"/>
  <c r="Q1662" i="22" s="1"/>
  <c r="P1664" i="22"/>
  <c r="Q1664" i="22" s="1"/>
  <c r="P1682" i="22"/>
  <c r="Q1682" i="22" s="1"/>
  <c r="P1692" i="22"/>
  <c r="Q1692" i="22" s="1"/>
  <c r="P1772" i="22"/>
  <c r="Q1772" i="22" s="1"/>
  <c r="P1796" i="22"/>
  <c r="Q1796" i="22" s="1"/>
  <c r="P1797" i="22"/>
  <c r="Q1797" i="22" s="1"/>
  <c r="P2056" i="22"/>
  <c r="Q2056" i="22" s="1"/>
  <c r="P2061" i="22"/>
  <c r="Q2061" i="22" s="1"/>
  <c r="P2112" i="22"/>
  <c r="Q2112" i="22" s="1"/>
  <c r="P2191" i="22"/>
  <c r="Q2191" i="22" s="1"/>
  <c r="P2582" i="22"/>
  <c r="Q2582" i="22" s="1"/>
  <c r="P2446" i="22"/>
  <c r="Q2446" i="22" s="1"/>
  <c r="P2561" i="22"/>
  <c r="Q2561" i="22" s="1"/>
  <c r="P2564" i="22"/>
  <c r="Q2564" i="22" s="1"/>
  <c r="P944" i="22"/>
  <c r="Q944" i="22" s="1"/>
  <c r="P962" i="22"/>
  <c r="Q962" i="22" s="1"/>
  <c r="P980" i="22"/>
  <c r="Q980" i="22" s="1"/>
  <c r="P998" i="22"/>
  <c r="Q998" i="22" s="1"/>
  <c r="P1016" i="22"/>
  <c r="Q1016" i="22" s="1"/>
  <c r="P1034" i="22"/>
  <c r="Q1034" i="22" s="1"/>
  <c r="P1052" i="22"/>
  <c r="Q1052" i="22" s="1"/>
  <c r="P1070" i="22"/>
  <c r="Q1070" i="22" s="1"/>
  <c r="P2696" i="22"/>
  <c r="Q2696" i="22" s="1"/>
  <c r="P1088" i="22"/>
  <c r="Q1088" i="22" s="1"/>
  <c r="P1106" i="22"/>
  <c r="Q1106" i="22" s="1"/>
  <c r="P1124" i="22"/>
  <c r="Q1124" i="22" s="1"/>
  <c r="P2716" i="22"/>
  <c r="Q2716" i="22" s="1"/>
  <c r="P2719" i="22"/>
  <c r="Q2719" i="22" s="1"/>
  <c r="P1142" i="22"/>
  <c r="Q1142" i="22" s="1"/>
  <c r="P1160" i="22"/>
  <c r="Q1160" i="22" s="1"/>
  <c r="P2728" i="22"/>
  <c r="Q2728" i="22" s="1"/>
  <c r="P1178" i="22"/>
  <c r="Q1178" i="22" s="1"/>
  <c r="P1196" i="22"/>
  <c r="Q1196" i="22" s="1"/>
  <c r="P2744" i="22"/>
  <c r="Q2744" i="22" s="1"/>
  <c r="P1214" i="22"/>
  <c r="Q1214" i="22" s="1"/>
  <c r="P1232" i="22"/>
  <c r="Q1232" i="22" s="1"/>
  <c r="P1250" i="22"/>
  <c r="Q1250" i="22" s="1"/>
  <c r="P1290" i="22"/>
  <c r="Q1290" i="22" s="1"/>
  <c r="P1305" i="22"/>
  <c r="Q1305" i="22" s="1"/>
  <c r="P2798" i="22"/>
  <c r="Q2798" i="22" s="1"/>
  <c r="P1362" i="22"/>
  <c r="Q1362" i="22" s="1"/>
  <c r="P1377" i="22"/>
  <c r="Q1377" i="22" s="1"/>
  <c r="P1434" i="22"/>
  <c r="Q1434" i="22" s="1"/>
  <c r="P1483" i="22"/>
  <c r="Q1483" i="22" s="1"/>
  <c r="P1495" i="22"/>
  <c r="Q1495" i="22" s="1"/>
  <c r="P1494" i="22"/>
  <c r="Q1494" i="22" s="1"/>
  <c r="P1562" i="22"/>
  <c r="Q1562" i="22" s="1"/>
  <c r="P1592" i="22"/>
  <c r="Q1592" i="22" s="1"/>
  <c r="P1655" i="22"/>
  <c r="Q1655" i="22" s="1"/>
  <c r="P1674" i="22"/>
  <c r="Q1674" i="22" s="1"/>
  <c r="P1776" i="22"/>
  <c r="Q1776" i="22" s="1"/>
  <c r="P1799" i="22"/>
  <c r="Q1799" i="22" s="1"/>
  <c r="P1951" i="22"/>
  <c r="Q1951" i="22" s="1"/>
  <c r="P2015" i="22"/>
  <c r="Q2015" i="22" s="1"/>
  <c r="P2125" i="22"/>
  <c r="Q2125" i="22" s="1"/>
  <c r="P2161" i="22"/>
  <c r="Q2161" i="22" s="1"/>
  <c r="P2184" i="22"/>
  <c r="Q2184" i="22" s="1"/>
  <c r="P2183" i="22"/>
  <c r="Q2183" i="22" s="1"/>
  <c r="P2258" i="22"/>
  <c r="Q2258" i="22" s="1"/>
  <c r="P2337" i="22"/>
  <c r="Q2337" i="22" s="1"/>
  <c r="P2393" i="22"/>
  <c r="Q2393" i="22" s="1"/>
  <c r="P2443" i="22"/>
  <c r="Q2443" i="22" s="1"/>
  <c r="P2556" i="22"/>
  <c r="Q2556" i="22" s="1"/>
  <c r="P2641" i="22"/>
  <c r="Q2641" i="22" s="1"/>
  <c r="P932" i="22"/>
  <c r="Q932" i="22" s="1"/>
  <c r="P1283" i="22"/>
  <c r="Q1283" i="22" s="1"/>
  <c r="P1298" i="22"/>
  <c r="Q1298" i="22" s="1"/>
  <c r="P1355" i="22"/>
  <c r="Q1355" i="22" s="1"/>
  <c r="P1370" i="22"/>
  <c r="Q1370" i="22" s="1"/>
  <c r="P1427" i="22"/>
  <c r="Q1427" i="22" s="1"/>
  <c r="P2832" i="22"/>
  <c r="Q2832" i="22" s="1"/>
  <c r="P2831" i="22"/>
  <c r="Q2831" i="22" s="1"/>
  <c r="P1442" i="22"/>
  <c r="Q1442" i="22" s="1"/>
  <c r="P1534" i="22"/>
  <c r="Q1534" i="22" s="1"/>
  <c r="P1608" i="22"/>
  <c r="Q1608" i="22" s="1"/>
  <c r="P1633" i="22"/>
  <c r="Q1633" i="22" s="1"/>
  <c r="P1652" i="22"/>
  <c r="Q1652" i="22" s="1"/>
  <c r="P1695" i="22"/>
  <c r="Q1695" i="22" s="1"/>
  <c r="P1728" i="22"/>
  <c r="Q1728" i="22" s="1"/>
  <c r="P1800" i="22"/>
  <c r="Q1800" i="22" s="1"/>
  <c r="P1804" i="22"/>
  <c r="Q1804" i="22" s="1"/>
  <c r="P1834" i="22"/>
  <c r="Q1834" i="22" s="1"/>
  <c r="P1866" i="22"/>
  <c r="Q1866" i="22" s="1"/>
  <c r="P1880" i="22"/>
  <c r="Q1880" i="22" s="1"/>
  <c r="P1894" i="22"/>
  <c r="Q1894" i="22" s="1"/>
  <c r="P1892" i="22"/>
  <c r="Q1892" i="22" s="1"/>
  <c r="P2130" i="22"/>
  <c r="Q2130" i="22" s="1"/>
  <c r="P2181" i="22"/>
  <c r="Q2181" i="22" s="1"/>
  <c r="P2222" i="22"/>
  <c r="Q2222" i="22" s="1"/>
  <c r="P2302" i="22"/>
  <c r="Q2302" i="22" s="1"/>
  <c r="P2389" i="22"/>
  <c r="Q2389" i="22" s="1"/>
  <c r="P2409" i="22"/>
  <c r="Q2409" i="22" s="1"/>
  <c r="P3043" i="22"/>
  <c r="Q3043" i="22" s="1"/>
  <c r="P3344" i="22"/>
  <c r="Q3344" i="22" s="1"/>
  <c r="P3343" i="22"/>
  <c r="Q3343" i="22" s="1"/>
  <c r="P2027" i="22"/>
  <c r="Q2027" i="22" s="1"/>
  <c r="P3165" i="22"/>
  <c r="Q3165" i="22" s="1"/>
  <c r="P2290" i="22"/>
  <c r="Q2290" i="22" s="1"/>
  <c r="P2526" i="22"/>
  <c r="Q2526" i="22" s="1"/>
  <c r="P2725" i="22"/>
  <c r="Q2725" i="22" s="1"/>
  <c r="P2726" i="22"/>
  <c r="Q2726" i="22" s="1"/>
  <c r="P1285" i="22"/>
  <c r="Q1285" i="22" s="1"/>
  <c r="P2795" i="22"/>
  <c r="Q2795" i="22" s="1"/>
  <c r="P1309" i="22"/>
  <c r="Q1309" i="22" s="1"/>
  <c r="P1333" i="22"/>
  <c r="Q1333" i="22" s="1"/>
  <c r="P1357" i="22"/>
  <c r="Q1357" i="22" s="1"/>
  <c r="P1381" i="22"/>
  <c r="Q1381" i="22" s="1"/>
  <c r="P1405" i="22"/>
  <c r="Q1405" i="22" s="1"/>
  <c r="P1429" i="22"/>
  <c r="Q1429" i="22" s="1"/>
  <c r="P1476" i="22"/>
  <c r="Q1476" i="22" s="1"/>
  <c r="P1486" i="22"/>
  <c r="Q1486" i="22" s="1"/>
  <c r="P1517" i="22"/>
  <c r="Q1517" i="22" s="1"/>
  <c r="P1528" i="22"/>
  <c r="Q1528" i="22" s="1"/>
  <c r="P1571" i="22"/>
  <c r="Q1571" i="22" s="1"/>
  <c r="P1620" i="22"/>
  <c r="Q1620" i="22" s="1"/>
  <c r="P1699" i="22"/>
  <c r="Q1699" i="22" s="1"/>
  <c r="P1790" i="22"/>
  <c r="Q1790" i="22" s="1"/>
  <c r="P1798" i="22"/>
  <c r="Q1798" i="22" s="1"/>
  <c r="P1895" i="22"/>
  <c r="Q1895" i="22" s="1"/>
  <c r="P1946" i="22"/>
  <c r="Q1946" i="22" s="1"/>
  <c r="P1943" i="22"/>
  <c r="Q1943" i="22" s="1"/>
  <c r="P1961" i="22"/>
  <c r="Q1961" i="22" s="1"/>
  <c r="P1990" i="22"/>
  <c r="Q1990" i="22" s="1"/>
  <c r="P2006" i="22"/>
  <c r="Q2006" i="22" s="1"/>
  <c r="P2009" i="22"/>
  <c r="Q2009" i="22" s="1"/>
  <c r="P2017" i="22"/>
  <c r="Q2017" i="22" s="1"/>
  <c r="P2559" i="22"/>
  <c r="Q2559" i="22" s="1"/>
  <c r="P3020" i="22"/>
  <c r="Q3020" i="22" s="1"/>
  <c r="P1184" i="22"/>
  <c r="Q1184" i="22" s="1"/>
  <c r="P1202" i="22"/>
  <c r="Q1202" i="22" s="1"/>
  <c r="P1220" i="22"/>
  <c r="Q1220" i="22" s="1"/>
  <c r="P1238" i="22"/>
  <c r="Q1238" i="22" s="1"/>
  <c r="P1256" i="22"/>
  <c r="Q1256" i="22" s="1"/>
  <c r="P1276" i="22"/>
  <c r="Q1276" i="22" s="1"/>
  <c r="P1348" i="22"/>
  <c r="Q1348" i="22" s="1"/>
  <c r="P3280" i="22"/>
  <c r="Q3280" i="22" s="1"/>
  <c r="P3290" i="22"/>
  <c r="Q3290" i="22" s="1"/>
  <c r="P3283" i="22"/>
  <c r="Q3283" i="22" s="1"/>
  <c r="P2814" i="22"/>
  <c r="Q2814" i="22" s="1"/>
  <c r="P3285" i="22"/>
  <c r="Q3285" i="22" s="1"/>
  <c r="P2816" i="22"/>
  <c r="Q2816" i="22" s="1"/>
  <c r="P2812" i="22"/>
  <c r="Q2812" i="22" s="1"/>
  <c r="P1420" i="22"/>
  <c r="Q1420" i="22" s="1"/>
  <c r="P2875" i="22"/>
  <c r="Q2875" i="22" s="1"/>
  <c r="P1654" i="22"/>
  <c r="Q1654" i="22" s="1"/>
  <c r="P1658" i="22"/>
  <c r="Q1658" i="22" s="1"/>
  <c r="P1721" i="22"/>
  <c r="Q1721" i="22" s="1"/>
  <c r="P1879" i="22"/>
  <c r="Q1879" i="22" s="1"/>
  <c r="P1936" i="22"/>
  <c r="Q1936" i="22" s="1"/>
  <c r="P1979" i="22"/>
  <c r="Q1979" i="22" s="1"/>
  <c r="P1987" i="22"/>
  <c r="Q1987" i="22" s="1"/>
  <c r="P2054" i="22"/>
  <c r="Q2054" i="22" s="1"/>
  <c r="P2085" i="22"/>
  <c r="Q2085" i="22" s="1"/>
  <c r="P2102" i="22"/>
  <c r="Q2102" i="22" s="1"/>
  <c r="P2384" i="22"/>
  <c r="Q2384" i="22" s="1"/>
  <c r="P2929" i="22"/>
  <c r="Q2929" i="22" s="1"/>
  <c r="P2936" i="22"/>
  <c r="Q2936" i="22" s="1"/>
  <c r="P1291" i="22"/>
  <c r="Q1291" i="22" s="1"/>
  <c r="P1363" i="22"/>
  <c r="Q1363" i="22" s="1"/>
  <c r="P1388" i="22"/>
  <c r="Q1388" i="22" s="1"/>
  <c r="P1435" i="22"/>
  <c r="Q1435" i="22" s="1"/>
  <c r="P2844" i="22"/>
  <c r="Q2844" i="22" s="1"/>
  <c r="P1529" i="22"/>
  <c r="Q1529" i="22" s="1"/>
  <c r="P1548" i="22"/>
  <c r="Q1548" i="22" s="1"/>
  <c r="P1580" i="22"/>
  <c r="Q1580" i="22" s="1"/>
  <c r="P1602" i="22"/>
  <c r="Q1602" i="22" s="1"/>
  <c r="P1614" i="22"/>
  <c r="Q1614" i="22" s="1"/>
  <c r="P1683" i="22"/>
  <c r="Q1683" i="22" s="1"/>
  <c r="P1705" i="22"/>
  <c r="Q1705" i="22" s="1"/>
  <c r="P1715" i="22"/>
  <c r="Q1715" i="22" s="1"/>
  <c r="P1724" i="22"/>
  <c r="Q1724" i="22" s="1"/>
  <c r="P1726" i="22"/>
  <c r="Q1726" i="22" s="1"/>
  <c r="P1765" i="22"/>
  <c r="Q1765" i="22" s="1"/>
  <c r="P1778" i="22"/>
  <c r="Q1778" i="22" s="1"/>
  <c r="P1825" i="22"/>
  <c r="Q1825" i="22" s="1"/>
  <c r="P1823" i="22"/>
  <c r="Q1823" i="22" s="1"/>
  <c r="P1850" i="22"/>
  <c r="Q1850" i="22" s="1"/>
  <c r="P1857" i="22"/>
  <c r="Q1857" i="22" s="1"/>
  <c r="P1905" i="22"/>
  <c r="Q1905" i="22" s="1"/>
  <c r="P1901" i="22"/>
  <c r="Q1901" i="22" s="1"/>
  <c r="P1917" i="22"/>
  <c r="Q1917" i="22" s="1"/>
  <c r="P1921" i="22"/>
  <c r="Q1921" i="22" s="1"/>
  <c r="P1988" i="22"/>
  <c r="Q1988" i="22" s="1"/>
  <c r="P2023" i="22"/>
  <c r="Q2023" i="22" s="1"/>
  <c r="P2024" i="22"/>
  <c r="Q2024" i="22" s="1"/>
  <c r="P3055" i="22"/>
  <c r="Q3055" i="22" s="1"/>
  <c r="P2046" i="22"/>
  <c r="Q2046" i="22" s="1"/>
  <c r="P2091" i="22"/>
  <c r="Q2091" i="22" s="1"/>
  <c r="P2172" i="22"/>
  <c r="Q2172" i="22" s="1"/>
  <c r="P2179" i="22"/>
  <c r="Q2179" i="22" s="1"/>
  <c r="P2180" i="22"/>
  <c r="Q2180" i="22" s="1"/>
  <c r="P2225" i="22"/>
  <c r="Q2225" i="22" s="1"/>
  <c r="P2226" i="22"/>
  <c r="Q2226" i="22" s="1"/>
  <c r="P2224" i="22"/>
  <c r="Q2224" i="22" s="1"/>
  <c r="P2380" i="22"/>
  <c r="Q2380" i="22" s="1"/>
  <c r="P2456" i="22"/>
  <c r="Q2456" i="22" s="1"/>
  <c r="P2690" i="22"/>
  <c r="Q2690" i="22" s="1"/>
  <c r="P1326" i="22"/>
  <c r="Q1326" i="22" s="1"/>
  <c r="P1341" i="22"/>
  <c r="Q1341" i="22" s="1"/>
  <c r="P1398" i="22"/>
  <c r="Q1398" i="22" s="1"/>
  <c r="P1413" i="22"/>
  <c r="Q1413" i="22" s="1"/>
  <c r="P1450" i="22"/>
  <c r="Q1450" i="22" s="1"/>
  <c r="P1467" i="22"/>
  <c r="Q1467" i="22" s="1"/>
  <c r="P1474" i="22"/>
  <c r="Q1474" i="22" s="1"/>
  <c r="P2872" i="22"/>
  <c r="Q2872" i="22" s="1"/>
  <c r="P1527" i="22"/>
  <c r="Q1527" i="22" s="1"/>
  <c r="P1538" i="22"/>
  <c r="Q1538" i="22" s="1"/>
  <c r="P1603" i="22"/>
  <c r="Q1603" i="22" s="1"/>
  <c r="P1637" i="22"/>
  <c r="Q1637" i="22" s="1"/>
  <c r="P1659" i="22"/>
  <c r="Q1659" i="22" s="1"/>
  <c r="P1691" i="22"/>
  <c r="Q1691" i="22" s="1"/>
  <c r="P1710" i="22"/>
  <c r="Q1710" i="22" s="1"/>
  <c r="P1749" i="22"/>
  <c r="Q1749" i="22" s="1"/>
  <c r="P1768" i="22"/>
  <c r="Q1768" i="22" s="1"/>
  <c r="P1853" i="22"/>
  <c r="Q1853" i="22" s="1"/>
  <c r="P1875" i="22"/>
  <c r="Q1875" i="22" s="1"/>
  <c r="P1874" i="22"/>
  <c r="Q1874" i="22" s="1"/>
  <c r="P1927" i="22"/>
  <c r="Q1927" i="22" s="1"/>
  <c r="P1984" i="22"/>
  <c r="Q1984" i="22" s="1"/>
  <c r="P2005" i="22"/>
  <c r="Q2005" i="22" s="1"/>
  <c r="P2004" i="22"/>
  <c r="Q2004" i="22" s="1"/>
  <c r="P2034" i="22"/>
  <c r="Q2034" i="22" s="1"/>
  <c r="P2107" i="22"/>
  <c r="Q2107" i="22" s="1"/>
  <c r="P2234" i="22"/>
  <c r="Q2234" i="22" s="1"/>
  <c r="P2376" i="22"/>
  <c r="Q2376" i="22" s="1"/>
  <c r="P2445" i="22"/>
  <c r="Q2445" i="22" s="1"/>
  <c r="P2492" i="22"/>
  <c r="Q2492" i="22" s="1"/>
  <c r="P2508" i="22"/>
  <c r="Q2508" i="22" s="1"/>
  <c r="P1455" i="22"/>
  <c r="Q1455" i="22" s="1"/>
  <c r="P1555" i="22"/>
  <c r="Q1555" i="22" s="1"/>
  <c r="P1599" i="22"/>
  <c r="Q1599" i="22" s="1"/>
  <c r="P2908" i="22"/>
  <c r="Q2908" i="22" s="1"/>
  <c r="P1685" i="22"/>
  <c r="Q1685" i="22" s="1"/>
  <c r="P1687" i="22"/>
  <c r="Q1687" i="22" s="1"/>
  <c r="P1702" i="22"/>
  <c r="Q1702" i="22" s="1"/>
  <c r="P1740" i="22"/>
  <c r="Q1740" i="22" s="1"/>
  <c r="P1746" i="22"/>
  <c r="Q1746" i="22" s="1"/>
  <c r="P1819" i="22"/>
  <c r="Q1819" i="22" s="1"/>
  <c r="P1824" i="22"/>
  <c r="Q1824" i="22" s="1"/>
  <c r="P1828" i="22"/>
  <c r="Q1828" i="22" s="1"/>
  <c r="P1837" i="22"/>
  <c r="Q1837" i="22" s="1"/>
  <c r="P1839" i="22"/>
  <c r="Q1839" i="22" s="1"/>
  <c r="P1845" i="22"/>
  <c r="Q1845" i="22" s="1"/>
  <c r="P1859" i="22"/>
  <c r="Q1859" i="22" s="1"/>
  <c r="P2982" i="22"/>
  <c r="Q2982" i="22" s="1"/>
  <c r="P2979" i="22"/>
  <c r="Q2979" i="22" s="1"/>
  <c r="P1861" i="22"/>
  <c r="Q1861" i="22" s="1"/>
  <c r="P1897" i="22"/>
  <c r="Q1897" i="22" s="1"/>
  <c r="P1935" i="22"/>
  <c r="Q1935" i="22" s="1"/>
  <c r="P1947" i="22"/>
  <c r="Q1947" i="22" s="1"/>
  <c r="P1949" i="22"/>
  <c r="Q1949" i="22" s="1"/>
  <c r="P1955" i="22"/>
  <c r="Q1955" i="22" s="1"/>
  <c r="P2007" i="22"/>
  <c r="Q2007" i="22" s="1"/>
  <c r="P2026" i="22"/>
  <c r="Q2026" i="22" s="1"/>
  <c r="P2057" i="22"/>
  <c r="Q2057" i="22" s="1"/>
  <c r="P2093" i="22"/>
  <c r="Q2093" i="22" s="1"/>
  <c r="P2109" i="22"/>
  <c r="Q2109" i="22" s="1"/>
  <c r="P2312" i="22"/>
  <c r="Q2312" i="22" s="1"/>
  <c r="P2351" i="22"/>
  <c r="Q2351" i="22" s="1"/>
  <c r="P2411" i="22"/>
  <c r="Q2411" i="22" s="1"/>
  <c r="P2625" i="22"/>
  <c r="Q2625" i="22" s="1"/>
  <c r="P3259" i="22"/>
  <c r="Q3259" i="22" s="1"/>
  <c r="P2638" i="22"/>
  <c r="Q2638" i="22" s="1"/>
  <c r="P2713" i="22"/>
  <c r="Q2713" i="22" s="1"/>
  <c r="P1515" i="22"/>
  <c r="Q1515" i="22" s="1"/>
  <c r="P2896" i="22"/>
  <c r="Q2896" i="22" s="1"/>
  <c r="P2895" i="22"/>
  <c r="Q2895" i="22" s="1"/>
  <c r="P1601" i="22"/>
  <c r="Q1601" i="22" s="1"/>
  <c r="P1623" i="22"/>
  <c r="Q1623" i="22" s="1"/>
  <c r="P1694" i="22"/>
  <c r="Q1694" i="22" s="1"/>
  <c r="P1751" i="22"/>
  <c r="Q1751" i="22" s="1"/>
  <c r="P1933" i="22"/>
  <c r="Q1933" i="22" s="1"/>
  <c r="P2077" i="22"/>
  <c r="Q2077" i="22" s="1"/>
  <c r="P2078" i="22"/>
  <c r="Q2078" i="22" s="1"/>
  <c r="P2123" i="22"/>
  <c r="Q2123" i="22" s="1"/>
  <c r="P2182" i="22"/>
  <c r="Q2182" i="22" s="1"/>
  <c r="P3170" i="22"/>
  <c r="Q3170" i="22" s="1"/>
  <c r="P2243" i="22"/>
  <c r="Q2243" i="22" s="1"/>
  <c r="P2299" i="22"/>
  <c r="Q2299" i="22" s="1"/>
  <c r="P2347" i="22"/>
  <c r="Q2347" i="22" s="1"/>
  <c r="P2370" i="22"/>
  <c r="Q2370" i="22" s="1"/>
  <c r="P2523" i="22"/>
  <c r="Q2523" i="22" s="1"/>
  <c r="P2723" i="22"/>
  <c r="Q2723" i="22" s="1"/>
  <c r="P1671" i="22"/>
  <c r="Q1671" i="22" s="1"/>
  <c r="P1731" i="22"/>
  <c r="Q1731" i="22" s="1"/>
  <c r="P1737" i="22"/>
  <c r="Q1737" i="22" s="1"/>
  <c r="P1763" i="22"/>
  <c r="Q1763" i="22" s="1"/>
  <c r="P1783" i="22"/>
  <c r="Q1783" i="22" s="1"/>
  <c r="P1810" i="22"/>
  <c r="Q1810" i="22" s="1"/>
  <c r="P1890" i="22"/>
  <c r="Q1890" i="22" s="1"/>
  <c r="P1918" i="22"/>
  <c r="Q1918" i="22" s="1"/>
  <c r="P1938" i="22"/>
  <c r="Q1938" i="22" s="1"/>
  <c r="P1962" i="22"/>
  <c r="Q1962" i="22" s="1"/>
  <c r="P1976" i="22"/>
  <c r="Q1976" i="22" s="1"/>
  <c r="P1977" i="22"/>
  <c r="Q1977" i="22" s="1"/>
  <c r="P1983" i="22"/>
  <c r="Q1983" i="22" s="1"/>
  <c r="P1989" i="22"/>
  <c r="Q1989" i="22" s="1"/>
  <c r="P2003" i="22"/>
  <c r="Q2003" i="22" s="1"/>
  <c r="P2010" i="22"/>
  <c r="Q2010" i="22" s="1"/>
  <c r="P2039" i="22"/>
  <c r="Q2039" i="22" s="1"/>
  <c r="P2043" i="22"/>
  <c r="Q2043" i="22" s="1"/>
  <c r="P2047" i="22"/>
  <c r="Q2047" i="22" s="1"/>
  <c r="P2073" i="22"/>
  <c r="Q2073" i="22" s="1"/>
  <c r="P2105" i="22"/>
  <c r="Q2105" i="22" s="1"/>
  <c r="P2160" i="22"/>
  <c r="Q2160" i="22" s="1"/>
  <c r="P2178" i="22"/>
  <c r="Q2178" i="22" s="1"/>
  <c r="P2177" i="22"/>
  <c r="Q2177" i="22" s="1"/>
  <c r="P2279" i="22"/>
  <c r="Q2279" i="22" s="1"/>
  <c r="P2283" i="22"/>
  <c r="Q2283" i="22" s="1"/>
  <c r="P2319" i="22"/>
  <c r="Q2319" i="22" s="1"/>
  <c r="P2359" i="22"/>
  <c r="Q2359" i="22" s="1"/>
  <c r="P2378" i="22"/>
  <c r="Q2378" i="22" s="1"/>
  <c r="P2381" i="22"/>
  <c r="Q2381" i="22" s="1"/>
  <c r="P2387" i="22"/>
  <c r="Q2387" i="22" s="1"/>
  <c r="P2395" i="22"/>
  <c r="Q2395" i="22" s="1"/>
  <c r="P2458" i="22"/>
  <c r="Q2458" i="22" s="1"/>
  <c r="P2498" i="22"/>
  <c r="Q2498" i="22" s="1"/>
  <c r="P2518" i="22"/>
  <c r="Q2518" i="22" s="1"/>
  <c r="P3117" i="22"/>
  <c r="Q3117" i="22" s="1"/>
  <c r="P1673" i="22"/>
  <c r="Q1673" i="22" s="1"/>
  <c r="P1733" i="22"/>
  <c r="Q1733" i="22" s="1"/>
  <c r="P1742" i="22"/>
  <c r="Q1742" i="22" s="1"/>
  <c r="P2968" i="22"/>
  <c r="Q2968" i="22" s="1"/>
  <c r="P1817" i="22"/>
  <c r="Q1817" i="22" s="1"/>
  <c r="P1821" i="22"/>
  <c r="Q1821" i="22" s="1"/>
  <c r="P1835" i="22"/>
  <c r="Q1835" i="22" s="1"/>
  <c r="P1846" i="22"/>
  <c r="Q1846" i="22" s="1"/>
  <c r="P1849" i="22"/>
  <c r="Q1849" i="22" s="1"/>
  <c r="P1870" i="22"/>
  <c r="Q1870" i="22" s="1"/>
  <c r="P1876" i="22"/>
  <c r="Q1876" i="22" s="1"/>
  <c r="P2999" i="22"/>
  <c r="Q2999" i="22" s="1"/>
  <c r="P1912" i="22"/>
  <c r="Q1912" i="22" s="1"/>
  <c r="P1915" i="22"/>
  <c r="Q1915" i="22" s="1"/>
  <c r="P2083" i="22"/>
  <c r="Q2083" i="22" s="1"/>
  <c r="P2092" i="22"/>
  <c r="Q2092" i="22" s="1"/>
  <c r="P2095" i="22"/>
  <c r="Q2095" i="22" s="1"/>
  <c r="P2128" i="22"/>
  <c r="Q2128" i="22" s="1"/>
  <c r="P2171" i="22"/>
  <c r="Q2171" i="22" s="1"/>
  <c r="P2195" i="22"/>
  <c r="Q2195" i="22" s="1"/>
  <c r="P2352" i="22"/>
  <c r="Q2352" i="22" s="1"/>
  <c r="P2423" i="22"/>
  <c r="Q2423" i="22" s="1"/>
  <c r="P2431" i="22"/>
  <c r="Q2431" i="22" s="1"/>
  <c r="P2429" i="22"/>
  <c r="Q2429" i="22" s="1"/>
  <c r="P2425" i="22"/>
  <c r="Q2425" i="22" s="1"/>
  <c r="P2475" i="22"/>
  <c r="Q2475" i="22" s="1"/>
  <c r="P2478" i="22"/>
  <c r="Q2478" i="22" s="1"/>
  <c r="P2484" i="22"/>
  <c r="Q2484" i="22" s="1"/>
  <c r="P2580" i="22"/>
  <c r="Q2580" i="22" s="1"/>
  <c r="P1760" i="22"/>
  <c r="Q1760" i="22" s="1"/>
  <c r="P1764" i="22"/>
  <c r="Q1764" i="22" s="1"/>
  <c r="P1840" i="22"/>
  <c r="Q1840" i="22" s="1"/>
  <c r="P1843" i="22"/>
  <c r="Q1843" i="22" s="1"/>
  <c r="P1906" i="22"/>
  <c r="Q1906" i="22" s="1"/>
  <c r="P1916" i="22"/>
  <c r="Q1916" i="22" s="1"/>
  <c r="P1926" i="22"/>
  <c r="Q1926" i="22" s="1"/>
  <c r="P2020" i="22"/>
  <c r="Q2020" i="22" s="1"/>
  <c r="P2086" i="22"/>
  <c r="Q2086" i="22" s="1"/>
  <c r="P2090" i="22"/>
  <c r="Q2090" i="22" s="1"/>
  <c r="P2124" i="22"/>
  <c r="Q2124" i="22" s="1"/>
  <c r="P2168" i="22"/>
  <c r="Q2168" i="22" s="1"/>
  <c r="P2190" i="22"/>
  <c r="Q2190" i="22" s="1"/>
  <c r="P2253" i="22"/>
  <c r="Q2253" i="22" s="1"/>
  <c r="P2275" i="22"/>
  <c r="Q2275" i="22" s="1"/>
  <c r="P2306" i="22"/>
  <c r="Q2306" i="22" s="1"/>
  <c r="P2317" i="22"/>
  <c r="Q2317" i="22" s="1"/>
  <c r="P2334" i="22"/>
  <c r="Q2334" i="22" s="1"/>
  <c r="P2336" i="22"/>
  <c r="Q2336" i="22" s="1"/>
  <c r="P2419" i="22"/>
  <c r="Q2419" i="22" s="1"/>
  <c r="P2486" i="22"/>
  <c r="Q2486" i="22" s="1"/>
  <c r="P2496" i="22"/>
  <c r="Q2496" i="22" s="1"/>
  <c r="P2544" i="22"/>
  <c r="Q2544" i="22" s="1"/>
  <c r="P2599" i="22"/>
  <c r="Q2599" i="22" s="1"/>
  <c r="P2608" i="22"/>
  <c r="Q2608" i="22" s="1"/>
  <c r="P2610" i="22"/>
  <c r="Q2610" i="22" s="1"/>
  <c r="P2612" i="22"/>
  <c r="Q2612" i="22" s="1"/>
  <c r="P2658" i="22"/>
  <c r="Q2658" i="22" s="1"/>
  <c r="P2749" i="22"/>
  <c r="Q2749" i="22" s="1"/>
  <c r="P2748" i="22"/>
  <c r="Q2748" i="22" s="1"/>
  <c r="P2746" i="22"/>
  <c r="Q2746" i="22" s="1"/>
  <c r="P2782" i="22"/>
  <c r="Q2782" i="22" s="1"/>
  <c r="P2737" i="22"/>
  <c r="Q2737" i="22" s="1"/>
  <c r="P2735" i="22"/>
  <c r="Q2735" i="22" s="1"/>
  <c r="P2752" i="22"/>
  <c r="Q2752" i="22" s="1"/>
  <c r="P3278" i="22"/>
  <c r="Q3278" i="22" s="1"/>
  <c r="P3277" i="22"/>
  <c r="Q3277" i="22" s="1"/>
  <c r="P1536" i="22"/>
  <c r="Q1536" i="22" s="1"/>
  <c r="P1550" i="22"/>
  <c r="Q1550" i="22" s="1"/>
  <c r="P1611" i="22"/>
  <c r="Q1611" i="22" s="1"/>
  <c r="P2905" i="22"/>
  <c r="Q2905" i="22" s="1"/>
  <c r="P2907" i="22"/>
  <c r="Q2907" i="22" s="1"/>
  <c r="P2904" i="22"/>
  <c r="Q2904" i="22" s="1"/>
  <c r="P1666" i="22"/>
  <c r="Q1666" i="22" s="1"/>
  <c r="P1706" i="22"/>
  <c r="Q1706" i="22" s="1"/>
  <c r="P1745" i="22"/>
  <c r="Q1745" i="22" s="1"/>
  <c r="P2953" i="22"/>
  <c r="Q2953" i="22" s="1"/>
  <c r="P1750" i="22"/>
  <c r="Q1750" i="22" s="1"/>
  <c r="P1754" i="22"/>
  <c r="Q1754" i="22" s="1"/>
  <c r="P1795" i="22"/>
  <c r="Q1795" i="22" s="1"/>
  <c r="P1822" i="22"/>
  <c r="Q1822" i="22" s="1"/>
  <c r="P1830" i="22"/>
  <c r="Q1830" i="22" s="1"/>
  <c r="P1836" i="22"/>
  <c r="Q1836" i="22" s="1"/>
  <c r="P1844" i="22"/>
  <c r="Q1844" i="22" s="1"/>
  <c r="P1856" i="22"/>
  <c r="Q1856" i="22" s="1"/>
  <c r="P1928" i="22"/>
  <c r="Q1928" i="22" s="1"/>
  <c r="P1930" i="22"/>
  <c r="Q1930" i="22" s="1"/>
  <c r="P2082" i="22"/>
  <c r="Q2082" i="22" s="1"/>
  <c r="P2084" i="22"/>
  <c r="Q2084" i="22" s="1"/>
  <c r="P2156" i="22"/>
  <c r="Q2156" i="22" s="1"/>
  <c r="P2169" i="22"/>
  <c r="Q2169" i="22" s="1"/>
  <c r="P2268" i="22"/>
  <c r="Q2268" i="22" s="1"/>
  <c r="P2269" i="22"/>
  <c r="Q2269" i="22" s="1"/>
  <c r="P2450" i="22"/>
  <c r="Q2450" i="22" s="1"/>
  <c r="P2698" i="22"/>
  <c r="Q2698" i="22" s="1"/>
  <c r="P2789" i="22"/>
  <c r="Q2789" i="22" s="1"/>
  <c r="P2815" i="22"/>
  <c r="Q2815" i="22" s="1"/>
  <c r="P2060" i="22"/>
  <c r="Q2060" i="22" s="1"/>
  <c r="P2062" i="22"/>
  <c r="Q2062" i="22" s="1"/>
  <c r="P2076" i="22"/>
  <c r="Q2076" i="22" s="1"/>
  <c r="P2111" i="22"/>
  <c r="Q2111" i="22" s="1"/>
  <c r="P2115" i="22"/>
  <c r="Q2115" i="22" s="1"/>
  <c r="P2119" i="22"/>
  <c r="Q2119" i="22" s="1"/>
  <c r="P2187" i="22"/>
  <c r="Q2187" i="22" s="1"/>
  <c r="P2216" i="22"/>
  <c r="Q2216" i="22" s="1"/>
  <c r="P2289" i="22"/>
  <c r="Q2289" i="22" s="1"/>
  <c r="P2366" i="22"/>
  <c r="Q2366" i="22" s="1"/>
  <c r="P2372" i="22"/>
  <c r="Q2372" i="22" s="1"/>
  <c r="P2417" i="22"/>
  <c r="Q2417" i="22" s="1"/>
  <c r="P2549" i="22"/>
  <c r="Q2549" i="22" s="1"/>
  <c r="P2603" i="22"/>
  <c r="Q2603" i="22" s="1"/>
  <c r="P2613" i="22"/>
  <c r="Q2613" i="22" s="1"/>
  <c r="P3100" i="22"/>
  <c r="Q3100" i="22" s="1"/>
  <c r="P2944" i="22"/>
  <c r="Q2944" i="22" s="1"/>
  <c r="P1791" i="22"/>
  <c r="Q1791" i="22" s="1"/>
  <c r="P1815" i="22"/>
  <c r="Q1815" i="22" s="1"/>
  <c r="P2971" i="22"/>
  <c r="Q2971" i="22" s="1"/>
  <c r="P1899" i="22"/>
  <c r="Q1899" i="22" s="1"/>
  <c r="P1903" i="22"/>
  <c r="Q1903" i="22" s="1"/>
  <c r="P1953" i="22"/>
  <c r="Q1953" i="22" s="1"/>
  <c r="P3012" i="22"/>
  <c r="Q3012" i="22" s="1"/>
  <c r="P3016" i="22"/>
  <c r="Q3016" i="22" s="1"/>
  <c r="P3008" i="22"/>
  <c r="Q3008" i="22" s="1"/>
  <c r="P3032" i="22"/>
  <c r="Q3032" i="22" s="1"/>
  <c r="P3030" i="22"/>
  <c r="Q3030" i="22" s="1"/>
  <c r="P3028" i="22"/>
  <c r="Q3028" i="22" s="1"/>
  <c r="P3026" i="22"/>
  <c r="Q3026" i="22" s="1"/>
  <c r="P3025" i="22"/>
  <c r="Q3025" i="22" s="1"/>
  <c r="P3015" i="22"/>
  <c r="Q3015" i="22" s="1"/>
  <c r="P3021" i="22"/>
  <c r="Q3021" i="22" s="1"/>
  <c r="P3023" i="22"/>
  <c r="Q3023" i="22" s="1"/>
  <c r="P1974" i="22"/>
  <c r="Q1974" i="22" s="1"/>
  <c r="P1980" i="22"/>
  <c r="Q1980" i="22" s="1"/>
  <c r="P2052" i="22"/>
  <c r="Q2052" i="22" s="1"/>
  <c r="P2058" i="22"/>
  <c r="Q2058" i="22" s="1"/>
  <c r="P2097" i="22"/>
  <c r="Q2097" i="22" s="1"/>
  <c r="P2121" i="22"/>
  <c r="Q2121" i="22" s="1"/>
  <c r="P3103" i="22"/>
  <c r="Q3103" i="22" s="1"/>
  <c r="P2132" i="22"/>
  <c r="Q2132" i="22" s="1"/>
  <c r="P2134" i="22"/>
  <c r="Q2134" i="22" s="1"/>
  <c r="P2148" i="22"/>
  <c r="Q2148" i="22" s="1"/>
  <c r="P2173" i="22"/>
  <c r="Q2173" i="22" s="1"/>
  <c r="P2175" i="22"/>
  <c r="Q2175" i="22" s="1"/>
  <c r="P2249" i="22"/>
  <c r="Q2249" i="22" s="1"/>
  <c r="P2247" i="22"/>
  <c r="Q2247" i="22" s="1"/>
  <c r="P2278" i="22"/>
  <c r="Q2278" i="22" s="1"/>
  <c r="P2287" i="22"/>
  <c r="Q2287" i="22" s="1"/>
  <c r="P2415" i="22"/>
  <c r="Q2415" i="22" s="1"/>
  <c r="P2436" i="22"/>
  <c r="Q2436" i="22" s="1"/>
  <c r="P2499" i="22"/>
  <c r="Q2499" i="22" s="1"/>
  <c r="P2539" i="22"/>
  <c r="Q2539" i="22" s="1"/>
  <c r="P2717" i="22"/>
  <c r="Q2717" i="22" s="1"/>
  <c r="P2741" i="22"/>
  <c r="Q2741" i="22" s="1"/>
  <c r="P2743" i="22"/>
  <c r="Q2743" i="22" s="1"/>
  <c r="P2765" i="22"/>
  <c r="Q2765" i="22" s="1"/>
  <c r="P3019" i="22"/>
  <c r="Q3019" i="22" s="1"/>
  <c r="P2838" i="22"/>
  <c r="Q2838" i="22" s="1"/>
  <c r="P3311" i="22"/>
  <c r="Q3311" i="22" s="1"/>
  <c r="P3309" i="22"/>
  <c r="Q3309" i="22" s="1"/>
  <c r="P2866" i="22"/>
  <c r="Q2866" i="22" s="1"/>
  <c r="P3315" i="22"/>
  <c r="Q3315" i="22" s="1"/>
  <c r="P3308" i="22"/>
  <c r="Q3308" i="22" s="1"/>
  <c r="P2865" i="22"/>
  <c r="Q2865" i="22" s="1"/>
  <c r="P2858" i="22"/>
  <c r="Q2858" i="22" s="1"/>
  <c r="P3314" i="22"/>
  <c r="Q3314" i="22" s="1"/>
  <c r="P2855" i="22"/>
  <c r="Q2855" i="22" s="1"/>
  <c r="P1503" i="22"/>
  <c r="Q1503" i="22" s="1"/>
  <c r="P1575" i="22"/>
  <c r="Q1575" i="22" s="1"/>
  <c r="P1647" i="22"/>
  <c r="Q1647" i="22" s="1"/>
  <c r="P1788" i="22"/>
  <c r="Q1788" i="22" s="1"/>
  <c r="P1812" i="22"/>
  <c r="Q1812" i="22" s="1"/>
  <c r="P1854" i="22"/>
  <c r="Q1854" i="22" s="1"/>
  <c r="P1942" i="22"/>
  <c r="Q1942" i="22" s="1"/>
  <c r="P1967" i="22"/>
  <c r="Q1967" i="22" s="1"/>
  <c r="P1998" i="22"/>
  <c r="Q1998" i="22" s="1"/>
  <c r="P2063" i="22"/>
  <c r="Q2063" i="22" s="1"/>
  <c r="P2067" i="22"/>
  <c r="Q2067" i="22" s="1"/>
  <c r="P2071" i="22"/>
  <c r="Q2071" i="22" s="1"/>
  <c r="P2100" i="22"/>
  <c r="Q2100" i="22" s="1"/>
  <c r="P2117" i="22"/>
  <c r="Q2117" i="22" s="1"/>
  <c r="P2145" i="22"/>
  <c r="Q2145" i="22" s="1"/>
  <c r="P2188" i="22"/>
  <c r="Q2188" i="22" s="1"/>
  <c r="P2227" i="22"/>
  <c r="Q2227" i="22" s="1"/>
  <c r="P2231" i="22"/>
  <c r="Q2231" i="22" s="1"/>
  <c r="P2239" i="22"/>
  <c r="Q2239" i="22" s="1"/>
  <c r="P2270" i="22"/>
  <c r="Q2270" i="22" s="1"/>
  <c r="P2273" i="22"/>
  <c r="Q2273" i="22" s="1"/>
  <c r="P2300" i="22"/>
  <c r="Q2300" i="22" s="1"/>
  <c r="P2304" i="22"/>
  <c r="Q2304" i="22" s="1"/>
  <c r="P2308" i="22"/>
  <c r="Q2308" i="22" s="1"/>
  <c r="P2324" i="22"/>
  <c r="Q2324" i="22" s="1"/>
  <c r="P2325" i="22"/>
  <c r="Q2325" i="22" s="1"/>
  <c r="P2338" i="22"/>
  <c r="Q2338" i="22" s="1"/>
  <c r="P2373" i="22"/>
  <c r="Q2373" i="22" s="1"/>
  <c r="P2379" i="22"/>
  <c r="Q2379" i="22" s="1"/>
  <c r="P2397" i="22"/>
  <c r="Q2397" i="22" s="1"/>
  <c r="P2439" i="22"/>
  <c r="Q2439" i="22" s="1"/>
  <c r="P2453" i="22"/>
  <c r="Q2453" i="22" s="1"/>
  <c r="P2482" i="22"/>
  <c r="Q2482" i="22" s="1"/>
  <c r="P2495" i="22"/>
  <c r="Q2495" i="22" s="1"/>
  <c r="P2888" i="22"/>
  <c r="Q2888" i="22" s="1"/>
  <c r="P3320" i="22"/>
  <c r="Q3320" i="22" s="1"/>
  <c r="P2887" i="22"/>
  <c r="Q2887" i="22" s="1"/>
  <c r="P2889" i="22"/>
  <c r="Q2889" i="22" s="1"/>
  <c r="P2000" i="22"/>
  <c r="Q2000" i="22" s="1"/>
  <c r="P3039" i="22"/>
  <c r="Q3039" i="22" s="1"/>
  <c r="P2019" i="22"/>
  <c r="Q2019" i="22" s="1"/>
  <c r="P3040" i="22"/>
  <c r="Q3040" i="22" s="1"/>
  <c r="P2022" i="22"/>
  <c r="Q2022" i="22" s="1"/>
  <c r="P2049" i="22"/>
  <c r="Q2049" i="22" s="1"/>
  <c r="P2104" i="22"/>
  <c r="Q2104" i="22" s="1"/>
  <c r="P2135" i="22"/>
  <c r="Q2135" i="22" s="1"/>
  <c r="P2139" i="22"/>
  <c r="Q2139" i="22" s="1"/>
  <c r="P2143" i="22"/>
  <c r="Q2143" i="22" s="1"/>
  <c r="P2165" i="22"/>
  <c r="Q2165" i="22" s="1"/>
  <c r="P2207" i="22"/>
  <c r="Q2207" i="22" s="1"/>
  <c r="P2245" i="22"/>
  <c r="Q2245" i="22" s="1"/>
  <c r="P2256" i="22"/>
  <c r="Q2256" i="22" s="1"/>
  <c r="P2285" i="22"/>
  <c r="Q2285" i="22" s="1"/>
  <c r="P2339" i="22"/>
  <c r="Q2339" i="22" s="1"/>
  <c r="P2342" i="22"/>
  <c r="Q2342" i="22" s="1"/>
  <c r="P2340" i="22"/>
  <c r="Q2340" i="22" s="1"/>
  <c r="P2341" i="22"/>
  <c r="Q2341" i="22" s="1"/>
  <c r="P2346" i="22"/>
  <c r="Q2346" i="22" s="1"/>
  <c r="P2485" i="22"/>
  <c r="Q2485" i="22" s="1"/>
  <c r="P2487" i="22"/>
  <c r="Q2487" i="22" s="1"/>
  <c r="P2491" i="22"/>
  <c r="Q2491" i="22" s="1"/>
  <c r="P2547" i="22"/>
  <c r="Q2547" i="22" s="1"/>
  <c r="P2565" i="22"/>
  <c r="Q2565" i="22" s="1"/>
  <c r="P2586" i="22"/>
  <c r="Q2586" i="22" s="1"/>
  <c r="P2615" i="22"/>
  <c r="Q2615" i="22" s="1"/>
  <c r="P2714" i="22"/>
  <c r="Q2714" i="22" s="1"/>
  <c r="P1491" i="22"/>
  <c r="Q1491" i="22" s="1"/>
  <c r="P1563" i="22"/>
  <c r="Q1563" i="22" s="1"/>
  <c r="P1635" i="22"/>
  <c r="Q1635" i="22" s="1"/>
  <c r="P1707" i="22"/>
  <c r="Q1707" i="22" s="1"/>
  <c r="P2935" i="22"/>
  <c r="Q2935" i="22" s="1"/>
  <c r="P1716" i="22"/>
  <c r="Q1716" i="22" s="1"/>
  <c r="P1743" i="22"/>
  <c r="Q1743" i="22" s="1"/>
  <c r="P1752" i="22"/>
  <c r="Q1752" i="22" s="1"/>
  <c r="P1779" i="22"/>
  <c r="Q1779" i="22" s="1"/>
  <c r="P1803" i="22"/>
  <c r="Q1803" i="22" s="1"/>
  <c r="P1829" i="22"/>
  <c r="Q1829" i="22" s="1"/>
  <c r="P1833" i="22"/>
  <c r="Q1833" i="22" s="1"/>
  <c r="P1881" i="22"/>
  <c r="Q1881" i="22" s="1"/>
  <c r="P1902" i="22"/>
  <c r="Q1902" i="22" s="1"/>
  <c r="P1971" i="22"/>
  <c r="Q1971" i="22" s="1"/>
  <c r="P1975" i="22"/>
  <c r="Q1975" i="22" s="1"/>
  <c r="P2025" i="22"/>
  <c r="Q2025" i="22" s="1"/>
  <c r="P2040" i="22"/>
  <c r="Q2040" i="22" s="1"/>
  <c r="P2088" i="22"/>
  <c r="Q2088" i="22" s="1"/>
  <c r="P2106" i="22"/>
  <c r="Q2106" i="22" s="1"/>
  <c r="P2108" i="22"/>
  <c r="Q2108" i="22" s="1"/>
  <c r="P2110" i="22"/>
  <c r="Q2110" i="22" s="1"/>
  <c r="P2176" i="22"/>
  <c r="Q2176" i="22" s="1"/>
  <c r="P2203" i="22"/>
  <c r="Q2203" i="22" s="1"/>
  <c r="P2202" i="22"/>
  <c r="Q2202" i="22" s="1"/>
  <c r="P2344" i="22"/>
  <c r="Q2344" i="22" s="1"/>
  <c r="P2355" i="22"/>
  <c r="Q2355" i="22" s="1"/>
  <c r="P2361" i="22"/>
  <c r="Q2361" i="22" s="1"/>
  <c r="P2365" i="22"/>
  <c r="Q2365" i="22" s="1"/>
  <c r="P2449" i="22"/>
  <c r="Q2449" i="22" s="1"/>
  <c r="P2483" i="22"/>
  <c r="Q2483" i="22" s="1"/>
  <c r="P2497" i="22"/>
  <c r="Q2497" i="22" s="1"/>
  <c r="P2537" i="22"/>
  <c r="Q2537" i="22" s="1"/>
  <c r="P2584" i="22"/>
  <c r="Q2584" i="22" s="1"/>
  <c r="P2611" i="22"/>
  <c r="Q2611" i="22" s="1"/>
  <c r="P2620" i="22"/>
  <c r="Q2620" i="22" s="1"/>
  <c r="P2637" i="22"/>
  <c r="Q2637" i="22" s="1"/>
  <c r="P2660" i="22"/>
  <c r="Q2660" i="22" s="1"/>
  <c r="P2695" i="22"/>
  <c r="Q2695" i="22" s="1"/>
  <c r="P2707" i="22"/>
  <c r="Q2707" i="22" s="1"/>
  <c r="P2830" i="22"/>
  <c r="Q2830" i="22" s="1"/>
  <c r="P2427" i="22"/>
  <c r="Q2427" i="22" s="1"/>
  <c r="P2434" i="22"/>
  <c r="Q2434" i="22" s="1"/>
  <c r="P2437" i="22"/>
  <c r="Q2437" i="22" s="1"/>
  <c r="P2447" i="22"/>
  <c r="Q2447" i="22" s="1"/>
  <c r="P2451" i="22"/>
  <c r="Q2451" i="22" s="1"/>
  <c r="P2455" i="22"/>
  <c r="Q2455" i="22" s="1"/>
  <c r="P2459" i="22"/>
  <c r="Q2459" i="22" s="1"/>
  <c r="P2464" i="22"/>
  <c r="Q2464" i="22" s="1"/>
  <c r="P2509" i="22"/>
  <c r="Q2509" i="22" s="1"/>
  <c r="P2513" i="22"/>
  <c r="Q2513" i="22" s="1"/>
  <c r="P2517" i="22"/>
  <c r="Q2517" i="22" s="1"/>
  <c r="P2553" i="22"/>
  <c r="Q2553" i="22" s="1"/>
  <c r="P2557" i="22"/>
  <c r="Q2557" i="22" s="1"/>
  <c r="P2577" i="22"/>
  <c r="Q2577" i="22" s="1"/>
  <c r="P2640" i="22"/>
  <c r="Q2640" i="22" s="1"/>
  <c r="P2662" i="22"/>
  <c r="Q2662" i="22" s="1"/>
  <c r="P2715" i="22"/>
  <c r="Q2715" i="22" s="1"/>
  <c r="P2826" i="22"/>
  <c r="Q2826" i="22" s="1"/>
  <c r="P2829" i="22"/>
  <c r="Q2829" i="22" s="1"/>
  <c r="P2864" i="22"/>
  <c r="Q2864" i="22" s="1"/>
  <c r="P2886" i="22"/>
  <c r="Q2886" i="22" s="1"/>
  <c r="P3208" i="22"/>
  <c r="Q3208" i="22" s="1"/>
  <c r="P3264" i="22"/>
  <c r="Q3264" i="22" s="1"/>
  <c r="P3304" i="22"/>
  <c r="Q3304" i="22" s="1"/>
  <c r="P2199" i="22"/>
  <c r="Q2199" i="22" s="1"/>
  <c r="P2206" i="22"/>
  <c r="Q2206" i="22" s="1"/>
  <c r="P2251" i="22"/>
  <c r="Q2251" i="22" s="1"/>
  <c r="P2318" i="22"/>
  <c r="Q2318" i="22" s="1"/>
  <c r="P2322" i="22"/>
  <c r="Q2322" i="22" s="1"/>
  <c r="P2331" i="22"/>
  <c r="Q2331" i="22" s="1"/>
  <c r="P2335" i="22"/>
  <c r="Q2335" i="22" s="1"/>
  <c r="P2469" i="22"/>
  <c r="Q2469" i="22" s="1"/>
  <c r="P2494" i="22"/>
  <c r="Q2494" i="22" s="1"/>
  <c r="P2524" i="22"/>
  <c r="Q2524" i="22" s="1"/>
  <c r="P2592" i="22"/>
  <c r="Q2592" i="22" s="1"/>
  <c r="P2616" i="22"/>
  <c r="Q2616" i="22" s="1"/>
  <c r="P2635" i="22"/>
  <c r="Q2635" i="22" s="1"/>
  <c r="P2924" i="22"/>
  <c r="Q2924" i="22" s="1"/>
  <c r="P2916" i="22"/>
  <c r="Q2916" i="22" s="1"/>
  <c r="P2918" i="22"/>
  <c r="Q2918" i="22" s="1"/>
  <c r="P3213" i="22"/>
  <c r="Q3213" i="22" s="1"/>
  <c r="P3221" i="22"/>
  <c r="Q3221" i="22" s="1"/>
  <c r="P3312" i="22"/>
  <c r="Q3312" i="22" s="1"/>
  <c r="P2898" i="22"/>
  <c r="Q2898" i="22" s="1"/>
  <c r="P1887" i="22"/>
  <c r="Q1887" i="22" s="1"/>
  <c r="P3006" i="22"/>
  <c r="Q3006" i="22" s="1"/>
  <c r="P1959" i="22"/>
  <c r="Q1959" i="22" s="1"/>
  <c r="P3045" i="22"/>
  <c r="Q3045" i="22" s="1"/>
  <c r="P2031" i="22"/>
  <c r="Q2031" i="22" s="1"/>
  <c r="P2068" i="22"/>
  <c r="Q2068" i="22" s="1"/>
  <c r="P2079" i="22"/>
  <c r="Q2079" i="22" s="1"/>
  <c r="P2103" i="22"/>
  <c r="Q2103" i="22" s="1"/>
  <c r="P2140" i="22"/>
  <c r="Q2140" i="22" s="1"/>
  <c r="P2151" i="22"/>
  <c r="Q2151" i="22" s="1"/>
  <c r="P2297" i="22"/>
  <c r="Q2297" i="22" s="1"/>
  <c r="P2301" i="22"/>
  <c r="Q2301" i="22" s="1"/>
  <c r="P2303" i="22"/>
  <c r="Q2303" i="22" s="1"/>
  <c r="P2421" i="22"/>
  <c r="Q2421" i="22" s="1"/>
  <c r="P2536" i="22"/>
  <c r="Q2536" i="22" s="1"/>
  <c r="P2541" i="22"/>
  <c r="Q2541" i="22" s="1"/>
  <c r="P2545" i="22"/>
  <c r="Q2545" i="22" s="1"/>
  <c r="P2572" i="22"/>
  <c r="Q2572" i="22" s="1"/>
  <c r="P2595" i="22"/>
  <c r="Q2595" i="22" s="1"/>
  <c r="P2623" i="22"/>
  <c r="Q2623" i="22" s="1"/>
  <c r="P2650" i="22"/>
  <c r="Q2650" i="22" s="1"/>
  <c r="P2656" i="22"/>
  <c r="Q2656" i="22" s="1"/>
  <c r="P2669" i="22"/>
  <c r="Q2669" i="22" s="1"/>
  <c r="P3085" i="22"/>
  <c r="Q3085" i="22" s="1"/>
  <c r="P1851" i="22"/>
  <c r="Q1851" i="22" s="1"/>
  <c r="P3331" i="22"/>
  <c r="Q3331" i="22" s="1"/>
  <c r="P2995" i="22"/>
  <c r="Q2995" i="22" s="1"/>
  <c r="P1908" i="22"/>
  <c r="Q1908" i="22" s="1"/>
  <c r="P1923" i="22"/>
  <c r="Q1923" i="22" s="1"/>
  <c r="P1995" i="22"/>
  <c r="Q1995" i="22" s="1"/>
  <c r="P2055" i="22"/>
  <c r="Q2055" i="22" s="1"/>
  <c r="P2070" i="22"/>
  <c r="Q2070" i="22" s="1"/>
  <c r="P2127" i="22"/>
  <c r="Q2127" i="22" s="1"/>
  <c r="P2142" i="22"/>
  <c r="Q2142" i="22" s="1"/>
  <c r="P2194" i="22"/>
  <c r="Q2194" i="22" s="1"/>
  <c r="P3169" i="22"/>
  <c r="Q3169" i="22" s="1"/>
  <c r="P2240" i="22"/>
  <c r="Q2240" i="22" s="1"/>
  <c r="P2244" i="22"/>
  <c r="Q2244" i="22" s="1"/>
  <c r="P2307" i="22"/>
  <c r="Q2307" i="22" s="1"/>
  <c r="P2404" i="22"/>
  <c r="Q2404" i="22" s="1"/>
  <c r="P2408" i="22"/>
  <c r="Q2408" i="22" s="1"/>
  <c r="P2461" i="22"/>
  <c r="Q2461" i="22" s="1"/>
  <c r="P2515" i="22"/>
  <c r="Q2515" i="22" s="1"/>
  <c r="P2594" i="22"/>
  <c r="Q2594" i="22" s="1"/>
  <c r="P2663" i="22"/>
  <c r="Q2663" i="22" s="1"/>
  <c r="P2689" i="22"/>
  <c r="Q2689" i="22" s="1"/>
  <c r="P2736" i="22"/>
  <c r="Q2736" i="22" s="1"/>
  <c r="P2799" i="22"/>
  <c r="Q2799" i="22" s="1"/>
  <c r="P2803" i="22"/>
  <c r="Q2803" i="22" s="1"/>
  <c r="P2806" i="22"/>
  <c r="Q2806" i="22" s="1"/>
  <c r="P2850" i="22"/>
  <c r="Q2850" i="22" s="1"/>
  <c r="P3062" i="22"/>
  <c r="Q3062" i="22" s="1"/>
  <c r="P3186" i="22"/>
  <c r="Q3186" i="22" s="1"/>
  <c r="P2059" i="22"/>
  <c r="Q2059" i="22" s="1"/>
  <c r="P3067" i="22"/>
  <c r="Q3067" i="22" s="1"/>
  <c r="P2094" i="22"/>
  <c r="Q2094" i="22" s="1"/>
  <c r="P2118" i="22"/>
  <c r="Q2118" i="22" s="1"/>
  <c r="P2131" i="22"/>
  <c r="Q2131" i="22" s="1"/>
  <c r="P2166" i="22"/>
  <c r="Q2166" i="22" s="1"/>
  <c r="P3122" i="22"/>
  <c r="Q3122" i="22" s="1"/>
  <c r="P3352" i="22"/>
  <c r="Q3352" i="22" s="1"/>
  <c r="P2218" i="22"/>
  <c r="Q2218" i="22" s="1"/>
  <c r="P2246" i="22"/>
  <c r="Q2246" i="22" s="1"/>
  <c r="P2311" i="22"/>
  <c r="Q2311" i="22" s="1"/>
  <c r="P2320" i="22"/>
  <c r="Q2320" i="22" s="1"/>
  <c r="P2430" i="22"/>
  <c r="Q2430" i="22" s="1"/>
  <c r="P2438" i="22"/>
  <c r="Q2438" i="22" s="1"/>
  <c r="P2444" i="22"/>
  <c r="Q2444" i="22" s="1"/>
  <c r="P2525" i="22"/>
  <c r="Q2525" i="22" s="1"/>
  <c r="P2527" i="22"/>
  <c r="Q2527" i="22" s="1"/>
  <c r="P2551" i="22"/>
  <c r="Q2551" i="22" s="1"/>
  <c r="P2558" i="22"/>
  <c r="Q2558" i="22" s="1"/>
  <c r="P2562" i="22"/>
  <c r="Q2562" i="22" s="1"/>
  <c r="P2568" i="22"/>
  <c r="Q2568" i="22" s="1"/>
  <c r="P2619" i="22"/>
  <c r="Q2619" i="22" s="1"/>
  <c r="P2675" i="22"/>
  <c r="Q2675" i="22" s="1"/>
  <c r="P2687" i="22"/>
  <c r="Q2687" i="22" s="1"/>
  <c r="P2727" i="22"/>
  <c r="Q2727" i="22" s="1"/>
  <c r="P2818" i="22"/>
  <c r="Q2818" i="22" s="1"/>
  <c r="P2836" i="22"/>
  <c r="Q2836" i="22" s="1"/>
  <c r="P2990" i="22"/>
  <c r="Q2990" i="22" s="1"/>
  <c r="P3047" i="22"/>
  <c r="Q3047" i="22" s="1"/>
  <c r="P3083" i="22"/>
  <c r="Q3083" i="22" s="1"/>
  <c r="P3210" i="22"/>
  <c r="Q3210" i="22" s="1"/>
  <c r="P1909" i="22"/>
  <c r="Q1909" i="22" s="1"/>
  <c r="P1981" i="22"/>
  <c r="Q1981" i="22" s="1"/>
  <c r="P2185" i="22"/>
  <c r="Q2185" i="22" s="1"/>
  <c r="P2250" i="22"/>
  <c r="Q2250" i="22" s="1"/>
  <c r="P2267" i="22"/>
  <c r="Q2267" i="22" s="1"/>
  <c r="P2350" i="22"/>
  <c r="Q2350" i="22" s="1"/>
  <c r="P2432" i="22"/>
  <c r="Q2432" i="22" s="1"/>
  <c r="P2462" i="22"/>
  <c r="Q2462" i="22" s="1"/>
  <c r="P2466" i="22"/>
  <c r="Q2466" i="22" s="1"/>
  <c r="P2479" i="22"/>
  <c r="Q2479" i="22" s="1"/>
  <c r="P2504" i="22"/>
  <c r="Q2504" i="22" s="1"/>
  <c r="P2522" i="22"/>
  <c r="Q2522" i="22" s="1"/>
  <c r="P2552" i="22"/>
  <c r="Q2552" i="22" s="1"/>
  <c r="P2614" i="22"/>
  <c r="Q2614" i="22" s="1"/>
  <c r="P2617" i="22"/>
  <c r="Q2617" i="22" s="1"/>
  <c r="P2661" i="22"/>
  <c r="Q2661" i="22" s="1"/>
  <c r="P2734" i="22"/>
  <c r="Q2734" i="22" s="1"/>
  <c r="P2811" i="22"/>
  <c r="Q2811" i="22" s="1"/>
  <c r="P2849" i="22"/>
  <c r="Q2849" i="22" s="1"/>
  <c r="P2852" i="22"/>
  <c r="Q2852" i="22" s="1"/>
  <c r="P3267" i="22"/>
  <c r="Q3267" i="22" s="1"/>
  <c r="P2632" i="22"/>
  <c r="Q2632" i="22" s="1"/>
  <c r="P2684" i="22"/>
  <c r="Q2684" i="22" s="1"/>
  <c r="P2722" i="22"/>
  <c r="Q2722" i="22" s="1"/>
  <c r="P2767" i="22"/>
  <c r="Q2767" i="22" s="1"/>
  <c r="P2774" i="22"/>
  <c r="Q2774" i="22" s="1"/>
  <c r="P2859" i="22"/>
  <c r="Q2859" i="22" s="1"/>
  <c r="P2862" i="22"/>
  <c r="Q2862" i="22" s="1"/>
  <c r="P2923" i="22"/>
  <c r="Q2923" i="22" s="1"/>
  <c r="P2930" i="22"/>
  <c r="Q2930" i="22" s="1"/>
  <c r="P3011" i="22"/>
  <c r="Q3011" i="22" s="1"/>
  <c r="P3058" i="22"/>
  <c r="Q3058" i="22" s="1"/>
  <c r="P3212" i="22"/>
  <c r="Q3212" i="22" s="1"/>
  <c r="P3291" i="22"/>
  <c r="Q3291" i="22" s="1"/>
  <c r="P3347" i="22"/>
  <c r="Q3347" i="22" s="1"/>
  <c r="P2502" i="22"/>
  <c r="Q2502" i="22" s="1"/>
  <c r="P2519" i="22"/>
  <c r="Q2519" i="22" s="1"/>
  <c r="P2534" i="22"/>
  <c r="Q2534" i="22" s="1"/>
  <c r="P2570" i="22"/>
  <c r="Q2570" i="22" s="1"/>
  <c r="P2588" i="22"/>
  <c r="Q2588" i="22" s="1"/>
  <c r="P2630" i="22"/>
  <c r="Q2630" i="22" s="1"/>
  <c r="P2682" i="22"/>
  <c r="Q2682" i="22" s="1"/>
  <c r="P2712" i="22"/>
  <c r="Q2712" i="22" s="1"/>
  <c r="P2718" i="22"/>
  <c r="Q2718" i="22" s="1"/>
  <c r="P2761" i="22"/>
  <c r="Q2761" i="22" s="1"/>
  <c r="P2763" i="22"/>
  <c r="Q2763" i="22" s="1"/>
  <c r="P2781" i="22"/>
  <c r="Q2781" i="22" s="1"/>
  <c r="P2808" i="22"/>
  <c r="Q2808" i="22" s="1"/>
  <c r="P2813" i="22"/>
  <c r="Q2813" i="22" s="1"/>
  <c r="P2927" i="22"/>
  <c r="Q2927" i="22" s="1"/>
  <c r="P2985" i="22"/>
  <c r="Q2985" i="22" s="1"/>
  <c r="P2992" i="22"/>
  <c r="Q2992" i="22" s="1"/>
  <c r="P3051" i="22"/>
  <c r="Q3051" i="22" s="1"/>
  <c r="P3167" i="22"/>
  <c r="Q3167" i="22" s="1"/>
  <c r="P3284" i="22"/>
  <c r="Q3284" i="22" s="1"/>
  <c r="P3350" i="22"/>
  <c r="Q3350" i="22" s="1"/>
  <c r="P3109" i="22"/>
  <c r="Q3109" i="22" s="1"/>
  <c r="P3356" i="22"/>
  <c r="Q3356" i="22" s="1"/>
  <c r="P3354" i="22"/>
  <c r="Q3354" i="22" s="1"/>
  <c r="P3136" i="22"/>
  <c r="Q3136" i="22" s="1"/>
  <c r="P3160" i="22"/>
  <c r="Q3160" i="22" s="1"/>
  <c r="P3158" i="22"/>
  <c r="Q3158" i="22" s="1"/>
  <c r="P2314" i="22"/>
  <c r="Q2314" i="22" s="1"/>
  <c r="P2369" i="22"/>
  <c r="Q2369" i="22" s="1"/>
  <c r="P2401" i="22"/>
  <c r="Q2401" i="22" s="1"/>
  <c r="P2448" i="22"/>
  <c r="Q2448" i="22" s="1"/>
  <c r="P2476" i="22"/>
  <c r="Q2476" i="22" s="1"/>
  <c r="P2530" i="22"/>
  <c r="Q2530" i="22" s="1"/>
  <c r="P2555" i="22"/>
  <c r="Q2555" i="22" s="1"/>
  <c r="P2598" i="22"/>
  <c r="Q2598" i="22" s="1"/>
  <c r="P2659" i="22"/>
  <c r="Q2659" i="22" s="1"/>
  <c r="P2672" i="22"/>
  <c r="Q2672" i="22" s="1"/>
  <c r="P2691" i="22"/>
  <c r="Q2691" i="22" s="1"/>
  <c r="P2739" i="22"/>
  <c r="Q2739" i="22" s="1"/>
  <c r="P2766" i="22"/>
  <c r="Q2766" i="22" s="1"/>
  <c r="P2822" i="22"/>
  <c r="Q2822" i="22" s="1"/>
  <c r="P2874" i="22"/>
  <c r="Q2874" i="22" s="1"/>
  <c r="P2880" i="22"/>
  <c r="Q2880" i="22" s="1"/>
  <c r="P3179" i="22"/>
  <c r="Q3179" i="22" s="1"/>
  <c r="P3282" i="22"/>
  <c r="Q3282" i="22" s="1"/>
  <c r="P3322" i="22"/>
  <c r="Q3322" i="22" s="1"/>
  <c r="P2315" i="22"/>
  <c r="Q2315" i="22" s="1"/>
  <c r="P2343" i="22"/>
  <c r="Q2343" i="22" s="1"/>
  <c r="P2358" i="22"/>
  <c r="Q2358" i="22" s="1"/>
  <c r="P2375" i="22"/>
  <c r="Q2375" i="22" s="1"/>
  <c r="P2390" i="22"/>
  <c r="Q2390" i="22" s="1"/>
  <c r="P2531" i="22"/>
  <c r="Q2531" i="22" s="1"/>
  <c r="P2563" i="22"/>
  <c r="Q2563" i="22" s="1"/>
  <c r="P2606" i="22"/>
  <c r="Q2606" i="22" s="1"/>
  <c r="P2626" i="22"/>
  <c r="Q2626" i="22" s="1"/>
  <c r="P2642" i="22"/>
  <c r="Q2642" i="22" s="1"/>
  <c r="P2685" i="22"/>
  <c r="Q2685" i="22" s="1"/>
  <c r="P2706" i="22"/>
  <c r="Q2706" i="22" s="1"/>
  <c r="P2751" i="22"/>
  <c r="Q2751" i="22" s="1"/>
  <c r="P2784" i="22"/>
  <c r="Q2784" i="22" s="1"/>
  <c r="P2802" i="22"/>
  <c r="Q2802" i="22" s="1"/>
  <c r="P2848" i="22"/>
  <c r="Q2848" i="22" s="1"/>
  <c r="P2863" i="22"/>
  <c r="Q2863" i="22" s="1"/>
  <c r="P2970" i="22"/>
  <c r="Q2970" i="22" s="1"/>
  <c r="P3071" i="22"/>
  <c r="Q3071" i="22" s="1"/>
  <c r="P3073" i="22"/>
  <c r="Q3073" i="22" s="1"/>
  <c r="P3072" i="22"/>
  <c r="Q3072" i="22" s="1"/>
  <c r="P3094" i="22"/>
  <c r="Q3094" i="22" s="1"/>
  <c r="P3095" i="22"/>
  <c r="Q3095" i="22" s="1"/>
  <c r="P2516" i="22"/>
  <c r="Q2516" i="22" s="1"/>
  <c r="P2567" i="22"/>
  <c r="Q2567" i="22" s="1"/>
  <c r="P2578" i="22"/>
  <c r="Q2578" i="22" s="1"/>
  <c r="P2581" i="22"/>
  <c r="Q2581" i="22" s="1"/>
  <c r="P2631" i="22"/>
  <c r="Q2631" i="22" s="1"/>
  <c r="P2647" i="22"/>
  <c r="Q2647" i="22" s="1"/>
  <c r="P2721" i="22"/>
  <c r="Q2721" i="22" s="1"/>
  <c r="P2738" i="22"/>
  <c r="Q2738" i="22" s="1"/>
  <c r="P2745" i="22"/>
  <c r="Q2745" i="22" s="1"/>
  <c r="P2762" i="22"/>
  <c r="Q2762" i="22" s="1"/>
  <c r="P2841" i="22"/>
  <c r="Q2841" i="22" s="1"/>
  <c r="P2842" i="22"/>
  <c r="Q2842" i="22" s="1"/>
  <c r="P2900" i="22"/>
  <c r="Q2900" i="22" s="1"/>
  <c r="P3265" i="22"/>
  <c r="Q3265" i="22" s="1"/>
  <c r="P2332" i="22"/>
  <c r="Q2332" i="22" s="1"/>
  <c r="P2386" i="22"/>
  <c r="Q2386" i="22" s="1"/>
  <c r="P2441" i="22"/>
  <c r="Q2441" i="22" s="1"/>
  <c r="P2473" i="22"/>
  <c r="Q2473" i="22" s="1"/>
  <c r="P2520" i="22"/>
  <c r="Q2520" i="22" s="1"/>
  <c r="P2548" i="22"/>
  <c r="Q2548" i="22" s="1"/>
  <c r="P2575" i="22"/>
  <c r="Q2575" i="22" s="1"/>
  <c r="P2579" i="22"/>
  <c r="Q2579" i="22" s="1"/>
  <c r="P2591" i="22"/>
  <c r="Q2591" i="22" s="1"/>
  <c r="P2628" i="22"/>
  <c r="Q2628" i="22" s="1"/>
  <c r="P2639" i="22"/>
  <c r="Q2639" i="22" s="1"/>
  <c r="P2664" i="22"/>
  <c r="Q2664" i="22" s="1"/>
  <c r="P2825" i="22"/>
  <c r="Q2825" i="22" s="1"/>
  <c r="P2857" i="22"/>
  <c r="Q2857" i="22" s="1"/>
  <c r="P2861" i="22"/>
  <c r="Q2861" i="22" s="1"/>
  <c r="P2915" i="22"/>
  <c r="Q2915" i="22" s="1"/>
  <c r="P2987" i="22"/>
  <c r="Q2987" i="22" s="1"/>
  <c r="P3194" i="22"/>
  <c r="Q3194" i="22" s="1"/>
  <c r="P2327" i="22"/>
  <c r="Q2327" i="22" s="1"/>
  <c r="P2399" i="22"/>
  <c r="Q2399" i="22" s="1"/>
  <c r="P2471" i="22"/>
  <c r="Q2471" i="22" s="1"/>
  <c r="P2543" i="22"/>
  <c r="Q2543" i="22" s="1"/>
  <c r="P2643" i="22"/>
  <c r="Q2643" i="22" s="1"/>
  <c r="P2776" i="22"/>
  <c r="Q2776" i="22" s="1"/>
  <c r="P2791" i="22"/>
  <c r="Q2791" i="22" s="1"/>
  <c r="P2805" i="22"/>
  <c r="Q2805" i="22" s="1"/>
  <c r="P2824" i="22"/>
  <c r="Q2824" i="22" s="1"/>
  <c r="P2847" i="22"/>
  <c r="Q2847" i="22" s="1"/>
  <c r="P2867" i="22"/>
  <c r="Q2867" i="22" s="1"/>
  <c r="P2876" i="22"/>
  <c r="Q2876" i="22" s="1"/>
  <c r="P2878" i="22"/>
  <c r="Q2878" i="22" s="1"/>
  <c r="P2921" i="22"/>
  <c r="Q2921" i="22" s="1"/>
  <c r="P2956" i="22"/>
  <c r="Q2956" i="22" s="1"/>
  <c r="P3079" i="22"/>
  <c r="Q3079" i="22" s="1"/>
  <c r="P3119" i="22"/>
  <c r="Q3119" i="22" s="1"/>
  <c r="P3157" i="22"/>
  <c r="Q3157" i="22" s="1"/>
  <c r="P3164" i="22"/>
  <c r="Q3164" i="22" s="1"/>
  <c r="P3235" i="22"/>
  <c r="Q3235" i="22" s="1"/>
  <c r="P3239" i="22"/>
  <c r="Q3239" i="22" s="1"/>
  <c r="P3247" i="22"/>
  <c r="Q3247" i="22" s="1"/>
  <c r="P3324" i="22"/>
  <c r="Q3324" i="22" s="1"/>
  <c r="P2670" i="22"/>
  <c r="Q2670" i="22" s="1"/>
  <c r="P2740" i="22"/>
  <c r="Q2740" i="22" s="1"/>
  <c r="P2753" i="22"/>
  <c r="Q2753" i="22" s="1"/>
  <c r="P2768" i="22"/>
  <c r="Q2768" i="22" s="1"/>
  <c r="P2788" i="22"/>
  <c r="Q2788" i="22" s="1"/>
  <c r="P2919" i="22"/>
  <c r="Q2919" i="22" s="1"/>
  <c r="P2933" i="22"/>
  <c r="Q2933" i="22" s="1"/>
  <c r="P2957" i="22"/>
  <c r="Q2957" i="22" s="1"/>
  <c r="P3018" i="22"/>
  <c r="Q3018" i="22" s="1"/>
  <c r="P3075" i="22"/>
  <c r="Q3075" i="22" s="1"/>
  <c r="P3111" i="22"/>
  <c r="Q3111" i="22" s="1"/>
  <c r="P3162" i="22"/>
  <c r="Q3162" i="22" s="1"/>
  <c r="P3233" i="22"/>
  <c r="Q3233" i="22" s="1"/>
  <c r="P3256" i="22"/>
  <c r="Q3256" i="22" s="1"/>
  <c r="P3050" i="22"/>
  <c r="Q3050" i="22" s="1"/>
  <c r="P3200" i="22"/>
  <c r="Q3200" i="22" s="1"/>
  <c r="P2566" i="22"/>
  <c r="Q2566" i="22" s="1"/>
  <c r="P2602" i="22"/>
  <c r="Q2602" i="22" s="1"/>
  <c r="P2634" i="22"/>
  <c r="Q2634" i="22" s="1"/>
  <c r="P2636" i="22"/>
  <c r="Q2636" i="22" s="1"/>
  <c r="P2683" i="22"/>
  <c r="Q2683" i="22" s="1"/>
  <c r="P2709" i="22"/>
  <c r="Q2709" i="22" s="1"/>
  <c r="P2711" i="22"/>
  <c r="Q2711" i="22" s="1"/>
  <c r="P2750" i="22"/>
  <c r="Q2750" i="22" s="1"/>
  <c r="P2754" i="22"/>
  <c r="Q2754" i="22" s="1"/>
  <c r="P2955" i="22"/>
  <c r="Q2955" i="22" s="1"/>
  <c r="P3014" i="22"/>
  <c r="Q3014" i="22" s="1"/>
  <c r="P3099" i="22"/>
  <c r="Q3099" i="22" s="1"/>
  <c r="P3129" i="22"/>
  <c r="Q3129" i="22" s="1"/>
  <c r="P3152" i="22"/>
  <c r="Q3152" i="22" s="1"/>
  <c r="P3199" i="22"/>
  <c r="Q3199" i="22" s="1"/>
  <c r="P3339" i="22"/>
  <c r="Q3339" i="22" s="1"/>
  <c r="P3374" i="22"/>
  <c r="Q3374" i="22" s="1"/>
  <c r="P2653" i="22"/>
  <c r="Q2653" i="22" s="1"/>
  <c r="P2686" i="22"/>
  <c r="Q2686" i="22" s="1"/>
  <c r="P2693" i="22"/>
  <c r="Q2693" i="22" s="1"/>
  <c r="P2720" i="22"/>
  <c r="Q2720" i="22" s="1"/>
  <c r="P2779" i="22"/>
  <c r="Q2779" i="22" s="1"/>
  <c r="P2783" i="22"/>
  <c r="Q2783" i="22" s="1"/>
  <c r="P2827" i="22"/>
  <c r="Q2827" i="22" s="1"/>
  <c r="P2833" i="22"/>
  <c r="Q2833" i="22" s="1"/>
  <c r="P2837" i="22"/>
  <c r="Q2837" i="22" s="1"/>
  <c r="P2901" i="22"/>
  <c r="Q2901" i="22" s="1"/>
  <c r="P2910" i="22"/>
  <c r="Q2910" i="22" s="1"/>
  <c r="P2969" i="22"/>
  <c r="Q2969" i="22" s="1"/>
  <c r="P2994" i="22"/>
  <c r="Q2994" i="22" s="1"/>
  <c r="P3034" i="22"/>
  <c r="Q3034" i="22" s="1"/>
  <c r="P3049" i="22"/>
  <c r="Q3049" i="22" s="1"/>
  <c r="P3123" i="22"/>
  <c r="Q3123" i="22" s="1"/>
  <c r="P3243" i="22"/>
  <c r="Q3243" i="22" s="1"/>
  <c r="P3281" i="22"/>
  <c r="Q3281" i="22" s="1"/>
  <c r="P3287" i="22"/>
  <c r="Q3287" i="22" s="1"/>
  <c r="P3332" i="22"/>
  <c r="Q3332" i="22" s="1"/>
  <c r="P2988" i="22"/>
  <c r="Q2988" i="22" s="1"/>
  <c r="P3060" i="22"/>
  <c r="Q3060" i="22" s="1"/>
  <c r="P2219" i="22"/>
  <c r="Q2219" i="22" s="1"/>
  <c r="P2291" i="22"/>
  <c r="Q2291" i="22" s="1"/>
  <c r="P2363" i="22"/>
  <c r="Q2363" i="22" s="1"/>
  <c r="P2435" i="22"/>
  <c r="Q2435" i="22" s="1"/>
  <c r="P2507" i="22"/>
  <c r="Q2507" i="22" s="1"/>
  <c r="P2700" i="22"/>
  <c r="Q2700" i="22" s="1"/>
  <c r="P2705" i="22"/>
  <c r="Q2705" i="22" s="1"/>
  <c r="P2871" i="22"/>
  <c r="Q2871" i="22" s="1"/>
  <c r="P2967" i="22"/>
  <c r="Q2967" i="22" s="1"/>
  <c r="P3155" i="22"/>
  <c r="Q3155" i="22" s="1"/>
  <c r="P3279" i="22"/>
  <c r="Q3279" i="22" s="1"/>
  <c r="P2554" i="22"/>
  <c r="Q2554" i="22" s="1"/>
  <c r="P2590" i="22"/>
  <c r="Q2590" i="22" s="1"/>
  <c r="P2629" i="22"/>
  <c r="Q2629" i="22" s="1"/>
  <c r="P2646" i="22"/>
  <c r="Q2646" i="22" s="1"/>
  <c r="P2649" i="22"/>
  <c r="Q2649" i="22" s="1"/>
  <c r="P2671" i="22"/>
  <c r="Q2671" i="22" s="1"/>
  <c r="P2674" i="22"/>
  <c r="Q2674" i="22" s="1"/>
  <c r="P2733" i="22"/>
  <c r="Q2733" i="22" s="1"/>
  <c r="P2771" i="22"/>
  <c r="Q2771" i="22" s="1"/>
  <c r="P2790" i="22"/>
  <c r="Q2790" i="22" s="1"/>
  <c r="P2794" i="22"/>
  <c r="Q2794" i="22" s="1"/>
  <c r="P2820" i="22"/>
  <c r="Q2820" i="22" s="1"/>
  <c r="P2839" i="22"/>
  <c r="Q2839" i="22" s="1"/>
  <c r="P2860" i="22"/>
  <c r="Q2860" i="22" s="1"/>
  <c r="P2931" i="22"/>
  <c r="Q2931" i="22" s="1"/>
  <c r="P2941" i="22"/>
  <c r="Q2941" i="22" s="1"/>
  <c r="P3052" i="22"/>
  <c r="Q3052" i="22" s="1"/>
  <c r="P3137" i="22"/>
  <c r="Q3137" i="22" s="1"/>
  <c r="P3141" i="22"/>
  <c r="Q3141" i="22" s="1"/>
  <c r="P3138" i="22"/>
  <c r="Q3138" i="22" s="1"/>
  <c r="P3201" i="22"/>
  <c r="Q3201" i="22" s="1"/>
  <c r="P3302" i="22"/>
  <c r="Q3302" i="22" s="1"/>
  <c r="P2702" i="22"/>
  <c r="Q2702" i="22" s="1"/>
  <c r="P2757" i="22"/>
  <c r="Q2757" i="22" s="1"/>
  <c r="P2800" i="22"/>
  <c r="Q2800" i="22" s="1"/>
  <c r="P2817" i="22"/>
  <c r="Q2817" i="22" s="1"/>
  <c r="P2840" i="22"/>
  <c r="Q2840" i="22" s="1"/>
  <c r="P2869" i="22"/>
  <c r="Q2869" i="22" s="1"/>
  <c r="P2870" i="22"/>
  <c r="Q2870" i="22" s="1"/>
  <c r="P2873" i="22"/>
  <c r="Q2873" i="22" s="1"/>
  <c r="P2897" i="22"/>
  <c r="Q2897" i="22" s="1"/>
  <c r="P2928" i="22"/>
  <c r="Q2928" i="22" s="1"/>
  <c r="P2943" i="22"/>
  <c r="Q2943" i="22" s="1"/>
  <c r="P2945" i="22"/>
  <c r="Q2945" i="22" s="1"/>
  <c r="P2966" i="22"/>
  <c r="Q2966" i="22" s="1"/>
  <c r="P2972" i="22"/>
  <c r="Q2972" i="22" s="1"/>
  <c r="P2980" i="22"/>
  <c r="Q2980" i="22" s="1"/>
  <c r="P3009" i="22"/>
  <c r="Q3009" i="22" s="1"/>
  <c r="P3046" i="22"/>
  <c r="Q3046" i="22" s="1"/>
  <c r="P3053" i="22"/>
  <c r="Q3053" i="22" s="1"/>
  <c r="P3121" i="22"/>
  <c r="Q3121" i="22" s="1"/>
  <c r="P3139" i="22"/>
  <c r="Q3139" i="22" s="1"/>
  <c r="P3177" i="22"/>
  <c r="Q3177" i="22" s="1"/>
  <c r="P3231" i="22"/>
  <c r="Q3231" i="22" s="1"/>
  <c r="P3263" i="22"/>
  <c r="Q3263" i="22" s="1"/>
  <c r="P3272" i="22"/>
  <c r="Q3272" i="22" s="1"/>
  <c r="P3318" i="22"/>
  <c r="Q3318" i="22" s="1"/>
  <c r="P3341" i="22"/>
  <c r="Q3341" i="22" s="1"/>
  <c r="P3363" i="22"/>
  <c r="Q3363" i="22" s="1"/>
  <c r="P2729" i="22"/>
  <c r="Q2729" i="22" s="1"/>
  <c r="P2785" i="22"/>
  <c r="Q2785" i="22" s="1"/>
  <c r="P2899" i="22"/>
  <c r="Q2899" i="22" s="1"/>
  <c r="P2925" i="22"/>
  <c r="Q2925" i="22" s="1"/>
  <c r="P2951" i="22"/>
  <c r="Q2951" i="22" s="1"/>
  <c r="P2958" i="22"/>
  <c r="Q2958" i="22" s="1"/>
  <c r="P3035" i="22"/>
  <c r="Q3035" i="22" s="1"/>
  <c r="P3037" i="22"/>
  <c r="Q3037" i="22" s="1"/>
  <c r="P3090" i="22"/>
  <c r="Q3090" i="22" s="1"/>
  <c r="P3088" i="22"/>
  <c r="Q3088" i="22" s="1"/>
  <c r="P3092" i="22"/>
  <c r="Q3092" i="22" s="1"/>
  <c r="P3144" i="22"/>
  <c r="Q3144" i="22" s="1"/>
  <c r="P3178" i="22"/>
  <c r="Q3178" i="22" s="1"/>
  <c r="P3222" i="22"/>
  <c r="Q3222" i="22" s="1"/>
  <c r="P3229" i="22"/>
  <c r="Q3229" i="22" s="1"/>
  <c r="P3242" i="22"/>
  <c r="Q3242" i="22" s="1"/>
  <c r="P3250" i="22"/>
  <c r="Q3250" i="22" s="1"/>
  <c r="P3254" i="22"/>
  <c r="Q3254" i="22" s="1"/>
  <c r="P3261" i="22"/>
  <c r="Q3261" i="22" s="1"/>
  <c r="P3266" i="22"/>
  <c r="Q3266" i="22" s="1"/>
  <c r="P3289" i="22"/>
  <c r="Q3289" i="22" s="1"/>
  <c r="P3370" i="22"/>
  <c r="Q3370" i="22" s="1"/>
  <c r="P3376" i="22"/>
  <c r="Q3376" i="22" s="1"/>
  <c r="P2622" i="22"/>
  <c r="Q2622" i="22" s="1"/>
  <c r="P2677" i="22"/>
  <c r="Q2677" i="22" s="1"/>
  <c r="P2697" i="22"/>
  <c r="Q2697" i="22" s="1"/>
  <c r="P2730" i="22"/>
  <c r="Q2730" i="22" s="1"/>
  <c r="P2778" i="22"/>
  <c r="Q2778" i="22" s="1"/>
  <c r="P2949" i="22"/>
  <c r="Q2949" i="22" s="1"/>
  <c r="P3027" i="22"/>
  <c r="Q3027" i="22" s="1"/>
  <c r="P3081" i="22"/>
  <c r="Q3081" i="22" s="1"/>
  <c r="P3115" i="22"/>
  <c r="Q3115" i="22" s="1"/>
  <c r="P3142" i="22"/>
  <c r="Q3142" i="22" s="1"/>
  <c r="P3182" i="22"/>
  <c r="Q3182" i="22" s="1"/>
  <c r="P3217" i="22"/>
  <c r="Q3217" i="22" s="1"/>
  <c r="P3224" i="22"/>
  <c r="Q3224" i="22" s="1"/>
  <c r="P3262" i="22"/>
  <c r="Q3262" i="22" s="1"/>
  <c r="P3337" i="22"/>
  <c r="Q3337" i="22" s="1"/>
  <c r="P2796" i="22"/>
  <c r="Q2796" i="22" s="1"/>
  <c r="P2853" i="22"/>
  <c r="Q2853" i="22" s="1"/>
  <c r="P2913" i="22"/>
  <c r="Q2913" i="22" s="1"/>
  <c r="P2983" i="22"/>
  <c r="Q2983" i="22" s="1"/>
  <c r="P2996" i="22"/>
  <c r="Q2996" i="22" s="1"/>
  <c r="P3093" i="22"/>
  <c r="Q3093" i="22" s="1"/>
  <c r="P3110" i="22"/>
  <c r="Q3110" i="22" s="1"/>
  <c r="P3171" i="22"/>
  <c r="Q3171" i="22" s="1"/>
  <c r="P3215" i="22"/>
  <c r="Q3215" i="22" s="1"/>
  <c r="P3260" i="22"/>
  <c r="Q3260" i="22" s="1"/>
  <c r="P3310" i="22"/>
  <c r="Q3310" i="22" s="1"/>
  <c r="P3330" i="22"/>
  <c r="Q3330" i="22" s="1"/>
  <c r="P2893" i="22"/>
  <c r="Q2893" i="22" s="1"/>
  <c r="P2911" i="22"/>
  <c r="Q2911" i="22" s="1"/>
  <c r="P2984" i="22"/>
  <c r="Q2984" i="22" s="1"/>
  <c r="P3004" i="22"/>
  <c r="Q3004" i="22" s="1"/>
  <c r="P3038" i="22"/>
  <c r="Q3038" i="22" s="1"/>
  <c r="P3054" i="22"/>
  <c r="Q3054" i="22" s="1"/>
  <c r="P3102" i="22"/>
  <c r="Q3102" i="22" s="1"/>
  <c r="P3113" i="22"/>
  <c r="Q3113" i="22" s="1"/>
  <c r="P3140" i="22"/>
  <c r="Q3140" i="22" s="1"/>
  <c r="P3147" i="22"/>
  <c r="Q3147" i="22" s="1"/>
  <c r="P3196" i="22"/>
  <c r="Q3196" i="22" s="1"/>
  <c r="P3218" i="22"/>
  <c r="Q3218" i="22" s="1"/>
  <c r="P3258" i="22"/>
  <c r="Q3258" i="22" s="1"/>
  <c r="P3276" i="22"/>
  <c r="Q3276" i="22" s="1"/>
  <c r="P3319" i="22"/>
  <c r="Q3319" i="22" s="1"/>
  <c r="P3143" i="22"/>
  <c r="Q3143" i="22" s="1"/>
  <c r="P2694" i="22"/>
  <c r="Q2694" i="22" s="1"/>
  <c r="P2747" i="22"/>
  <c r="Q2747" i="22" s="1"/>
  <c r="P2773" i="22"/>
  <c r="Q2773" i="22" s="1"/>
  <c r="P2835" i="22"/>
  <c r="Q2835" i="22" s="1"/>
  <c r="P2856" i="22"/>
  <c r="Q2856" i="22" s="1"/>
  <c r="P2894" i="22"/>
  <c r="Q2894" i="22" s="1"/>
  <c r="P2902" i="22"/>
  <c r="Q2902" i="22" s="1"/>
  <c r="P2920" i="22"/>
  <c r="Q2920" i="22" s="1"/>
  <c r="P2959" i="22"/>
  <c r="Q2959" i="22" s="1"/>
  <c r="P3068" i="22"/>
  <c r="Q3068" i="22" s="1"/>
  <c r="P3086" i="22"/>
  <c r="Q3086" i="22" s="1"/>
  <c r="P3097" i="22"/>
  <c r="Q3097" i="22" s="1"/>
  <c r="P3120" i="22"/>
  <c r="Q3120" i="22" s="1"/>
  <c r="P3214" i="22"/>
  <c r="Q3214" i="22" s="1"/>
  <c r="P3227" i="22"/>
  <c r="Q3227" i="22" s="1"/>
  <c r="P3248" i="22"/>
  <c r="Q3248" i="22" s="1"/>
  <c r="P3271" i="22"/>
  <c r="Q3271" i="22" s="1"/>
  <c r="P3313" i="22"/>
  <c r="Q3313" i="22" s="1"/>
  <c r="P3361" i="22"/>
  <c r="Q3361" i="22" s="1"/>
  <c r="P2764" i="22"/>
  <c r="Q2764" i="22" s="1"/>
  <c r="P2775" i="22"/>
  <c r="Q2775" i="22" s="1"/>
  <c r="P2797" i="22"/>
  <c r="Q2797" i="22" s="1"/>
  <c r="P2821" i="22"/>
  <c r="Q2821" i="22" s="1"/>
  <c r="P2973" i="22"/>
  <c r="Q2973" i="22" s="1"/>
  <c r="P2978" i="22"/>
  <c r="Q2978" i="22" s="1"/>
  <c r="P2998" i="22"/>
  <c r="Q2998" i="22" s="1"/>
  <c r="P3000" i="22"/>
  <c r="Q3000" i="22" s="1"/>
  <c r="P3064" i="22"/>
  <c r="Q3064" i="22" s="1"/>
  <c r="P3096" i="22"/>
  <c r="Q3096" i="22" s="1"/>
  <c r="P3098" i="22"/>
  <c r="Q3098" i="22" s="1"/>
  <c r="P3104" i="22"/>
  <c r="Q3104" i="22" s="1"/>
  <c r="P3126" i="22"/>
  <c r="Q3126" i="22" s="1"/>
  <c r="P3149" i="22"/>
  <c r="Q3149" i="22" s="1"/>
  <c r="P3174" i="22"/>
  <c r="Q3174" i="22" s="1"/>
  <c r="P3184" i="22"/>
  <c r="Q3184" i="22" s="1"/>
  <c r="P3216" i="22"/>
  <c r="Q3216" i="22" s="1"/>
  <c r="P3321" i="22"/>
  <c r="Q3321" i="22" s="1"/>
  <c r="P3029" i="22"/>
  <c r="Q3029" i="22" s="1"/>
  <c r="P3031" i="22"/>
  <c r="Q3031" i="22" s="1"/>
  <c r="P3063" i="22"/>
  <c r="Q3063" i="22" s="1"/>
  <c r="P3069" i="22"/>
  <c r="Q3069" i="22" s="1"/>
  <c r="P3107" i="22"/>
  <c r="Q3107" i="22" s="1"/>
  <c r="P3128" i="22"/>
  <c r="Q3128" i="22" s="1"/>
  <c r="P3135" i="22"/>
  <c r="Q3135" i="22" s="1"/>
  <c r="P3153" i="22"/>
  <c r="Q3153" i="22" s="1"/>
  <c r="P3191" i="22"/>
  <c r="Q3191" i="22" s="1"/>
  <c r="P3198" i="22"/>
  <c r="Q3198" i="22" s="1"/>
  <c r="P3204" i="22"/>
  <c r="Q3204" i="22" s="1"/>
  <c r="P3335" i="22"/>
  <c r="Q3335" i="22" s="1"/>
  <c r="P3349" i="22"/>
  <c r="Q3349" i="22" s="1"/>
  <c r="P3351" i="22"/>
  <c r="Q3351" i="22" s="1"/>
  <c r="P3353" i="22"/>
  <c r="Q3353" i="22" s="1"/>
  <c r="P3355" i="22"/>
  <c r="Q3355" i="22" s="1"/>
  <c r="P3368" i="22"/>
  <c r="Q3368" i="22" s="1"/>
  <c r="P2906" i="22"/>
  <c r="Q2906" i="22" s="1"/>
  <c r="P2937" i="22"/>
  <c r="Q2937" i="22" s="1"/>
  <c r="P2952" i="22"/>
  <c r="Q2952" i="22" s="1"/>
  <c r="P2989" i="22"/>
  <c r="Q2989" i="22" s="1"/>
  <c r="P2991" i="22"/>
  <c r="Q2991" i="22" s="1"/>
  <c r="P3005" i="22"/>
  <c r="Q3005" i="22" s="1"/>
  <c r="P3042" i="22"/>
  <c r="Q3042" i="22" s="1"/>
  <c r="P3059" i="22"/>
  <c r="Q3059" i="22" s="1"/>
  <c r="P3061" i="22"/>
  <c r="Q3061" i="22" s="1"/>
  <c r="P3070" i="22"/>
  <c r="Q3070" i="22" s="1"/>
  <c r="P3156" i="22"/>
  <c r="Q3156" i="22" s="1"/>
  <c r="P3192" i="22"/>
  <c r="Q3192" i="22" s="1"/>
  <c r="P3202" i="22"/>
  <c r="Q3202" i="22" s="1"/>
  <c r="P3219" i="22"/>
  <c r="Q3219" i="22" s="1"/>
  <c r="P3226" i="22"/>
  <c r="Q3226" i="22" s="1"/>
  <c r="P3241" i="22"/>
  <c r="Q3241" i="22" s="1"/>
  <c r="P3292" i="22"/>
  <c r="Q3292" i="22" s="1"/>
  <c r="P3328" i="22"/>
  <c r="Q3328" i="22" s="1"/>
  <c r="P3336" i="22"/>
  <c r="Q3336" i="22" s="1"/>
  <c r="P3359" i="22"/>
  <c r="Q3359" i="22" s="1"/>
  <c r="P3362" i="22"/>
  <c r="Q3362" i="22" s="1"/>
  <c r="P2868" i="22"/>
  <c r="Q2868" i="22" s="1"/>
  <c r="P2912" i="22"/>
  <c r="Q2912" i="22" s="1"/>
  <c r="P2934" i="22"/>
  <c r="Q2934" i="22" s="1"/>
  <c r="P2938" i="22"/>
  <c r="Q2938" i="22" s="1"/>
  <c r="P2948" i="22"/>
  <c r="Q2948" i="22" s="1"/>
  <c r="P2950" i="22"/>
  <c r="Q2950" i="22" s="1"/>
  <c r="P2981" i="22"/>
  <c r="Q2981" i="22" s="1"/>
  <c r="P3127" i="22"/>
  <c r="Q3127" i="22" s="1"/>
  <c r="P3150" i="22"/>
  <c r="Q3150" i="22" s="1"/>
  <c r="P3154" i="22"/>
  <c r="Q3154" i="22" s="1"/>
  <c r="P3189" i="22"/>
  <c r="Q3189" i="22" s="1"/>
  <c r="P3293" i="22"/>
  <c r="Q3293" i="22" s="1"/>
  <c r="P3333" i="22"/>
  <c r="Q3333" i="22" s="1"/>
  <c r="P3106" i="22"/>
  <c r="Q3106" i="22" s="1"/>
  <c r="P3112" i="22"/>
  <c r="Q3112" i="22" s="1"/>
  <c r="P3190" i="22"/>
  <c r="Q3190" i="22" s="1"/>
  <c r="P3253" i="22"/>
  <c r="Q3253" i="22" s="1"/>
  <c r="P3255" i="22"/>
  <c r="Q3255" i="22" s="1"/>
  <c r="P3257" i="22"/>
  <c r="Q3257" i="22" s="1"/>
  <c r="P3299" i="22"/>
  <c r="Q3299" i="22" s="1"/>
  <c r="P3316" i="22"/>
  <c r="Q3316" i="22" s="1"/>
  <c r="P3326" i="22"/>
  <c r="Q3326" i="22" s="1"/>
  <c r="P3334" i="22"/>
  <c r="Q3334" i="22" s="1"/>
  <c r="P2917" i="22"/>
  <c r="Q2917" i="22" s="1"/>
  <c r="P3022" i="22"/>
  <c r="Q3022" i="22" s="1"/>
  <c r="P3024" i="22"/>
  <c r="Q3024" i="22" s="1"/>
  <c r="P3105" i="22"/>
  <c r="Q3105" i="22" s="1"/>
  <c r="P3118" i="22"/>
  <c r="Q3118" i="22" s="1"/>
  <c r="P3146" i="22"/>
  <c r="Q3146" i="22" s="1"/>
  <c r="P3193" i="22"/>
  <c r="Q3193" i="22" s="1"/>
  <c r="P3197" i="22"/>
  <c r="Q3197" i="22" s="1"/>
  <c r="P3207" i="22"/>
  <c r="Q3207" i="22" s="1"/>
  <c r="P3225" i="22"/>
  <c r="Q3225" i="22" s="1"/>
  <c r="P3237" i="22"/>
  <c r="Q3237" i="22" s="1"/>
  <c r="P3275" i="22"/>
  <c r="Q3275" i="22" s="1"/>
  <c r="P3345" i="22"/>
  <c r="Q3345" i="22" s="1"/>
  <c r="P3357" i="22"/>
  <c r="Q3357" i="22" s="1"/>
  <c r="P3373" i="22"/>
  <c r="Q3373" i="22" s="1"/>
  <c r="P3375" i="22"/>
  <c r="Q3375" i="22" s="1"/>
  <c r="P2961" i="22"/>
  <c r="Q2961" i="22" s="1"/>
  <c r="P2965" i="22"/>
  <c r="Q2965" i="22" s="1"/>
  <c r="P3033" i="22"/>
  <c r="Q3033" i="22" s="1"/>
  <c r="P3048" i="22"/>
  <c r="Q3048" i="22" s="1"/>
  <c r="P3057" i="22"/>
  <c r="Q3057" i="22" s="1"/>
  <c r="P3066" i="22"/>
  <c r="Q3066" i="22" s="1"/>
  <c r="P3108" i="22"/>
  <c r="Q3108" i="22" s="1"/>
  <c r="P3172" i="22"/>
  <c r="Q3172" i="22" s="1"/>
  <c r="P3228" i="22"/>
  <c r="Q3228" i="22" s="1"/>
  <c r="P3244" i="22"/>
  <c r="Q3244" i="22" s="1"/>
  <c r="P3273" i="22"/>
  <c r="Q3273" i="22" s="1"/>
  <c r="P3301" i="22"/>
  <c r="Q3301" i="22" s="1"/>
  <c r="P3303" i="22"/>
  <c r="Q3303" i="22" s="1"/>
  <c r="P3305" i="22"/>
  <c r="Q3305" i="22" s="1"/>
  <c r="P3307" i="22"/>
  <c r="Q3307" i="22" s="1"/>
  <c r="P3342" i="22"/>
  <c r="Q3342" i="22" s="1"/>
  <c r="P3348" i="22"/>
  <c r="Q3348" i="22" s="1"/>
  <c r="P3364" i="22"/>
  <c r="Q3364" i="22" s="1"/>
  <c r="P2845" i="22"/>
  <c r="Q2845" i="22" s="1"/>
  <c r="P2854" i="22"/>
  <c r="Q2854" i="22" s="1"/>
  <c r="P2877" i="22"/>
  <c r="Q2877" i="22" s="1"/>
  <c r="P2954" i="22"/>
  <c r="Q2954" i="22" s="1"/>
  <c r="P2976" i="22"/>
  <c r="Q2976" i="22" s="1"/>
  <c r="P3007" i="22"/>
  <c r="Q3007" i="22" s="1"/>
  <c r="P3013" i="22"/>
  <c r="Q3013" i="22" s="1"/>
  <c r="P3044" i="22"/>
  <c r="Q3044" i="22" s="1"/>
  <c r="P3074" i="22"/>
  <c r="Q3074" i="22" s="1"/>
  <c r="P3082" i="22"/>
  <c r="Q3082" i="22" s="1"/>
  <c r="P3124" i="22"/>
  <c r="Q3124" i="22" s="1"/>
  <c r="P3148" i="22"/>
  <c r="Q3148" i="22" s="1"/>
  <c r="P3173" i="22"/>
  <c r="Q3173" i="22" s="1"/>
  <c r="P3183" i="22"/>
  <c r="Q3183" i="22" s="1"/>
  <c r="P3185" i="22"/>
  <c r="Q3185" i="22" s="1"/>
  <c r="P3245" i="22"/>
  <c r="Q3245" i="22" s="1"/>
  <c r="P3274" i="22"/>
  <c r="Q3274" i="22" s="1"/>
  <c r="P3323" i="22"/>
  <c r="Q3323" i="22" s="1"/>
  <c r="P3365" i="22"/>
  <c r="Q3365" i="22" s="1"/>
  <c r="P2890" i="22"/>
  <c r="Q2890" i="22" s="1"/>
  <c r="P2914" i="22"/>
  <c r="Q2914" i="22" s="1"/>
  <c r="P2993" i="22"/>
  <c r="Q2993" i="22" s="1"/>
  <c r="P3017" i="22"/>
  <c r="Q3017" i="22" s="1"/>
  <c r="P3087" i="22"/>
  <c r="Q3087" i="22" s="1"/>
  <c r="P3089" i="22"/>
  <c r="Q3089" i="22" s="1"/>
  <c r="P3131" i="22"/>
  <c r="Q3131" i="22" s="1"/>
  <c r="P3180" i="22"/>
  <c r="Q3180" i="22" s="1"/>
  <c r="P3268" i="22"/>
  <c r="Q3268" i="22" s="1"/>
  <c r="P3286" i="22"/>
  <c r="Q3286" i="22" s="1"/>
  <c r="P3288" i="22"/>
  <c r="Q3288" i="22" s="1"/>
  <c r="P3294" i="22"/>
  <c r="Q3294" i="22" s="1"/>
  <c r="P3297" i="22"/>
  <c r="Q3297" i="22" s="1"/>
  <c r="P3317" i="22"/>
  <c r="Q3317" i="22" s="1"/>
  <c r="P3346" i="22"/>
  <c r="Q3346" i="22" s="1"/>
  <c r="P3209" i="22"/>
  <c r="Q3209" i="22" s="1"/>
  <c r="P3251" i="22"/>
  <c r="Q3251" i="22" s="1"/>
  <c r="P3300" i="22"/>
  <c r="Q3300" i="22" s="1"/>
  <c r="P2962" i="22"/>
  <c r="Q2962" i="22" s="1"/>
  <c r="P2986" i="22"/>
  <c r="Q2986" i="22" s="1"/>
  <c r="P3065" i="22"/>
  <c r="Q3065" i="22" s="1"/>
  <c r="P3132" i="22"/>
  <c r="Q3132" i="22" s="1"/>
  <c r="P3220" i="22"/>
  <c r="Q3220" i="22" s="1"/>
  <c r="P3238" i="22"/>
  <c r="Q3238" i="22" s="1"/>
  <c r="P3240" i="22"/>
  <c r="Q3240" i="22" s="1"/>
  <c r="P3246" i="22"/>
  <c r="Q3246" i="22" s="1"/>
  <c r="P3249" i="22"/>
  <c r="Q3249" i="22" s="1"/>
  <c r="P3269" i="22"/>
  <c r="Q3269" i="22" s="1"/>
  <c r="P3298" i="22"/>
  <c r="Q3298" i="22" s="1"/>
  <c r="P3327" i="22"/>
  <c r="Q3327" i="22" s="1"/>
  <c r="P3329" i="22"/>
  <c r="Q3329" i="22" s="1"/>
  <c r="P3371" i="22"/>
  <c r="Q3371" i="22" s="1"/>
  <c r="P2809" i="22"/>
  <c r="Q2809" i="22" s="1"/>
  <c r="P2885" i="22"/>
  <c r="Q2885" i="22" s="1"/>
  <c r="P2909" i="22"/>
  <c r="Q2909" i="22" s="1"/>
  <c r="P3010" i="22"/>
  <c r="Q3010" i="22" s="1"/>
  <c r="P3056" i="22"/>
  <c r="Q3056" i="22" s="1"/>
  <c r="P3101" i="22"/>
  <c r="Q3101" i="22" s="1"/>
  <c r="P3130" i="22"/>
  <c r="Q3130" i="22" s="1"/>
  <c r="P3159" i="22"/>
  <c r="Q3159" i="22" s="1"/>
  <c r="P3161" i="22"/>
  <c r="Q3161" i="22" s="1"/>
  <c r="P3203" i="22"/>
  <c r="Q3203" i="22" s="1"/>
  <c r="P3252" i="22"/>
  <c r="Q3252" i="22" s="1"/>
  <c r="P3340" i="22"/>
  <c r="Q3340" i="22" s="1"/>
  <c r="P3358" i="22"/>
  <c r="Q3358" i="22" s="1"/>
  <c r="P3360" i="22"/>
  <c r="Q3360" i="22" s="1"/>
  <c r="P3366" i="22"/>
  <c r="Q3366" i="22" s="1"/>
  <c r="P3369" i="22"/>
  <c r="Q3369" i="22" s="1"/>
  <c r="P3377" i="22"/>
  <c r="Q3377" i="22" s="1"/>
  <c r="P3372" i="22"/>
  <c r="Q3372" i="22" s="1"/>
  <c r="P3077" i="22"/>
  <c r="Q3077" i="22" s="1"/>
  <c r="T215" i="9"/>
  <c r="U215" i="9"/>
  <c r="V215" i="9"/>
  <c r="Y215" i="9"/>
  <c r="Z215" i="9"/>
  <c r="AA215" i="9"/>
  <c r="T216" i="9"/>
  <c r="U216" i="9"/>
  <c r="V216" i="9"/>
  <c r="Y216" i="9"/>
  <c r="Z216" i="9"/>
  <c r="AA216" i="9"/>
  <c r="T217" i="9"/>
  <c r="U217" i="9"/>
  <c r="V217" i="9"/>
  <c r="Y217" i="9"/>
  <c r="Z217" i="9"/>
  <c r="AA217" i="9"/>
  <c r="T218" i="9"/>
  <c r="U218" i="9"/>
  <c r="V218" i="9"/>
  <c r="Y218" i="9"/>
  <c r="Z218" i="9"/>
  <c r="AA218" i="9"/>
  <c r="T219" i="9"/>
  <c r="U219" i="9"/>
  <c r="V219" i="9"/>
  <c r="Y219" i="9"/>
  <c r="Z219" i="9"/>
  <c r="AA219" i="9"/>
  <c r="T220" i="9"/>
  <c r="U220" i="9"/>
  <c r="V220" i="9"/>
  <c r="Y220" i="9"/>
  <c r="Z220" i="9"/>
  <c r="AA220" i="9"/>
  <c r="T221" i="9"/>
  <c r="U221" i="9"/>
  <c r="V221" i="9"/>
  <c r="Y221" i="9"/>
  <c r="Z221" i="9"/>
  <c r="AA221" i="9"/>
  <c r="T222" i="9"/>
  <c r="U222" i="9"/>
  <c r="V222" i="9"/>
  <c r="Y222" i="9"/>
  <c r="Z222" i="9"/>
  <c r="AA222" i="9"/>
  <c r="T223" i="9"/>
  <c r="U223" i="9"/>
  <c r="V223" i="9"/>
  <c r="Y223" i="9"/>
  <c r="Z223" i="9"/>
  <c r="AA223" i="9"/>
  <c r="T224" i="9"/>
  <c r="U224" i="9"/>
  <c r="V224" i="9"/>
  <c r="Y224" i="9"/>
  <c r="Z224" i="9"/>
  <c r="AA224" i="9"/>
  <c r="T225" i="9"/>
  <c r="U225" i="9"/>
  <c r="V225" i="9"/>
  <c r="Y225" i="9"/>
  <c r="Z225" i="9"/>
  <c r="AA225" i="9"/>
  <c r="P215" i="9"/>
  <c r="P216" i="9"/>
  <c r="P217" i="9"/>
  <c r="P218" i="9"/>
  <c r="P219" i="9"/>
  <c r="P220" i="9"/>
  <c r="P221" i="9"/>
  <c r="P222" i="9"/>
  <c r="P223" i="9"/>
  <c r="P224" i="9"/>
  <c r="P225" i="9"/>
  <c r="A215" i="9"/>
  <c r="A216" i="9"/>
  <c r="A217" i="9"/>
  <c r="A218" i="9"/>
  <c r="A219" i="9"/>
  <c r="A220" i="9"/>
  <c r="A221" i="9"/>
  <c r="A222" i="9"/>
  <c r="A223" i="9"/>
  <c r="A224" i="9"/>
  <c r="A225" i="9"/>
  <c r="P29" i="9"/>
  <c r="P13" i="9"/>
  <c r="P25" i="9"/>
  <c r="P18" i="9"/>
  <c r="P32" i="9"/>
  <c r="P33" i="9"/>
  <c r="P24" i="9"/>
  <c r="P28" i="9"/>
  <c r="P5" i="9"/>
  <c r="P2" i="9"/>
  <c r="P23" i="9"/>
  <c r="P19" i="9"/>
  <c r="P27" i="9"/>
  <c r="P31" i="9"/>
  <c r="P16" i="9"/>
  <c r="P14" i="9"/>
  <c r="P10" i="9"/>
  <c r="P12" i="9"/>
  <c r="P8" i="9"/>
  <c r="P11" i="9"/>
  <c r="P15" i="9"/>
  <c r="P3" i="9"/>
  <c r="P21" i="9"/>
  <c r="P30" i="9"/>
  <c r="P17" i="9"/>
  <c r="P9" i="9"/>
  <c r="P22" i="9"/>
  <c r="P6" i="9"/>
  <c r="P7" i="9"/>
  <c r="P4" i="9"/>
  <c r="P20" i="9"/>
  <c r="P26" i="9"/>
  <c r="P61" i="9"/>
  <c r="P42" i="9"/>
  <c r="P60" i="9"/>
  <c r="P35" i="9"/>
  <c r="P54" i="9"/>
  <c r="P36" i="9"/>
  <c r="P47" i="9"/>
  <c r="P39" i="9"/>
  <c r="P37" i="9"/>
  <c r="P43" i="9"/>
  <c r="P48" i="9"/>
  <c r="P63" i="9"/>
  <c r="P40" i="9"/>
  <c r="P53" i="9"/>
  <c r="P51" i="9"/>
  <c r="P58" i="9"/>
  <c r="P50" i="9"/>
  <c r="P41" i="9"/>
  <c r="P64" i="9"/>
  <c r="P44" i="9"/>
  <c r="P55" i="9"/>
  <c r="P52" i="9"/>
  <c r="P62" i="9"/>
  <c r="P45" i="9"/>
  <c r="P34" i="9"/>
  <c r="P57" i="9"/>
  <c r="P59" i="9"/>
  <c r="P38" i="9"/>
  <c r="P65" i="9"/>
  <c r="P89" i="9"/>
  <c r="P49" i="9"/>
  <c r="P56" i="9"/>
  <c r="P92" i="9"/>
  <c r="P79" i="9"/>
  <c r="P78" i="9"/>
  <c r="P46" i="9"/>
  <c r="P76" i="9"/>
  <c r="P90" i="9"/>
  <c r="P67" i="9"/>
  <c r="P87" i="9"/>
  <c r="P73" i="9"/>
  <c r="P68" i="9"/>
  <c r="P91" i="9"/>
  <c r="P94" i="9"/>
  <c r="P93" i="9"/>
  <c r="P70" i="9"/>
  <c r="P75" i="9"/>
  <c r="P69" i="9"/>
  <c r="P66" i="9"/>
  <c r="P72" i="9"/>
  <c r="P77" i="9"/>
  <c r="P83" i="9"/>
  <c r="P71" i="9"/>
  <c r="P95" i="9"/>
  <c r="P96" i="9"/>
  <c r="P97" i="9"/>
  <c r="P80" i="9"/>
  <c r="P88" i="9"/>
  <c r="P81" i="9"/>
  <c r="P103" i="9"/>
  <c r="P84" i="9"/>
  <c r="P82" i="9"/>
  <c r="P114" i="9"/>
  <c r="P111" i="9"/>
  <c r="P119" i="9"/>
  <c r="P85" i="9"/>
  <c r="P74" i="9"/>
  <c r="P86" i="9"/>
  <c r="P99" i="9"/>
  <c r="P110" i="9"/>
  <c r="P126" i="9"/>
  <c r="P128" i="9"/>
  <c r="P100" i="9"/>
  <c r="P127" i="9"/>
  <c r="P109" i="9"/>
  <c r="P117" i="9"/>
  <c r="P104" i="9"/>
  <c r="P113" i="9"/>
  <c r="P121" i="9"/>
  <c r="P118" i="9"/>
  <c r="P129" i="9"/>
  <c r="P107" i="9"/>
  <c r="P98" i="9"/>
  <c r="P112" i="9"/>
  <c r="P125" i="9"/>
  <c r="P105" i="9"/>
  <c r="P101" i="9"/>
  <c r="P108" i="9"/>
  <c r="P102" i="9"/>
  <c r="P151" i="9"/>
  <c r="P115" i="9"/>
  <c r="P116" i="9"/>
  <c r="P159" i="9"/>
  <c r="P132" i="9"/>
  <c r="P136" i="9"/>
  <c r="P134" i="9"/>
  <c r="P137" i="9"/>
  <c r="P122" i="9"/>
  <c r="P131" i="9"/>
  <c r="P142" i="9"/>
  <c r="P149" i="9"/>
  <c r="P123" i="9"/>
  <c r="P138" i="9"/>
  <c r="P124" i="9"/>
  <c r="P106" i="9"/>
  <c r="P120" i="9"/>
  <c r="P147" i="9"/>
  <c r="P133" i="9"/>
  <c r="P130" i="9"/>
  <c r="P158" i="9"/>
  <c r="P148" i="9"/>
  <c r="P141" i="9"/>
  <c r="P145" i="9"/>
  <c r="P156" i="9"/>
  <c r="P140" i="9"/>
  <c r="P144" i="9"/>
  <c r="P135" i="9"/>
  <c r="P176" i="9"/>
  <c r="P173" i="9"/>
  <c r="P164" i="9"/>
  <c r="P155" i="9"/>
  <c r="P139" i="9"/>
  <c r="P168" i="9"/>
  <c r="P169" i="9"/>
  <c r="P152" i="9"/>
  <c r="P165" i="9"/>
  <c r="P184" i="9"/>
  <c r="P163" i="9"/>
  <c r="P150" i="9"/>
  <c r="P177" i="9"/>
  <c r="P157" i="9"/>
  <c r="P183" i="9"/>
  <c r="P192" i="9"/>
  <c r="P178" i="9"/>
  <c r="P160" i="9"/>
  <c r="P172" i="9"/>
  <c r="P182" i="9"/>
  <c r="P143" i="9"/>
  <c r="P188" i="9"/>
  <c r="P146" i="9"/>
  <c r="P170" i="9"/>
  <c r="P161" i="9"/>
  <c r="P189" i="9"/>
  <c r="P162" i="9"/>
  <c r="P167" i="9"/>
  <c r="P174" i="9"/>
  <c r="P171" i="9"/>
  <c r="P153" i="9"/>
  <c r="P154" i="9"/>
  <c r="P187" i="9"/>
  <c r="P194" i="9"/>
  <c r="P195" i="9"/>
  <c r="P179" i="9"/>
  <c r="P196" i="9"/>
  <c r="P197" i="9"/>
  <c r="P198" i="9"/>
  <c r="P199" i="9"/>
  <c r="P175" i="9"/>
  <c r="P200" i="9"/>
  <c r="P190" i="9"/>
  <c r="P201" i="9"/>
  <c r="P202" i="9"/>
  <c r="P185" i="9"/>
  <c r="P181" i="9"/>
  <c r="P203" i="9"/>
  <c r="P204" i="9"/>
  <c r="P205" i="9"/>
  <c r="P206" i="9"/>
  <c r="P207" i="9"/>
  <c r="P208" i="9"/>
  <c r="P209" i="9"/>
  <c r="P193" i="9"/>
  <c r="P186" i="9"/>
  <c r="P166" i="9"/>
  <c r="P210" i="9"/>
  <c r="P180" i="9"/>
  <c r="P211" i="9"/>
  <c r="P191" i="9"/>
  <c r="P212" i="9"/>
  <c r="P213" i="9"/>
  <c r="P214" i="9"/>
  <c r="B35" i="14"/>
  <c r="B36" i="14"/>
  <c r="B68" i="14" s="1"/>
  <c r="B100" i="14" s="1"/>
  <c r="B132" i="14" s="1"/>
  <c r="B164" i="14" s="1"/>
  <c r="B196" i="14" s="1"/>
  <c r="B37" i="14"/>
  <c r="B69" i="14" s="1"/>
  <c r="B101" i="14" s="1"/>
  <c r="B133" i="14" s="1"/>
  <c r="B165" i="14" s="1"/>
  <c r="B197" i="14" s="1"/>
  <c r="B38" i="14"/>
  <c r="B70" i="14" s="1"/>
  <c r="B102" i="14" s="1"/>
  <c r="B134" i="14" s="1"/>
  <c r="B166" i="14" s="1"/>
  <c r="B198" i="14" s="1"/>
  <c r="B39" i="14"/>
  <c r="B71" i="14" s="1"/>
  <c r="B103" i="14" s="1"/>
  <c r="B135" i="14" s="1"/>
  <c r="B167" i="14" s="1"/>
  <c r="B199" i="14" s="1"/>
  <c r="B40" i="14"/>
  <c r="B72" i="14" s="1"/>
  <c r="B104" i="14" s="1"/>
  <c r="B136" i="14" s="1"/>
  <c r="B168" i="14" s="1"/>
  <c r="B200" i="14" s="1"/>
  <c r="B41" i="14"/>
  <c r="B73" i="14" s="1"/>
  <c r="B105" i="14" s="1"/>
  <c r="B137" i="14" s="1"/>
  <c r="B169" i="14" s="1"/>
  <c r="B201" i="14" s="1"/>
  <c r="B42" i="14"/>
  <c r="B74" i="14" s="1"/>
  <c r="B106" i="14" s="1"/>
  <c r="B138" i="14" s="1"/>
  <c r="B170" i="14" s="1"/>
  <c r="B202" i="14" s="1"/>
  <c r="B43" i="14"/>
  <c r="B75" i="14" s="1"/>
  <c r="B107" i="14" s="1"/>
  <c r="B139" i="14" s="1"/>
  <c r="B171" i="14" s="1"/>
  <c r="B203" i="14" s="1"/>
  <c r="B44" i="14"/>
  <c r="B76" i="14" s="1"/>
  <c r="B108" i="14" s="1"/>
  <c r="B140" i="14" s="1"/>
  <c r="B172" i="14" s="1"/>
  <c r="B204" i="14" s="1"/>
  <c r="B45" i="14"/>
  <c r="B77" i="14" s="1"/>
  <c r="B109" i="14" s="1"/>
  <c r="B141" i="14" s="1"/>
  <c r="B173" i="14" s="1"/>
  <c r="B205" i="14" s="1"/>
  <c r="B46" i="14"/>
  <c r="B78" i="14" s="1"/>
  <c r="B110" i="14" s="1"/>
  <c r="B142" i="14" s="1"/>
  <c r="B174" i="14" s="1"/>
  <c r="B206" i="14" s="1"/>
  <c r="B47" i="14"/>
  <c r="B79" i="14" s="1"/>
  <c r="B111" i="14" s="1"/>
  <c r="B143" i="14" s="1"/>
  <c r="B175" i="14" s="1"/>
  <c r="B207" i="14" s="1"/>
  <c r="B48" i="14"/>
  <c r="B80" i="14" s="1"/>
  <c r="B112" i="14" s="1"/>
  <c r="B144" i="14" s="1"/>
  <c r="B176" i="14" s="1"/>
  <c r="B208" i="14" s="1"/>
  <c r="B49" i="14"/>
  <c r="B81" i="14" s="1"/>
  <c r="B113" i="14" s="1"/>
  <c r="B145" i="14" s="1"/>
  <c r="B177" i="14" s="1"/>
  <c r="B209" i="14" s="1"/>
  <c r="B50" i="14"/>
  <c r="B82" i="14" s="1"/>
  <c r="B114" i="14" s="1"/>
  <c r="B146" i="14" s="1"/>
  <c r="B178" i="14" s="1"/>
  <c r="B210" i="14" s="1"/>
  <c r="B51" i="14"/>
  <c r="B83" i="14" s="1"/>
  <c r="B115" i="14" s="1"/>
  <c r="B147" i="14" s="1"/>
  <c r="B179" i="14" s="1"/>
  <c r="B211" i="14" s="1"/>
  <c r="B52" i="14"/>
  <c r="B84" i="14" s="1"/>
  <c r="B116" i="14" s="1"/>
  <c r="B148" i="14" s="1"/>
  <c r="B180" i="14" s="1"/>
  <c r="B212" i="14" s="1"/>
  <c r="B53" i="14"/>
  <c r="B85" i="14" s="1"/>
  <c r="B117" i="14" s="1"/>
  <c r="B149" i="14" s="1"/>
  <c r="B181" i="14" s="1"/>
  <c r="B213" i="14" s="1"/>
  <c r="B54" i="14"/>
  <c r="B86" i="14" s="1"/>
  <c r="B118" i="14" s="1"/>
  <c r="B150" i="14" s="1"/>
  <c r="B182" i="14" s="1"/>
  <c r="B214" i="14" s="1"/>
  <c r="B55" i="14"/>
  <c r="B87" i="14" s="1"/>
  <c r="B119" i="14" s="1"/>
  <c r="B151" i="14" s="1"/>
  <c r="B183" i="14" s="1"/>
  <c r="B215" i="14" s="1"/>
  <c r="B56" i="14"/>
  <c r="B88" i="14" s="1"/>
  <c r="B120" i="14" s="1"/>
  <c r="B152" i="14" s="1"/>
  <c r="B184" i="14" s="1"/>
  <c r="B216" i="14" s="1"/>
  <c r="B57" i="14"/>
  <c r="B89" i="14" s="1"/>
  <c r="B121" i="14" s="1"/>
  <c r="B153" i="14" s="1"/>
  <c r="B185" i="14" s="1"/>
  <c r="B217" i="14" s="1"/>
  <c r="B58" i="14"/>
  <c r="B90" i="14" s="1"/>
  <c r="B122" i="14" s="1"/>
  <c r="B154" i="14" s="1"/>
  <c r="B186" i="14" s="1"/>
  <c r="B218" i="14" s="1"/>
  <c r="B59" i="14"/>
  <c r="B91" i="14" s="1"/>
  <c r="B123" i="14" s="1"/>
  <c r="B155" i="14" s="1"/>
  <c r="B187" i="14" s="1"/>
  <c r="B219" i="14" s="1"/>
  <c r="B60" i="14"/>
  <c r="B92" i="14" s="1"/>
  <c r="B124" i="14" s="1"/>
  <c r="B156" i="14" s="1"/>
  <c r="B188" i="14" s="1"/>
  <c r="B220" i="14" s="1"/>
  <c r="B61" i="14"/>
  <c r="B93" i="14" s="1"/>
  <c r="B125" i="14" s="1"/>
  <c r="B157" i="14" s="1"/>
  <c r="B189" i="14" s="1"/>
  <c r="B221" i="14" s="1"/>
  <c r="B62" i="14"/>
  <c r="B94" i="14" s="1"/>
  <c r="B126" i="14" s="1"/>
  <c r="B158" i="14" s="1"/>
  <c r="B190" i="14" s="1"/>
  <c r="B222" i="14" s="1"/>
  <c r="B63" i="14"/>
  <c r="B95" i="14" s="1"/>
  <c r="B127" i="14" s="1"/>
  <c r="B159" i="14" s="1"/>
  <c r="B191" i="14" s="1"/>
  <c r="B223" i="14" s="1"/>
  <c r="B64" i="14"/>
  <c r="B96" i="14" s="1"/>
  <c r="B65" i="14"/>
  <c r="B97" i="14" s="1"/>
  <c r="B129" i="14" s="1"/>
  <c r="B161" i="14" s="1"/>
  <c r="B193" i="14" s="1"/>
  <c r="B225" i="14" s="1"/>
  <c r="B34" i="14"/>
  <c r="F37" i="9" l="1" a="1"/>
  <c r="F37" i="9" s="1"/>
  <c r="F46" i="9" a="1"/>
  <c r="F46" i="9" s="1"/>
  <c r="F58" i="9" a="1"/>
  <c r="F58" i="9" s="1"/>
  <c r="D39" i="9" a="1"/>
  <c r="D39" i="9" s="1"/>
  <c r="F38" i="9" a="1"/>
  <c r="F38" i="9" s="1"/>
  <c r="F47" i="9" a="1"/>
  <c r="F47" i="9" s="1"/>
  <c r="F59" i="9" a="1"/>
  <c r="F59" i="9" s="1"/>
  <c r="D40" i="9" a="1"/>
  <c r="D40" i="9" s="1"/>
  <c r="D51" i="9" a="1"/>
  <c r="D51" i="9" s="1"/>
  <c r="D63" i="9" a="1"/>
  <c r="D63" i="9" s="1"/>
  <c r="F39" i="9" a="1"/>
  <c r="F39" i="9" s="1"/>
  <c r="F48" i="9" a="1"/>
  <c r="F48" i="9" s="1"/>
  <c r="D52" i="9" a="1"/>
  <c r="D52" i="9" s="1"/>
  <c r="D64" i="9" a="1"/>
  <c r="D64" i="9" s="1"/>
  <c r="D58" i="9" a="1"/>
  <c r="D58" i="9" s="1"/>
  <c r="D49" i="9" a="1"/>
  <c r="D49" i="9" s="1"/>
  <c r="F49" i="9" a="1"/>
  <c r="F49" i="9" s="1"/>
  <c r="F61" i="9" a="1"/>
  <c r="F61" i="9" s="1"/>
  <c r="D41" i="9" a="1"/>
  <c r="D41" i="9" s="1"/>
  <c r="D53" i="9" a="1"/>
  <c r="D53" i="9" s="1"/>
  <c r="D65" i="9" a="1"/>
  <c r="D65" i="9" s="1"/>
  <c r="F57" i="9" a="1"/>
  <c r="F57" i="9" s="1"/>
  <c r="F40" i="9" a="1"/>
  <c r="F40" i="9" s="1"/>
  <c r="F50" i="9" a="1"/>
  <c r="F50" i="9" s="1"/>
  <c r="F62" i="9" a="1"/>
  <c r="F62" i="9" s="1"/>
  <c r="D42" i="9" a="1"/>
  <c r="D42" i="9" s="1"/>
  <c r="D54" i="9" a="1"/>
  <c r="D54" i="9" s="1"/>
  <c r="D38" i="9" a="1"/>
  <c r="D38" i="9" s="1"/>
  <c r="F51" i="9" a="1"/>
  <c r="F51" i="9" s="1"/>
  <c r="F63" i="9" a="1"/>
  <c r="F63" i="9" s="1"/>
  <c r="D43" i="9" a="1"/>
  <c r="D43" i="9" s="1"/>
  <c r="D55" i="9" a="1"/>
  <c r="D55" i="9" s="1"/>
  <c r="D47" i="9" a="1"/>
  <c r="D47" i="9" s="1"/>
  <c r="D61" i="9" a="1"/>
  <c r="D61" i="9" s="1"/>
  <c r="F41" i="9" a="1"/>
  <c r="F41" i="9" s="1"/>
  <c r="F52" i="9" a="1"/>
  <c r="F52" i="9" s="1"/>
  <c r="O52" i="9" s="1"/>
  <c r="F64" i="9" a="1"/>
  <c r="F64" i="9" s="1"/>
  <c r="D44" i="9" a="1"/>
  <c r="D44" i="9" s="1"/>
  <c r="D56" i="9" a="1"/>
  <c r="D56" i="9" s="1"/>
  <c r="D59" i="9" a="1"/>
  <c r="D59" i="9" s="1"/>
  <c r="D62" i="9" a="1"/>
  <c r="D62" i="9" s="1"/>
  <c r="F42" i="9" a="1"/>
  <c r="F42" i="9" s="1"/>
  <c r="F53" i="9" a="1"/>
  <c r="F53" i="9" s="1"/>
  <c r="F65" i="9" a="1"/>
  <c r="F65" i="9" s="1"/>
  <c r="D45" i="9" a="1"/>
  <c r="D45" i="9" s="1"/>
  <c r="D35" i="9" a="1"/>
  <c r="D35" i="9" s="1"/>
  <c r="F36" i="9" a="1"/>
  <c r="F36" i="9" s="1"/>
  <c r="F43" i="9" a="1"/>
  <c r="F43" i="9" s="1"/>
  <c r="F54" i="9" a="1"/>
  <c r="F54" i="9" s="1"/>
  <c r="D46" i="9" a="1"/>
  <c r="D46" i="9" s="1"/>
  <c r="F44" i="9" a="1"/>
  <c r="F44" i="9" s="1"/>
  <c r="F55" i="9" a="1"/>
  <c r="F55" i="9" s="1"/>
  <c r="D36" i="9" a="1"/>
  <c r="D36" i="9" s="1"/>
  <c r="F35" i="9" a="1"/>
  <c r="F35" i="9" s="1"/>
  <c r="F45" i="9" a="1"/>
  <c r="F45" i="9" s="1"/>
  <c r="F56" i="9" a="1"/>
  <c r="F56" i="9" s="1"/>
  <c r="D37" i="9" a="1"/>
  <c r="D37" i="9" s="1"/>
  <c r="D48" i="9" a="1"/>
  <c r="D48" i="9" s="1"/>
  <c r="D50" i="9" a="1"/>
  <c r="D50" i="9" s="1"/>
  <c r="D34" i="9" a="1"/>
  <c r="D34" i="9" s="1"/>
  <c r="D123" i="9" a="1"/>
  <c r="D123" i="9" s="1"/>
  <c r="F159" i="9" a="1"/>
  <c r="F159" i="9" s="1"/>
  <c r="F34" i="9" a="1"/>
  <c r="F34" i="9" s="1"/>
  <c r="F128" i="9" a="1"/>
  <c r="F128" i="9" s="1"/>
  <c r="F141" i="9" a="1"/>
  <c r="F141" i="9" s="1"/>
  <c r="B67" i="14"/>
  <c r="B99" i="14" s="1"/>
  <c r="B131" i="14" s="1"/>
  <c r="B163" i="14" s="1"/>
  <c r="B195" i="14" s="1"/>
  <c r="B66" i="14"/>
  <c r="B98" i="14" s="1"/>
  <c r="B130" i="14" s="1"/>
  <c r="B162" i="14" s="1"/>
  <c r="B194" i="14" s="1"/>
  <c r="B128" i="14"/>
  <c r="E33" i="14"/>
  <c r="F33" i="14"/>
  <c r="O44" i="9" l="1"/>
  <c r="O56" i="9"/>
  <c r="O65" i="9"/>
  <c r="O53" i="9"/>
  <c r="O54" i="9"/>
  <c r="O64" i="9"/>
  <c r="D107" i="9" a="1"/>
  <c r="D107" i="9" s="1"/>
  <c r="D159" i="9" a="1"/>
  <c r="D159" i="9" s="1"/>
  <c r="D83" i="9" a="1"/>
  <c r="D83" i="9" s="1"/>
  <c r="D136" i="9" a="1"/>
  <c r="D136" i="9" s="1"/>
  <c r="F81" i="9" a="1"/>
  <c r="F81" i="9" s="1"/>
  <c r="D87" i="9" a="1"/>
  <c r="D87" i="9" s="1"/>
  <c r="F115" i="9" a="1"/>
  <c r="F115" i="9" s="1"/>
  <c r="F120" i="9" a="1"/>
  <c r="F120" i="9" s="1"/>
  <c r="F103" i="9" a="1"/>
  <c r="F103" i="9" s="1"/>
  <c r="F96" i="9" a="1"/>
  <c r="F96" i="9" s="1"/>
  <c r="F104" i="9" a="1"/>
  <c r="F104" i="9" s="1"/>
  <c r="D105" i="9" a="1"/>
  <c r="D105" i="9" s="1"/>
  <c r="F119" i="9" a="1"/>
  <c r="F119" i="9" s="1"/>
  <c r="D144" i="9" a="1"/>
  <c r="D144" i="9" s="1"/>
  <c r="D81" i="9" a="1"/>
  <c r="D81" i="9" s="1"/>
  <c r="F66" i="9" a="1"/>
  <c r="F66" i="9" s="1"/>
  <c r="D154" i="9" a="1"/>
  <c r="D154" i="9" s="1"/>
  <c r="F158" i="9" a="1"/>
  <c r="F158" i="9" s="1"/>
  <c r="D134" i="9" a="1"/>
  <c r="D134" i="9" s="1"/>
  <c r="O45" i="9"/>
  <c r="D72" i="9" a="1"/>
  <c r="D72" i="9" s="1"/>
  <c r="F126" i="9" a="1"/>
  <c r="F126" i="9" s="1"/>
  <c r="D92" i="9" a="1"/>
  <c r="D92" i="9" s="1"/>
  <c r="D121" i="9" a="1"/>
  <c r="D121" i="9" s="1"/>
  <c r="F102" i="9" a="1"/>
  <c r="F102" i="9" s="1"/>
  <c r="F149" i="9" a="1"/>
  <c r="F149" i="9" s="1"/>
  <c r="D98" i="9" a="1"/>
  <c r="D98" i="9" s="1"/>
  <c r="F92" i="9" a="1"/>
  <c r="F92" i="9" s="1"/>
  <c r="D161" i="9" a="1"/>
  <c r="D161" i="9" s="1"/>
  <c r="D100" i="9" a="1"/>
  <c r="D100" i="9" s="1"/>
  <c r="F95" i="9" a="1"/>
  <c r="F95" i="9" s="1"/>
  <c r="D117" i="9" a="1"/>
  <c r="D117" i="9" s="1"/>
  <c r="D96" i="9" a="1"/>
  <c r="D96" i="9" s="1"/>
  <c r="F145" i="9" a="1"/>
  <c r="F145" i="9" s="1"/>
  <c r="F154" i="9" a="1"/>
  <c r="F154" i="9" s="1"/>
  <c r="D94" i="9" a="1"/>
  <c r="D94" i="9" s="1"/>
  <c r="D160" i="9" a="1"/>
  <c r="D160" i="9" s="1"/>
  <c r="F121" i="9" a="1"/>
  <c r="F121" i="9" s="1"/>
  <c r="O62" i="9"/>
  <c r="D82" i="9" a="1"/>
  <c r="D82" i="9" s="1"/>
  <c r="D137" i="9" a="1"/>
  <c r="D137" i="9" s="1"/>
  <c r="D146" i="9" a="1"/>
  <c r="D146" i="9" s="1"/>
  <c r="O48" i="9"/>
  <c r="D95" i="9" a="1"/>
  <c r="D95" i="9" s="1"/>
  <c r="F116" i="9" a="1"/>
  <c r="F116" i="9" s="1"/>
  <c r="D106" i="9" a="1"/>
  <c r="D106" i="9" s="1"/>
  <c r="F127" i="9" a="1"/>
  <c r="F127" i="9" s="1"/>
  <c r="D93" i="9" a="1"/>
  <c r="D93" i="9" s="1"/>
  <c r="F114" i="9" a="1"/>
  <c r="F114" i="9" s="1"/>
  <c r="D148" i="9" a="1"/>
  <c r="D148" i="9" s="1"/>
  <c r="D115" i="9" a="1"/>
  <c r="D115" i="9" s="1"/>
  <c r="D147" i="9" a="1"/>
  <c r="D147" i="9" s="1"/>
  <c r="D111" i="9" a="1"/>
  <c r="D111" i="9" s="1"/>
  <c r="F133" i="9" a="1"/>
  <c r="F133" i="9" s="1"/>
  <c r="D122" i="9" a="1"/>
  <c r="D122" i="9" s="1"/>
  <c r="F108" i="9" a="1"/>
  <c r="F108" i="9" s="1"/>
  <c r="D157" i="9" a="1"/>
  <c r="D157" i="9" s="1"/>
  <c r="D110" i="9" a="1"/>
  <c r="D110" i="9" s="1"/>
  <c r="F107" i="9" a="1"/>
  <c r="F107" i="9" s="1"/>
  <c r="D155" i="9" a="1"/>
  <c r="D155" i="9" s="1"/>
  <c r="O57" i="9"/>
  <c r="D149" i="9" a="1"/>
  <c r="D149" i="9" s="1"/>
  <c r="D124" i="9" a="1"/>
  <c r="D124" i="9" s="1"/>
  <c r="F84" i="9" a="1"/>
  <c r="F84" i="9" s="1"/>
  <c r="F83" i="9" a="1"/>
  <c r="F83" i="9" s="1"/>
  <c r="F80" i="9" a="1"/>
  <c r="F80" i="9" s="1"/>
  <c r="D71" i="9" a="1"/>
  <c r="D71" i="9" s="1"/>
  <c r="F91" i="9" a="1"/>
  <c r="F91" i="9" s="1"/>
  <c r="F78" i="9" a="1"/>
  <c r="F78" i="9" s="1"/>
  <c r="D138" i="9" a="1"/>
  <c r="D138" i="9" s="1"/>
  <c r="F160" i="9" a="1"/>
  <c r="F160" i="9" s="1"/>
  <c r="D104" i="9" a="1"/>
  <c r="D104" i="9" s="1"/>
  <c r="D113" i="9" a="1"/>
  <c r="D113" i="9" s="1"/>
  <c r="F135" i="9" a="1"/>
  <c r="F135" i="9" s="1"/>
  <c r="F89" i="9" a="1"/>
  <c r="F89" i="9" s="1"/>
  <c r="D112" i="9" a="1"/>
  <c r="D112" i="9" s="1"/>
  <c r="F134" i="9" a="1"/>
  <c r="F134" i="9" s="1"/>
  <c r="D76" i="9" a="1"/>
  <c r="D76" i="9" s="1"/>
  <c r="F97" i="9" a="1"/>
  <c r="F97" i="9" s="1"/>
  <c r="F73" i="9" a="1"/>
  <c r="F73" i="9" s="1"/>
  <c r="F72" i="9" a="1"/>
  <c r="F72" i="9" s="1"/>
  <c r="D120" i="9" a="1"/>
  <c r="D120" i="9" s="1"/>
  <c r="F130" i="9" a="1"/>
  <c r="F130" i="9" s="1"/>
  <c r="D70" i="9" a="1"/>
  <c r="D70" i="9" s="1"/>
  <c r="F147" i="9" a="1"/>
  <c r="F147" i="9" s="1"/>
  <c r="D88" i="9" a="1"/>
  <c r="D88" i="9" s="1"/>
  <c r="D86" i="9" a="1"/>
  <c r="D86" i="9" s="1"/>
  <c r="F142" i="9" a="1"/>
  <c r="F142" i="9" s="1"/>
  <c r="F105" i="9" a="1"/>
  <c r="F105" i="9" s="1"/>
  <c r="F70" i="9" a="1"/>
  <c r="F70" i="9" s="1"/>
  <c r="F69" i="9" a="1"/>
  <c r="F69" i="9" s="1"/>
  <c r="F79" i="9" a="1"/>
  <c r="F79" i="9" s="1"/>
  <c r="F67" i="9" a="1"/>
  <c r="F67" i="9" s="1"/>
  <c r="D126" i="9" a="1"/>
  <c r="D126" i="9" s="1"/>
  <c r="F148" i="9" a="1"/>
  <c r="F148" i="9" s="1"/>
  <c r="F161" i="9" a="1"/>
  <c r="F161" i="9" s="1"/>
  <c r="D102" i="9" a="1"/>
  <c r="D102" i="9" s="1"/>
  <c r="F123" i="9" a="1"/>
  <c r="F123" i="9" s="1"/>
  <c r="D101" i="9" a="1"/>
  <c r="D101" i="9" s="1"/>
  <c r="F122" i="9" a="1"/>
  <c r="F122" i="9" s="1"/>
  <c r="F85" i="9" a="1"/>
  <c r="F85" i="9" s="1"/>
  <c r="D143" i="9" a="1"/>
  <c r="D143" i="9" s="1"/>
  <c r="D109" i="9" a="1"/>
  <c r="D109" i="9" s="1"/>
  <c r="F118" i="9" a="1"/>
  <c r="F118" i="9" s="1"/>
  <c r="O63" i="9"/>
  <c r="O61" i="9"/>
  <c r="O59" i="9"/>
  <c r="F146" i="9" a="1"/>
  <c r="F146" i="9" s="1"/>
  <c r="D99" i="9" a="1"/>
  <c r="D99" i="9" s="1"/>
  <c r="D132" i="9" a="1"/>
  <c r="D132" i="9" s="1"/>
  <c r="F68" i="9" a="1"/>
  <c r="F68" i="9" s="1"/>
  <c r="D114" i="9" a="1"/>
  <c r="D114" i="9" s="1"/>
  <c r="F136" i="9" a="1"/>
  <c r="F136" i="9" s="1"/>
  <c r="F125" i="9" a="1"/>
  <c r="F125" i="9" s="1"/>
  <c r="D90" i="9" a="1"/>
  <c r="D90" i="9" s="1"/>
  <c r="F111" i="9" a="1"/>
  <c r="F111" i="9" s="1"/>
  <c r="D89" i="9" a="1"/>
  <c r="D89" i="9" s="1"/>
  <c r="F110" i="9" a="1"/>
  <c r="F110" i="9" s="1"/>
  <c r="F74" i="9" a="1"/>
  <c r="F74" i="9" s="1"/>
  <c r="D84" i="9" a="1"/>
  <c r="D84" i="9" s="1"/>
  <c r="D97" i="9" a="1"/>
  <c r="D97" i="9" s="1"/>
  <c r="F106" i="9" a="1"/>
  <c r="F106" i="9" s="1"/>
  <c r="O55" i="9"/>
  <c r="O51" i="9"/>
  <c r="O49" i="9"/>
  <c r="O47" i="9"/>
  <c r="D125" i="9" a="1"/>
  <c r="D125" i="9" s="1"/>
  <c r="F109" i="9" a="1"/>
  <c r="F109" i="9" s="1"/>
  <c r="D119" i="9" a="1"/>
  <c r="D119" i="9" s="1"/>
  <c r="D131" i="9" a="1"/>
  <c r="D131" i="9" s="1"/>
  <c r="F124" i="9" a="1"/>
  <c r="F124" i="9" s="1"/>
  <c r="D78" i="9" a="1"/>
  <c r="D78" i="9" s="1"/>
  <c r="F99" i="9" a="1"/>
  <c r="F99" i="9" s="1"/>
  <c r="D77" i="9" a="1"/>
  <c r="D77" i="9" s="1"/>
  <c r="F98" i="9" a="1"/>
  <c r="F98" i="9" s="1"/>
  <c r="D127" i="9" a="1"/>
  <c r="D127" i="9" s="1"/>
  <c r="D85" i="9" a="1"/>
  <c r="D85" i="9" s="1"/>
  <c r="F94" i="9" a="1"/>
  <c r="F94" i="9" s="1"/>
  <c r="F101" i="9" a="1"/>
  <c r="F101" i="9" s="1"/>
  <c r="D103" i="9" a="1"/>
  <c r="D103" i="9" s="1"/>
  <c r="F77" i="9" a="1"/>
  <c r="F77" i="9" s="1"/>
  <c r="D153" i="9" a="1"/>
  <c r="D153" i="9" s="1"/>
  <c r="D151" i="9" a="1"/>
  <c r="D151" i="9" s="1"/>
  <c r="D91" i="9" a="1"/>
  <c r="D91" i="9" s="1"/>
  <c r="F112" i="9" a="1"/>
  <c r="F112" i="9" s="1"/>
  <c r="D67" i="9" a="1"/>
  <c r="D67" i="9" s="1"/>
  <c r="F87" i="9" a="1"/>
  <c r="F87" i="9" s="1"/>
  <c r="D66" i="9" a="1"/>
  <c r="D66" i="9" s="1"/>
  <c r="F86" i="9" a="1"/>
  <c r="F86" i="9" s="1"/>
  <c r="D69" i="9" a="1"/>
  <c r="D69" i="9" s="1"/>
  <c r="D74" i="9" a="1"/>
  <c r="D74" i="9" s="1"/>
  <c r="F82" i="9" a="1"/>
  <c r="F82" i="9" s="1"/>
  <c r="F90" i="9" a="1"/>
  <c r="F90" i="9" s="1"/>
  <c r="F137" i="9" a="1"/>
  <c r="F137" i="9" s="1"/>
  <c r="D75" i="9" a="1"/>
  <c r="D75" i="9" s="1"/>
  <c r="D73" i="9" a="1"/>
  <c r="D73" i="9" s="1"/>
  <c r="D142" i="9" a="1"/>
  <c r="D142" i="9" s="1"/>
  <c r="D152" i="9" a="1"/>
  <c r="D152" i="9" s="1"/>
  <c r="D140" i="9" a="1"/>
  <c r="D140" i="9" s="1"/>
  <c r="D80" i="9" a="1"/>
  <c r="D80" i="9" s="1"/>
  <c r="D79" i="9" a="1"/>
  <c r="D79" i="9" s="1"/>
  <c r="F100" i="9" a="1"/>
  <c r="F100" i="9" s="1"/>
  <c r="F75" i="9" a="1"/>
  <c r="F75" i="9" s="1"/>
  <c r="F156" i="9" a="1"/>
  <c r="F156" i="9" s="1"/>
  <c r="D156" i="9" a="1"/>
  <c r="D156" i="9" s="1"/>
  <c r="F155" i="9" a="1"/>
  <c r="F155" i="9" s="1"/>
  <c r="F71" i="9" a="1"/>
  <c r="F71" i="9" s="1"/>
  <c r="O58" i="9"/>
  <c r="D130" i="9" a="1"/>
  <c r="D130" i="9" s="1"/>
  <c r="D141" i="9" a="1"/>
  <c r="D141" i="9" s="1"/>
  <c r="D128" i="9" a="1"/>
  <c r="D128" i="9" s="1"/>
  <c r="F88" i="9" a="1"/>
  <c r="F88" i="9" s="1"/>
  <c r="D158" i="9" a="1"/>
  <c r="D158" i="9" s="1"/>
  <c r="F144" i="9" a="1"/>
  <c r="F144" i="9" s="1"/>
  <c r="D145" i="9" a="1"/>
  <c r="D145" i="9" s="1"/>
  <c r="F143" i="9" a="1"/>
  <c r="F143" i="9" s="1"/>
  <c r="O46" i="9"/>
  <c r="F152" i="9" a="1"/>
  <c r="F152" i="9" s="1"/>
  <c r="F153" i="9" a="1"/>
  <c r="F153" i="9" s="1"/>
  <c r="F129" i="9" a="1"/>
  <c r="F129" i="9" s="1"/>
  <c r="D68" i="9" a="1"/>
  <c r="D68" i="9" s="1"/>
  <c r="D118" i="9" a="1"/>
  <c r="D118" i="9" s="1"/>
  <c r="F140" i="9" a="1"/>
  <c r="F140" i="9" s="1"/>
  <c r="F117" i="9" a="1"/>
  <c r="F117" i="9" s="1"/>
  <c r="D129" i="9" a="1"/>
  <c r="D129" i="9" s="1"/>
  <c r="F151" i="9" a="1"/>
  <c r="F151" i="9" s="1"/>
  <c r="F93" i="9" a="1"/>
  <c r="F93" i="9" s="1"/>
  <c r="D116" i="9" a="1"/>
  <c r="D116" i="9" s="1"/>
  <c r="F138" i="9" a="1"/>
  <c r="F138" i="9" s="1"/>
  <c r="F113" i="9" a="1"/>
  <c r="F113" i="9" s="1"/>
  <c r="F76" i="9" a="1"/>
  <c r="F76" i="9" s="1"/>
  <c r="D108" i="9" a="1"/>
  <c r="D108" i="9" s="1"/>
  <c r="D150" i="9" a="1"/>
  <c r="D150" i="9" s="1"/>
  <c r="D135" i="9" a="1"/>
  <c r="D135" i="9" s="1"/>
  <c r="F157" i="9" a="1"/>
  <c r="F157" i="9" s="1"/>
  <c r="F132" i="9" a="1"/>
  <c r="F132" i="9" s="1"/>
  <c r="D133" i="9" a="1"/>
  <c r="D133" i="9" s="1"/>
  <c r="F131" i="9" a="1"/>
  <c r="F131" i="9" s="1"/>
  <c r="O50" i="9"/>
  <c r="O60" i="9"/>
  <c r="B160" i="14"/>
  <c r="D163" i="9" s="1" a="1"/>
  <c r="D163" i="9" s="1"/>
  <c r="D173" i="9" l="1" a="1"/>
  <c r="D173" i="9" s="1"/>
  <c r="D139" i="9" a="1"/>
  <c r="D139" i="9" s="1"/>
  <c r="F174" i="9" a="1"/>
  <c r="F174" i="9" s="1"/>
  <c r="D189" i="9" a="1"/>
  <c r="D189" i="9" s="1"/>
  <c r="F172" i="9" a="1"/>
  <c r="F172" i="9" s="1"/>
  <c r="D167" i="9" a="1"/>
  <c r="D167" i="9" s="1"/>
  <c r="F182" i="9" a="1"/>
  <c r="F182" i="9" s="1"/>
  <c r="F185" i="9" a="1"/>
  <c r="F185" i="9" s="1"/>
  <c r="F178" i="9" a="1"/>
  <c r="F178" i="9" s="1"/>
  <c r="F184" i="9" a="1"/>
  <c r="F184" i="9" s="1"/>
  <c r="F183" i="9" a="1"/>
  <c r="F183" i="9" s="1"/>
  <c r="F177" i="9" a="1"/>
  <c r="F177" i="9" s="1"/>
  <c r="D165" i="9" a="1"/>
  <c r="D165" i="9" s="1"/>
  <c r="D169" i="9" a="1"/>
  <c r="D169" i="9" s="1"/>
  <c r="D186" i="9" a="1"/>
  <c r="D186" i="9" s="1"/>
  <c r="F139" i="9" a="1"/>
  <c r="F139" i="9" s="1"/>
  <c r="D162" i="9" a="1"/>
  <c r="D162" i="9" s="1"/>
  <c r="D171" i="9" a="1"/>
  <c r="D171" i="9" s="1"/>
  <c r="D191" i="9" a="1"/>
  <c r="D191" i="9" s="1"/>
  <c r="F173" i="9" a="1"/>
  <c r="F173" i="9" s="1"/>
  <c r="F188" i="9" a="1"/>
  <c r="F188" i="9" s="1"/>
  <c r="F193" i="9" a="1"/>
  <c r="F193" i="9" s="1"/>
  <c r="D175" i="9" a="1"/>
  <c r="D175" i="9" s="1"/>
  <c r="F168" i="9" a="1"/>
  <c r="F168" i="9" s="1"/>
  <c r="F190" i="9" a="1"/>
  <c r="F190" i="9" s="1"/>
  <c r="D182" i="9" a="1"/>
  <c r="D182" i="9" s="1"/>
  <c r="D174" i="9" a="1"/>
  <c r="D174" i="9" s="1"/>
  <c r="D177" i="9" a="1"/>
  <c r="D177" i="9" s="1"/>
  <c r="D176" i="9" a="1"/>
  <c r="D176" i="9" s="1"/>
  <c r="F162" i="9" a="1"/>
  <c r="F162" i="9" s="1"/>
  <c r="D184" i="9" a="1"/>
  <c r="D184" i="9" s="1"/>
  <c r="D185" i="9" a="1"/>
  <c r="D185" i="9" s="1"/>
  <c r="D172" i="9" a="1"/>
  <c r="D172" i="9" s="1"/>
  <c r="F181" i="9" a="1"/>
  <c r="F181" i="9" s="1"/>
  <c r="D164" i="9" a="1"/>
  <c r="D164" i="9" s="1"/>
  <c r="D188" i="9" a="1"/>
  <c r="D188" i="9" s="1"/>
  <c r="F170" i="9" a="1"/>
  <c r="F170" i="9" s="1"/>
  <c r="D170" i="9" a="1"/>
  <c r="D170" i="9" s="1"/>
  <c r="F165" i="9" a="1"/>
  <c r="F165" i="9" s="1"/>
  <c r="D166" i="9" a="1"/>
  <c r="D166" i="9" s="1"/>
  <c r="F175" i="9" a="1"/>
  <c r="F175" i="9" s="1"/>
  <c r="F176" i="9" a="1"/>
  <c r="F176" i="9" s="1"/>
  <c r="F179" i="9" a="1"/>
  <c r="F179" i="9" s="1"/>
  <c r="D178" i="9" a="1"/>
  <c r="D178" i="9" s="1"/>
  <c r="F166" i="9" a="1"/>
  <c r="F166" i="9" s="1"/>
  <c r="D183" i="9" a="1"/>
  <c r="D183" i="9" s="1"/>
  <c r="F192" i="9" a="1"/>
  <c r="F192" i="9" s="1"/>
  <c r="D179" i="9" a="1"/>
  <c r="D179" i="9" s="1"/>
  <c r="F169" i="9" a="1"/>
  <c r="F169" i="9" s="1"/>
  <c r="F186" i="9" a="1"/>
  <c r="F186" i="9" s="1"/>
  <c r="F171" i="9" a="1"/>
  <c r="F171" i="9" s="1"/>
  <c r="F150" i="9" a="1"/>
  <c r="F150" i="9" s="1"/>
  <c r="D181" i="9" a="1"/>
  <c r="D181" i="9" s="1"/>
  <c r="F163" i="9" a="1"/>
  <c r="F163" i="9" s="1"/>
  <c r="F189" i="9" a="1"/>
  <c r="F189" i="9" s="1"/>
  <c r="F167" i="9" a="1"/>
  <c r="F167" i="9" s="1"/>
  <c r="F191" i="9" a="1"/>
  <c r="F191" i="9" s="1"/>
  <c r="D193" i="9" a="1"/>
  <c r="D193" i="9" s="1"/>
  <c r="F164" i="9" a="1"/>
  <c r="F164" i="9" s="1"/>
  <c r="D168" i="9" a="1"/>
  <c r="D168" i="9" s="1"/>
  <c r="D192" i="9" a="1"/>
  <c r="D192" i="9" s="1"/>
  <c r="D190" i="9" a="1"/>
  <c r="D190" i="9" s="1"/>
  <c r="B192" i="14"/>
  <c r="D211" i="9" s="1" a="1"/>
  <c r="D211" i="9" s="1"/>
  <c r="D198" i="9" l="1" a="1"/>
  <c r="D198" i="9" s="1"/>
  <c r="F213" i="9" a="1"/>
  <c r="F213" i="9" s="1"/>
  <c r="D196" i="9" a="1"/>
  <c r="D196" i="9" s="1"/>
  <c r="F200" i="9" a="1"/>
  <c r="F200" i="9" s="1"/>
  <c r="D223" i="9" a="1"/>
  <c r="D223" i="9" s="1"/>
  <c r="D218" i="9" a="1"/>
  <c r="D218" i="9" s="1"/>
  <c r="D199" i="9" a="1"/>
  <c r="D199" i="9" s="1"/>
  <c r="F198" i="9" a="1"/>
  <c r="F198" i="9" s="1"/>
  <c r="F208" i="9" a="1"/>
  <c r="F208" i="9" s="1"/>
  <c r="D205" i="9" a="1"/>
  <c r="D205" i="9" s="1"/>
  <c r="F180" i="9" a="1"/>
  <c r="F180" i="9" s="1"/>
  <c r="D219" i="9" a="1"/>
  <c r="D219" i="9" s="1"/>
  <c r="D180" i="9" a="1"/>
  <c r="D180" i="9" s="1"/>
  <c r="F215" i="9" a="1"/>
  <c r="F215" i="9" s="1"/>
  <c r="D194" i="9" a="1"/>
  <c r="D194" i="9" s="1"/>
  <c r="F221" i="9" a="1"/>
  <c r="F221" i="9" s="1"/>
  <c r="D214" i="9" a="1"/>
  <c r="D214" i="9" s="1"/>
  <c r="F195" i="9" a="1"/>
  <c r="F195" i="9" s="1"/>
  <c r="F201" i="9" a="1"/>
  <c r="F201" i="9" s="1"/>
  <c r="F218" i="9" a="1"/>
  <c r="F218" i="9" s="1"/>
  <c r="F211" i="9" a="1"/>
  <c r="F211" i="9" s="1"/>
  <c r="F214" i="9" a="1"/>
  <c r="F214" i="9" s="1"/>
  <c r="D206" i="9" a="1"/>
  <c r="D206" i="9" s="1"/>
  <c r="D215" i="9" a="1"/>
  <c r="D215" i="9" s="1"/>
  <c r="D208" i="9" a="1"/>
  <c r="D208" i="9" s="1"/>
  <c r="D210" i="9" a="1"/>
  <c r="D210" i="9" s="1"/>
  <c r="D220" i="9" a="1"/>
  <c r="D220" i="9" s="1"/>
  <c r="D204" i="9" a="1"/>
  <c r="D204" i="9" s="1"/>
  <c r="F220" i="9" a="1"/>
  <c r="F220" i="9" s="1"/>
  <c r="F212" i="9" a="1"/>
  <c r="F212" i="9" s="1"/>
  <c r="F187" i="9" a="1"/>
  <c r="F187" i="9" s="1"/>
  <c r="F207" i="9" a="1"/>
  <c r="F207" i="9" s="1"/>
  <c r="D187" i="9" a="1"/>
  <c r="D187" i="9" s="1"/>
  <c r="F199" i="9" a="1"/>
  <c r="F199" i="9" s="1"/>
  <c r="D200" i="9" a="1"/>
  <c r="D200" i="9" s="1"/>
  <c r="F202" i="9" a="1"/>
  <c r="F202" i="9" s="1"/>
  <c r="D201" i="9" a="1"/>
  <c r="D201" i="9" s="1"/>
  <c r="D213" i="9" a="1"/>
  <c r="D213" i="9" s="1"/>
  <c r="F209" i="9" a="1"/>
  <c r="F209" i="9" s="1"/>
  <c r="D222" i="9" a="1"/>
  <c r="D222" i="9" s="1"/>
  <c r="F194" i="9" a="1"/>
  <c r="F194" i="9" s="1"/>
  <c r="D207" i="9" a="1"/>
  <c r="D207" i="9" s="1"/>
  <c r="F197" i="9" a="1"/>
  <c r="F197" i="9" s="1"/>
  <c r="F223" i="9" a="1"/>
  <c r="F223" i="9" s="1"/>
  <c r="D221" i="9" a="1"/>
  <c r="D221" i="9" s="1"/>
  <c r="F205" i="9" a="1"/>
  <c r="F205" i="9" s="1"/>
  <c r="D209" i="9" a="1"/>
  <c r="D209" i="9" s="1"/>
  <c r="F206" i="9" a="1"/>
  <c r="F206" i="9" s="1"/>
  <c r="F210" i="9" a="1"/>
  <c r="F210" i="9" s="1"/>
  <c r="F204" i="9" a="1"/>
  <c r="F204" i="9" s="1"/>
  <c r="F219" i="9" a="1"/>
  <c r="F219" i="9" s="1"/>
  <c r="F196" i="9" a="1"/>
  <c r="F196" i="9" s="1"/>
  <c r="D197" i="9" a="1"/>
  <c r="D197" i="9" s="1"/>
  <c r="D202" i="9" a="1"/>
  <c r="D202" i="9" s="1"/>
  <c r="F222" i="9" a="1"/>
  <c r="F222" i="9" s="1"/>
  <c r="D216" i="9" a="1"/>
  <c r="D216" i="9" s="1"/>
  <c r="D212" i="9" a="1"/>
  <c r="D212" i="9" s="1"/>
  <c r="D203" i="9" a="1"/>
  <c r="D203" i="9" s="1"/>
  <c r="F203" i="9" a="1"/>
  <c r="F203" i="9" s="1"/>
  <c r="F216" i="9" a="1"/>
  <c r="F216" i="9" s="1"/>
  <c r="F225" i="9" a="1"/>
  <c r="F225" i="9" s="1"/>
  <c r="D195" i="9" a="1"/>
  <c r="D195" i="9" s="1"/>
  <c r="F217" i="9" a="1"/>
  <c r="F217" i="9" s="1"/>
  <c r="D217" i="9" a="1"/>
  <c r="D217" i="9" s="1"/>
  <c r="B224" i="14"/>
  <c r="F224" i="9" s="1" a="1"/>
  <c r="F224" i="9" s="1"/>
  <c r="T175" i="9"/>
  <c r="U175" i="9"/>
  <c r="V175" i="9"/>
  <c r="Y175" i="9"/>
  <c r="Z175" i="9"/>
  <c r="AA175" i="9"/>
  <c r="T195" i="9"/>
  <c r="U195" i="9"/>
  <c r="V195" i="9"/>
  <c r="Y195" i="9"/>
  <c r="Z195" i="9"/>
  <c r="AA195" i="9"/>
  <c r="T179" i="9"/>
  <c r="U179" i="9"/>
  <c r="V179" i="9"/>
  <c r="Y179" i="9"/>
  <c r="Z179" i="9"/>
  <c r="AA179" i="9"/>
  <c r="T167" i="9"/>
  <c r="U167" i="9"/>
  <c r="V167" i="9"/>
  <c r="Y167" i="9"/>
  <c r="Z167" i="9"/>
  <c r="AA167" i="9"/>
  <c r="T152" i="9"/>
  <c r="U152" i="9"/>
  <c r="V152" i="9"/>
  <c r="Y152" i="9"/>
  <c r="Z152" i="9"/>
  <c r="AA152" i="9"/>
  <c r="T200" i="9"/>
  <c r="U200" i="9"/>
  <c r="V200" i="9"/>
  <c r="Y200" i="9"/>
  <c r="Z200" i="9"/>
  <c r="AA200" i="9"/>
  <c r="T190" i="9"/>
  <c r="U190" i="9"/>
  <c r="V190" i="9"/>
  <c r="Y190" i="9"/>
  <c r="Z190" i="9"/>
  <c r="AA190" i="9"/>
  <c r="T183" i="9"/>
  <c r="U183" i="9"/>
  <c r="V183" i="9"/>
  <c r="Y183" i="9"/>
  <c r="Z183" i="9"/>
  <c r="AA183" i="9"/>
  <c r="T182" i="9"/>
  <c r="U182" i="9"/>
  <c r="V182" i="9"/>
  <c r="Y182" i="9"/>
  <c r="Z182" i="9"/>
  <c r="AA182" i="9"/>
  <c r="T165" i="9"/>
  <c r="U165" i="9"/>
  <c r="V165" i="9"/>
  <c r="Y165" i="9"/>
  <c r="Z165" i="9"/>
  <c r="AA165" i="9"/>
  <c r="T187" i="9"/>
  <c r="U187" i="9"/>
  <c r="V187" i="9"/>
  <c r="Y187" i="9"/>
  <c r="Z187" i="9"/>
  <c r="AA187" i="9"/>
  <c r="T143" i="9"/>
  <c r="U143" i="9"/>
  <c r="V143" i="9"/>
  <c r="Y143" i="9"/>
  <c r="Z143" i="9"/>
  <c r="AA143" i="9"/>
  <c r="T188" i="9"/>
  <c r="U188" i="9"/>
  <c r="V188" i="9"/>
  <c r="Y188" i="9"/>
  <c r="Z188" i="9"/>
  <c r="AA188" i="9"/>
  <c r="T192" i="9"/>
  <c r="U192" i="9"/>
  <c r="V192" i="9"/>
  <c r="Y192" i="9"/>
  <c r="Z192" i="9"/>
  <c r="AA192" i="9"/>
  <c r="T146" i="9"/>
  <c r="U146" i="9"/>
  <c r="V146" i="9"/>
  <c r="Y146" i="9"/>
  <c r="Z146" i="9"/>
  <c r="AA146" i="9"/>
  <c r="T184" i="9"/>
  <c r="U184" i="9"/>
  <c r="V184" i="9"/>
  <c r="Y184" i="9"/>
  <c r="Z184" i="9"/>
  <c r="AA184" i="9"/>
  <c r="T163" i="9"/>
  <c r="U163" i="9"/>
  <c r="V163" i="9"/>
  <c r="Y163" i="9"/>
  <c r="Z163" i="9"/>
  <c r="AA163" i="9"/>
  <c r="T201" i="9"/>
  <c r="U201" i="9"/>
  <c r="V201" i="9"/>
  <c r="Y201" i="9"/>
  <c r="Z201" i="9"/>
  <c r="AA201" i="9"/>
  <c r="T202" i="9"/>
  <c r="U202" i="9"/>
  <c r="V202" i="9"/>
  <c r="Y202" i="9"/>
  <c r="Z202" i="9"/>
  <c r="AA202" i="9"/>
  <c r="T185" i="9"/>
  <c r="U185" i="9"/>
  <c r="V185" i="9"/>
  <c r="Y185" i="9"/>
  <c r="Z185" i="9"/>
  <c r="AA185" i="9"/>
  <c r="T181" i="9"/>
  <c r="U181" i="9"/>
  <c r="V181" i="9"/>
  <c r="Y181" i="9"/>
  <c r="Z181" i="9"/>
  <c r="AA181" i="9"/>
  <c r="T203" i="9"/>
  <c r="U203" i="9"/>
  <c r="V203" i="9"/>
  <c r="Y203" i="9"/>
  <c r="Z203" i="9"/>
  <c r="AA203" i="9"/>
  <c r="T204" i="9"/>
  <c r="U204" i="9"/>
  <c r="V204" i="9"/>
  <c r="Y204" i="9"/>
  <c r="Z204" i="9"/>
  <c r="AA204" i="9"/>
  <c r="T205" i="9"/>
  <c r="U205" i="9"/>
  <c r="V205" i="9"/>
  <c r="Y205" i="9"/>
  <c r="Z205" i="9"/>
  <c r="AA205" i="9"/>
  <c r="T206" i="9"/>
  <c r="U206" i="9"/>
  <c r="V206" i="9"/>
  <c r="Y206" i="9"/>
  <c r="Z206" i="9"/>
  <c r="AA206" i="9"/>
  <c r="T207" i="9"/>
  <c r="U207" i="9"/>
  <c r="V207" i="9"/>
  <c r="Y207" i="9"/>
  <c r="Z207" i="9"/>
  <c r="AA207" i="9"/>
  <c r="T208" i="9"/>
  <c r="U208" i="9"/>
  <c r="V208" i="9"/>
  <c r="Y208" i="9"/>
  <c r="Z208" i="9"/>
  <c r="AA208" i="9"/>
  <c r="T209" i="9"/>
  <c r="U209" i="9"/>
  <c r="V209" i="9"/>
  <c r="Y209" i="9"/>
  <c r="Z209" i="9"/>
  <c r="AA209" i="9"/>
  <c r="T193" i="9"/>
  <c r="U193" i="9"/>
  <c r="V193" i="9"/>
  <c r="Y193" i="9"/>
  <c r="Z193" i="9"/>
  <c r="AA193" i="9"/>
  <c r="T186" i="9"/>
  <c r="U186" i="9"/>
  <c r="V186" i="9"/>
  <c r="Y186" i="9"/>
  <c r="Z186" i="9"/>
  <c r="AA186" i="9"/>
  <c r="T166" i="9"/>
  <c r="U166" i="9"/>
  <c r="V166" i="9"/>
  <c r="Y166" i="9"/>
  <c r="Z166" i="9"/>
  <c r="AA166" i="9"/>
  <c r="T210" i="9"/>
  <c r="U210" i="9"/>
  <c r="V210" i="9"/>
  <c r="Y210" i="9"/>
  <c r="Z210" i="9"/>
  <c r="AA210" i="9"/>
  <c r="T180" i="9"/>
  <c r="U180" i="9"/>
  <c r="V180" i="9"/>
  <c r="Y180" i="9"/>
  <c r="Z180" i="9"/>
  <c r="AA180" i="9"/>
  <c r="T211" i="9"/>
  <c r="U211" i="9"/>
  <c r="V211" i="9"/>
  <c r="Y211" i="9"/>
  <c r="Z211" i="9"/>
  <c r="AA211" i="9"/>
  <c r="T191" i="9"/>
  <c r="U191" i="9"/>
  <c r="V191" i="9"/>
  <c r="Y191" i="9"/>
  <c r="Z191" i="9"/>
  <c r="AA191" i="9"/>
  <c r="T212" i="9"/>
  <c r="U212" i="9"/>
  <c r="V212" i="9"/>
  <c r="Y212" i="9"/>
  <c r="Z212" i="9"/>
  <c r="AA212" i="9"/>
  <c r="T213" i="9"/>
  <c r="U213" i="9"/>
  <c r="V213" i="9"/>
  <c r="Y213" i="9"/>
  <c r="Z213" i="9"/>
  <c r="AA213" i="9"/>
  <c r="T214" i="9"/>
  <c r="U214" i="9"/>
  <c r="V214" i="9"/>
  <c r="Y214" i="9"/>
  <c r="Z214" i="9"/>
  <c r="AA214" i="9"/>
  <c r="A175" i="9"/>
  <c r="A195" i="9"/>
  <c r="A179" i="9"/>
  <c r="A167" i="9"/>
  <c r="A152" i="9"/>
  <c r="A200" i="9"/>
  <c r="A190" i="9"/>
  <c r="A183" i="9"/>
  <c r="A182" i="9"/>
  <c r="A165" i="9"/>
  <c r="A187" i="9"/>
  <c r="A143" i="9"/>
  <c r="A188" i="9"/>
  <c r="A192" i="9"/>
  <c r="A146" i="9"/>
  <c r="A184" i="9"/>
  <c r="A163" i="9"/>
  <c r="A201" i="9"/>
  <c r="A202" i="9"/>
  <c r="A185" i="9"/>
  <c r="A181" i="9"/>
  <c r="A203" i="9"/>
  <c r="A204" i="9"/>
  <c r="A205" i="9"/>
  <c r="A206" i="9"/>
  <c r="A207" i="9"/>
  <c r="A208" i="9"/>
  <c r="A209" i="9"/>
  <c r="A193" i="9"/>
  <c r="A186" i="9"/>
  <c r="A166" i="9"/>
  <c r="A210" i="9"/>
  <c r="A180" i="9"/>
  <c r="A211" i="9"/>
  <c r="A191" i="9"/>
  <c r="A212" i="9"/>
  <c r="A213" i="9"/>
  <c r="A214" i="9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5" i="14"/>
  <c r="E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D225" i="9" l="1" a="1"/>
  <c r="D225" i="9" s="1"/>
  <c r="D224" i="9" a="1"/>
  <c r="D224" i="9" s="1"/>
  <c r="I36" i="9"/>
  <c r="I58" i="9"/>
  <c r="D2" i="9" a="1"/>
  <c r="D2" i="9" s="1"/>
  <c r="F2" i="9" a="1"/>
  <c r="F2" i="9" s="1"/>
  <c r="I38" i="9"/>
  <c r="E224" i="14"/>
  <c r="E210" i="14"/>
  <c r="E209" i="14"/>
  <c r="E198" i="14"/>
  <c r="E197" i="14"/>
  <c r="E205" i="14"/>
  <c r="E207" i="14"/>
  <c r="E201" i="14"/>
  <c r="E200" i="14"/>
  <c r="E199" i="14"/>
  <c r="E203" i="14"/>
  <c r="E206" i="14"/>
  <c r="E202" i="14"/>
  <c r="E204" i="14"/>
  <c r="I64" i="9" l="1"/>
  <c r="O222" i="9"/>
  <c r="M222" i="9" s="1"/>
  <c r="X222" i="9" s="1"/>
  <c r="AE223" i="9"/>
  <c r="O224" i="9"/>
  <c r="M224" i="9" s="1"/>
  <c r="N224" i="9" s="1"/>
  <c r="O221" i="9"/>
  <c r="M221" i="9" s="1"/>
  <c r="O223" i="9"/>
  <c r="M223" i="9" s="1"/>
  <c r="L223" i="9" s="1"/>
  <c r="AB223" i="9"/>
  <c r="I223" i="9"/>
  <c r="K223" i="9" s="1"/>
  <c r="AC223" i="9"/>
  <c r="AD223" i="9"/>
  <c r="O218" i="9"/>
  <c r="M218" i="9" s="1"/>
  <c r="AC220" i="9"/>
  <c r="I220" i="9"/>
  <c r="K220" i="9" s="1"/>
  <c r="AE220" i="9"/>
  <c r="AB220" i="9"/>
  <c r="AD220" i="9"/>
  <c r="AB219" i="9"/>
  <c r="AE219" i="9"/>
  <c r="AD219" i="9"/>
  <c r="AC219" i="9"/>
  <c r="I219" i="9"/>
  <c r="K219" i="9" s="1"/>
  <c r="AC217" i="9"/>
  <c r="AD217" i="9"/>
  <c r="AB217" i="9"/>
  <c r="AE217" i="9"/>
  <c r="I217" i="9"/>
  <c r="K217" i="9" s="1"/>
  <c r="AD215" i="9"/>
  <c r="AC215" i="9"/>
  <c r="AE215" i="9"/>
  <c r="AB215" i="9"/>
  <c r="I215" i="9"/>
  <c r="K215" i="9" s="1"/>
  <c r="O215" i="9"/>
  <c r="M215" i="9" s="1"/>
  <c r="O217" i="9"/>
  <c r="M217" i="9" s="1"/>
  <c r="I221" i="9"/>
  <c r="K221" i="9" s="1"/>
  <c r="AE221" i="9"/>
  <c r="AC221" i="9"/>
  <c r="AD221" i="9"/>
  <c r="AB221" i="9"/>
  <c r="AC218" i="9"/>
  <c r="AD218" i="9"/>
  <c r="AE218" i="9"/>
  <c r="I218" i="9"/>
  <c r="K218" i="9" s="1"/>
  <c r="AB218" i="9"/>
  <c r="O220" i="9"/>
  <c r="M220" i="9" s="1"/>
  <c r="O216" i="9"/>
  <c r="M216" i="9" s="1"/>
  <c r="N216" i="9" s="1"/>
  <c r="O219" i="9"/>
  <c r="M219" i="9" s="1"/>
  <c r="L219" i="9" s="1"/>
  <c r="I216" i="9"/>
  <c r="K216" i="9" s="1"/>
  <c r="AB216" i="9"/>
  <c r="AC216" i="9"/>
  <c r="AE216" i="9"/>
  <c r="AD216" i="9"/>
  <c r="AB222" i="9"/>
  <c r="AD222" i="9"/>
  <c r="AC222" i="9"/>
  <c r="I222" i="9"/>
  <c r="K222" i="9" s="1"/>
  <c r="AE222" i="9"/>
  <c r="AD225" i="9"/>
  <c r="AB225" i="9"/>
  <c r="AC225" i="9"/>
  <c r="I225" i="9"/>
  <c r="K225" i="9" s="1"/>
  <c r="AE225" i="9"/>
  <c r="AE224" i="9"/>
  <c r="AD224" i="9"/>
  <c r="AC224" i="9"/>
  <c r="I224" i="9"/>
  <c r="K224" i="9" s="1"/>
  <c r="AB224" i="9"/>
  <c r="O225" i="9"/>
  <c r="M225" i="9" s="1"/>
  <c r="R224" i="9"/>
  <c r="X224" i="9"/>
  <c r="T150" i="9"/>
  <c r="U150" i="9"/>
  <c r="V150" i="9"/>
  <c r="Y150" i="9"/>
  <c r="Z150" i="9"/>
  <c r="AA150" i="9"/>
  <c r="T170" i="9"/>
  <c r="U170" i="9"/>
  <c r="V170" i="9"/>
  <c r="Y170" i="9"/>
  <c r="Z170" i="9"/>
  <c r="AA170" i="9"/>
  <c r="T199" i="9"/>
  <c r="U199" i="9"/>
  <c r="V199" i="9"/>
  <c r="Y199" i="9"/>
  <c r="Z199" i="9"/>
  <c r="AA199" i="9"/>
  <c r="T169" i="9"/>
  <c r="U169" i="9"/>
  <c r="V169" i="9"/>
  <c r="Y169" i="9"/>
  <c r="Z169" i="9"/>
  <c r="AA169" i="9"/>
  <c r="T172" i="9"/>
  <c r="U172" i="9"/>
  <c r="V172" i="9"/>
  <c r="Y172" i="9"/>
  <c r="Z172" i="9"/>
  <c r="AA172" i="9"/>
  <c r="T124" i="9"/>
  <c r="U124" i="9"/>
  <c r="V124" i="9"/>
  <c r="Y124" i="9"/>
  <c r="Z124" i="9"/>
  <c r="AA124" i="9"/>
  <c r="A150" i="9"/>
  <c r="A170" i="9"/>
  <c r="A199" i="9"/>
  <c r="A169" i="9"/>
  <c r="A172" i="9"/>
  <c r="A124" i="9"/>
  <c r="L224" i="9" l="1"/>
  <c r="N222" i="9"/>
  <c r="L222" i="9"/>
  <c r="R222" i="9"/>
  <c r="N223" i="9"/>
  <c r="R223" i="9"/>
  <c r="S223" i="9" s="1"/>
  <c r="X223" i="9"/>
  <c r="N221" i="9"/>
  <c r="L221" i="9"/>
  <c r="R221" i="9"/>
  <c r="X221" i="9"/>
  <c r="L218" i="9"/>
  <c r="R218" i="9"/>
  <c r="X218" i="9"/>
  <c r="N218" i="9"/>
  <c r="S224" i="9"/>
  <c r="N215" i="9"/>
  <c r="X215" i="9"/>
  <c r="R215" i="9"/>
  <c r="N219" i="9"/>
  <c r="N220" i="9"/>
  <c r="R220" i="9"/>
  <c r="L220" i="9"/>
  <c r="X220" i="9"/>
  <c r="L215" i="9"/>
  <c r="R219" i="9"/>
  <c r="S219" i="9" s="1"/>
  <c r="X219" i="9"/>
  <c r="X217" i="9"/>
  <c r="R217" i="9"/>
  <c r="N217" i="9"/>
  <c r="L216" i="9"/>
  <c r="X216" i="9"/>
  <c r="R216" i="9"/>
  <c r="L217" i="9"/>
  <c r="L225" i="9"/>
  <c r="X225" i="9"/>
  <c r="R225" i="9"/>
  <c r="N225" i="9"/>
  <c r="T117" i="9"/>
  <c r="U117" i="9"/>
  <c r="V117" i="9"/>
  <c r="Y117" i="9"/>
  <c r="Z117" i="9"/>
  <c r="AA117" i="9"/>
  <c r="T177" i="9"/>
  <c r="U177" i="9"/>
  <c r="V177" i="9"/>
  <c r="Y177" i="9"/>
  <c r="Z177" i="9"/>
  <c r="AA177" i="9"/>
  <c r="T173" i="9"/>
  <c r="U173" i="9"/>
  <c r="V173" i="9"/>
  <c r="Y173" i="9"/>
  <c r="Z173" i="9"/>
  <c r="AA173" i="9"/>
  <c r="A117" i="9"/>
  <c r="A177" i="9"/>
  <c r="A173" i="9"/>
  <c r="S222" i="9" l="1"/>
  <c r="S221" i="9"/>
  <c r="S218" i="9"/>
  <c r="S215" i="9"/>
  <c r="S216" i="9"/>
  <c r="S217" i="9"/>
  <c r="S220" i="9"/>
  <c r="S225" i="9"/>
  <c r="I183" i="9"/>
  <c r="K183" i="9" s="1"/>
  <c r="I71" i="9"/>
  <c r="I165" i="9"/>
  <c r="K165" i="9" s="1"/>
  <c r="AD184" i="9"/>
  <c r="I146" i="9"/>
  <c r="K146" i="9" s="1"/>
  <c r="I46" i="9"/>
  <c r="I113" i="9"/>
  <c r="I73" i="9"/>
  <c r="I111" i="9"/>
  <c r="I78" i="9"/>
  <c r="I69" i="9"/>
  <c r="AC167" i="9"/>
  <c r="I79" i="9"/>
  <c r="I88" i="9"/>
  <c r="I210" i="9"/>
  <c r="K210" i="9" s="1"/>
  <c r="I200" i="9"/>
  <c r="K200" i="9" s="1"/>
  <c r="I185" i="9"/>
  <c r="K185" i="9" s="1"/>
  <c r="I209" i="9"/>
  <c r="K209" i="9" s="1"/>
  <c r="I203" i="9"/>
  <c r="K203" i="9" s="1"/>
  <c r="I143" i="9"/>
  <c r="K143" i="9" s="1"/>
  <c r="I182" i="9"/>
  <c r="K182" i="9" s="1"/>
  <c r="I192" i="9"/>
  <c r="K192" i="9" s="1"/>
  <c r="I103" i="9"/>
  <c r="Y86" i="9"/>
  <c r="Z86" i="9"/>
  <c r="AA86" i="9"/>
  <c r="A86" i="9"/>
  <c r="I83" i="9" l="1"/>
  <c r="I92" i="9"/>
  <c r="AE188" i="9"/>
  <c r="I98" i="9"/>
  <c r="I91" i="9"/>
  <c r="I76" i="9"/>
  <c r="I51" i="9"/>
  <c r="I117" i="9"/>
  <c r="K117" i="9" s="1"/>
  <c r="O133" i="9"/>
  <c r="M133" i="9" s="1"/>
  <c r="L133" i="9" s="1"/>
  <c r="O167" i="9"/>
  <c r="M167" i="9" s="1"/>
  <c r="L167" i="9" s="1"/>
  <c r="AB167" i="9"/>
  <c r="AE167" i="9"/>
  <c r="AC146" i="9"/>
  <c r="I184" i="9"/>
  <c r="K184" i="9" s="1"/>
  <c r="O171" i="9"/>
  <c r="M171" i="9" s="1"/>
  <c r="L171" i="9" s="1"/>
  <c r="O157" i="9"/>
  <c r="M157" i="9" s="1"/>
  <c r="L157" i="9" s="1"/>
  <c r="AC188" i="9"/>
  <c r="O168" i="9"/>
  <c r="M168" i="9" s="1"/>
  <c r="L168" i="9" s="1"/>
  <c r="I188" i="9"/>
  <c r="K188" i="9" s="1"/>
  <c r="AD188" i="9"/>
  <c r="AB188" i="9"/>
  <c r="O188" i="9"/>
  <c r="M188" i="9" s="1"/>
  <c r="O152" i="9"/>
  <c r="M152" i="9" s="1"/>
  <c r="L152" i="9" s="1"/>
  <c r="I70" i="9"/>
  <c r="O161" i="9"/>
  <c r="M161" i="9" s="1"/>
  <c r="L161" i="9" s="1"/>
  <c r="AC208" i="9"/>
  <c r="AE165" i="9"/>
  <c r="AD167" i="9"/>
  <c r="I167" i="9"/>
  <c r="K167" i="9" s="1"/>
  <c r="O153" i="9"/>
  <c r="O165" i="9"/>
  <c r="M165" i="9" s="1"/>
  <c r="AB165" i="9"/>
  <c r="AD165" i="9"/>
  <c r="AC165" i="9"/>
  <c r="O174" i="9"/>
  <c r="AD146" i="9"/>
  <c r="AB143" i="9"/>
  <c r="AB146" i="9"/>
  <c r="AD143" i="9"/>
  <c r="AE146" i="9"/>
  <c r="AE143" i="9"/>
  <c r="O143" i="9"/>
  <c r="M143" i="9" s="1"/>
  <c r="L143" i="9" s="1"/>
  <c r="AC143" i="9"/>
  <c r="O146" i="9"/>
  <c r="M146" i="9" s="1"/>
  <c r="L146" i="9" s="1"/>
  <c r="O177" i="9"/>
  <c r="AD183" i="9"/>
  <c r="AE184" i="9"/>
  <c r="O7" i="9"/>
  <c r="M7" i="9" s="1"/>
  <c r="L7" i="9" s="1"/>
  <c r="AC183" i="9"/>
  <c r="AB184" i="9"/>
  <c r="AC184" i="9"/>
  <c r="AB183" i="9"/>
  <c r="O183" i="9"/>
  <c r="M183" i="9" s="1"/>
  <c r="L183" i="9" s="1"/>
  <c r="O184" i="9"/>
  <c r="M184" i="9" s="1"/>
  <c r="L184" i="9" s="1"/>
  <c r="AE183" i="9"/>
  <c r="AE213" i="9"/>
  <c r="I81" i="9"/>
  <c r="O175" i="9"/>
  <c r="M175" i="9" s="1"/>
  <c r="L175" i="9" s="1"/>
  <c r="AB182" i="9"/>
  <c r="AC182" i="9"/>
  <c r="O182" i="9"/>
  <c r="M182" i="9" s="1"/>
  <c r="AE182" i="9"/>
  <c r="AD182" i="9"/>
  <c r="I208" i="9"/>
  <c r="K208" i="9" s="1"/>
  <c r="AD187" i="9"/>
  <c r="O214" i="9"/>
  <c r="M214" i="9" s="1"/>
  <c r="L214" i="9" s="1"/>
  <c r="AD208" i="9"/>
  <c r="O208" i="9"/>
  <c r="M208" i="9" s="1"/>
  <c r="AB208" i="9"/>
  <c r="AE208" i="9"/>
  <c r="AE200" i="9"/>
  <c r="AD209" i="9"/>
  <c r="AE210" i="9"/>
  <c r="AC187" i="9"/>
  <c r="O192" i="9"/>
  <c r="M192" i="9" s="1"/>
  <c r="AC195" i="9"/>
  <c r="O187" i="9"/>
  <c r="M187" i="9" s="1"/>
  <c r="AB180" i="9"/>
  <c r="AE187" i="9"/>
  <c r="AD203" i="9"/>
  <c r="O186" i="9"/>
  <c r="M186" i="9" s="1"/>
  <c r="AB209" i="9"/>
  <c r="AC209" i="9"/>
  <c r="I187" i="9"/>
  <c r="K187" i="9" s="1"/>
  <c r="AB187" i="9"/>
  <c r="I96" i="9"/>
  <c r="I75" i="9"/>
  <c r="AC193" i="9"/>
  <c r="AD204" i="9"/>
  <c r="AB210" i="9"/>
  <c r="AC210" i="9"/>
  <c r="I67" i="9"/>
  <c r="I87" i="9"/>
  <c r="AC200" i="9"/>
  <c r="AD200" i="9"/>
  <c r="O200" i="9"/>
  <c r="M200" i="9" s="1"/>
  <c r="L200" i="9" s="1"/>
  <c r="AE204" i="9"/>
  <c r="AC204" i="9"/>
  <c r="AB203" i="9"/>
  <c r="I204" i="9"/>
  <c r="K204" i="9" s="1"/>
  <c r="AC203" i="9"/>
  <c r="AB204" i="9"/>
  <c r="O210" i="9"/>
  <c r="M210" i="9" s="1"/>
  <c r="I56" i="9"/>
  <c r="AD210" i="9"/>
  <c r="O212" i="9"/>
  <c r="M212" i="9" s="1"/>
  <c r="O203" i="9"/>
  <c r="M203" i="9" s="1"/>
  <c r="L203" i="9" s="1"/>
  <c r="AE193" i="9"/>
  <c r="AB200" i="9"/>
  <c r="O204" i="9"/>
  <c r="M204" i="9" s="1"/>
  <c r="I193" i="9"/>
  <c r="K193" i="9" s="1"/>
  <c r="AB152" i="9"/>
  <c r="AE203" i="9"/>
  <c r="O195" i="9"/>
  <c r="M195" i="9" s="1"/>
  <c r="AB193" i="9"/>
  <c r="AD195" i="9"/>
  <c r="O209" i="9"/>
  <c r="M209" i="9" s="1"/>
  <c r="I66" i="9"/>
  <c r="AE190" i="9"/>
  <c r="O205" i="9"/>
  <c r="M205" i="9" s="1"/>
  <c r="AE202" i="9"/>
  <c r="AD152" i="9"/>
  <c r="AE209" i="9"/>
  <c r="O193" i="9"/>
  <c r="M193" i="9" s="1"/>
  <c r="L193" i="9" s="1"/>
  <c r="AE195" i="9"/>
  <c r="AD201" i="9"/>
  <c r="AD193" i="9"/>
  <c r="I72" i="9"/>
  <c r="O181" i="9"/>
  <c r="M181" i="9" s="1"/>
  <c r="L181" i="9" s="1"/>
  <c r="I195" i="9"/>
  <c r="K195" i="9" s="1"/>
  <c r="AB195" i="9"/>
  <c r="AE185" i="9"/>
  <c r="AD185" i="9"/>
  <c r="AB185" i="9"/>
  <c r="AC185" i="9"/>
  <c r="O185" i="9"/>
  <c r="M185" i="9" s="1"/>
  <c r="L185" i="9" s="1"/>
  <c r="AD202" i="9"/>
  <c r="O190" i="9"/>
  <c r="M190" i="9" s="1"/>
  <c r="L190" i="9" s="1"/>
  <c r="AB202" i="9"/>
  <c r="AC202" i="9"/>
  <c r="AD190" i="9"/>
  <c r="AB190" i="9"/>
  <c r="AB205" i="9"/>
  <c r="I202" i="9"/>
  <c r="K202" i="9" s="1"/>
  <c r="AC190" i="9"/>
  <c r="AC205" i="9"/>
  <c r="AE205" i="9"/>
  <c r="AD205" i="9"/>
  <c r="I80" i="9"/>
  <c r="O202" i="9"/>
  <c r="M202" i="9" s="1"/>
  <c r="I190" i="9"/>
  <c r="K190" i="9" s="1"/>
  <c r="I205" i="9"/>
  <c r="K205" i="9" s="1"/>
  <c r="O93" i="9"/>
  <c r="M93" i="9" s="1"/>
  <c r="L93" i="9" s="1"/>
  <c r="O201" i="9"/>
  <c r="M201" i="9" s="1"/>
  <c r="I68" i="9"/>
  <c r="AB192" i="9"/>
  <c r="AC192" i="9"/>
  <c r="AE192" i="9"/>
  <c r="AD192" i="9"/>
  <c r="O213" i="9"/>
  <c r="M213" i="9" s="1"/>
  <c r="L213" i="9" s="1"/>
  <c r="I97" i="9"/>
  <c r="AE175" i="9"/>
  <c r="I152" i="9"/>
  <c r="K152" i="9" s="1"/>
  <c r="AC152" i="9"/>
  <c r="I163" i="9"/>
  <c r="K163" i="9" s="1"/>
  <c r="AD163" i="9"/>
  <c r="AB163" i="9"/>
  <c r="AC163" i="9"/>
  <c r="AE163" i="9"/>
  <c r="I77" i="9"/>
  <c r="O163" i="9"/>
  <c r="M163" i="9" s="1"/>
  <c r="L163" i="9" s="1"/>
  <c r="I95" i="9"/>
  <c r="O180" i="9"/>
  <c r="M180" i="9" s="1"/>
  <c r="AE152" i="9"/>
  <c r="I207" i="9"/>
  <c r="K207" i="9" s="1"/>
  <c r="AC207" i="9"/>
  <c r="AD207" i="9"/>
  <c r="AE207" i="9"/>
  <c r="AB207" i="9"/>
  <c r="I166" i="9"/>
  <c r="K166" i="9" s="1"/>
  <c r="AD166" i="9"/>
  <c r="AC166" i="9"/>
  <c r="AB166" i="9"/>
  <c r="AE166" i="9"/>
  <c r="AD206" i="9"/>
  <c r="I206" i="9"/>
  <c r="K206" i="9" s="1"/>
  <c r="AE206" i="9"/>
  <c r="AC206" i="9"/>
  <c r="I212" i="9"/>
  <c r="K212" i="9" s="1"/>
  <c r="AE212" i="9"/>
  <c r="AC212" i="9"/>
  <c r="AD212" i="9"/>
  <c r="AB212" i="9"/>
  <c r="I211" i="9"/>
  <c r="K211" i="9" s="1"/>
  <c r="AE211" i="9"/>
  <c r="AD211" i="9"/>
  <c r="AC211" i="9"/>
  <c r="AB211" i="9"/>
  <c r="I191" i="9"/>
  <c r="K191" i="9" s="1"/>
  <c r="AE191" i="9"/>
  <c r="AD191" i="9"/>
  <c r="AB191" i="9"/>
  <c r="O191" i="9"/>
  <c r="M191" i="9" s="1"/>
  <c r="L191" i="9" s="1"/>
  <c r="O211" i="9"/>
  <c r="M211" i="9" s="1"/>
  <c r="L211" i="9" s="1"/>
  <c r="I180" i="9"/>
  <c r="K180" i="9" s="1"/>
  <c r="AD180" i="9"/>
  <c r="AC180" i="9"/>
  <c r="AE180" i="9"/>
  <c r="AC191" i="9"/>
  <c r="AB201" i="9"/>
  <c r="AE201" i="9"/>
  <c r="I201" i="9"/>
  <c r="K201" i="9" s="1"/>
  <c r="AC201" i="9"/>
  <c r="O207" i="9"/>
  <c r="M207" i="9" s="1"/>
  <c r="L207" i="9" s="1"/>
  <c r="I186" i="9"/>
  <c r="K186" i="9" s="1"/>
  <c r="AD186" i="9"/>
  <c r="AC186" i="9"/>
  <c r="AB186" i="9"/>
  <c r="AE186" i="9"/>
  <c r="AE179" i="9"/>
  <c r="AD179" i="9"/>
  <c r="AB179" i="9"/>
  <c r="AC179" i="9"/>
  <c r="I179" i="9"/>
  <c r="K179" i="9" s="1"/>
  <c r="O206" i="9"/>
  <c r="M206" i="9" s="1"/>
  <c r="L206" i="9" s="1"/>
  <c r="I181" i="9"/>
  <c r="K181" i="9" s="1"/>
  <c r="AE181" i="9"/>
  <c r="AD181" i="9"/>
  <c r="AB181" i="9"/>
  <c r="AC181" i="9"/>
  <c r="I214" i="9"/>
  <c r="K214" i="9" s="1"/>
  <c r="AC214" i="9"/>
  <c r="AB214" i="9"/>
  <c r="AE214" i="9"/>
  <c r="AD214" i="9"/>
  <c r="I213" i="9"/>
  <c r="K213" i="9" s="1"/>
  <c r="AD213" i="9"/>
  <c r="AC213" i="9"/>
  <c r="AB213" i="9"/>
  <c r="AB206" i="9"/>
  <c r="O166" i="9"/>
  <c r="M166" i="9" s="1"/>
  <c r="L166" i="9" s="1"/>
  <c r="I175" i="9"/>
  <c r="K175" i="9" s="1"/>
  <c r="AD175" i="9"/>
  <c r="AB175" i="9"/>
  <c r="AC175" i="9"/>
  <c r="O179" i="9"/>
  <c r="M179" i="9" s="1"/>
  <c r="L179" i="9" s="1"/>
  <c r="AE117" i="9"/>
  <c r="O132" i="9"/>
  <c r="M132" i="9" s="1"/>
  <c r="L132" i="9" s="1"/>
  <c r="O35" i="9"/>
  <c r="M35" i="9" s="1"/>
  <c r="L35" i="9" s="1"/>
  <c r="O40" i="9"/>
  <c r="M40" i="9" s="1"/>
  <c r="L40" i="9" s="1"/>
  <c r="O19" i="9"/>
  <c r="M19" i="9" s="1"/>
  <c r="L19" i="9" s="1"/>
  <c r="O120" i="9"/>
  <c r="M120" i="9" s="1"/>
  <c r="L120" i="9" s="1"/>
  <c r="O26" i="9"/>
  <c r="M26" i="9" s="1"/>
  <c r="L26" i="9" s="1"/>
  <c r="O9" i="9"/>
  <c r="M9" i="9" s="1"/>
  <c r="L9" i="9" s="1"/>
  <c r="O16" i="9"/>
  <c r="M16" i="9" s="1"/>
  <c r="L16" i="9" s="1"/>
  <c r="M55" i="9"/>
  <c r="L55" i="9" s="1"/>
  <c r="O43" i="9"/>
  <c r="M43" i="9" s="1"/>
  <c r="L43" i="9" s="1"/>
  <c r="O6" i="9"/>
  <c r="M6" i="9" s="1"/>
  <c r="L6" i="9" s="1"/>
  <c r="O127" i="9"/>
  <c r="M127" i="9" s="1"/>
  <c r="L127" i="9" s="1"/>
  <c r="O71" i="9"/>
  <c r="M71" i="9" s="1"/>
  <c r="L71" i="9" s="1"/>
  <c r="O86" i="9"/>
  <c r="M86" i="9" s="1"/>
  <c r="L86" i="9" s="1"/>
  <c r="O3" i="9"/>
  <c r="M3" i="9" s="1"/>
  <c r="L3" i="9" s="1"/>
  <c r="M53" i="9"/>
  <c r="L53" i="9" s="1"/>
  <c r="O121" i="9"/>
  <c r="M121" i="9" s="1"/>
  <c r="L121" i="9" s="1"/>
  <c r="M62" i="9"/>
  <c r="L62" i="9" s="1"/>
  <c r="O33" i="9"/>
  <c r="M33" i="9" s="1"/>
  <c r="L33" i="9" s="1"/>
  <c r="O98" i="9"/>
  <c r="M98" i="9" s="1"/>
  <c r="L98" i="9" s="1"/>
  <c r="O4" i="9"/>
  <c r="M4" i="9" s="1"/>
  <c r="L4" i="9" s="1"/>
  <c r="O12" i="9"/>
  <c r="M12" i="9" s="1"/>
  <c r="L12" i="9" s="1"/>
  <c r="O27" i="9"/>
  <c r="M27" i="9" s="1"/>
  <c r="L27" i="9" s="1"/>
  <c r="O8" i="9"/>
  <c r="M8" i="9" s="1"/>
  <c r="L8" i="9" s="1"/>
  <c r="O41" i="9"/>
  <c r="M41" i="9" s="1"/>
  <c r="L41" i="9" s="1"/>
  <c r="O108" i="9"/>
  <c r="M108" i="9" s="1"/>
  <c r="L108" i="9" s="1"/>
  <c r="O30" i="9"/>
  <c r="M30" i="9" s="1"/>
  <c r="L30" i="9" s="1"/>
  <c r="M49" i="9"/>
  <c r="L49" i="9" s="1"/>
  <c r="O72" i="9"/>
  <c r="M72" i="9" s="1"/>
  <c r="L72" i="9" s="1"/>
  <c r="O91" i="9"/>
  <c r="M91" i="9" s="1"/>
  <c r="L91" i="9" s="1"/>
  <c r="O88" i="9"/>
  <c r="M88" i="9" s="1"/>
  <c r="L88" i="9" s="1"/>
  <c r="O77" i="9"/>
  <c r="M77" i="9" s="1"/>
  <c r="L77" i="9" s="1"/>
  <c r="O113" i="9"/>
  <c r="M113" i="9" s="1"/>
  <c r="L113" i="9" s="1"/>
  <c r="O36" i="9"/>
  <c r="M36" i="9" s="1"/>
  <c r="L36" i="9" s="1"/>
  <c r="O87" i="9"/>
  <c r="M87" i="9" s="1"/>
  <c r="L87" i="9" s="1"/>
  <c r="O130" i="9"/>
  <c r="M130" i="9" s="1"/>
  <c r="L130" i="9" s="1"/>
  <c r="O164" i="9"/>
  <c r="M164" i="9" s="1"/>
  <c r="L164" i="9" s="1"/>
  <c r="O117" i="9"/>
  <c r="M117" i="9" s="1"/>
  <c r="O39" i="9"/>
  <c r="M39" i="9" s="1"/>
  <c r="L39" i="9" s="1"/>
  <c r="O102" i="9"/>
  <c r="M102" i="9" s="1"/>
  <c r="L102" i="9" s="1"/>
  <c r="O141" i="9"/>
  <c r="M141" i="9" s="1"/>
  <c r="L141" i="9" s="1"/>
  <c r="O73" i="9"/>
  <c r="M73" i="9" s="1"/>
  <c r="L73" i="9" s="1"/>
  <c r="O147" i="9"/>
  <c r="M147" i="9" s="1"/>
  <c r="L147" i="9" s="1"/>
  <c r="O156" i="9"/>
  <c r="M156" i="9" s="1"/>
  <c r="L156" i="9" s="1"/>
  <c r="O138" i="9"/>
  <c r="M138" i="9" s="1"/>
  <c r="L138" i="9" s="1"/>
  <c r="AB117" i="9"/>
  <c r="AD117" i="9"/>
  <c r="AC117" i="9"/>
  <c r="AA78" i="9"/>
  <c r="Z78" i="9"/>
  <c r="Y78" i="9"/>
  <c r="U78" i="9"/>
  <c r="T78" i="9"/>
  <c r="A78" i="9"/>
  <c r="AA73" i="9"/>
  <c r="Z73" i="9"/>
  <c r="Y73" i="9"/>
  <c r="V73" i="9"/>
  <c r="U73" i="9"/>
  <c r="T73" i="9"/>
  <c r="A73" i="9"/>
  <c r="AA89" i="9"/>
  <c r="Z89" i="9"/>
  <c r="Y89" i="9"/>
  <c r="V89" i="9"/>
  <c r="U89" i="9"/>
  <c r="T89" i="9"/>
  <c r="A89" i="9"/>
  <c r="N201" i="9" l="1"/>
  <c r="L201" i="9"/>
  <c r="N212" i="9"/>
  <c r="L212" i="9"/>
  <c r="R188" i="9"/>
  <c r="L188" i="9"/>
  <c r="N209" i="9"/>
  <c r="L209" i="9"/>
  <c r="X186" i="9"/>
  <c r="L186" i="9"/>
  <c r="X208" i="9"/>
  <c r="L208" i="9"/>
  <c r="X210" i="9"/>
  <c r="L210" i="9"/>
  <c r="X165" i="9"/>
  <c r="L165" i="9"/>
  <c r="X202" i="9"/>
  <c r="L202" i="9"/>
  <c r="N195" i="9"/>
  <c r="L195" i="9"/>
  <c r="X180" i="9"/>
  <c r="L180" i="9"/>
  <c r="N187" i="9"/>
  <c r="L187" i="9"/>
  <c r="N192" i="9"/>
  <c r="L192" i="9"/>
  <c r="R117" i="9"/>
  <c r="L117" i="9"/>
  <c r="X204" i="9"/>
  <c r="L204" i="9"/>
  <c r="N182" i="9"/>
  <c r="L182" i="9"/>
  <c r="N205" i="9"/>
  <c r="L205" i="9"/>
  <c r="N146" i="9"/>
  <c r="N152" i="9"/>
  <c r="N184" i="9"/>
  <c r="N183" i="9"/>
  <c r="N166" i="9"/>
  <c r="N175" i="9"/>
  <c r="R167" i="9"/>
  <c r="S167" i="9" s="1"/>
  <c r="X167" i="9"/>
  <c r="N167" i="9"/>
  <c r="R165" i="9"/>
  <c r="N188" i="9"/>
  <c r="R152" i="9"/>
  <c r="N165" i="9"/>
  <c r="X152" i="9"/>
  <c r="X188" i="9"/>
  <c r="X175" i="9"/>
  <c r="R182" i="9"/>
  <c r="N143" i="9"/>
  <c r="R175" i="9"/>
  <c r="X143" i="9"/>
  <c r="R146" i="9"/>
  <c r="X146" i="9"/>
  <c r="R143" i="9"/>
  <c r="S143" i="9" s="1"/>
  <c r="X182" i="9"/>
  <c r="X183" i="9"/>
  <c r="R183" i="9"/>
  <c r="R184" i="9"/>
  <c r="X184" i="9"/>
  <c r="N214" i="9"/>
  <c r="R214" i="9"/>
  <c r="S214" i="9" s="1"/>
  <c r="X214" i="9"/>
  <c r="R208" i="9"/>
  <c r="R195" i="9"/>
  <c r="N208" i="9"/>
  <c r="R187" i="9"/>
  <c r="X187" i="9"/>
  <c r="N193" i="9"/>
  <c r="X193" i="9"/>
  <c r="R190" i="9"/>
  <c r="S190" i="9" s="1"/>
  <c r="X192" i="9"/>
  <c r="R192" i="9"/>
  <c r="X190" i="9"/>
  <c r="N210" i="9"/>
  <c r="R193" i="9"/>
  <c r="S193" i="9" s="1"/>
  <c r="R210" i="9"/>
  <c r="R186" i="9"/>
  <c r="N186" i="9"/>
  <c r="R203" i="9"/>
  <c r="S203" i="9" s="1"/>
  <c r="N203" i="9"/>
  <c r="X203" i="9"/>
  <c r="R200" i="9"/>
  <c r="S200" i="9" s="1"/>
  <c r="N200" i="9"/>
  <c r="X212" i="9"/>
  <c r="R212" i="9"/>
  <c r="R185" i="9"/>
  <c r="S185" i="9" s="1"/>
  <c r="R204" i="9"/>
  <c r="N204" i="9"/>
  <c r="X205" i="9"/>
  <c r="X200" i="9"/>
  <c r="N190" i="9"/>
  <c r="X209" i="9"/>
  <c r="N181" i="9"/>
  <c r="R209" i="9"/>
  <c r="R181" i="9"/>
  <c r="S181" i="9" s="1"/>
  <c r="X181" i="9"/>
  <c r="N185" i="9"/>
  <c r="X195" i="9"/>
  <c r="R205" i="9"/>
  <c r="N202" i="9"/>
  <c r="R202" i="9"/>
  <c r="X185" i="9"/>
  <c r="R213" i="9"/>
  <c r="S213" i="9" s="1"/>
  <c r="R201" i="9"/>
  <c r="X201" i="9"/>
  <c r="N213" i="9"/>
  <c r="X213" i="9"/>
  <c r="N180" i="9"/>
  <c r="R180" i="9"/>
  <c r="R163" i="9"/>
  <c r="N163" i="9"/>
  <c r="X163" i="9"/>
  <c r="X179" i="9"/>
  <c r="R179" i="9"/>
  <c r="R206" i="9"/>
  <c r="X206" i="9"/>
  <c r="N179" i="9"/>
  <c r="R211" i="9"/>
  <c r="X211" i="9"/>
  <c r="N211" i="9"/>
  <c r="N191" i="9"/>
  <c r="X191" i="9"/>
  <c r="R191" i="9"/>
  <c r="X207" i="9"/>
  <c r="R207" i="9"/>
  <c r="N207" i="9"/>
  <c r="N206" i="9"/>
  <c r="R166" i="9"/>
  <c r="X166" i="9"/>
  <c r="O131" i="9"/>
  <c r="M131" i="9" s="1"/>
  <c r="L131" i="9" s="1"/>
  <c r="O109" i="9"/>
  <c r="M109" i="9" s="1"/>
  <c r="L109" i="9" s="1"/>
  <c r="O67" i="9"/>
  <c r="M67" i="9" s="1"/>
  <c r="L67" i="9" s="1"/>
  <c r="O135" i="9"/>
  <c r="M135" i="9" s="1"/>
  <c r="L135" i="9" s="1"/>
  <c r="O129" i="9"/>
  <c r="M129" i="9" s="1"/>
  <c r="L129" i="9" s="1"/>
  <c r="O78" i="9"/>
  <c r="M78" i="9" s="1"/>
  <c r="L78" i="9" s="1"/>
  <c r="O122" i="9"/>
  <c r="M122" i="9" s="1"/>
  <c r="L122" i="9" s="1"/>
  <c r="O104" i="9"/>
  <c r="M104" i="9" s="1"/>
  <c r="L104" i="9" s="1"/>
  <c r="O81" i="9"/>
  <c r="M81" i="9" s="1"/>
  <c r="L81" i="9" s="1"/>
  <c r="M56" i="9"/>
  <c r="L56" i="9" s="1"/>
  <c r="O96" i="9"/>
  <c r="M96" i="9" s="1"/>
  <c r="L96" i="9" s="1"/>
  <c r="O76" i="9"/>
  <c r="M76" i="9" s="1"/>
  <c r="L76" i="9" s="1"/>
  <c r="O74" i="9"/>
  <c r="M74" i="9" s="1"/>
  <c r="L74" i="9" s="1"/>
  <c r="O144" i="9"/>
  <c r="M144" i="9" s="1"/>
  <c r="L144" i="9" s="1"/>
  <c r="O100" i="9"/>
  <c r="M100" i="9" s="1"/>
  <c r="L100" i="9" s="1"/>
  <c r="O66" i="9"/>
  <c r="M66" i="9" s="1"/>
  <c r="L66" i="9" s="1"/>
  <c r="O118" i="9"/>
  <c r="M118" i="9" s="1"/>
  <c r="L118" i="9" s="1"/>
  <c r="M177" i="9"/>
  <c r="L177" i="9" s="1"/>
  <c r="M58" i="9"/>
  <c r="L58" i="9" s="1"/>
  <c r="M64" i="9"/>
  <c r="L64" i="9" s="1"/>
  <c r="M47" i="9"/>
  <c r="L47" i="9" s="1"/>
  <c r="O94" i="9"/>
  <c r="M94" i="9" s="1"/>
  <c r="L94" i="9" s="1"/>
  <c r="AC177" i="9"/>
  <c r="O95" i="9"/>
  <c r="M95" i="9" s="1"/>
  <c r="L95" i="9" s="1"/>
  <c r="O37" i="9"/>
  <c r="M37" i="9" s="1"/>
  <c r="L37" i="9" s="1"/>
  <c r="O69" i="9"/>
  <c r="M69" i="9" s="1"/>
  <c r="L69" i="9" s="1"/>
  <c r="O68" i="9"/>
  <c r="M68" i="9" s="1"/>
  <c r="L68" i="9" s="1"/>
  <c r="O97" i="9"/>
  <c r="M97" i="9" s="1"/>
  <c r="L97" i="9" s="1"/>
  <c r="M153" i="9"/>
  <c r="L153" i="9" s="1"/>
  <c r="O125" i="9"/>
  <c r="M125" i="9" s="1"/>
  <c r="L125" i="9" s="1"/>
  <c r="O110" i="9"/>
  <c r="M110" i="9" s="1"/>
  <c r="L110" i="9" s="1"/>
  <c r="O149" i="9"/>
  <c r="M149" i="9" s="1"/>
  <c r="L149" i="9" s="1"/>
  <c r="O83" i="9"/>
  <c r="M83" i="9" s="1"/>
  <c r="L83" i="9" s="1"/>
  <c r="O148" i="9"/>
  <c r="M148" i="9" s="1"/>
  <c r="L148" i="9" s="1"/>
  <c r="AB177" i="9"/>
  <c r="M174" i="9"/>
  <c r="L174" i="9" s="1"/>
  <c r="O79" i="9"/>
  <c r="M79" i="9" s="1"/>
  <c r="L79" i="9" s="1"/>
  <c r="O115" i="9"/>
  <c r="M115" i="9" s="1"/>
  <c r="L115" i="9" s="1"/>
  <c r="M44" i="9"/>
  <c r="L44" i="9" s="1"/>
  <c r="O2" i="9"/>
  <c r="M2" i="9" s="1"/>
  <c r="L2" i="9" s="1"/>
  <c r="M60" i="9"/>
  <c r="L60" i="9" s="1"/>
  <c r="O112" i="9"/>
  <c r="M112" i="9" s="1"/>
  <c r="L112" i="9" s="1"/>
  <c r="M63" i="9"/>
  <c r="L63" i="9" s="1"/>
  <c r="O119" i="9"/>
  <c r="M119" i="9" s="1"/>
  <c r="L119" i="9" s="1"/>
  <c r="O84" i="9"/>
  <c r="M84" i="9" s="1"/>
  <c r="L84" i="9" s="1"/>
  <c r="O10" i="9"/>
  <c r="M10" i="9" s="1"/>
  <c r="L10" i="9" s="1"/>
  <c r="O82" i="9"/>
  <c r="M82" i="9" s="1"/>
  <c r="L82" i="9" s="1"/>
  <c r="O107" i="9"/>
  <c r="M107" i="9" s="1"/>
  <c r="L107" i="9" s="1"/>
  <c r="O85" i="9"/>
  <c r="M85" i="9" s="1"/>
  <c r="L85" i="9" s="1"/>
  <c r="O158" i="9"/>
  <c r="M158" i="9" s="1"/>
  <c r="L158" i="9" s="1"/>
  <c r="AE177" i="9"/>
  <c r="O140" i="9"/>
  <c r="M140" i="9" s="1"/>
  <c r="L140" i="9" s="1"/>
  <c r="AD177" i="9"/>
  <c r="O99" i="9"/>
  <c r="M99" i="9" s="1"/>
  <c r="L99" i="9" s="1"/>
  <c r="M57" i="9"/>
  <c r="L57" i="9" s="1"/>
  <c r="O80" i="9"/>
  <c r="M80" i="9" s="1"/>
  <c r="L80" i="9" s="1"/>
  <c r="I177" i="9"/>
  <c r="K177" i="9" s="1"/>
  <c r="O128" i="9"/>
  <c r="M128" i="9" s="1"/>
  <c r="L128" i="9" s="1"/>
  <c r="O92" i="9"/>
  <c r="M92" i="9" s="1"/>
  <c r="L92" i="9" s="1"/>
  <c r="O116" i="9"/>
  <c r="M116" i="9" s="1"/>
  <c r="L116" i="9" s="1"/>
  <c r="O145" i="9"/>
  <c r="M145" i="9" s="1"/>
  <c r="L145" i="9" s="1"/>
  <c r="O70" i="9"/>
  <c r="M70" i="9" s="1"/>
  <c r="L70" i="9" s="1"/>
  <c r="O105" i="9"/>
  <c r="M105" i="9" s="1"/>
  <c r="L105" i="9" s="1"/>
  <c r="O126" i="9"/>
  <c r="M126" i="9" s="1"/>
  <c r="L126" i="9" s="1"/>
  <c r="O151" i="9"/>
  <c r="M151" i="9" s="1"/>
  <c r="L151" i="9" s="1"/>
  <c r="O75" i="9"/>
  <c r="M75" i="9" s="1"/>
  <c r="L75" i="9" s="1"/>
  <c r="O18" i="9"/>
  <c r="M18" i="9" s="1"/>
  <c r="L18" i="9" s="1"/>
  <c r="O89" i="9"/>
  <c r="M89" i="9" s="1"/>
  <c r="L89" i="9" s="1"/>
  <c r="O17" i="9"/>
  <c r="M17" i="9" s="1"/>
  <c r="L17" i="9" s="1"/>
  <c r="O172" i="9"/>
  <c r="M172" i="9" s="1"/>
  <c r="L172" i="9" s="1"/>
  <c r="O103" i="9"/>
  <c r="M103" i="9" s="1"/>
  <c r="L103" i="9" s="1"/>
  <c r="O111" i="9"/>
  <c r="M111" i="9" s="1"/>
  <c r="L111" i="9" s="1"/>
  <c r="M46" i="9"/>
  <c r="L46" i="9" s="1"/>
  <c r="O25" i="9"/>
  <c r="M25" i="9" s="1"/>
  <c r="L25" i="9" s="1"/>
  <c r="O28" i="9"/>
  <c r="M28" i="9" s="1"/>
  <c r="L28" i="9" s="1"/>
  <c r="O23" i="9"/>
  <c r="M23" i="9" s="1"/>
  <c r="L23" i="9" s="1"/>
  <c r="O5" i="9"/>
  <c r="M5" i="9" s="1"/>
  <c r="L5" i="9" s="1"/>
  <c r="O20" i="9"/>
  <c r="M20" i="9" s="1"/>
  <c r="L20" i="9" s="1"/>
  <c r="O21" i="9"/>
  <c r="M21" i="9" s="1"/>
  <c r="L21" i="9" s="1"/>
  <c r="O14" i="9"/>
  <c r="M14" i="9" s="1"/>
  <c r="L14" i="9" s="1"/>
  <c r="O42" i="9"/>
  <c r="M42" i="9" s="1"/>
  <c r="L42" i="9" s="1"/>
  <c r="O11" i="9"/>
  <c r="M11" i="9" s="1"/>
  <c r="L11" i="9" s="1"/>
  <c r="O29" i="9"/>
  <c r="M29" i="9" s="1"/>
  <c r="O24" i="9"/>
  <c r="M24" i="9" s="1"/>
  <c r="L24" i="9" s="1"/>
  <c r="O32" i="9"/>
  <c r="M32" i="9" s="1"/>
  <c r="L32" i="9" s="1"/>
  <c r="O114" i="9"/>
  <c r="M114" i="9" s="1"/>
  <c r="L114" i="9" s="1"/>
  <c r="M52" i="9"/>
  <c r="L52" i="9" s="1"/>
  <c r="O31" i="9"/>
  <c r="M31" i="9" s="1"/>
  <c r="L31" i="9" s="1"/>
  <c r="O34" i="9"/>
  <c r="M34" i="9" s="1"/>
  <c r="L34" i="9" s="1"/>
  <c r="M61" i="9"/>
  <c r="L61" i="9" s="1"/>
  <c r="M50" i="9"/>
  <c r="L50" i="9" s="1"/>
  <c r="M59" i="9"/>
  <c r="L59" i="9" s="1"/>
  <c r="O22" i="9"/>
  <c r="M22" i="9" s="1"/>
  <c r="L22" i="9" s="1"/>
  <c r="O13" i="9"/>
  <c r="M13" i="9" s="1"/>
  <c r="L13" i="9" s="1"/>
  <c r="M48" i="9"/>
  <c r="L48" i="9" s="1"/>
  <c r="M51" i="9"/>
  <c r="L51" i="9" s="1"/>
  <c r="O101" i="9"/>
  <c r="M101" i="9" s="1"/>
  <c r="L101" i="9" s="1"/>
  <c r="O38" i="9"/>
  <c r="M38" i="9" s="1"/>
  <c r="L38" i="9" s="1"/>
  <c r="M54" i="9"/>
  <c r="L54" i="9" s="1"/>
  <c r="M45" i="9"/>
  <c r="L45" i="9" s="1"/>
  <c r="O90" i="9"/>
  <c r="M90" i="9" s="1"/>
  <c r="L90" i="9" s="1"/>
  <c r="M65" i="9"/>
  <c r="L65" i="9" s="1"/>
  <c r="O169" i="9"/>
  <c r="M169" i="9" s="1"/>
  <c r="L169" i="9" s="1"/>
  <c r="O124" i="9"/>
  <c r="M124" i="9" s="1"/>
  <c r="L124" i="9" s="1"/>
  <c r="O176" i="9"/>
  <c r="M176" i="9" s="1"/>
  <c r="L176" i="9" s="1"/>
  <c r="O199" i="9"/>
  <c r="M199" i="9" s="1"/>
  <c r="L199" i="9" s="1"/>
  <c r="O150" i="9"/>
  <c r="M150" i="9" s="1"/>
  <c r="L150" i="9" s="1"/>
  <c r="O160" i="9"/>
  <c r="M160" i="9" s="1"/>
  <c r="L160" i="9" s="1"/>
  <c r="O139" i="9"/>
  <c r="M139" i="9" s="1"/>
  <c r="L139" i="9" s="1"/>
  <c r="O123" i="9"/>
  <c r="M123" i="9" s="1"/>
  <c r="L123" i="9" s="1"/>
  <c r="O197" i="9"/>
  <c r="M197" i="9" s="1"/>
  <c r="L197" i="9" s="1"/>
  <c r="O142" i="9"/>
  <c r="M142" i="9" s="1"/>
  <c r="L142" i="9" s="1"/>
  <c r="O194" i="9"/>
  <c r="M194" i="9" s="1"/>
  <c r="L194" i="9" s="1"/>
  <c r="O198" i="9"/>
  <c r="M198" i="9" s="1"/>
  <c r="L198" i="9" s="1"/>
  <c r="O189" i="9"/>
  <c r="M189" i="9" s="1"/>
  <c r="L189" i="9" s="1"/>
  <c r="O154" i="9"/>
  <c r="M154" i="9" s="1"/>
  <c r="L154" i="9" s="1"/>
  <c r="O173" i="9"/>
  <c r="M173" i="9" s="1"/>
  <c r="L173" i="9" s="1"/>
  <c r="O136" i="9"/>
  <c r="M136" i="9" s="1"/>
  <c r="L136" i="9" s="1"/>
  <c r="O155" i="9"/>
  <c r="M155" i="9" s="1"/>
  <c r="L155" i="9" s="1"/>
  <c r="O137" i="9"/>
  <c r="M137" i="9" s="1"/>
  <c r="L137" i="9" s="1"/>
  <c r="O106" i="9"/>
  <c r="M106" i="9" s="1"/>
  <c r="L106" i="9" s="1"/>
  <c r="O170" i="9"/>
  <c r="M170" i="9" s="1"/>
  <c r="L170" i="9" s="1"/>
  <c r="O178" i="9"/>
  <c r="M178" i="9" s="1"/>
  <c r="L178" i="9" s="1"/>
  <c r="O134" i="9"/>
  <c r="M134" i="9" s="1"/>
  <c r="L134" i="9" s="1"/>
  <c r="O159" i="9"/>
  <c r="M159" i="9" s="1"/>
  <c r="L159" i="9" s="1"/>
  <c r="O162" i="9"/>
  <c r="M162" i="9" s="1"/>
  <c r="L162" i="9" s="1"/>
  <c r="O196" i="9"/>
  <c r="M196" i="9" s="1"/>
  <c r="L196" i="9" s="1"/>
  <c r="AE173" i="9"/>
  <c r="I173" i="9"/>
  <c r="K173" i="9" s="1"/>
  <c r="AC173" i="9"/>
  <c r="AD173" i="9"/>
  <c r="AB173" i="9"/>
  <c r="AB199" i="9"/>
  <c r="AD199" i="9"/>
  <c r="AE199" i="9"/>
  <c r="I199" i="9"/>
  <c r="K199" i="9" s="1"/>
  <c r="AC199" i="9"/>
  <c r="AE170" i="9"/>
  <c r="I170" i="9"/>
  <c r="K170" i="9" s="1"/>
  <c r="AB170" i="9"/>
  <c r="AC170" i="9"/>
  <c r="AD170" i="9"/>
  <c r="AD150" i="9"/>
  <c r="AE150" i="9"/>
  <c r="AB150" i="9"/>
  <c r="AC150" i="9"/>
  <c r="I150" i="9"/>
  <c r="K150" i="9" s="1"/>
  <c r="AE169" i="9"/>
  <c r="I169" i="9"/>
  <c r="K169" i="9" s="1"/>
  <c r="AB169" i="9"/>
  <c r="AC169" i="9"/>
  <c r="AD169" i="9"/>
  <c r="AE172" i="9"/>
  <c r="I172" i="9"/>
  <c r="K172" i="9" s="1"/>
  <c r="AB172" i="9"/>
  <c r="AD172" i="9"/>
  <c r="AC172" i="9"/>
  <c r="AC124" i="9"/>
  <c r="AD124" i="9"/>
  <c r="I124" i="9"/>
  <c r="K124" i="9" s="1"/>
  <c r="AE124" i="9"/>
  <c r="AB124" i="9"/>
  <c r="X117" i="9"/>
  <c r="V78" i="9"/>
  <c r="U86" i="9"/>
  <c r="V86" i="9"/>
  <c r="T86" i="9"/>
  <c r="AA18" i="9"/>
  <c r="Z18" i="9"/>
  <c r="Y18" i="9"/>
  <c r="V18" i="9"/>
  <c r="U18" i="9"/>
  <c r="T18" i="9"/>
  <c r="A18" i="9"/>
  <c r="AA30" i="9"/>
  <c r="Z30" i="9"/>
  <c r="Y30" i="9"/>
  <c r="V30" i="9"/>
  <c r="U30" i="9"/>
  <c r="T30" i="9"/>
  <c r="A30" i="9"/>
  <c r="AA12" i="9"/>
  <c r="Z12" i="9"/>
  <c r="Y12" i="9"/>
  <c r="V12" i="9"/>
  <c r="U12" i="9"/>
  <c r="T12" i="9"/>
  <c r="A12" i="9"/>
  <c r="AA23" i="9"/>
  <c r="Z23" i="9"/>
  <c r="Y23" i="9"/>
  <c r="V23" i="9"/>
  <c r="U23" i="9"/>
  <c r="T23" i="9"/>
  <c r="A23" i="9"/>
  <c r="AA2" i="9"/>
  <c r="Z2" i="9"/>
  <c r="Y2" i="9"/>
  <c r="V2" i="9"/>
  <c r="U2" i="9"/>
  <c r="T2" i="9"/>
  <c r="A2" i="9"/>
  <c r="S117" i="9" l="1"/>
  <c r="S188" i="9"/>
  <c r="S187" i="9"/>
  <c r="S152" i="9"/>
  <c r="S165" i="9"/>
  <c r="S201" i="9"/>
  <c r="S183" i="9"/>
  <c r="S146" i="9"/>
  <c r="S205" i="9"/>
  <c r="S182" i="9"/>
  <c r="S175" i="9"/>
  <c r="S184" i="9"/>
  <c r="S208" i="9"/>
  <c r="S195" i="9"/>
  <c r="S210" i="9"/>
  <c r="S192" i="9"/>
  <c r="S212" i="9"/>
  <c r="S186" i="9"/>
  <c r="S204" i="9"/>
  <c r="S209" i="9"/>
  <c r="S202" i="9"/>
  <c r="S180" i="9"/>
  <c r="S207" i="9"/>
  <c r="S191" i="9"/>
  <c r="S179" i="9"/>
  <c r="S166" i="9"/>
  <c r="S206" i="9"/>
  <c r="S163" i="9"/>
  <c r="S211" i="9"/>
  <c r="X177" i="9"/>
  <c r="N117" i="9"/>
  <c r="N177" i="9"/>
  <c r="R177" i="9"/>
  <c r="X173" i="9"/>
  <c r="R173" i="9"/>
  <c r="N173" i="9"/>
  <c r="N199" i="9"/>
  <c r="X199" i="9"/>
  <c r="R199" i="9"/>
  <c r="S199" i="9" s="1"/>
  <c r="N172" i="9"/>
  <c r="X172" i="9"/>
  <c r="R172" i="9"/>
  <c r="S172" i="9" s="1"/>
  <c r="N170" i="9"/>
  <c r="N150" i="9"/>
  <c r="R150" i="9"/>
  <c r="S150" i="9" s="1"/>
  <c r="X150" i="9"/>
  <c r="X169" i="9"/>
  <c r="R169" i="9"/>
  <c r="N124" i="9"/>
  <c r="N169" i="9"/>
  <c r="X124" i="9"/>
  <c r="R124" i="9"/>
  <c r="S124" i="9" s="1"/>
  <c r="R170" i="9"/>
  <c r="S170" i="9" s="1"/>
  <c r="X170" i="9"/>
  <c r="T125" i="9"/>
  <c r="U125" i="9"/>
  <c r="V125" i="9"/>
  <c r="Y125" i="9"/>
  <c r="Z125" i="9"/>
  <c r="AA125" i="9"/>
  <c r="T141" i="9"/>
  <c r="U141" i="9"/>
  <c r="V141" i="9"/>
  <c r="Y141" i="9"/>
  <c r="Z141" i="9"/>
  <c r="AA141" i="9"/>
  <c r="T174" i="9"/>
  <c r="U174" i="9"/>
  <c r="V174" i="9"/>
  <c r="Y174" i="9"/>
  <c r="Z174" i="9"/>
  <c r="AA174" i="9"/>
  <c r="T114" i="9"/>
  <c r="U114" i="9"/>
  <c r="V114" i="9"/>
  <c r="Y114" i="9"/>
  <c r="Z114" i="9"/>
  <c r="AA114" i="9"/>
  <c r="T123" i="9"/>
  <c r="U123" i="9"/>
  <c r="V123" i="9"/>
  <c r="Y123" i="9"/>
  <c r="Z123" i="9"/>
  <c r="AA123" i="9"/>
  <c r="T136" i="9"/>
  <c r="U136" i="9"/>
  <c r="V136" i="9"/>
  <c r="Y136" i="9"/>
  <c r="Z136" i="9"/>
  <c r="AA136" i="9"/>
  <c r="T137" i="9"/>
  <c r="U137" i="9"/>
  <c r="V137" i="9"/>
  <c r="Y137" i="9"/>
  <c r="Z137" i="9"/>
  <c r="AA137" i="9"/>
  <c r="T134" i="9"/>
  <c r="U134" i="9"/>
  <c r="V134" i="9"/>
  <c r="Y134" i="9"/>
  <c r="Z134" i="9"/>
  <c r="AA134" i="9"/>
  <c r="T142" i="9"/>
  <c r="U142" i="9"/>
  <c r="V142" i="9"/>
  <c r="Y142" i="9"/>
  <c r="Z142" i="9"/>
  <c r="AA142" i="9"/>
  <c r="T159" i="9"/>
  <c r="U159" i="9"/>
  <c r="V159" i="9"/>
  <c r="Y159" i="9"/>
  <c r="Z159" i="9"/>
  <c r="AA159" i="9"/>
  <c r="T176" i="9"/>
  <c r="U176" i="9"/>
  <c r="V176" i="9"/>
  <c r="Y176" i="9"/>
  <c r="Z176" i="9"/>
  <c r="AA176" i="9"/>
  <c r="T189" i="9"/>
  <c r="U189" i="9"/>
  <c r="V189" i="9"/>
  <c r="Y189" i="9"/>
  <c r="Z189" i="9"/>
  <c r="AA189" i="9"/>
  <c r="T194" i="9"/>
  <c r="U194" i="9"/>
  <c r="V194" i="9"/>
  <c r="Y194" i="9"/>
  <c r="Z194" i="9"/>
  <c r="AA194" i="9"/>
  <c r="T106" i="9"/>
  <c r="U106" i="9"/>
  <c r="V106" i="9"/>
  <c r="Y106" i="9"/>
  <c r="Z106" i="9"/>
  <c r="AA106" i="9"/>
  <c r="T178" i="9"/>
  <c r="U178" i="9"/>
  <c r="V178" i="9"/>
  <c r="Y178" i="9"/>
  <c r="Z178" i="9"/>
  <c r="AA178" i="9"/>
  <c r="T160" i="9"/>
  <c r="U160" i="9"/>
  <c r="V160" i="9"/>
  <c r="Y160" i="9"/>
  <c r="Z160" i="9"/>
  <c r="AA160" i="9"/>
  <c r="T133" i="9"/>
  <c r="U133" i="9"/>
  <c r="V133" i="9"/>
  <c r="Y133" i="9"/>
  <c r="Z133" i="9"/>
  <c r="AA133" i="9"/>
  <c r="T196" i="9"/>
  <c r="U196" i="9"/>
  <c r="V196" i="9"/>
  <c r="Y196" i="9"/>
  <c r="Z196" i="9"/>
  <c r="AA196" i="9"/>
  <c r="T197" i="9"/>
  <c r="U197" i="9"/>
  <c r="V197" i="9"/>
  <c r="Y197" i="9"/>
  <c r="Z197" i="9"/>
  <c r="AA197" i="9"/>
  <c r="T130" i="9"/>
  <c r="U130" i="9"/>
  <c r="V130" i="9"/>
  <c r="Y130" i="9"/>
  <c r="Z130" i="9"/>
  <c r="AA130" i="9"/>
  <c r="T198" i="9"/>
  <c r="U198" i="9"/>
  <c r="V198" i="9"/>
  <c r="Y198" i="9"/>
  <c r="Z198" i="9"/>
  <c r="AA198" i="9"/>
  <c r="T154" i="9"/>
  <c r="U154" i="9"/>
  <c r="V154" i="9"/>
  <c r="Y154" i="9"/>
  <c r="Z154" i="9"/>
  <c r="AA154" i="9"/>
  <c r="T162" i="9"/>
  <c r="U162" i="9"/>
  <c r="V162" i="9"/>
  <c r="Y162" i="9"/>
  <c r="Z162" i="9"/>
  <c r="AA162" i="9"/>
  <c r="A125" i="9"/>
  <c r="A141" i="9"/>
  <c r="A174" i="9"/>
  <c r="A114" i="9"/>
  <c r="A123" i="9"/>
  <c r="A136" i="9"/>
  <c r="A137" i="9"/>
  <c r="A134" i="9"/>
  <c r="A142" i="9"/>
  <c r="A159" i="9"/>
  <c r="A176" i="9"/>
  <c r="A189" i="9"/>
  <c r="A194" i="9"/>
  <c r="A106" i="9"/>
  <c r="A178" i="9"/>
  <c r="A160" i="9"/>
  <c r="A133" i="9"/>
  <c r="A196" i="9"/>
  <c r="A197" i="9"/>
  <c r="A130" i="9"/>
  <c r="A198" i="9"/>
  <c r="A154" i="9"/>
  <c r="A162" i="9"/>
  <c r="E170" i="14"/>
  <c r="E173" i="14"/>
  <c r="E186" i="14"/>
  <c r="E188" i="14"/>
  <c r="E189" i="14"/>
  <c r="E190" i="14"/>
  <c r="E191" i="14"/>
  <c r="E174" i="14"/>
  <c r="E171" i="14"/>
  <c r="E192" i="14"/>
  <c r="E193" i="14"/>
  <c r="E194" i="14"/>
  <c r="E195" i="14"/>
  <c r="E196" i="14"/>
  <c r="E187" i="14"/>
  <c r="F184" i="14"/>
  <c r="F170" i="14"/>
  <c r="F173" i="14"/>
  <c r="F185" i="14"/>
  <c r="F186" i="14"/>
  <c r="F187" i="14"/>
  <c r="F188" i="14"/>
  <c r="F189" i="14"/>
  <c r="F190" i="14"/>
  <c r="F191" i="14"/>
  <c r="F174" i="14"/>
  <c r="F171" i="14"/>
  <c r="F192" i="14"/>
  <c r="F193" i="14"/>
  <c r="F194" i="14"/>
  <c r="F195" i="14"/>
  <c r="F196" i="14"/>
  <c r="S177" i="9" l="1"/>
  <c r="S173" i="9"/>
  <c r="S169" i="9"/>
  <c r="E184" i="14"/>
  <c r="E185" i="14"/>
  <c r="AA156" i="9"/>
  <c r="Z156" i="9"/>
  <c r="Y156" i="9"/>
  <c r="V156" i="9"/>
  <c r="U156" i="9"/>
  <c r="T156" i="9"/>
  <c r="AA171" i="9"/>
  <c r="Z171" i="9"/>
  <c r="Y171" i="9"/>
  <c r="V171" i="9"/>
  <c r="U171" i="9"/>
  <c r="T171" i="9"/>
  <c r="AA122" i="9"/>
  <c r="Z122" i="9"/>
  <c r="Y122" i="9"/>
  <c r="V122" i="9"/>
  <c r="U122" i="9"/>
  <c r="T122" i="9"/>
  <c r="AA153" i="9"/>
  <c r="Z153" i="9"/>
  <c r="Y153" i="9"/>
  <c r="V153" i="9"/>
  <c r="U153" i="9"/>
  <c r="T153" i="9"/>
  <c r="A153" i="9"/>
  <c r="A122" i="9"/>
  <c r="A171" i="9"/>
  <c r="A156" i="9"/>
  <c r="I168" i="9" l="1"/>
  <c r="I123" i="9"/>
  <c r="K123" i="9" s="1"/>
  <c r="I162" i="9"/>
  <c r="I194" i="9"/>
  <c r="K194" i="9" s="1"/>
  <c r="I196" i="9"/>
  <c r="K196" i="9" s="1"/>
  <c r="I153" i="9"/>
  <c r="I116" i="9"/>
  <c r="I121" i="9"/>
  <c r="I74" i="9"/>
  <c r="I154" i="9"/>
  <c r="K154" i="9" s="1"/>
  <c r="I157" i="9"/>
  <c r="I164" i="9"/>
  <c r="I131" i="9"/>
  <c r="I129" i="9"/>
  <c r="I99" i="9"/>
  <c r="I134" i="9"/>
  <c r="K134" i="9" s="1"/>
  <c r="I140" i="9"/>
  <c r="I197" i="9"/>
  <c r="K197" i="9" s="1"/>
  <c r="I144" i="9"/>
  <c r="I156" i="9"/>
  <c r="I198" i="9"/>
  <c r="I136" i="9"/>
  <c r="K136" i="9" s="1"/>
  <c r="I155" i="9"/>
  <c r="I142" i="9"/>
  <c r="I174" i="9"/>
  <c r="I110" i="9"/>
  <c r="I160" i="9"/>
  <c r="I171" i="9"/>
  <c r="I122" i="9"/>
  <c r="I133" i="9"/>
  <c r="I159" i="9"/>
  <c r="I141" i="9"/>
  <c r="I106" i="9"/>
  <c r="K106" i="9" s="1"/>
  <c r="I189" i="9"/>
  <c r="K189" i="9" s="1"/>
  <c r="I130" i="9"/>
  <c r="K130" i="9" s="1"/>
  <c r="I107" i="9"/>
  <c r="T43" i="9"/>
  <c r="U43" i="9"/>
  <c r="V43" i="9"/>
  <c r="Y43" i="9"/>
  <c r="Z43" i="9"/>
  <c r="AA43" i="9"/>
  <c r="T82" i="9"/>
  <c r="U82" i="9"/>
  <c r="V82" i="9"/>
  <c r="Y82" i="9"/>
  <c r="Z82" i="9"/>
  <c r="AA82" i="9"/>
  <c r="T98" i="9"/>
  <c r="U98" i="9"/>
  <c r="V98" i="9"/>
  <c r="Y98" i="9"/>
  <c r="Z98" i="9"/>
  <c r="AA98" i="9"/>
  <c r="T109" i="9"/>
  <c r="U109" i="9"/>
  <c r="V109" i="9"/>
  <c r="Y109" i="9"/>
  <c r="Z109" i="9"/>
  <c r="AA109" i="9"/>
  <c r="T144" i="9"/>
  <c r="U144" i="9"/>
  <c r="V144" i="9"/>
  <c r="Y144" i="9"/>
  <c r="Z144" i="9"/>
  <c r="AA144" i="9"/>
  <c r="T126" i="9"/>
  <c r="U126" i="9"/>
  <c r="V126" i="9"/>
  <c r="Y126" i="9"/>
  <c r="Z126" i="9"/>
  <c r="AA126" i="9"/>
  <c r="T127" i="9"/>
  <c r="U127" i="9"/>
  <c r="V127" i="9"/>
  <c r="Y127" i="9"/>
  <c r="Z127" i="9"/>
  <c r="AA127" i="9"/>
  <c r="T79" i="9"/>
  <c r="U79" i="9"/>
  <c r="V79" i="9"/>
  <c r="Y79" i="9"/>
  <c r="Z79" i="9"/>
  <c r="AA79" i="9"/>
  <c r="T115" i="9"/>
  <c r="U115" i="9"/>
  <c r="V115" i="9"/>
  <c r="Y115" i="9"/>
  <c r="Z115" i="9"/>
  <c r="AA115" i="9"/>
  <c r="T118" i="9"/>
  <c r="U118" i="9"/>
  <c r="V118" i="9"/>
  <c r="Y118" i="9"/>
  <c r="Z118" i="9"/>
  <c r="AA118" i="9"/>
  <c r="T145" i="9"/>
  <c r="U145" i="9"/>
  <c r="V145" i="9"/>
  <c r="Y145" i="9"/>
  <c r="Z145" i="9"/>
  <c r="AA145" i="9"/>
  <c r="T121" i="9"/>
  <c r="U121" i="9"/>
  <c r="V121" i="9"/>
  <c r="Y121" i="9"/>
  <c r="Z121" i="9"/>
  <c r="AA121" i="9"/>
  <c r="T168" i="9"/>
  <c r="U168" i="9"/>
  <c r="V168" i="9"/>
  <c r="Y168" i="9"/>
  <c r="Z168" i="9"/>
  <c r="AA168" i="9"/>
  <c r="T120" i="9"/>
  <c r="U120" i="9"/>
  <c r="V120" i="9"/>
  <c r="Y120" i="9"/>
  <c r="Z120" i="9"/>
  <c r="AA120" i="9"/>
  <c r="T148" i="9"/>
  <c r="U148" i="9"/>
  <c r="V148" i="9"/>
  <c r="Y148" i="9"/>
  <c r="Z148" i="9"/>
  <c r="AA148" i="9"/>
  <c r="T131" i="9"/>
  <c r="U131" i="9"/>
  <c r="V131" i="9"/>
  <c r="Y131" i="9"/>
  <c r="Z131" i="9"/>
  <c r="AA131" i="9"/>
  <c r="T155" i="9"/>
  <c r="U155" i="9"/>
  <c r="V155" i="9"/>
  <c r="Y155" i="9"/>
  <c r="Z155" i="9"/>
  <c r="AA155" i="9"/>
  <c r="T140" i="9"/>
  <c r="U140" i="9"/>
  <c r="V140" i="9"/>
  <c r="Y140" i="9"/>
  <c r="Z140" i="9"/>
  <c r="AA140" i="9"/>
  <c r="T113" i="9"/>
  <c r="U113" i="9"/>
  <c r="V113" i="9"/>
  <c r="Y113" i="9"/>
  <c r="Z113" i="9"/>
  <c r="AA113" i="9"/>
  <c r="T147" i="9"/>
  <c r="U147" i="9"/>
  <c r="V147" i="9"/>
  <c r="Y147" i="9"/>
  <c r="Z147" i="9"/>
  <c r="AA147" i="9"/>
  <c r="T129" i="9"/>
  <c r="U129" i="9"/>
  <c r="V129" i="9"/>
  <c r="Y129" i="9"/>
  <c r="Z129" i="9"/>
  <c r="AA129" i="9"/>
  <c r="T135" i="9"/>
  <c r="U135" i="9"/>
  <c r="V135" i="9"/>
  <c r="Y135" i="9"/>
  <c r="Z135" i="9"/>
  <c r="AA135" i="9"/>
  <c r="T161" i="9"/>
  <c r="U161" i="9"/>
  <c r="V161" i="9"/>
  <c r="Y161" i="9"/>
  <c r="Z161" i="9"/>
  <c r="AA161" i="9"/>
  <c r="T138" i="9"/>
  <c r="U138" i="9"/>
  <c r="V138" i="9"/>
  <c r="Y138" i="9"/>
  <c r="Z138" i="9"/>
  <c r="AA138" i="9"/>
  <c r="T132" i="9"/>
  <c r="U132" i="9"/>
  <c r="V132" i="9"/>
  <c r="Y132" i="9"/>
  <c r="Z132" i="9"/>
  <c r="AA132" i="9"/>
  <c r="T139" i="9"/>
  <c r="U139" i="9"/>
  <c r="V139" i="9"/>
  <c r="Y139" i="9"/>
  <c r="Z139" i="9"/>
  <c r="AA139" i="9"/>
  <c r="T100" i="9"/>
  <c r="U100" i="9"/>
  <c r="V100" i="9"/>
  <c r="Y100" i="9"/>
  <c r="Z100" i="9"/>
  <c r="AA100" i="9"/>
  <c r="A43" i="9"/>
  <c r="A82" i="9"/>
  <c r="A98" i="9"/>
  <c r="A109" i="9"/>
  <c r="A144" i="9"/>
  <c r="A126" i="9"/>
  <c r="A127" i="9"/>
  <c r="A79" i="9"/>
  <c r="A115" i="9"/>
  <c r="A118" i="9"/>
  <c r="A145" i="9"/>
  <c r="A121" i="9"/>
  <c r="A168" i="9"/>
  <c r="A120" i="9"/>
  <c r="A148" i="9"/>
  <c r="A131" i="9"/>
  <c r="A155" i="9"/>
  <c r="A140" i="9"/>
  <c r="A113" i="9"/>
  <c r="A147" i="9"/>
  <c r="A129" i="9"/>
  <c r="A135" i="9"/>
  <c r="A161" i="9"/>
  <c r="A138" i="9"/>
  <c r="A132" i="9"/>
  <c r="A139" i="9"/>
  <c r="A100" i="9"/>
  <c r="E158" i="14"/>
  <c r="E159" i="14"/>
  <c r="E161" i="14"/>
  <c r="E162" i="14"/>
  <c r="E165" i="14"/>
  <c r="E166" i="14"/>
  <c r="E177" i="14"/>
  <c r="E172" i="14"/>
  <c r="E178" i="14"/>
  <c r="E168" i="14"/>
  <c r="E179" i="14"/>
  <c r="E180" i="14"/>
  <c r="E181" i="14"/>
  <c r="E182" i="14"/>
  <c r="E157" i="14"/>
  <c r="E160" i="14"/>
  <c r="E163" i="14"/>
  <c r="E164" i="14"/>
  <c r="E167" i="14"/>
  <c r="E175" i="14"/>
  <c r="E176" i="14"/>
  <c r="E169" i="14"/>
  <c r="E183" i="14"/>
  <c r="F157" i="14"/>
  <c r="F158" i="14"/>
  <c r="F159" i="14"/>
  <c r="F160" i="14"/>
  <c r="F161" i="14"/>
  <c r="F162" i="14"/>
  <c r="F163" i="14"/>
  <c r="F164" i="14"/>
  <c r="F165" i="14"/>
  <c r="F166" i="14"/>
  <c r="F167" i="14"/>
  <c r="F175" i="14"/>
  <c r="F176" i="14"/>
  <c r="F177" i="14"/>
  <c r="F172" i="14"/>
  <c r="F178" i="14"/>
  <c r="F168" i="14"/>
  <c r="F169" i="14"/>
  <c r="F179" i="14"/>
  <c r="F180" i="14"/>
  <c r="F181" i="14"/>
  <c r="F182" i="14"/>
  <c r="F183" i="14"/>
  <c r="E23" i="14"/>
  <c r="F23" i="14"/>
  <c r="E24" i="14"/>
  <c r="F24" i="14"/>
  <c r="I100" i="9" l="1"/>
  <c r="I114" i="9"/>
  <c r="K114" i="9" s="1"/>
  <c r="I135" i="9"/>
  <c r="I42" i="9"/>
  <c r="I21" i="9"/>
  <c r="I55" i="9"/>
  <c r="I41" i="9"/>
  <c r="I59" i="9"/>
  <c r="I37" i="9"/>
  <c r="I149" i="9"/>
  <c r="I105" i="9"/>
  <c r="I147" i="9"/>
  <c r="I158" i="9"/>
  <c r="I148" i="9"/>
  <c r="I127" i="9"/>
  <c r="I102" i="9"/>
  <c r="I126" i="9"/>
  <c r="I161" i="9"/>
  <c r="I84" i="9"/>
  <c r="AE178" i="9"/>
  <c r="I176" i="9"/>
  <c r="K176" i="9" s="1"/>
  <c r="AE30" i="9"/>
  <c r="I30" i="9"/>
  <c r="K30" i="9" s="1"/>
  <c r="AD30" i="9"/>
  <c r="AC30" i="9"/>
  <c r="AB30" i="9"/>
  <c r="AC2" i="9"/>
  <c r="AB2" i="9"/>
  <c r="AD2" i="9"/>
  <c r="AE2" i="9"/>
  <c r="I2" i="9"/>
  <c r="K2" i="9" s="1"/>
  <c r="AE12" i="9"/>
  <c r="I12" i="9"/>
  <c r="K12" i="9" s="1"/>
  <c r="AD12" i="9"/>
  <c r="AC12" i="9"/>
  <c r="AB12" i="9"/>
  <c r="AD23" i="9"/>
  <c r="I23" i="9"/>
  <c r="K23" i="9" s="1"/>
  <c r="AE23" i="9"/>
  <c r="AB23" i="9"/>
  <c r="AC23" i="9"/>
  <c r="AE18" i="9"/>
  <c r="I18" i="9"/>
  <c r="K18" i="9" s="1"/>
  <c r="AD18" i="9"/>
  <c r="AC18" i="9"/>
  <c r="AB18" i="9"/>
  <c r="I108" i="9"/>
  <c r="I119" i="9"/>
  <c r="I57" i="9"/>
  <c r="I178" i="9"/>
  <c r="K178" i="9" s="1"/>
  <c r="I137" i="9"/>
  <c r="K137" i="9" s="1"/>
  <c r="AE78" i="9"/>
  <c r="K78" i="9"/>
  <c r="AD78" i="9"/>
  <c r="AC78" i="9"/>
  <c r="AB78" i="9"/>
  <c r="AD89" i="9"/>
  <c r="AE89" i="9"/>
  <c r="I89" i="9"/>
  <c r="K89" i="9" s="1"/>
  <c r="AC89" i="9"/>
  <c r="AB89" i="9"/>
  <c r="I125" i="9"/>
  <c r="K125" i="9" s="1"/>
  <c r="AD73" i="9"/>
  <c r="AE73" i="9"/>
  <c r="K73" i="9"/>
  <c r="AC73" i="9"/>
  <c r="AB73" i="9"/>
  <c r="AC86" i="9"/>
  <c r="AE86" i="9"/>
  <c r="AB86" i="9"/>
  <c r="AD86" i="9"/>
  <c r="I86" i="9"/>
  <c r="K86" i="9" s="1"/>
  <c r="I104" i="9"/>
  <c r="I139" i="9"/>
  <c r="I109" i="9"/>
  <c r="I128" i="9"/>
  <c r="AB141" i="9"/>
  <c r="I120" i="9"/>
  <c r="I85" i="9"/>
  <c r="I138" i="9"/>
  <c r="I63" i="9"/>
  <c r="AC194" i="9"/>
  <c r="I82" i="9"/>
  <c r="I39" i="9"/>
  <c r="I118" i="9"/>
  <c r="I145" i="9"/>
  <c r="I132" i="9"/>
  <c r="I115" i="9"/>
  <c r="I101" i="9"/>
  <c r="I48" i="9"/>
  <c r="I94" i="9"/>
  <c r="AE136" i="9"/>
  <c r="I151" i="9"/>
  <c r="I43" i="9"/>
  <c r="AD160" i="9"/>
  <c r="AD125" i="9"/>
  <c r="AE159" i="9"/>
  <c r="AD123" i="9"/>
  <c r="AE125" i="9"/>
  <c r="AC133" i="9"/>
  <c r="AC106" i="9"/>
  <c r="AB137" i="9"/>
  <c r="K159" i="9"/>
  <c r="AE176" i="9"/>
  <c r="AD137" i="9"/>
  <c r="AB125" i="9"/>
  <c r="AC137" i="9"/>
  <c r="AB176" i="9"/>
  <c r="AB159" i="9"/>
  <c r="AD136" i="9"/>
  <c r="AC125" i="9"/>
  <c r="AC136" i="9"/>
  <c r="AE137" i="9"/>
  <c r="AD159" i="9"/>
  <c r="AC159" i="9"/>
  <c r="K160" i="9"/>
  <c r="AC176" i="9"/>
  <c r="AB194" i="9"/>
  <c r="AD194" i="9"/>
  <c r="AC123" i="9"/>
  <c r="AD176" i="9"/>
  <c r="AE194" i="9"/>
  <c r="AE130" i="9"/>
  <c r="AD130" i="9"/>
  <c r="AB123" i="9"/>
  <c r="AE123" i="9"/>
  <c r="AC130" i="9"/>
  <c r="AD133" i="9"/>
  <c r="AD154" i="9"/>
  <c r="AE134" i="9"/>
  <c r="AC134" i="9"/>
  <c r="AD141" i="9"/>
  <c r="K141" i="9"/>
  <c r="AB106" i="9"/>
  <c r="AB134" i="9"/>
  <c r="AC160" i="9"/>
  <c r="AB160" i="9"/>
  <c r="AC141" i="9"/>
  <c r="AB136" i="9"/>
  <c r="AD134" i="9"/>
  <c r="AB130" i="9"/>
  <c r="AB154" i="9"/>
  <c r="AE133" i="9"/>
  <c r="AE141" i="9"/>
  <c r="AB133" i="9"/>
  <c r="AC154" i="9"/>
  <c r="K133" i="9"/>
  <c r="AE106" i="9"/>
  <c r="AE160" i="9"/>
  <c r="AE154" i="9"/>
  <c r="AD106" i="9"/>
  <c r="AB178" i="9"/>
  <c r="K174" i="9"/>
  <c r="AB174" i="9"/>
  <c r="AC174" i="9"/>
  <c r="AD174" i="9"/>
  <c r="AE174" i="9"/>
  <c r="AD142" i="9"/>
  <c r="K142" i="9"/>
  <c r="AE142" i="9"/>
  <c r="AB142" i="9"/>
  <c r="AC142" i="9"/>
  <c r="AD189" i="9"/>
  <c r="AB189" i="9"/>
  <c r="AE189" i="9"/>
  <c r="AC189" i="9"/>
  <c r="AC178" i="9"/>
  <c r="AC114" i="9"/>
  <c r="AE114" i="9"/>
  <c r="AD114" i="9"/>
  <c r="AB114" i="9"/>
  <c r="K198" i="9"/>
  <c r="AB198" i="9"/>
  <c r="AD198" i="9"/>
  <c r="AC198" i="9"/>
  <c r="AE198" i="9"/>
  <c r="AE196" i="9"/>
  <c r="AC196" i="9"/>
  <c r="AB196" i="9"/>
  <c r="K162" i="9"/>
  <c r="AB162" i="9"/>
  <c r="AD162" i="9"/>
  <c r="AE162" i="9"/>
  <c r="AC162" i="9"/>
  <c r="AD178" i="9"/>
  <c r="AD196" i="9"/>
  <c r="AC197" i="9"/>
  <c r="AD197" i="9"/>
  <c r="AB197" i="9"/>
  <c r="AE197" i="9"/>
  <c r="AB122" i="9"/>
  <c r="AC122" i="9"/>
  <c r="AE122" i="9"/>
  <c r="AD122" i="9"/>
  <c r="K122" i="9"/>
  <c r="AB153" i="9"/>
  <c r="K153" i="9"/>
  <c r="AC153" i="9"/>
  <c r="AD153" i="9"/>
  <c r="AE153" i="9"/>
  <c r="AB171" i="9"/>
  <c r="AC171" i="9"/>
  <c r="AE171" i="9"/>
  <c r="AD171" i="9"/>
  <c r="K171" i="9"/>
  <c r="AB156" i="9"/>
  <c r="AC156" i="9"/>
  <c r="AE156" i="9"/>
  <c r="AD156" i="9"/>
  <c r="K156" i="9"/>
  <c r="T51" i="9"/>
  <c r="U51" i="9"/>
  <c r="V51" i="9"/>
  <c r="Y51" i="9"/>
  <c r="Z51" i="9"/>
  <c r="AA51" i="9"/>
  <c r="T157" i="9"/>
  <c r="U157" i="9"/>
  <c r="V157" i="9"/>
  <c r="Y157" i="9"/>
  <c r="Z157" i="9"/>
  <c r="AA157" i="9"/>
  <c r="T36" i="9"/>
  <c r="U36" i="9"/>
  <c r="V36" i="9"/>
  <c r="Y36" i="9"/>
  <c r="Z36" i="9"/>
  <c r="AA36" i="9"/>
  <c r="T111" i="9"/>
  <c r="U111" i="9"/>
  <c r="V111" i="9"/>
  <c r="Y111" i="9"/>
  <c r="Z111" i="9"/>
  <c r="AA111" i="9"/>
  <c r="A51" i="9"/>
  <c r="A157" i="9"/>
  <c r="A36" i="9"/>
  <c r="A111" i="9"/>
  <c r="N73" i="9" l="1"/>
  <c r="N176" i="9"/>
  <c r="R125" i="9"/>
  <c r="S125" i="9" s="1"/>
  <c r="N78" i="9"/>
  <c r="X125" i="9"/>
  <c r="N125" i="9"/>
  <c r="N2" i="9"/>
  <c r="N30" i="9"/>
  <c r="N12" i="9"/>
  <c r="N23" i="9"/>
  <c r="X30" i="9"/>
  <c r="R30" i="9"/>
  <c r="S30" i="9" s="1"/>
  <c r="X12" i="9"/>
  <c r="R12" i="9"/>
  <c r="S12" i="9" s="1"/>
  <c r="N18" i="9"/>
  <c r="X2" i="9"/>
  <c r="R2" i="9"/>
  <c r="S2" i="9" s="1"/>
  <c r="R18" i="9"/>
  <c r="S18" i="9" s="1"/>
  <c r="X18" i="9"/>
  <c r="X23" i="9"/>
  <c r="R23" i="9"/>
  <c r="S23" i="9" s="1"/>
  <c r="R137" i="9"/>
  <c r="S137" i="9" s="1"/>
  <c r="N89" i="9"/>
  <c r="N171" i="9"/>
  <c r="R73" i="9"/>
  <c r="S73" i="9" s="1"/>
  <c r="X73" i="9"/>
  <c r="R78" i="9"/>
  <c r="X78" i="9"/>
  <c r="X89" i="9"/>
  <c r="R89" i="9"/>
  <c r="S89" i="9" s="1"/>
  <c r="N160" i="9"/>
  <c r="N86" i="9"/>
  <c r="X86" i="9"/>
  <c r="R86" i="9"/>
  <c r="S86" i="9" s="1"/>
  <c r="N133" i="9"/>
  <c r="N162" i="9"/>
  <c r="N154" i="9"/>
  <c r="N141" i="9"/>
  <c r="R136" i="9"/>
  <c r="S136" i="9" s="1"/>
  <c r="N142" i="9"/>
  <c r="N159" i="9"/>
  <c r="N106" i="9"/>
  <c r="R134" i="9"/>
  <c r="S134" i="9" s="1"/>
  <c r="N194" i="9"/>
  <c r="N130" i="9"/>
  <c r="X134" i="9"/>
  <c r="N134" i="9"/>
  <c r="X176" i="9"/>
  <c r="N137" i="9"/>
  <c r="R176" i="9"/>
  <c r="S176" i="9" s="1"/>
  <c r="X137" i="9"/>
  <c r="X133" i="9"/>
  <c r="X159" i="9"/>
  <c r="R159" i="9"/>
  <c r="S159" i="9" s="1"/>
  <c r="R154" i="9"/>
  <c r="R194" i="9"/>
  <c r="S194" i="9" s="1"/>
  <c r="X154" i="9"/>
  <c r="R133" i="9"/>
  <c r="R123" i="9"/>
  <c r="S123" i="9" s="1"/>
  <c r="N136" i="9"/>
  <c r="X136" i="9"/>
  <c r="X130" i="9"/>
  <c r="R130" i="9"/>
  <c r="X123" i="9"/>
  <c r="N123" i="9"/>
  <c r="R106" i="9"/>
  <c r="X106" i="9"/>
  <c r="X194" i="9"/>
  <c r="X141" i="9"/>
  <c r="R141" i="9"/>
  <c r="X160" i="9"/>
  <c r="R160" i="9"/>
  <c r="R162" i="9"/>
  <c r="X114" i="9"/>
  <c r="X162" i="9"/>
  <c r="N114" i="9"/>
  <c r="R114" i="9"/>
  <c r="S114" i="9" s="1"/>
  <c r="N197" i="9"/>
  <c r="X197" i="9"/>
  <c r="R197" i="9"/>
  <c r="N198" i="9"/>
  <c r="R198" i="9"/>
  <c r="X198" i="9"/>
  <c r="X178" i="9"/>
  <c r="R178" i="9"/>
  <c r="N178" i="9"/>
  <c r="X196" i="9"/>
  <c r="R196" i="9"/>
  <c r="S196" i="9" s="1"/>
  <c r="N196" i="9"/>
  <c r="N189" i="9"/>
  <c r="X189" i="9"/>
  <c r="R189" i="9"/>
  <c r="N174" i="9"/>
  <c r="X174" i="9"/>
  <c r="R174" i="9"/>
  <c r="X142" i="9"/>
  <c r="R142" i="9"/>
  <c r="N156" i="9"/>
  <c r="N122" i="9"/>
  <c r="X156" i="9"/>
  <c r="R156" i="9"/>
  <c r="S156" i="9" s="1"/>
  <c r="X153" i="9"/>
  <c r="R153" i="9"/>
  <c r="S153" i="9" s="1"/>
  <c r="X122" i="9"/>
  <c r="R122" i="9"/>
  <c r="S122" i="9" s="1"/>
  <c r="N153" i="9"/>
  <c r="X171" i="9"/>
  <c r="R171" i="9"/>
  <c r="T37" i="9"/>
  <c r="U37" i="9"/>
  <c r="T42" i="9"/>
  <c r="U42" i="9"/>
  <c r="T11" i="9"/>
  <c r="U11" i="9"/>
  <c r="T49" i="9"/>
  <c r="U49" i="9"/>
  <c r="T54" i="9"/>
  <c r="U54" i="9"/>
  <c r="T19" i="9"/>
  <c r="U19" i="9"/>
  <c r="T65" i="9"/>
  <c r="U65" i="9"/>
  <c r="T64" i="9"/>
  <c r="U64" i="9"/>
  <c r="T34" i="9"/>
  <c r="U34" i="9"/>
  <c r="S78" i="9" l="1"/>
  <c r="S133" i="9"/>
  <c r="S154" i="9"/>
  <c r="S106" i="9"/>
  <c r="S160" i="9"/>
  <c r="S141" i="9"/>
  <c r="S130" i="9"/>
  <c r="S197" i="9"/>
  <c r="S162" i="9"/>
  <c r="S142" i="9"/>
  <c r="S178" i="9"/>
  <c r="S174" i="9"/>
  <c r="S189" i="9"/>
  <c r="S198" i="9"/>
  <c r="S171" i="9"/>
  <c r="T102" i="9"/>
  <c r="U102" i="9"/>
  <c r="V102" i="9"/>
  <c r="Y102" i="9"/>
  <c r="Z102" i="9"/>
  <c r="AA102" i="9"/>
  <c r="T158" i="9"/>
  <c r="U158" i="9"/>
  <c r="V158" i="9"/>
  <c r="Y158" i="9"/>
  <c r="Z158" i="9"/>
  <c r="AA158" i="9"/>
  <c r="T69" i="9"/>
  <c r="U69" i="9"/>
  <c r="V69" i="9"/>
  <c r="Y69" i="9"/>
  <c r="Z69" i="9"/>
  <c r="AA69" i="9"/>
  <c r="T128" i="9"/>
  <c r="U128" i="9"/>
  <c r="V128" i="9"/>
  <c r="Y128" i="9"/>
  <c r="Z128" i="9"/>
  <c r="AA128" i="9"/>
  <c r="T71" i="9"/>
  <c r="U71" i="9"/>
  <c r="V71" i="9"/>
  <c r="Y71" i="9"/>
  <c r="Z71" i="9"/>
  <c r="AA71" i="9"/>
  <c r="T97" i="9"/>
  <c r="U97" i="9"/>
  <c r="V97" i="9"/>
  <c r="Y97" i="9"/>
  <c r="Z97" i="9"/>
  <c r="AA97" i="9"/>
  <c r="T104" i="9"/>
  <c r="U104" i="9"/>
  <c r="V104" i="9"/>
  <c r="Y104" i="9"/>
  <c r="Z104" i="9"/>
  <c r="AA104" i="9"/>
  <c r="T56" i="9"/>
  <c r="U56" i="9"/>
  <c r="V56" i="9"/>
  <c r="Y56" i="9"/>
  <c r="Z56" i="9"/>
  <c r="AA56" i="9"/>
  <c r="A102" i="9"/>
  <c r="A158" i="9"/>
  <c r="A69" i="9"/>
  <c r="A128" i="9"/>
  <c r="A71" i="9"/>
  <c r="A97" i="9"/>
  <c r="A104" i="9"/>
  <c r="A56" i="9"/>
  <c r="E26" i="14"/>
  <c r="F26" i="14"/>
  <c r="E27" i="14"/>
  <c r="F27" i="14"/>
  <c r="N168" i="9" l="1"/>
  <c r="K51" i="9"/>
  <c r="AB140" i="9"/>
  <c r="K140" i="9"/>
  <c r="N140" i="9" s="1"/>
  <c r="AB113" i="9"/>
  <c r="K113" i="9"/>
  <c r="N113" i="9" s="1"/>
  <c r="AB82" i="9"/>
  <c r="K82" i="9"/>
  <c r="AB98" i="9"/>
  <c r="K98" i="9"/>
  <c r="AB148" i="9"/>
  <c r="K148" i="9"/>
  <c r="N148" i="9" s="1"/>
  <c r="AB168" i="9"/>
  <c r="K168" i="9"/>
  <c r="AB111" i="9"/>
  <c r="K111" i="9"/>
  <c r="N111" i="9" s="1"/>
  <c r="AB100" i="9"/>
  <c r="K100" i="9"/>
  <c r="K132" i="9"/>
  <c r="AB132" i="9"/>
  <c r="AB161" i="9"/>
  <c r="K161" i="9"/>
  <c r="N161" i="9" s="1"/>
  <c r="K145" i="9"/>
  <c r="AB120" i="9"/>
  <c r="K120" i="9"/>
  <c r="N120" i="9" s="1"/>
  <c r="AB138" i="9"/>
  <c r="K138" i="9"/>
  <c r="N138" i="9" s="1"/>
  <c r="AB157" i="9"/>
  <c r="K157" i="9"/>
  <c r="AB36" i="9"/>
  <c r="K36" i="9"/>
  <c r="AB109" i="9"/>
  <c r="K109" i="9"/>
  <c r="N109" i="9" s="1"/>
  <c r="AB127" i="9"/>
  <c r="K127" i="9"/>
  <c r="K147" i="9"/>
  <c r="N147" i="9" s="1"/>
  <c r="AB121" i="9"/>
  <c r="K121" i="9"/>
  <c r="N121" i="9" s="1"/>
  <c r="AB79" i="9"/>
  <c r="K79" i="9"/>
  <c r="N79" i="9" s="1"/>
  <c r="AB131" i="9"/>
  <c r="K131" i="9"/>
  <c r="N131" i="9" s="1"/>
  <c r="AB51" i="9"/>
  <c r="AB155" i="9"/>
  <c r="K155" i="9"/>
  <c r="AD121" i="9"/>
  <c r="AE121" i="9"/>
  <c r="AC121" i="9"/>
  <c r="AD138" i="9"/>
  <c r="AC138" i="9"/>
  <c r="AE138" i="9"/>
  <c r="AC131" i="9"/>
  <c r="AE131" i="9"/>
  <c r="AD131" i="9"/>
  <c r="AC120" i="9"/>
  <c r="AD120" i="9"/>
  <c r="AE120" i="9"/>
  <c r="AC79" i="9"/>
  <c r="AD79" i="9"/>
  <c r="AE79" i="9"/>
  <c r="AC36" i="9"/>
  <c r="AD36" i="9"/>
  <c r="AE36" i="9"/>
  <c r="AC155" i="9"/>
  <c r="AD155" i="9"/>
  <c r="AE155" i="9"/>
  <c r="AE157" i="9"/>
  <c r="AC157" i="9"/>
  <c r="AD157" i="9"/>
  <c r="AC51" i="9"/>
  <c r="AD51" i="9"/>
  <c r="AE51" i="9"/>
  <c r="AD140" i="9"/>
  <c r="AC140" i="9"/>
  <c r="AE140" i="9"/>
  <c r="AC127" i="9"/>
  <c r="AD127" i="9"/>
  <c r="AE127" i="9"/>
  <c r="AD109" i="9"/>
  <c r="AE109" i="9"/>
  <c r="AC109" i="9"/>
  <c r="AE168" i="9"/>
  <c r="AD168" i="9"/>
  <c r="AC168" i="9"/>
  <c r="AD111" i="9"/>
  <c r="AE111" i="9"/>
  <c r="AC111" i="9"/>
  <c r="AE113" i="9"/>
  <c r="AC113" i="9"/>
  <c r="AD113" i="9"/>
  <c r="AD161" i="9"/>
  <c r="AC161" i="9"/>
  <c r="AE161" i="9"/>
  <c r="X168" i="9"/>
  <c r="R168" i="9"/>
  <c r="AC82" i="9"/>
  <c r="AD82" i="9"/>
  <c r="AE82" i="9"/>
  <c r="AD98" i="9"/>
  <c r="AC98" i="9"/>
  <c r="AE98" i="9"/>
  <c r="AC148" i="9"/>
  <c r="AD148" i="9"/>
  <c r="AE148" i="9"/>
  <c r="AD100" i="9"/>
  <c r="AE100" i="9"/>
  <c r="AC100" i="9"/>
  <c r="AD132" i="9"/>
  <c r="AC132" i="9"/>
  <c r="AE132" i="9"/>
  <c r="T81" i="9"/>
  <c r="U81" i="9"/>
  <c r="V81" i="9"/>
  <c r="Y81" i="9"/>
  <c r="Z81" i="9"/>
  <c r="AA81" i="9"/>
  <c r="T116" i="9"/>
  <c r="U116" i="9"/>
  <c r="V116" i="9"/>
  <c r="Y116" i="9"/>
  <c r="Z116" i="9"/>
  <c r="AA116" i="9"/>
  <c r="T105" i="9"/>
  <c r="U105" i="9"/>
  <c r="V105" i="9"/>
  <c r="Y105" i="9"/>
  <c r="Z105" i="9"/>
  <c r="AA105" i="9"/>
  <c r="A81" i="9"/>
  <c r="A116" i="9"/>
  <c r="A105" i="9"/>
  <c r="E25" i="14"/>
  <c r="F25" i="14"/>
  <c r="K126" i="9" l="1"/>
  <c r="N155" i="9"/>
  <c r="N82" i="9"/>
  <c r="X36" i="9"/>
  <c r="AB126" i="9"/>
  <c r="AB139" i="9"/>
  <c r="K139" i="9"/>
  <c r="N139" i="9" s="1"/>
  <c r="AB43" i="9"/>
  <c r="K43" i="9"/>
  <c r="N98" i="9"/>
  <c r="AB144" i="9"/>
  <c r="K144" i="9"/>
  <c r="N36" i="9"/>
  <c r="R144" i="9"/>
  <c r="N100" i="9"/>
  <c r="N132" i="9"/>
  <c r="AB118" i="9"/>
  <c r="K118" i="9"/>
  <c r="N118" i="9" s="1"/>
  <c r="AB135" i="9"/>
  <c r="K135" i="9"/>
  <c r="N135" i="9" s="1"/>
  <c r="AC145" i="9"/>
  <c r="N145" i="9"/>
  <c r="AB145" i="9"/>
  <c r="AB129" i="9"/>
  <c r="K129" i="9"/>
  <c r="N129" i="9" s="1"/>
  <c r="AB115" i="9"/>
  <c r="K115" i="9"/>
  <c r="R115" i="9"/>
  <c r="AB147" i="9"/>
  <c r="S168" i="9"/>
  <c r="R36" i="9"/>
  <c r="N127" i="9"/>
  <c r="AD147" i="9"/>
  <c r="AE145" i="9"/>
  <c r="AE147" i="9"/>
  <c r="AC147" i="9"/>
  <c r="AC118" i="9"/>
  <c r="AD118" i="9"/>
  <c r="AE118" i="9"/>
  <c r="X51" i="9"/>
  <c r="N51" i="9"/>
  <c r="R51" i="9"/>
  <c r="X140" i="9"/>
  <c r="R140" i="9"/>
  <c r="AD135" i="9"/>
  <c r="AE135" i="9"/>
  <c r="AC135" i="9"/>
  <c r="X100" i="9"/>
  <c r="R100" i="9"/>
  <c r="S100" i="9" s="1"/>
  <c r="R79" i="9"/>
  <c r="X79" i="9"/>
  <c r="X132" i="9"/>
  <c r="R132" i="9"/>
  <c r="S132" i="9" s="1"/>
  <c r="X82" i="9"/>
  <c r="R82" i="9"/>
  <c r="S82" i="9" s="1"/>
  <c r="AD139" i="9"/>
  <c r="AE139" i="9"/>
  <c r="AC139" i="9"/>
  <c r="AE126" i="9"/>
  <c r="AD126" i="9"/>
  <c r="R111" i="9"/>
  <c r="X111" i="9"/>
  <c r="X113" i="9"/>
  <c r="R113" i="9"/>
  <c r="AD129" i="9"/>
  <c r="AC129" i="9"/>
  <c r="AE129" i="9"/>
  <c r="AD115" i="9"/>
  <c r="AC115" i="9"/>
  <c r="AE115" i="9"/>
  <c r="X109" i="9"/>
  <c r="R109" i="9"/>
  <c r="R161" i="9"/>
  <c r="S161" i="9" s="1"/>
  <c r="X161" i="9"/>
  <c r="X127" i="9"/>
  <c r="R127" i="9"/>
  <c r="X121" i="9"/>
  <c r="R121" i="9"/>
  <c r="AD43" i="9"/>
  <c r="AC43" i="9"/>
  <c r="AE43" i="9"/>
  <c r="AC126" i="9"/>
  <c r="X120" i="9"/>
  <c r="R120" i="9"/>
  <c r="R131" i="9"/>
  <c r="X131" i="9"/>
  <c r="AC144" i="9"/>
  <c r="AE144" i="9"/>
  <c r="AD144" i="9"/>
  <c r="N126" i="9"/>
  <c r="X126" i="9"/>
  <c r="R126" i="9"/>
  <c r="X155" i="9"/>
  <c r="R155" i="9"/>
  <c r="S155" i="9" s="1"/>
  <c r="X129" i="9"/>
  <c r="R129" i="9"/>
  <c r="X138" i="9"/>
  <c r="R138" i="9"/>
  <c r="R98" i="9"/>
  <c r="X98" i="9"/>
  <c r="N157" i="9"/>
  <c r="R157" i="9"/>
  <c r="X157" i="9"/>
  <c r="AD145" i="9"/>
  <c r="X147" i="9"/>
  <c r="R147" i="9"/>
  <c r="X148" i="9"/>
  <c r="R148" i="9"/>
  <c r="T58" i="9"/>
  <c r="U58" i="9"/>
  <c r="V58" i="9"/>
  <c r="Y58" i="9"/>
  <c r="Z58" i="9"/>
  <c r="AA58" i="9"/>
  <c r="T164" i="9"/>
  <c r="U164" i="9"/>
  <c r="V164" i="9"/>
  <c r="Y164" i="9"/>
  <c r="Z164" i="9"/>
  <c r="AA164" i="9"/>
  <c r="T55" i="9"/>
  <c r="U55" i="9"/>
  <c r="V55" i="9"/>
  <c r="Y55" i="9"/>
  <c r="Z55" i="9"/>
  <c r="AA55" i="9"/>
  <c r="T46" i="9"/>
  <c r="U46" i="9"/>
  <c r="V46" i="9"/>
  <c r="Y46" i="9"/>
  <c r="Z46" i="9"/>
  <c r="AA46" i="9"/>
  <c r="T151" i="9"/>
  <c r="U151" i="9"/>
  <c r="V151" i="9"/>
  <c r="Y151" i="9"/>
  <c r="Z151" i="9"/>
  <c r="AA151" i="9"/>
  <c r="T94" i="9"/>
  <c r="U94" i="9"/>
  <c r="V94" i="9"/>
  <c r="Y94" i="9"/>
  <c r="Z94" i="9"/>
  <c r="AA94" i="9"/>
  <c r="T68" i="9"/>
  <c r="U68" i="9"/>
  <c r="V68" i="9"/>
  <c r="Y68" i="9"/>
  <c r="Z68" i="9"/>
  <c r="AA68" i="9"/>
  <c r="T74" i="9"/>
  <c r="U74" i="9"/>
  <c r="V74" i="9"/>
  <c r="Y74" i="9"/>
  <c r="Z74" i="9"/>
  <c r="AA74" i="9"/>
  <c r="T48" i="9"/>
  <c r="U48" i="9"/>
  <c r="V48" i="9"/>
  <c r="Y48" i="9"/>
  <c r="Z48" i="9"/>
  <c r="AA48" i="9"/>
  <c r="T107" i="9"/>
  <c r="U107" i="9"/>
  <c r="V107" i="9"/>
  <c r="Y107" i="9"/>
  <c r="Z107" i="9"/>
  <c r="AA107" i="9"/>
  <c r="T95" i="9"/>
  <c r="U95" i="9"/>
  <c r="V95" i="9"/>
  <c r="Y95" i="9"/>
  <c r="Z95" i="9"/>
  <c r="AA95" i="9"/>
  <c r="T84" i="9"/>
  <c r="U84" i="9"/>
  <c r="V84" i="9"/>
  <c r="Y84" i="9"/>
  <c r="Z84" i="9"/>
  <c r="AA84" i="9"/>
  <c r="T75" i="9"/>
  <c r="U75" i="9"/>
  <c r="V75" i="9"/>
  <c r="Y75" i="9"/>
  <c r="Z75" i="9"/>
  <c r="AA75" i="9"/>
  <c r="T85" i="9"/>
  <c r="U85" i="9"/>
  <c r="V85" i="9"/>
  <c r="Y85" i="9"/>
  <c r="Z85" i="9"/>
  <c r="AA85" i="9"/>
  <c r="T70" i="9"/>
  <c r="U70" i="9"/>
  <c r="V70" i="9"/>
  <c r="Y70" i="9"/>
  <c r="Z70" i="9"/>
  <c r="AA70" i="9"/>
  <c r="A58" i="9"/>
  <c r="A164" i="9"/>
  <c r="A55" i="9"/>
  <c r="A46" i="9"/>
  <c r="A151" i="9"/>
  <c r="A94" i="9"/>
  <c r="A68" i="9"/>
  <c r="A74" i="9"/>
  <c r="A48" i="9"/>
  <c r="A107" i="9"/>
  <c r="A95" i="9"/>
  <c r="A84" i="9"/>
  <c r="A75" i="9"/>
  <c r="A85" i="9"/>
  <c r="A70" i="9"/>
  <c r="S120" i="9" l="1"/>
  <c r="S79" i="9"/>
  <c r="S148" i="9"/>
  <c r="X139" i="9"/>
  <c r="S140" i="9"/>
  <c r="S36" i="9"/>
  <c r="S127" i="9"/>
  <c r="S98" i="9"/>
  <c r="X115" i="9"/>
  <c r="X144" i="9"/>
  <c r="N144" i="9"/>
  <c r="R43" i="9"/>
  <c r="S43" i="9" s="1"/>
  <c r="S144" i="9"/>
  <c r="X43" i="9"/>
  <c r="S115" i="9"/>
  <c r="N115" i="9"/>
  <c r="N43" i="9"/>
  <c r="R139" i="9"/>
  <c r="S131" i="9"/>
  <c r="S121" i="9"/>
  <c r="S157" i="9"/>
  <c r="S147" i="9"/>
  <c r="S138" i="9"/>
  <c r="S109" i="9"/>
  <c r="S113" i="9"/>
  <c r="S111" i="9"/>
  <c r="S51" i="9"/>
  <c r="X118" i="9"/>
  <c r="R118" i="9"/>
  <c r="S126" i="9"/>
  <c r="X145" i="9"/>
  <c r="R145" i="9"/>
  <c r="S129" i="9"/>
  <c r="X135" i="9"/>
  <c r="R135" i="9"/>
  <c r="E22" i="14"/>
  <c r="F22" i="14"/>
  <c r="S139" i="9" l="1"/>
  <c r="S145" i="9"/>
  <c r="S118" i="9"/>
  <c r="S135" i="9"/>
  <c r="T99" i="9"/>
  <c r="U99" i="9"/>
  <c r="V99" i="9"/>
  <c r="Y99" i="9"/>
  <c r="Z99" i="9"/>
  <c r="AA99" i="9"/>
  <c r="T80" i="9"/>
  <c r="U80" i="9"/>
  <c r="V80" i="9"/>
  <c r="Y80" i="9"/>
  <c r="Z80" i="9"/>
  <c r="AA80" i="9"/>
  <c r="T112" i="9"/>
  <c r="U112" i="9"/>
  <c r="V112" i="9"/>
  <c r="Y112" i="9"/>
  <c r="Z112" i="9"/>
  <c r="AA112" i="9"/>
  <c r="T77" i="9"/>
  <c r="U77" i="9"/>
  <c r="V77" i="9"/>
  <c r="Y77" i="9"/>
  <c r="Z77" i="9"/>
  <c r="AA77" i="9"/>
  <c r="T110" i="9"/>
  <c r="U110" i="9"/>
  <c r="V110" i="9"/>
  <c r="Y110" i="9"/>
  <c r="Z110" i="9"/>
  <c r="AA110" i="9"/>
  <c r="T103" i="9"/>
  <c r="U103" i="9"/>
  <c r="V103" i="9"/>
  <c r="Y103" i="9"/>
  <c r="Z103" i="9"/>
  <c r="AA103" i="9"/>
  <c r="T92" i="9"/>
  <c r="U92" i="9"/>
  <c r="V92" i="9"/>
  <c r="Y92" i="9"/>
  <c r="Z92" i="9"/>
  <c r="AA92" i="9"/>
  <c r="T57" i="9"/>
  <c r="U57" i="9"/>
  <c r="V57" i="9"/>
  <c r="Y57" i="9"/>
  <c r="Z57" i="9"/>
  <c r="AA57" i="9"/>
  <c r="A99" i="9"/>
  <c r="A80" i="9"/>
  <c r="A112" i="9"/>
  <c r="A77" i="9"/>
  <c r="A110" i="9"/>
  <c r="A103" i="9"/>
  <c r="A92" i="9"/>
  <c r="A57" i="9"/>
  <c r="E20" i="14"/>
  <c r="F20" i="14"/>
  <c r="E21" i="14"/>
  <c r="F21" i="14"/>
  <c r="I112" i="9" l="1"/>
  <c r="K92" i="9" l="1"/>
  <c r="K71" i="9"/>
  <c r="N71" i="9" s="1"/>
  <c r="AB71" i="9"/>
  <c r="K158" i="9"/>
  <c r="AB80" i="9"/>
  <c r="K80" i="9"/>
  <c r="N80" i="9" s="1"/>
  <c r="AB77" i="9"/>
  <c r="K77" i="9"/>
  <c r="AB57" i="9"/>
  <c r="K57" i="9"/>
  <c r="AB103" i="9"/>
  <c r="K103" i="9"/>
  <c r="AB99" i="9"/>
  <c r="K99" i="9"/>
  <c r="AB110" i="9"/>
  <c r="K110" i="9"/>
  <c r="N110" i="9" s="1"/>
  <c r="AB112" i="9"/>
  <c r="K112" i="9"/>
  <c r="AB56" i="9"/>
  <c r="K56" i="9"/>
  <c r="K116" i="9"/>
  <c r="N116" i="9" s="1"/>
  <c r="AB92" i="9"/>
  <c r="AE56" i="9"/>
  <c r="AD56" i="9"/>
  <c r="AC56" i="9"/>
  <c r="AD71" i="9"/>
  <c r="AE71" i="9"/>
  <c r="AC71" i="9"/>
  <c r="AE77" i="9"/>
  <c r="AC77" i="9"/>
  <c r="AD77" i="9"/>
  <c r="AE99" i="9"/>
  <c r="AC92" i="9"/>
  <c r="AD92" i="9"/>
  <c r="AE92" i="9"/>
  <c r="AC57" i="9"/>
  <c r="AE110" i="9"/>
  <c r="AD80" i="9"/>
  <c r="AE57" i="9"/>
  <c r="AD57" i="9"/>
  <c r="AC80" i="9"/>
  <c r="AC103" i="9"/>
  <c r="AD103" i="9"/>
  <c r="AE103" i="9"/>
  <c r="AE112" i="9"/>
  <c r="AD112" i="9"/>
  <c r="AD99" i="9"/>
  <c r="AC99" i="9"/>
  <c r="AD110" i="9"/>
  <c r="AC112" i="9"/>
  <c r="AC110" i="9"/>
  <c r="AE80" i="9"/>
  <c r="K58" i="9" l="1"/>
  <c r="K95" i="9"/>
  <c r="N99" i="9"/>
  <c r="N57" i="9"/>
  <c r="K94" i="9"/>
  <c r="K74" i="9"/>
  <c r="N74" i="9" s="1"/>
  <c r="N92" i="9"/>
  <c r="N103" i="9"/>
  <c r="K104" i="9"/>
  <c r="N77" i="9"/>
  <c r="N56" i="9"/>
  <c r="N112" i="9"/>
  <c r="R84" i="9"/>
  <c r="AC102" i="9"/>
  <c r="AB102" i="9"/>
  <c r="K102" i="9"/>
  <c r="AB97" i="9"/>
  <c r="K97" i="9"/>
  <c r="N97" i="9" s="1"/>
  <c r="AB85" i="9"/>
  <c r="K85" i="9"/>
  <c r="K107" i="9"/>
  <c r="AB104" i="9"/>
  <c r="AB70" i="9"/>
  <c r="K70" i="9"/>
  <c r="AB105" i="9"/>
  <c r="K105" i="9"/>
  <c r="AB128" i="9"/>
  <c r="K128" i="9"/>
  <c r="AB95" i="9"/>
  <c r="AB84" i="9"/>
  <c r="K84" i="9"/>
  <c r="AB158" i="9"/>
  <c r="AB81" i="9"/>
  <c r="K81" i="9"/>
  <c r="N81" i="9" s="1"/>
  <c r="AB69" i="9"/>
  <c r="K69" i="9"/>
  <c r="AB46" i="9"/>
  <c r="K46" i="9"/>
  <c r="AB74" i="9"/>
  <c r="AB58" i="9"/>
  <c r="AB68" i="9"/>
  <c r="K68" i="9"/>
  <c r="AB164" i="9"/>
  <c r="K164" i="9"/>
  <c r="AB75" i="9"/>
  <c r="K75" i="9"/>
  <c r="N75" i="9" s="1"/>
  <c r="AB151" i="9"/>
  <c r="K151" i="9"/>
  <c r="AB94" i="9"/>
  <c r="AB55" i="9"/>
  <c r="K55" i="9"/>
  <c r="AB48" i="9"/>
  <c r="K48" i="9"/>
  <c r="AB116" i="9"/>
  <c r="AE158" i="9"/>
  <c r="AE116" i="9"/>
  <c r="AC116" i="9"/>
  <c r="AE102" i="9"/>
  <c r="AD102" i="9"/>
  <c r="N158" i="9"/>
  <c r="AC158" i="9"/>
  <c r="AD158" i="9"/>
  <c r="AD116" i="9"/>
  <c r="AE70" i="9"/>
  <c r="AD70" i="9"/>
  <c r="AC70" i="9"/>
  <c r="AD58" i="9"/>
  <c r="AC58" i="9"/>
  <c r="AE58" i="9"/>
  <c r="AE105" i="9"/>
  <c r="AC105" i="9"/>
  <c r="AD105" i="9"/>
  <c r="AC48" i="9"/>
  <c r="AD48" i="9"/>
  <c r="AE48" i="9"/>
  <c r="AC95" i="9"/>
  <c r="AD95" i="9"/>
  <c r="AE95" i="9"/>
  <c r="AE94" i="9"/>
  <c r="AD94" i="9"/>
  <c r="AC94" i="9"/>
  <c r="AE84" i="9"/>
  <c r="AC84" i="9"/>
  <c r="AD84" i="9"/>
  <c r="AC68" i="9"/>
  <c r="AD68" i="9"/>
  <c r="AE68" i="9"/>
  <c r="AE151" i="9"/>
  <c r="AD151" i="9"/>
  <c r="AC151" i="9"/>
  <c r="AD55" i="9"/>
  <c r="AE55" i="9"/>
  <c r="AC55" i="9"/>
  <c r="AE46" i="9"/>
  <c r="AD46" i="9"/>
  <c r="AC46" i="9"/>
  <c r="AD75" i="9"/>
  <c r="AC75" i="9"/>
  <c r="AE75" i="9"/>
  <c r="AC85" i="9"/>
  <c r="AE85" i="9"/>
  <c r="AD85" i="9"/>
  <c r="AC74" i="9"/>
  <c r="AD74" i="9"/>
  <c r="AE74" i="9"/>
  <c r="AC164" i="9"/>
  <c r="AE164" i="9"/>
  <c r="AD164" i="9"/>
  <c r="AD104" i="9"/>
  <c r="AD97" i="9"/>
  <c r="AC97" i="9"/>
  <c r="AE97" i="9"/>
  <c r="AC104" i="9"/>
  <c r="AC128" i="9"/>
  <c r="AE128" i="9"/>
  <c r="AD128" i="9"/>
  <c r="AD81" i="9"/>
  <c r="AC81" i="9"/>
  <c r="AE81" i="9"/>
  <c r="X71" i="9"/>
  <c r="R71" i="9"/>
  <c r="S71" i="9" s="1"/>
  <c r="X56" i="9"/>
  <c r="R56" i="9"/>
  <c r="AE104" i="9"/>
  <c r="AC69" i="9"/>
  <c r="AD69" i="9"/>
  <c r="AE69" i="9"/>
  <c r="X77" i="9"/>
  <c r="R77" i="9"/>
  <c r="R103" i="9"/>
  <c r="R57" i="9"/>
  <c r="R92" i="9"/>
  <c r="X92" i="9"/>
  <c r="X112" i="9"/>
  <c r="R112" i="9"/>
  <c r="X57" i="9"/>
  <c r="X80" i="9"/>
  <c r="R80" i="9"/>
  <c r="X103" i="9"/>
  <c r="X99" i="9"/>
  <c r="R99" i="9"/>
  <c r="X110" i="9"/>
  <c r="R110" i="9"/>
  <c r="N58" i="9" l="1"/>
  <c r="S56" i="9"/>
  <c r="N104" i="9"/>
  <c r="N48" i="9"/>
  <c r="N68" i="9"/>
  <c r="R74" i="9"/>
  <c r="S77" i="9"/>
  <c r="N128" i="9"/>
  <c r="X164" i="9"/>
  <c r="X69" i="9"/>
  <c r="N85" i="9"/>
  <c r="N94" i="9"/>
  <c r="N55" i="9"/>
  <c r="N151" i="9"/>
  <c r="N70" i="9"/>
  <c r="N46" i="9"/>
  <c r="N105" i="9"/>
  <c r="N102" i="9"/>
  <c r="N95" i="9"/>
  <c r="N69" i="9"/>
  <c r="N164" i="9"/>
  <c r="S84" i="9"/>
  <c r="X74" i="9"/>
  <c r="X84" i="9"/>
  <c r="R164" i="9"/>
  <c r="R102" i="9"/>
  <c r="X102" i="9"/>
  <c r="X116" i="9"/>
  <c r="R158" i="9"/>
  <c r="R116" i="9"/>
  <c r="S116" i="9" s="1"/>
  <c r="X158" i="9"/>
  <c r="X75" i="9"/>
  <c r="R75" i="9"/>
  <c r="S75" i="9" s="1"/>
  <c r="R128" i="9"/>
  <c r="S128" i="9" s="1"/>
  <c r="R48" i="9"/>
  <c r="X48" i="9"/>
  <c r="R70" i="9"/>
  <c r="X70" i="9"/>
  <c r="R105" i="9"/>
  <c r="X105" i="9"/>
  <c r="R68" i="9"/>
  <c r="X68" i="9"/>
  <c r="R95" i="9"/>
  <c r="X95" i="9"/>
  <c r="R46" i="9"/>
  <c r="X46" i="9"/>
  <c r="R55" i="9"/>
  <c r="X55" i="9"/>
  <c r="X94" i="9"/>
  <c r="R94" i="9"/>
  <c r="X58" i="9"/>
  <c r="R58" i="9"/>
  <c r="R85" i="9"/>
  <c r="X85" i="9"/>
  <c r="R151" i="9"/>
  <c r="X151" i="9"/>
  <c r="X128" i="9"/>
  <c r="R69" i="9"/>
  <c r="X104" i="9"/>
  <c r="R104" i="9"/>
  <c r="S104" i="9" s="1"/>
  <c r="X81" i="9"/>
  <c r="R81" i="9"/>
  <c r="X97" i="9"/>
  <c r="R97" i="9"/>
  <c r="S57" i="9"/>
  <c r="S92" i="9"/>
  <c r="S103" i="9"/>
  <c r="S112" i="9"/>
  <c r="S99" i="9"/>
  <c r="S80" i="9"/>
  <c r="S110" i="9"/>
  <c r="T119" i="9"/>
  <c r="U119" i="9"/>
  <c r="V119" i="9"/>
  <c r="Y119" i="9"/>
  <c r="Z119" i="9"/>
  <c r="AA119" i="9"/>
  <c r="T13" i="9"/>
  <c r="U13" i="9"/>
  <c r="V13" i="9"/>
  <c r="Y13" i="9"/>
  <c r="Z13" i="9"/>
  <c r="AA13" i="9"/>
  <c r="T88" i="9"/>
  <c r="U88" i="9"/>
  <c r="V88" i="9"/>
  <c r="Y88" i="9"/>
  <c r="Z88" i="9"/>
  <c r="AA88" i="9"/>
  <c r="T35" i="9"/>
  <c r="U35" i="9"/>
  <c r="V35" i="9"/>
  <c r="Y35" i="9"/>
  <c r="Z35" i="9"/>
  <c r="AA35" i="9"/>
  <c r="T66" i="9"/>
  <c r="U66" i="9"/>
  <c r="V66" i="9"/>
  <c r="Y66" i="9"/>
  <c r="Z66" i="9"/>
  <c r="AA66" i="9"/>
  <c r="T96" i="9"/>
  <c r="U96" i="9"/>
  <c r="V96" i="9"/>
  <c r="Y96" i="9"/>
  <c r="Z96" i="9"/>
  <c r="AA96" i="9"/>
  <c r="T87" i="9"/>
  <c r="U87" i="9"/>
  <c r="V87" i="9"/>
  <c r="Y87" i="9"/>
  <c r="Z87" i="9"/>
  <c r="AA87" i="9"/>
  <c r="T67" i="9"/>
  <c r="U67" i="9"/>
  <c r="V67" i="9"/>
  <c r="Y67" i="9"/>
  <c r="Z67" i="9"/>
  <c r="AA67" i="9"/>
  <c r="T44" i="9"/>
  <c r="U44" i="9"/>
  <c r="V44" i="9"/>
  <c r="Y44" i="9"/>
  <c r="Z44" i="9"/>
  <c r="AA44" i="9"/>
  <c r="T60" i="9"/>
  <c r="U60" i="9"/>
  <c r="V60" i="9"/>
  <c r="Y60" i="9"/>
  <c r="Z60" i="9"/>
  <c r="AA60" i="9"/>
  <c r="T41" i="9"/>
  <c r="U41" i="9"/>
  <c r="V41" i="9"/>
  <c r="Y41" i="9"/>
  <c r="Z41" i="9"/>
  <c r="AA41" i="9"/>
  <c r="A119" i="9"/>
  <c r="A13" i="9"/>
  <c r="A88" i="9"/>
  <c r="A35" i="9"/>
  <c r="A66" i="9"/>
  <c r="A96" i="9"/>
  <c r="A87" i="9"/>
  <c r="A67" i="9"/>
  <c r="A44" i="9"/>
  <c r="A60" i="9"/>
  <c r="A41" i="9"/>
  <c r="E151" i="14"/>
  <c r="E152" i="14"/>
  <c r="E153" i="14"/>
  <c r="E154" i="14"/>
  <c r="E155" i="14"/>
  <c r="E156" i="14"/>
  <c r="F151" i="14"/>
  <c r="F152" i="14"/>
  <c r="F153" i="14"/>
  <c r="F154" i="14"/>
  <c r="F155" i="14"/>
  <c r="F156" i="14"/>
  <c r="S74" i="9" l="1"/>
  <c r="N84" i="9"/>
  <c r="S102" i="9"/>
  <c r="S158" i="9"/>
  <c r="S164" i="9"/>
  <c r="S81" i="9"/>
  <c r="S151" i="9"/>
  <c r="S55" i="9"/>
  <c r="S58" i="9"/>
  <c r="S48" i="9"/>
  <c r="S95" i="9"/>
  <c r="S85" i="9"/>
  <c r="S70" i="9"/>
  <c r="S105" i="9"/>
  <c r="S46" i="9"/>
  <c r="S94" i="9"/>
  <c r="S68" i="9"/>
  <c r="S69" i="9"/>
  <c r="S97" i="9"/>
  <c r="E18" i="14"/>
  <c r="F18" i="14"/>
  <c r="E19" i="14"/>
  <c r="F19" i="14"/>
  <c r="V34" i="9" l="1"/>
  <c r="Y34" i="9"/>
  <c r="Z34" i="9"/>
  <c r="AA34" i="9"/>
  <c r="T90" i="9"/>
  <c r="U90" i="9"/>
  <c r="V90" i="9"/>
  <c r="Y90" i="9"/>
  <c r="Z90" i="9"/>
  <c r="AA90" i="9"/>
  <c r="A14" i="9"/>
  <c r="A59" i="9"/>
  <c r="A91" i="9"/>
  <c r="A9" i="9"/>
  <c r="A93" i="9"/>
  <c r="A53" i="9"/>
  <c r="A21" i="9"/>
  <c r="A83" i="9"/>
  <c r="A20" i="9"/>
  <c r="A101" i="9"/>
  <c r="A34" i="9"/>
  <c r="A90" i="9"/>
  <c r="T14" i="9"/>
  <c r="U14" i="9"/>
  <c r="V14" i="9"/>
  <c r="Y14" i="9"/>
  <c r="Z14" i="9"/>
  <c r="AA14" i="9"/>
  <c r="T59" i="9"/>
  <c r="U59" i="9"/>
  <c r="V59" i="9"/>
  <c r="Y59" i="9"/>
  <c r="Z59" i="9"/>
  <c r="AA59" i="9"/>
  <c r="T91" i="9"/>
  <c r="U91" i="9"/>
  <c r="V91" i="9"/>
  <c r="Y91" i="9"/>
  <c r="Z91" i="9"/>
  <c r="AA91" i="9"/>
  <c r="T9" i="9"/>
  <c r="U9" i="9"/>
  <c r="V9" i="9"/>
  <c r="Y9" i="9"/>
  <c r="Z9" i="9"/>
  <c r="AA9" i="9"/>
  <c r="T93" i="9"/>
  <c r="U93" i="9"/>
  <c r="V93" i="9"/>
  <c r="Y93" i="9"/>
  <c r="Z93" i="9"/>
  <c r="AA93" i="9"/>
  <c r="T53" i="9"/>
  <c r="U53" i="9"/>
  <c r="V53" i="9"/>
  <c r="Y53" i="9"/>
  <c r="Z53" i="9"/>
  <c r="AA53" i="9"/>
  <c r="T21" i="9"/>
  <c r="U21" i="9"/>
  <c r="V21" i="9"/>
  <c r="Y21" i="9"/>
  <c r="Z21" i="9"/>
  <c r="AA21" i="9"/>
  <c r="T83" i="9"/>
  <c r="U83" i="9"/>
  <c r="V83" i="9"/>
  <c r="Y83" i="9"/>
  <c r="Z83" i="9"/>
  <c r="AA83" i="9"/>
  <c r="T20" i="9"/>
  <c r="U20" i="9"/>
  <c r="V20" i="9"/>
  <c r="Y20" i="9"/>
  <c r="Z20" i="9"/>
  <c r="AA20" i="9"/>
  <c r="T101" i="9"/>
  <c r="U101" i="9"/>
  <c r="V101" i="9"/>
  <c r="Y101" i="9"/>
  <c r="Z101" i="9"/>
  <c r="AA101" i="9"/>
  <c r="E147" i="14"/>
  <c r="E148" i="14"/>
  <c r="E149" i="14"/>
  <c r="E150" i="14"/>
  <c r="F147" i="14"/>
  <c r="F148" i="14"/>
  <c r="F149" i="14"/>
  <c r="F150" i="14"/>
  <c r="T24" i="9" l="1"/>
  <c r="U24" i="9"/>
  <c r="V24" i="9"/>
  <c r="Y24" i="9"/>
  <c r="Z24" i="9"/>
  <c r="AA24" i="9"/>
  <c r="V37" i="9"/>
  <c r="Y37" i="9"/>
  <c r="Z37" i="9"/>
  <c r="AA37" i="9"/>
  <c r="T108" i="9"/>
  <c r="U108" i="9"/>
  <c r="V108" i="9"/>
  <c r="Y108" i="9"/>
  <c r="Z108" i="9"/>
  <c r="AA108" i="9"/>
  <c r="A24" i="9"/>
  <c r="A37" i="9"/>
  <c r="A108" i="9"/>
  <c r="I60" i="9" l="1"/>
  <c r="A45" i="9"/>
  <c r="T45" i="9"/>
  <c r="U45" i="9"/>
  <c r="V45" i="9"/>
  <c r="Y45" i="9"/>
  <c r="Z45" i="9"/>
  <c r="AA45" i="9"/>
  <c r="A17" i="9"/>
  <c r="T17" i="9"/>
  <c r="U17" i="9"/>
  <c r="V17" i="9"/>
  <c r="Y17" i="9"/>
  <c r="Z17" i="9"/>
  <c r="AA17" i="9"/>
  <c r="A40" i="9"/>
  <c r="T40" i="9"/>
  <c r="U40" i="9"/>
  <c r="V40" i="9"/>
  <c r="Y40" i="9"/>
  <c r="Z40" i="9"/>
  <c r="AA40" i="9"/>
  <c r="A65" i="9"/>
  <c r="V65" i="9"/>
  <c r="Y65" i="9"/>
  <c r="Z65" i="9"/>
  <c r="AA65" i="9"/>
  <c r="A26" i="9"/>
  <c r="T26" i="9"/>
  <c r="U26" i="9"/>
  <c r="V26" i="9"/>
  <c r="Y26" i="9"/>
  <c r="Z26" i="9"/>
  <c r="AA26" i="9"/>
  <c r="A32" i="9"/>
  <c r="T32" i="9"/>
  <c r="U32" i="9"/>
  <c r="V32" i="9"/>
  <c r="Y32" i="9"/>
  <c r="Z32" i="9"/>
  <c r="AA32" i="9"/>
  <c r="A64" i="9"/>
  <c r="V64" i="9"/>
  <c r="Y64" i="9"/>
  <c r="Z64" i="9"/>
  <c r="AA64" i="9"/>
  <c r="A149" i="9"/>
  <c r="T149" i="9"/>
  <c r="U149" i="9"/>
  <c r="V149" i="9"/>
  <c r="Y149" i="9"/>
  <c r="Z149" i="9"/>
  <c r="AA149" i="9"/>
  <c r="A25" i="9"/>
  <c r="T25" i="9"/>
  <c r="U25" i="9"/>
  <c r="V25" i="9"/>
  <c r="Y25" i="9"/>
  <c r="Z25" i="9"/>
  <c r="AA25" i="9"/>
  <c r="A76" i="9"/>
  <c r="T76" i="9"/>
  <c r="U76" i="9"/>
  <c r="V76" i="9"/>
  <c r="Y76" i="9"/>
  <c r="Z76" i="9"/>
  <c r="AA76" i="9"/>
  <c r="E129" i="14"/>
  <c r="E130" i="14"/>
  <c r="E131" i="14"/>
  <c r="E132" i="14"/>
  <c r="E133" i="14"/>
  <c r="E134" i="14"/>
  <c r="E137" i="14"/>
  <c r="E124" i="14"/>
  <c r="E127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E14" i="14"/>
  <c r="F14" i="14"/>
  <c r="E15" i="14"/>
  <c r="F15" i="14"/>
  <c r="E16" i="14"/>
  <c r="F16" i="14"/>
  <c r="E17" i="14"/>
  <c r="F17" i="14"/>
  <c r="I44" i="9" l="1"/>
  <c r="K44" i="9" s="1"/>
  <c r="AB93" i="9"/>
  <c r="I93" i="9"/>
  <c r="K93" i="9" s="1"/>
  <c r="AB21" i="9"/>
  <c r="K21" i="9"/>
  <c r="AB44" i="9"/>
  <c r="AB60" i="9"/>
  <c r="K60" i="9"/>
  <c r="AB66" i="9"/>
  <c r="K66" i="9"/>
  <c r="AB88" i="9"/>
  <c r="K88" i="9"/>
  <c r="N88" i="9" s="1"/>
  <c r="AB96" i="9"/>
  <c r="K96" i="9"/>
  <c r="AC66" i="9"/>
  <c r="AD66" i="9"/>
  <c r="AE66" i="9"/>
  <c r="AE44" i="9"/>
  <c r="AC44" i="9"/>
  <c r="AD44" i="9"/>
  <c r="AC88" i="9"/>
  <c r="AD88" i="9"/>
  <c r="AE88" i="9"/>
  <c r="AD96" i="9"/>
  <c r="AC96" i="9"/>
  <c r="AE96" i="9"/>
  <c r="AC60" i="9"/>
  <c r="AE60" i="9"/>
  <c r="AD60" i="9"/>
  <c r="AE21" i="9"/>
  <c r="AD21" i="9"/>
  <c r="AC21" i="9"/>
  <c r="AC93" i="9"/>
  <c r="AE93" i="9"/>
  <c r="AD93" i="9"/>
  <c r="E128" i="14"/>
  <c r="E146" i="14"/>
  <c r="E126" i="14"/>
  <c r="E138" i="14"/>
  <c r="E117" i="14"/>
  <c r="E120" i="14"/>
  <c r="E140" i="14"/>
  <c r="E119" i="14"/>
  <c r="E139" i="14"/>
  <c r="E118" i="14"/>
  <c r="E123" i="14"/>
  <c r="E143" i="14"/>
  <c r="E135" i="14"/>
  <c r="E114" i="14"/>
  <c r="E144" i="14"/>
  <c r="E122" i="14"/>
  <c r="E142" i="14"/>
  <c r="E125" i="14"/>
  <c r="E141" i="14"/>
  <c r="E136" i="14"/>
  <c r="E115" i="14"/>
  <c r="E121" i="14"/>
  <c r="E145" i="14"/>
  <c r="E116" i="14"/>
  <c r="I20" i="9" l="1"/>
  <c r="K20" i="9" s="1"/>
  <c r="K67" i="9"/>
  <c r="K83" i="9"/>
  <c r="I13" i="9"/>
  <c r="K13" i="9" s="1"/>
  <c r="I34" i="9"/>
  <c r="K34" i="9" s="1"/>
  <c r="N93" i="9"/>
  <c r="N44" i="9"/>
  <c r="N21" i="9"/>
  <c r="AB34" i="9"/>
  <c r="N66" i="9"/>
  <c r="AB91" i="9"/>
  <c r="K91" i="9"/>
  <c r="AB20" i="9"/>
  <c r="N96" i="9"/>
  <c r="AB83" i="9"/>
  <c r="AD9" i="9"/>
  <c r="AB13" i="9"/>
  <c r="AB87" i="9"/>
  <c r="K87" i="9"/>
  <c r="AB101" i="9"/>
  <c r="K101" i="9"/>
  <c r="N101" i="9" s="1"/>
  <c r="AB35" i="9"/>
  <c r="I35" i="9"/>
  <c r="K35" i="9" s="1"/>
  <c r="AB9" i="9"/>
  <c r="AB67" i="9"/>
  <c r="AB90" i="9"/>
  <c r="I90" i="9"/>
  <c r="K90" i="9" s="1"/>
  <c r="AB14" i="9"/>
  <c r="I14" i="9"/>
  <c r="K14" i="9" s="1"/>
  <c r="AB119" i="9"/>
  <c r="K119" i="9"/>
  <c r="AB59" i="9"/>
  <c r="K59" i="9"/>
  <c r="AB53" i="9"/>
  <c r="I53" i="9"/>
  <c r="K53" i="9" s="1"/>
  <c r="N60" i="9"/>
  <c r="AB41" i="9"/>
  <c r="K41" i="9"/>
  <c r="I9" i="9"/>
  <c r="K9" i="9" s="1"/>
  <c r="R34" i="9"/>
  <c r="AE9" i="9"/>
  <c r="AC101" i="9"/>
  <c r="AE34" i="9"/>
  <c r="AD34" i="9"/>
  <c r="AC34" i="9"/>
  <c r="AD101" i="9"/>
  <c r="AE91" i="9"/>
  <c r="AC91" i="9"/>
  <c r="AD91" i="9"/>
  <c r="AD14" i="9"/>
  <c r="AC14" i="9"/>
  <c r="AE14" i="9"/>
  <c r="AD59" i="9"/>
  <c r="AE59" i="9"/>
  <c r="AC59" i="9"/>
  <c r="AE20" i="9"/>
  <c r="AC20" i="9"/>
  <c r="AD20" i="9"/>
  <c r="AE101" i="9"/>
  <c r="AE53" i="9"/>
  <c r="AD53" i="9"/>
  <c r="AC53" i="9"/>
  <c r="AC83" i="9"/>
  <c r="AD83" i="9"/>
  <c r="AE83" i="9"/>
  <c r="AC9" i="9"/>
  <c r="AE13" i="9"/>
  <c r="AE119" i="9"/>
  <c r="AC119" i="9"/>
  <c r="AD119" i="9"/>
  <c r="AC13" i="9"/>
  <c r="AC35" i="9"/>
  <c r="AE35" i="9"/>
  <c r="AD35" i="9"/>
  <c r="AC67" i="9"/>
  <c r="AD67" i="9"/>
  <c r="AE67" i="9"/>
  <c r="AC90" i="9"/>
  <c r="AD90" i="9"/>
  <c r="AE90" i="9"/>
  <c r="AC41" i="9"/>
  <c r="AD41" i="9"/>
  <c r="AE41" i="9"/>
  <c r="X88" i="9"/>
  <c r="R88" i="9"/>
  <c r="X44" i="9"/>
  <c r="R44" i="9"/>
  <c r="AD13" i="9"/>
  <c r="X96" i="9"/>
  <c r="R96" i="9"/>
  <c r="R60" i="9"/>
  <c r="X60" i="9"/>
  <c r="AE87" i="9"/>
  <c r="AD87" i="9"/>
  <c r="AC87" i="9"/>
  <c r="X66" i="9"/>
  <c r="R66" i="9"/>
  <c r="X21" i="9"/>
  <c r="R21" i="9"/>
  <c r="X93" i="9"/>
  <c r="R93" i="9"/>
  <c r="I45" i="9"/>
  <c r="I49" i="9"/>
  <c r="I47" i="9" l="1"/>
  <c r="K47" i="9" s="1"/>
  <c r="I62" i="9"/>
  <c r="K62" i="9" s="1"/>
  <c r="I22" i="9"/>
  <c r="K22" i="9" s="1"/>
  <c r="I11" i="9"/>
  <c r="K11" i="9" s="1"/>
  <c r="N41" i="9"/>
  <c r="N90" i="9"/>
  <c r="N53" i="9"/>
  <c r="N20" i="9"/>
  <c r="N119" i="9"/>
  <c r="S21" i="9"/>
  <c r="N59" i="9"/>
  <c r="N14" i="9"/>
  <c r="N35" i="9"/>
  <c r="N67" i="9"/>
  <c r="N83" i="9"/>
  <c r="N87" i="9"/>
  <c r="AB108" i="9"/>
  <c r="K108" i="9"/>
  <c r="N108" i="9" s="1"/>
  <c r="AB33" i="9"/>
  <c r="AB37" i="9"/>
  <c r="K37" i="9"/>
  <c r="AB45" i="9"/>
  <c r="K45" i="9"/>
  <c r="AB39" i="9"/>
  <c r="K39" i="9"/>
  <c r="AB29" i="9"/>
  <c r="L29" i="9"/>
  <c r="AB149" i="9"/>
  <c r="K149" i="9"/>
  <c r="AB17" i="9"/>
  <c r="I17" i="9"/>
  <c r="K17" i="9" s="1"/>
  <c r="AB65" i="9"/>
  <c r="I65" i="9"/>
  <c r="K65" i="9" s="1"/>
  <c r="AB63" i="9"/>
  <c r="K63" i="9"/>
  <c r="AB49" i="9"/>
  <c r="K49" i="9"/>
  <c r="AB42" i="9"/>
  <c r="K42" i="9"/>
  <c r="AB11" i="9"/>
  <c r="AB72" i="9"/>
  <c r="K72" i="9"/>
  <c r="AB52" i="9"/>
  <c r="I52" i="9"/>
  <c r="K52" i="9" s="1"/>
  <c r="AB4" i="9"/>
  <c r="AB22" i="9"/>
  <c r="N91" i="9"/>
  <c r="AB64" i="9"/>
  <c r="K64" i="9"/>
  <c r="AB62" i="9"/>
  <c r="AB47" i="9"/>
  <c r="AB54" i="9"/>
  <c r="I54" i="9"/>
  <c r="K54" i="9" s="1"/>
  <c r="AB25" i="9"/>
  <c r="I25" i="9"/>
  <c r="K25" i="9" s="1"/>
  <c r="AB38" i="9"/>
  <c r="K38" i="9"/>
  <c r="AB76" i="9"/>
  <c r="K76" i="9"/>
  <c r="N76" i="9" s="1"/>
  <c r="AB40" i="9"/>
  <c r="I40" i="9"/>
  <c r="I50" i="9"/>
  <c r="K50" i="9" s="1"/>
  <c r="I8" i="9"/>
  <c r="K8" i="9" s="1"/>
  <c r="I10" i="9"/>
  <c r="K10" i="9" s="1"/>
  <c r="I19" i="9"/>
  <c r="K19" i="9" s="1"/>
  <c r="I15" i="9"/>
  <c r="K15" i="9" s="1"/>
  <c r="I29" i="9"/>
  <c r="K29" i="9" s="1"/>
  <c r="I4" i="9"/>
  <c r="K4" i="9" s="1"/>
  <c r="I27" i="9"/>
  <c r="K27" i="9" s="1"/>
  <c r="N13" i="9"/>
  <c r="I26" i="9"/>
  <c r="K26" i="9" s="1"/>
  <c r="I61" i="9"/>
  <c r="K61" i="9" s="1"/>
  <c r="I31" i="9"/>
  <c r="K31" i="9" s="1"/>
  <c r="I7" i="9"/>
  <c r="K7" i="9" s="1"/>
  <c r="I33" i="9"/>
  <c r="K33" i="9" s="1"/>
  <c r="I3" i="9"/>
  <c r="K3" i="9" s="1"/>
  <c r="I5" i="9"/>
  <c r="K5" i="9" s="1"/>
  <c r="I6" i="9"/>
  <c r="K6" i="9" s="1"/>
  <c r="I16" i="9"/>
  <c r="K16" i="9" s="1"/>
  <c r="I28" i="9"/>
  <c r="K28" i="9" s="1"/>
  <c r="R19" i="9"/>
  <c r="N34" i="9"/>
  <c r="I32" i="9"/>
  <c r="K32" i="9" s="1"/>
  <c r="R87" i="9"/>
  <c r="X87" i="9"/>
  <c r="I24" i="9"/>
  <c r="K24" i="9" s="1"/>
  <c r="X13" i="9"/>
  <c r="S88" i="9"/>
  <c r="R13" i="9"/>
  <c r="S96" i="9"/>
  <c r="N9" i="9"/>
  <c r="S93" i="9"/>
  <c r="O15" i="9"/>
  <c r="M15" i="9" s="1"/>
  <c r="L15" i="9" s="1"/>
  <c r="R59" i="9"/>
  <c r="X59" i="9"/>
  <c r="R53" i="9"/>
  <c r="X53" i="9"/>
  <c r="R83" i="9"/>
  <c r="X101" i="9"/>
  <c r="R101" i="9"/>
  <c r="S101" i="9" s="1"/>
  <c r="X34" i="9"/>
  <c r="X83" i="9"/>
  <c r="X20" i="9"/>
  <c r="R20" i="9"/>
  <c r="R91" i="9"/>
  <c r="X91" i="9"/>
  <c r="R9" i="9"/>
  <c r="X9" i="9"/>
  <c r="X14" i="9"/>
  <c r="R14" i="9"/>
  <c r="S66" i="9"/>
  <c r="X90" i="9"/>
  <c r="R90" i="9"/>
  <c r="S90" i="9" s="1"/>
  <c r="X41" i="9"/>
  <c r="R41" i="9"/>
  <c r="S44" i="9"/>
  <c r="R35" i="9"/>
  <c r="X35" i="9"/>
  <c r="S60" i="9"/>
  <c r="X119" i="9"/>
  <c r="R119" i="9"/>
  <c r="R67" i="9"/>
  <c r="X67" i="9"/>
  <c r="AC108" i="9"/>
  <c r="AD108" i="9"/>
  <c r="AE108" i="9"/>
  <c r="AE37" i="9"/>
  <c r="AC37" i="9"/>
  <c r="AD37" i="9"/>
  <c r="AB24" i="9"/>
  <c r="AC24" i="9"/>
  <c r="AD24" i="9"/>
  <c r="AE24" i="9"/>
  <c r="AC26" i="9"/>
  <c r="AE40" i="9"/>
  <c r="AD40" i="9"/>
  <c r="AC40" i="9"/>
  <c r="AE26" i="9"/>
  <c r="AB26" i="9"/>
  <c r="AD26" i="9"/>
  <c r="AD65" i="9"/>
  <c r="AE65" i="9"/>
  <c r="AC65" i="9"/>
  <c r="AD17" i="9"/>
  <c r="AC17" i="9"/>
  <c r="AE17" i="9"/>
  <c r="AC45" i="9"/>
  <c r="AD45" i="9"/>
  <c r="AE45" i="9"/>
  <c r="AB32" i="9"/>
  <c r="AD32" i="9"/>
  <c r="AC32" i="9"/>
  <c r="AE32" i="9"/>
  <c r="AD25" i="9"/>
  <c r="AE25" i="9"/>
  <c r="AC25" i="9"/>
  <c r="AD64" i="9"/>
  <c r="AC64" i="9"/>
  <c r="AE64" i="9"/>
  <c r="AE76" i="9"/>
  <c r="AD76" i="9"/>
  <c r="AC76" i="9"/>
  <c r="AD149" i="9"/>
  <c r="AE149" i="9"/>
  <c r="AC149" i="9"/>
  <c r="R54" i="9" l="1"/>
  <c r="N54" i="9"/>
  <c r="R42" i="9"/>
  <c r="R65" i="9"/>
  <c r="N65" i="9"/>
  <c r="N45" i="9"/>
  <c r="N49" i="9"/>
  <c r="R49" i="9"/>
  <c r="N39" i="9"/>
  <c r="S67" i="9"/>
  <c r="S20" i="9"/>
  <c r="N149" i="9"/>
  <c r="S83" i="9"/>
  <c r="S87" i="9"/>
  <c r="N38" i="9"/>
  <c r="N25" i="9"/>
  <c r="R37" i="9"/>
  <c r="N40" i="9"/>
  <c r="R64" i="9"/>
  <c r="N17" i="9"/>
  <c r="N4" i="9"/>
  <c r="N33" i="9"/>
  <c r="N72" i="9"/>
  <c r="N29" i="9"/>
  <c r="N47" i="9"/>
  <c r="N52" i="9"/>
  <c r="R11" i="9"/>
  <c r="N26" i="9"/>
  <c r="N6" i="9"/>
  <c r="N50" i="9"/>
  <c r="N5" i="9"/>
  <c r="N37" i="9"/>
  <c r="S34" i="9"/>
  <c r="N11" i="9"/>
  <c r="N64" i="9"/>
  <c r="N19" i="9"/>
  <c r="R26" i="9"/>
  <c r="X26" i="9"/>
  <c r="S13" i="9"/>
  <c r="S9" i="9"/>
  <c r="N8" i="9"/>
  <c r="S59" i="9"/>
  <c r="N32" i="9"/>
  <c r="S53" i="9"/>
  <c r="N22" i="9"/>
  <c r="N7" i="9"/>
  <c r="N24" i="9"/>
  <c r="N27" i="9"/>
  <c r="N28" i="9"/>
  <c r="N63" i="9"/>
  <c r="N62" i="9"/>
  <c r="N15" i="9"/>
  <c r="S14" i="9"/>
  <c r="S91" i="9"/>
  <c r="S41" i="9"/>
  <c r="S119" i="9"/>
  <c r="S35" i="9"/>
  <c r="X24" i="9"/>
  <c r="R24" i="9"/>
  <c r="X37" i="9"/>
  <c r="X108" i="9"/>
  <c r="R108" i="9"/>
  <c r="R40" i="9"/>
  <c r="X40" i="9"/>
  <c r="X65" i="9"/>
  <c r="R17" i="9"/>
  <c r="X45" i="9"/>
  <c r="R45" i="9"/>
  <c r="X17" i="9"/>
  <c r="R149" i="9"/>
  <c r="S149" i="9" s="1"/>
  <c r="X149" i="9"/>
  <c r="R25" i="9"/>
  <c r="X25" i="9"/>
  <c r="R76" i="9"/>
  <c r="X76" i="9"/>
  <c r="R32" i="9"/>
  <c r="X32" i="9"/>
  <c r="S42" i="9" l="1"/>
  <c r="S45" i="9"/>
  <c r="S40" i="9"/>
  <c r="N42" i="9"/>
  <c r="N31" i="9"/>
  <c r="N61" i="9"/>
  <c r="N3" i="9"/>
  <c r="N10" i="9"/>
  <c r="S49" i="9"/>
  <c r="S65" i="9"/>
  <c r="S37" i="9"/>
  <c r="S54" i="9"/>
  <c r="S11" i="9"/>
  <c r="S64" i="9"/>
  <c r="S19" i="9"/>
  <c r="S26" i="9"/>
  <c r="S108" i="9"/>
  <c r="S76" i="9"/>
  <c r="S17" i="9"/>
  <c r="S24" i="9"/>
  <c r="X64" i="9"/>
  <c r="S32" i="9"/>
  <c r="S25" i="9"/>
  <c r="E13" i="14" l="1"/>
  <c r="F13" i="14"/>
  <c r="A39" i="9" l="1"/>
  <c r="T39" i="9"/>
  <c r="U39" i="9"/>
  <c r="V39" i="9"/>
  <c r="Y39" i="9"/>
  <c r="Z39" i="9"/>
  <c r="AA39" i="9"/>
  <c r="T22" i="9" l="1"/>
  <c r="U22" i="9"/>
  <c r="V22" i="9"/>
  <c r="Y22" i="9"/>
  <c r="Z22" i="9"/>
  <c r="AA22" i="9"/>
  <c r="T63" i="9"/>
  <c r="U63" i="9"/>
  <c r="V63" i="9"/>
  <c r="Y63" i="9"/>
  <c r="Z63" i="9"/>
  <c r="AA63" i="9"/>
  <c r="T4" i="9"/>
  <c r="U4" i="9"/>
  <c r="V4" i="9"/>
  <c r="Y4" i="9"/>
  <c r="Z4" i="9"/>
  <c r="AA4" i="9"/>
  <c r="T29" i="9"/>
  <c r="U29" i="9"/>
  <c r="V29" i="9"/>
  <c r="Y29" i="9"/>
  <c r="Z29" i="9"/>
  <c r="AA29" i="9"/>
  <c r="T72" i="9"/>
  <c r="U72" i="9"/>
  <c r="V72" i="9"/>
  <c r="Y72" i="9"/>
  <c r="Z72" i="9"/>
  <c r="AA72" i="9"/>
  <c r="T8" i="9"/>
  <c r="U8" i="9"/>
  <c r="V8" i="9"/>
  <c r="Y8" i="9"/>
  <c r="Z8" i="9"/>
  <c r="AA8" i="9"/>
  <c r="V19" i="9"/>
  <c r="Y19" i="9"/>
  <c r="Z19" i="9"/>
  <c r="AA19" i="9"/>
  <c r="A22" i="9"/>
  <c r="A63" i="9"/>
  <c r="A4" i="9"/>
  <c r="A29" i="9"/>
  <c r="A72" i="9"/>
  <c r="A8" i="9"/>
  <c r="A19" i="9"/>
  <c r="E112" i="14"/>
  <c r="E113" i="14"/>
  <c r="F111" i="14"/>
  <c r="F112" i="14"/>
  <c r="F113" i="14"/>
  <c r="F100" i="14"/>
  <c r="F101" i="14"/>
  <c r="F102" i="14"/>
  <c r="F103" i="14"/>
  <c r="F104" i="14"/>
  <c r="F105" i="14"/>
  <c r="F106" i="14"/>
  <c r="F107" i="14"/>
  <c r="F108" i="14"/>
  <c r="F109" i="14"/>
  <c r="F110" i="14"/>
  <c r="E108" i="14" l="1"/>
  <c r="E102" i="14"/>
  <c r="E110" i="14"/>
  <c r="E103" i="14"/>
  <c r="E101" i="14"/>
  <c r="E109" i="14"/>
  <c r="E104" i="14"/>
  <c r="E107" i="14"/>
  <c r="E105" i="14"/>
  <c r="E106" i="14"/>
  <c r="V54" i="9" l="1"/>
  <c r="Y54" i="9"/>
  <c r="Z54" i="9"/>
  <c r="AA54" i="9"/>
  <c r="A54" i="9"/>
  <c r="E100" i="14" l="1"/>
  <c r="V49" i="9"/>
  <c r="Y49" i="9"/>
  <c r="Z49" i="9"/>
  <c r="AA49" i="9"/>
  <c r="T50" i="9"/>
  <c r="U50" i="9"/>
  <c r="V50" i="9"/>
  <c r="Y50" i="9"/>
  <c r="Z50" i="9"/>
  <c r="AA50" i="9"/>
  <c r="T38" i="9"/>
  <c r="U38" i="9"/>
  <c r="V38" i="9"/>
  <c r="Y38" i="9"/>
  <c r="Z38" i="9"/>
  <c r="AA38" i="9"/>
  <c r="T61" i="9"/>
  <c r="U61" i="9"/>
  <c r="V61" i="9"/>
  <c r="Y61" i="9"/>
  <c r="Z61" i="9"/>
  <c r="AA61" i="9"/>
  <c r="V11" i="9"/>
  <c r="Y11" i="9"/>
  <c r="Z11" i="9"/>
  <c r="AA11" i="9"/>
  <c r="T62" i="9"/>
  <c r="U62" i="9"/>
  <c r="V62" i="9"/>
  <c r="Y62" i="9"/>
  <c r="Z62" i="9"/>
  <c r="AA62" i="9"/>
  <c r="T7" i="9"/>
  <c r="U7" i="9"/>
  <c r="V7" i="9"/>
  <c r="Y7" i="9"/>
  <c r="Z7" i="9"/>
  <c r="AA7" i="9"/>
  <c r="A49" i="9"/>
  <c r="A50" i="9"/>
  <c r="A38" i="9"/>
  <c r="A61" i="9"/>
  <c r="A11" i="9"/>
  <c r="A62" i="9"/>
  <c r="A7" i="9"/>
  <c r="AC22" i="9" l="1"/>
  <c r="AE22" i="9"/>
  <c r="AD22" i="9"/>
  <c r="AD72" i="9"/>
  <c r="AC72" i="9"/>
  <c r="AE72" i="9"/>
  <c r="AE8" i="9"/>
  <c r="AD8" i="9"/>
  <c r="AC8" i="9"/>
  <c r="AB8" i="9"/>
  <c r="AC63" i="9"/>
  <c r="AD63" i="9"/>
  <c r="AE63" i="9"/>
  <c r="AC4" i="9"/>
  <c r="AE4" i="9"/>
  <c r="AD4" i="9"/>
  <c r="AD29" i="9"/>
  <c r="AE29" i="9"/>
  <c r="AC29" i="9"/>
  <c r="AE19" i="9"/>
  <c r="AD19" i="9"/>
  <c r="AB19" i="9"/>
  <c r="AC19" i="9"/>
  <c r="E111" i="14"/>
  <c r="V42" i="9"/>
  <c r="Y42" i="9"/>
  <c r="Z42" i="9"/>
  <c r="AA42" i="9"/>
  <c r="T15" i="9"/>
  <c r="U15" i="9"/>
  <c r="V15" i="9"/>
  <c r="Y15" i="9"/>
  <c r="Z15" i="9"/>
  <c r="AA15" i="9"/>
  <c r="N16" i="9" l="1"/>
  <c r="AE54" i="9"/>
  <c r="AD39" i="9"/>
  <c r="AD54" i="9"/>
  <c r="AC54" i="9"/>
  <c r="AE39" i="9"/>
  <c r="AC39" i="9"/>
  <c r="R22" i="9"/>
  <c r="X8" i="9"/>
  <c r="X29" i="9"/>
  <c r="R29" i="9"/>
  <c r="S29" i="9" s="1"/>
  <c r="X63" i="9"/>
  <c r="R63" i="9"/>
  <c r="S63" i="9" s="1"/>
  <c r="R8" i="9"/>
  <c r="X22" i="9"/>
  <c r="X4" i="9"/>
  <c r="R4" i="9"/>
  <c r="X72" i="9"/>
  <c r="R72" i="9"/>
  <c r="T52" i="9"/>
  <c r="U52" i="9"/>
  <c r="V52" i="9"/>
  <c r="Y52" i="9"/>
  <c r="Z52" i="9"/>
  <c r="AA52" i="9"/>
  <c r="T5" i="9"/>
  <c r="U5" i="9"/>
  <c r="V5" i="9"/>
  <c r="Y5" i="9"/>
  <c r="Z5" i="9"/>
  <c r="AA5" i="9"/>
  <c r="T3" i="9"/>
  <c r="U3" i="9"/>
  <c r="V3" i="9"/>
  <c r="Y3" i="9"/>
  <c r="Z3" i="9"/>
  <c r="AA3" i="9"/>
  <c r="T31" i="9"/>
  <c r="U31" i="9"/>
  <c r="V31" i="9"/>
  <c r="Y31" i="9"/>
  <c r="Z31" i="9"/>
  <c r="AA31" i="9"/>
  <c r="T33" i="9"/>
  <c r="U33" i="9"/>
  <c r="V33" i="9"/>
  <c r="Y33" i="9"/>
  <c r="Z33" i="9"/>
  <c r="AA33" i="9"/>
  <c r="X19" i="9" l="1"/>
  <c r="X54" i="9"/>
  <c r="X39" i="9"/>
  <c r="R39" i="9"/>
  <c r="S22" i="9"/>
  <c r="S8" i="9"/>
  <c r="S72" i="9"/>
  <c r="S4" i="9"/>
  <c r="T47" i="9"/>
  <c r="U47" i="9"/>
  <c r="V47" i="9"/>
  <c r="Y47" i="9"/>
  <c r="Z47" i="9"/>
  <c r="AA47" i="9"/>
  <c r="T16" i="9"/>
  <c r="U16" i="9"/>
  <c r="V16" i="9"/>
  <c r="Y16" i="9"/>
  <c r="Z16" i="9"/>
  <c r="AA16" i="9"/>
  <c r="T6" i="9"/>
  <c r="U6" i="9"/>
  <c r="V6" i="9"/>
  <c r="Y6" i="9"/>
  <c r="Z6" i="9"/>
  <c r="AA6" i="9"/>
  <c r="A47" i="9"/>
  <c r="A16" i="9"/>
  <c r="A6" i="9"/>
  <c r="E93" i="14"/>
  <c r="E96" i="14"/>
  <c r="E95" i="14"/>
  <c r="E94" i="14"/>
  <c r="E99" i="14"/>
  <c r="F93" i="14"/>
  <c r="F94" i="14"/>
  <c r="F95" i="14"/>
  <c r="F96" i="14"/>
  <c r="F97" i="14"/>
  <c r="F98" i="14"/>
  <c r="F99" i="14"/>
  <c r="E85" i="14"/>
  <c r="E87" i="14"/>
  <c r="F82" i="14"/>
  <c r="F83" i="14"/>
  <c r="F84" i="14"/>
  <c r="F85" i="14"/>
  <c r="F86" i="14"/>
  <c r="F87" i="14"/>
  <c r="F88" i="14"/>
  <c r="F89" i="14"/>
  <c r="F90" i="14"/>
  <c r="F91" i="14"/>
  <c r="F92" i="14"/>
  <c r="S39" i="9" l="1"/>
  <c r="AB6" i="9"/>
  <c r="AC6" i="9"/>
  <c r="AD6" i="9"/>
  <c r="AE6" i="9"/>
  <c r="AE47" i="9"/>
  <c r="AD47" i="9"/>
  <c r="AC47" i="9"/>
  <c r="AE16" i="9"/>
  <c r="AD16" i="9"/>
  <c r="AC16" i="9"/>
  <c r="AB16" i="9"/>
  <c r="E98" i="14"/>
  <c r="E84" i="14"/>
  <c r="E82" i="14"/>
  <c r="E97" i="14"/>
  <c r="E92" i="14"/>
  <c r="E91" i="14"/>
  <c r="E83" i="14"/>
  <c r="E89" i="14"/>
  <c r="E90" i="14"/>
  <c r="E88" i="14"/>
  <c r="E86" i="14"/>
  <c r="R7" i="9" l="1"/>
  <c r="AC38" i="9"/>
  <c r="AD38" i="9"/>
  <c r="AE38" i="9"/>
  <c r="AC11" i="9"/>
  <c r="AD11" i="9"/>
  <c r="AE11" i="9"/>
  <c r="AD61" i="9"/>
  <c r="AE61" i="9"/>
  <c r="AB61" i="9"/>
  <c r="AC61" i="9"/>
  <c r="AC49" i="9"/>
  <c r="AE49" i="9"/>
  <c r="AD49" i="9"/>
  <c r="AE7" i="9"/>
  <c r="AC7" i="9"/>
  <c r="AD7" i="9"/>
  <c r="AB7" i="9"/>
  <c r="AB50" i="9"/>
  <c r="AC50" i="9"/>
  <c r="AD50" i="9"/>
  <c r="AE50" i="9"/>
  <c r="AE62" i="9"/>
  <c r="AD62" i="9"/>
  <c r="AC62" i="9"/>
  <c r="R16" i="9"/>
  <c r="X16" i="9"/>
  <c r="R6" i="9"/>
  <c r="X6" i="9"/>
  <c r="R47" i="9"/>
  <c r="X47" i="9"/>
  <c r="X50" i="9" l="1"/>
  <c r="X7" i="9"/>
  <c r="R50" i="9"/>
  <c r="S50" i="9" s="1"/>
  <c r="X11" i="9"/>
  <c r="R61" i="9"/>
  <c r="X61" i="9"/>
  <c r="S7" i="9"/>
  <c r="X38" i="9"/>
  <c r="R38" i="9"/>
  <c r="X49" i="9"/>
  <c r="S47" i="9"/>
  <c r="S16" i="9"/>
  <c r="S6" i="9"/>
  <c r="S38" i="9" l="1"/>
  <c r="R62" i="9"/>
  <c r="S62" i="9" s="1"/>
  <c r="X62" i="9"/>
  <c r="S61" i="9"/>
  <c r="E5" i="14" l="1"/>
  <c r="F5" i="14"/>
  <c r="A27" i="9" l="1"/>
  <c r="A52" i="9" l="1"/>
  <c r="E80" i="14" l="1"/>
  <c r="E81" i="14"/>
  <c r="F80" i="14"/>
  <c r="F81" i="14"/>
  <c r="F77" i="14" l="1"/>
  <c r="F78" i="14"/>
  <c r="F79" i="14"/>
  <c r="F8" i="14" l="1"/>
  <c r="E78" i="14" l="1"/>
  <c r="E79" i="14"/>
  <c r="F66" i="14"/>
  <c r="F67" i="14"/>
  <c r="F68" i="14"/>
  <c r="F69" i="14"/>
  <c r="F70" i="14"/>
  <c r="F71" i="14"/>
  <c r="F72" i="14"/>
  <c r="F73" i="14"/>
  <c r="F74" i="14"/>
  <c r="F75" i="14"/>
  <c r="F76" i="14"/>
  <c r="F58" i="14"/>
  <c r="F59" i="14"/>
  <c r="F60" i="14"/>
  <c r="F61" i="14"/>
  <c r="F62" i="14"/>
  <c r="F63" i="14"/>
  <c r="F64" i="14"/>
  <c r="F65" i="14"/>
  <c r="F9" i="14"/>
  <c r="E76" i="14" l="1"/>
  <c r="E40" i="14"/>
  <c r="E66" i="14"/>
  <c r="E59" i="14"/>
  <c r="E70" i="14"/>
  <c r="E67" i="14"/>
  <c r="E72" i="14"/>
  <c r="E60" i="14"/>
  <c r="E61" i="14"/>
  <c r="E73" i="14"/>
  <c r="E74" i="14"/>
  <c r="E71" i="14"/>
  <c r="E58" i="14"/>
  <c r="E69" i="14"/>
  <c r="E77" i="14"/>
  <c r="E68" i="14" l="1"/>
  <c r="E63" i="14"/>
  <c r="E75" i="14"/>
  <c r="E64" i="14"/>
  <c r="E65" i="14"/>
  <c r="E62" i="14" l="1"/>
  <c r="T27" i="9"/>
  <c r="U27" i="9"/>
  <c r="V27" i="9"/>
  <c r="Y27" i="9"/>
  <c r="Z27" i="9"/>
  <c r="AA27" i="9"/>
  <c r="T10" i="9"/>
  <c r="U10" i="9"/>
  <c r="V10" i="9"/>
  <c r="Y10" i="9"/>
  <c r="Z10" i="9"/>
  <c r="AA10" i="9"/>
  <c r="A10" i="9"/>
  <c r="AB27" i="9" l="1"/>
  <c r="AB10" i="9"/>
  <c r="AC27" i="9"/>
  <c r="AD27" i="9"/>
  <c r="AE27" i="9"/>
  <c r="AD10" i="9"/>
  <c r="AE10" i="9"/>
  <c r="AC10" i="9"/>
  <c r="R27" i="9" l="1"/>
  <c r="X27" i="9"/>
  <c r="R10" i="9"/>
  <c r="X10" i="9"/>
  <c r="S27" i="9" l="1"/>
  <c r="S10" i="9"/>
  <c r="E54" i="14"/>
  <c r="E55" i="14"/>
  <c r="E56" i="14"/>
  <c r="E57" i="14"/>
  <c r="F54" i="14"/>
  <c r="F55" i="14"/>
  <c r="F56" i="14"/>
  <c r="F57" i="14"/>
  <c r="E50" i="14" l="1"/>
  <c r="E51" i="14"/>
  <c r="E52" i="14"/>
  <c r="E53" i="14"/>
  <c r="F50" i="14"/>
  <c r="F51" i="14"/>
  <c r="F52" i="14"/>
  <c r="F53" i="14"/>
  <c r="T28" i="9" l="1"/>
  <c r="U28" i="9"/>
  <c r="V28" i="9"/>
  <c r="Y28" i="9"/>
  <c r="Z28" i="9"/>
  <c r="AA28" i="9"/>
  <c r="A28" i="9"/>
  <c r="E46" i="14" l="1"/>
  <c r="E45" i="14"/>
  <c r="E44" i="14"/>
  <c r="F42" i="14"/>
  <c r="F43" i="14"/>
  <c r="F44" i="14"/>
  <c r="F45" i="14"/>
  <c r="F46" i="14"/>
  <c r="F47" i="14"/>
  <c r="F48" i="14"/>
  <c r="F49" i="14"/>
  <c r="A42" i="9"/>
  <c r="A33" i="9"/>
  <c r="E43" i="14" l="1"/>
  <c r="E42" i="14"/>
  <c r="E49" i="14"/>
  <c r="E48" i="14"/>
  <c r="E47" i="14"/>
  <c r="AB28" i="9" l="1"/>
  <c r="AC28" i="9"/>
  <c r="AD28" i="9"/>
  <c r="AE28" i="9"/>
  <c r="E36" i="14"/>
  <c r="F35" i="14"/>
  <c r="F36" i="14"/>
  <c r="F37" i="14"/>
  <c r="F38" i="14"/>
  <c r="F39" i="14"/>
  <c r="F40" i="14"/>
  <c r="F41" i="14"/>
  <c r="F30" i="14"/>
  <c r="F31" i="14"/>
  <c r="F32" i="14"/>
  <c r="F34" i="14"/>
  <c r="R28" i="9" l="1"/>
  <c r="X28" i="9"/>
  <c r="E35" i="14"/>
  <c r="E32" i="14"/>
  <c r="E37" i="14"/>
  <c r="E34" i="14"/>
  <c r="E30" i="14"/>
  <c r="E41" i="14"/>
  <c r="E31" i="14"/>
  <c r="E38" i="14"/>
  <c r="S28" i="9" l="1"/>
  <c r="E39" i="14" l="1"/>
  <c r="AB15" i="9" l="1"/>
  <c r="AC15" i="9"/>
  <c r="AD15" i="9"/>
  <c r="AE15" i="9"/>
  <c r="AC42" i="9"/>
  <c r="AD42" i="9"/>
  <c r="AE42" i="9"/>
  <c r="AE33" i="9"/>
  <c r="AC33" i="9"/>
  <c r="AD33" i="9"/>
  <c r="AC52" i="9"/>
  <c r="AD52" i="9"/>
  <c r="AE52" i="9"/>
  <c r="AB5" i="9" l="1"/>
  <c r="AC5" i="9"/>
  <c r="AD5" i="9"/>
  <c r="AE5" i="9"/>
  <c r="AB31" i="9"/>
  <c r="AC31" i="9"/>
  <c r="AD31" i="9"/>
  <c r="AE31" i="9"/>
  <c r="AD3" i="9"/>
  <c r="AE3" i="9"/>
  <c r="AC3" i="9"/>
  <c r="AB3" i="9"/>
  <c r="E28" i="14" l="1"/>
  <c r="E29" i="14"/>
  <c r="F29" i="14"/>
  <c r="F28" i="14"/>
  <c r="A3" i="9" l="1"/>
  <c r="A5" i="9" l="1"/>
  <c r="J33" i="17" l="1"/>
  <c r="E11" i="14" l="1"/>
  <c r="E9" i="14"/>
  <c r="E6" i="14"/>
  <c r="E12" i="14"/>
  <c r="F11" i="14"/>
  <c r="F6" i="14"/>
  <c r="F12" i="14"/>
  <c r="E8" i="14"/>
  <c r="E3" i="14"/>
  <c r="E7" i="14"/>
  <c r="F3" i="14"/>
  <c r="F7" i="14"/>
  <c r="E10" i="14"/>
  <c r="F10" i="14"/>
  <c r="E4" i="14"/>
  <c r="F4" i="14"/>
  <c r="E2" i="14"/>
  <c r="F2" i="14"/>
  <c r="A31" i="9" l="1"/>
  <c r="C25" i="17" l="1"/>
  <c r="A15" i="9" l="1"/>
  <c r="C22" i="17"/>
  <c r="C18" i="17" l="1"/>
  <c r="C19" i="17" l="1"/>
  <c r="C20" i="17"/>
  <c r="C21" i="17"/>
  <c r="C23" i="17"/>
  <c r="C24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J14" i="17"/>
  <c r="J15" i="17"/>
  <c r="C17" i="17" l="1"/>
  <c r="C15" i="17"/>
  <c r="C14" i="17"/>
  <c r="C16" i="17"/>
  <c r="C11" i="17" l="1"/>
  <c r="C12" i="17"/>
  <c r="C13" i="17"/>
  <c r="J6" i="17" l="1"/>
  <c r="J5" i="17"/>
  <c r="J7" i="17"/>
  <c r="J8" i="17"/>
  <c r="J9" i="17"/>
  <c r="J10" i="17"/>
  <c r="J11" i="17"/>
  <c r="J12" i="17"/>
  <c r="J13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C6" i="17"/>
  <c r="C5" i="17" l="1"/>
  <c r="C7" i="17" l="1"/>
  <c r="C8" i="17"/>
  <c r="C9" i="17"/>
  <c r="C10" i="17"/>
  <c r="B5" i="17" l="1"/>
  <c r="X3" i="9" l="1"/>
  <c r="X33" i="9"/>
  <c r="X52" i="9"/>
  <c r="X5" i="9"/>
  <c r="X31" i="9"/>
  <c r="R31" i="9"/>
  <c r="R3" i="9"/>
  <c r="R52" i="9"/>
  <c r="R33" i="9"/>
  <c r="R5" i="9"/>
  <c r="S33" i="9" l="1"/>
  <c r="S52" i="9"/>
  <c r="S5" i="9"/>
  <c r="S3" i="9"/>
  <c r="S31" i="9"/>
  <c r="X15" i="9" l="1"/>
  <c r="R15" i="9"/>
  <c r="X42" i="9"/>
  <c r="S15" i="9" l="1"/>
  <c r="AB107" i="9" l="1"/>
  <c r="AD107" i="9"/>
  <c r="AC107" i="9"/>
  <c r="AE107" i="9"/>
  <c r="X107" i="9" l="1"/>
  <c r="N107" i="9"/>
  <c r="R107" i="9"/>
  <c r="S107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ARBOUBBA Oumaima [EIDS]</author>
  </authors>
  <commentList>
    <comment ref="I20" authorId="0" shapeId="0" xr:uid="{0D85C03A-13B8-438D-ACC3-91F320D746C7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</commentList>
</comments>
</file>

<file path=xl/sharedStrings.xml><?xml version="1.0" encoding="utf-8"?>
<sst xmlns="http://schemas.openxmlformats.org/spreadsheetml/2006/main" count="4530" uniqueCount="944">
  <si>
    <t>Nom</t>
  </si>
  <si>
    <t>Hr début shift Planifiée</t>
  </si>
  <si>
    <t>Hr Fin shift Planifiée</t>
  </si>
  <si>
    <t>Statut</t>
  </si>
  <si>
    <t>Date</t>
  </si>
  <si>
    <t>Hr début shift Réalisée</t>
  </si>
  <si>
    <t>Retard Debut de shift</t>
  </si>
  <si>
    <t>Retard Dej</t>
  </si>
  <si>
    <t>Somme des retards</t>
  </si>
  <si>
    <t>Absences</t>
  </si>
  <si>
    <t>Hr Adherée</t>
  </si>
  <si>
    <t>Hr Planifiée</t>
  </si>
  <si>
    <t>Nom De l'agent</t>
  </si>
  <si>
    <t>Durée de la Pause Dej</t>
  </si>
  <si>
    <t>Départs Anticipés</t>
  </si>
  <si>
    <t>Hr Abs Pure</t>
  </si>
  <si>
    <t>Hr Abs Totales</t>
  </si>
  <si>
    <t>Semaine</t>
  </si>
  <si>
    <t>Mois</t>
  </si>
  <si>
    <t>Année</t>
  </si>
  <si>
    <t>VTO</t>
  </si>
  <si>
    <t>Heures SUP</t>
  </si>
  <si>
    <t>Team</t>
  </si>
  <si>
    <t>Business</t>
  </si>
  <si>
    <t>Segment</t>
  </si>
  <si>
    <t>Entrée</t>
  </si>
  <si>
    <t>Sortie</t>
  </si>
  <si>
    <t>Dépsement des pauses</t>
  </si>
  <si>
    <t>Matricule</t>
  </si>
  <si>
    <t>Date embauche</t>
  </si>
  <si>
    <t>Date sortie</t>
  </si>
  <si>
    <t>OFF</t>
  </si>
  <si>
    <t>Hr fin shift Réalisée</t>
  </si>
  <si>
    <t>Congé payé</t>
  </si>
  <si>
    <t>Congé sans solde</t>
  </si>
  <si>
    <t>Congé spécial</t>
  </si>
  <si>
    <t>Plannif spécial</t>
  </si>
  <si>
    <t>Google leads</t>
  </si>
  <si>
    <t>HMIDOUCH Fouad</t>
  </si>
  <si>
    <t>AFEDIM</t>
  </si>
  <si>
    <t>EL BATAL AMINA</t>
  </si>
  <si>
    <t>HAOUACH Ikram</t>
  </si>
  <si>
    <t>HARGOUS FATIMA ZAHRA</t>
  </si>
  <si>
    <t>MASSROUR MOUNIA</t>
  </si>
  <si>
    <t>MOUHAFIDI WALID</t>
  </si>
  <si>
    <t>NIANG NDEYE ABSA</t>
  </si>
  <si>
    <t>Total général</t>
  </si>
  <si>
    <t>(Tous)</t>
  </si>
  <si>
    <t>Somme de Théorique</t>
  </si>
  <si>
    <t>No Semaine</t>
  </si>
  <si>
    <t>Jour férié</t>
  </si>
  <si>
    <t>Activité</t>
  </si>
  <si>
    <t>Manager</t>
  </si>
  <si>
    <t>Nom et Prénom du salarié</t>
  </si>
  <si>
    <t>Date début de l'arrêt</t>
  </si>
  <si>
    <t>Date de reprise</t>
  </si>
  <si>
    <t>Date de dépôt du CM</t>
  </si>
  <si>
    <t>Durée de l'arrêt</t>
  </si>
  <si>
    <t>RHATOUS HAMZA</t>
  </si>
  <si>
    <t>Commentaire</t>
  </si>
  <si>
    <t>DOURAFEI IKRAM</t>
  </si>
  <si>
    <t>Forfaitaire</t>
  </si>
  <si>
    <t>Nombre de Segment</t>
  </si>
  <si>
    <t>SAIDI SAMIA</t>
  </si>
  <si>
    <t>SANHAJI SARA</t>
  </si>
  <si>
    <t>LASRI NIDAL</t>
  </si>
  <si>
    <t>GHAOUTY NISRINE</t>
  </si>
  <si>
    <t>TLV</t>
  </si>
  <si>
    <t>ADERBAZ KAWTAR</t>
  </si>
  <si>
    <t>LAKHIOUI MERYEM</t>
  </si>
  <si>
    <t>TALBI FAIROUZ</t>
  </si>
  <si>
    <t>Nom Prénom</t>
  </si>
  <si>
    <t xml:space="preserve">OUAQERROUCH NOUR EL HOUDA </t>
  </si>
  <si>
    <t>Google Leads</t>
  </si>
  <si>
    <t>COUNDOUL Birane</t>
  </si>
  <si>
    <t>5J</t>
  </si>
  <si>
    <t>ZAKI OMAR</t>
  </si>
  <si>
    <t>OUAQERROUCH NOURELHOUDA</t>
  </si>
  <si>
    <t>30Jours</t>
  </si>
  <si>
    <t>RADGUI Sara</t>
  </si>
  <si>
    <t>IHASSANE Ikram</t>
  </si>
  <si>
    <t>Dernier log</t>
  </si>
  <si>
    <t>OUAQERROUCH Nour-El Houda</t>
  </si>
  <si>
    <t>EL HOUSSAINI HOUDA</t>
  </si>
  <si>
    <t>Retard Début de shift</t>
  </si>
  <si>
    <t>LAFDIL NADA</t>
  </si>
  <si>
    <t>EL AOUAQUI Bouchra</t>
  </si>
  <si>
    <t>EL HARROUCHI CHAIMAE</t>
  </si>
  <si>
    <t>AIT LARBI HIND</t>
  </si>
  <si>
    <t>GUEYE MOUHAMED</t>
  </si>
  <si>
    <t>LEHMOUCH NOUHAILA</t>
  </si>
  <si>
    <t>ZITOUNI LAMYA</t>
  </si>
  <si>
    <t>DIOP MAMADOU MOUSTAPHA DOKY</t>
  </si>
  <si>
    <t>EL BAHLOULY DOHA</t>
  </si>
  <si>
    <t>RACHAD NAWAR</t>
  </si>
  <si>
    <t>BENHAMMOU ALAE-EDDINE</t>
  </si>
  <si>
    <t>BOUAZZA YASSINE</t>
  </si>
  <si>
    <t>EL JAOUHARI Ussama</t>
  </si>
  <si>
    <t>Colonne1</t>
  </si>
  <si>
    <t>CM Leasing</t>
  </si>
  <si>
    <t>OUBRAHIM Mohammed</t>
  </si>
  <si>
    <t>BOUAZZA Yassine</t>
  </si>
  <si>
    <t>DIOUF OUSSMANE</t>
  </si>
  <si>
    <t>EL IDRISSI ELHASSANI MAHA</t>
  </si>
  <si>
    <t>GOMIS AMINATA AGNES</t>
  </si>
  <si>
    <t>ESSABERY ISMAIL</t>
  </si>
  <si>
    <t>TOURE ABIBOU</t>
  </si>
  <si>
    <t>CHOUIFI Mustapha</t>
  </si>
  <si>
    <t>Colonne2</t>
  </si>
  <si>
    <t>DIOP Abdou</t>
  </si>
  <si>
    <t>KANTAOUI SALMA</t>
  </si>
  <si>
    <t>BOUABDILLAH ZAKARIA</t>
  </si>
  <si>
    <t>IKRADINE RIME</t>
  </si>
  <si>
    <t>LIMANE HIBA</t>
  </si>
  <si>
    <t>GLF</t>
  </si>
  <si>
    <t>ABOURI Fatima</t>
  </si>
  <si>
    <t>SANE MOHAMMED LAMINE</t>
  </si>
  <si>
    <t>BARA HAJAR</t>
  </si>
  <si>
    <t>EL GUARJAOUI HIBA</t>
  </si>
  <si>
    <t>KBIRI AKRAM</t>
  </si>
  <si>
    <t>MELLAHI YOUSSEF</t>
  </si>
  <si>
    <t>MEZIAN ABIR</t>
  </si>
  <si>
    <t>NDIAYE SEYNABOU</t>
  </si>
  <si>
    <t>RHEMARI REDA</t>
  </si>
  <si>
    <t>TAOUIL AYA</t>
  </si>
  <si>
    <t>TRENNOU HATIM</t>
  </si>
  <si>
    <t>ZIOUI DOUNIA</t>
  </si>
  <si>
    <t>MBENE GUEYE</t>
  </si>
  <si>
    <t>AIT LARBI Hind</t>
  </si>
  <si>
    <t>BOUABDILLAH Zakaria</t>
  </si>
  <si>
    <t>EL GUARJAOUI Hiba</t>
  </si>
  <si>
    <t>EL HARROUCHI Chaimae</t>
  </si>
  <si>
    <t>GOMIS Aminata Agnes</t>
  </si>
  <si>
    <t>IKRADINE Rime</t>
  </si>
  <si>
    <t>KANTAOUI Salma</t>
  </si>
  <si>
    <t>LAFDIL Nada</t>
  </si>
  <si>
    <t>LIMANE Hiba</t>
  </si>
  <si>
    <t>NIANG Ndeye Absa</t>
  </si>
  <si>
    <t>RACHAD Nawar</t>
  </si>
  <si>
    <t>TOURE Abibou</t>
  </si>
  <si>
    <t>ZIOUI Dounia</t>
  </si>
  <si>
    <t>AIT ADDI KHADIJA</t>
  </si>
  <si>
    <t>NDIAYE ADJI MARIE CISSE</t>
  </si>
  <si>
    <t>SAADA LINA</t>
  </si>
  <si>
    <t xml:space="preserve">EL HOUJJAJI Soufiane </t>
  </si>
  <si>
    <t>LAKHAL MEHDI</t>
  </si>
  <si>
    <t>BOUMEZGANE Soukaina</t>
  </si>
  <si>
    <t>ZAKI Omar</t>
  </si>
  <si>
    <t>SIMOUR Khalil</t>
  </si>
  <si>
    <t>EL MASSAOUDI Houssam</t>
  </si>
  <si>
    <t>DAC Crédit</t>
  </si>
  <si>
    <t>DAMI OUMAIMA</t>
  </si>
  <si>
    <t>EL MOUBARIK Oumnia</t>
  </si>
  <si>
    <t>SYLLA Sokhna Safietou</t>
  </si>
  <si>
    <t>IGEDDI Meryeme</t>
  </si>
  <si>
    <t>EL BADAOUI CHAIMAA</t>
  </si>
  <si>
    <t xml:space="preserve">RHOUDANE Othmane </t>
  </si>
  <si>
    <t>KASMI SARA</t>
  </si>
  <si>
    <t>M'BARKI IMANE</t>
  </si>
  <si>
    <t>SEMBENE PAPALATY</t>
  </si>
  <si>
    <t>HABBOUB KARIM</t>
  </si>
  <si>
    <t>IDELHAJ Meryem</t>
  </si>
  <si>
    <t>NOUIBI  Chaimae</t>
  </si>
  <si>
    <t>AIT RABIAA  Nouhaila</t>
  </si>
  <si>
    <t xml:space="preserve">EL MAHJOUBI ABDESATAR </t>
  </si>
  <si>
    <t>SOUFIANE LEILA</t>
  </si>
  <si>
    <t>JALAL NABILA</t>
  </si>
  <si>
    <t>AKHSASS MAJDA</t>
  </si>
  <si>
    <t>BENCHRIF Hafssa BENCHRHF</t>
  </si>
  <si>
    <t>Accessibilité</t>
  </si>
  <si>
    <t>HAMDANI Mohamed HAMDANMO</t>
  </si>
  <si>
    <t>LISSAOUI Hiba LISSAOHI</t>
  </si>
  <si>
    <t>RMAIDI Imad RMAIDIIM</t>
  </si>
  <si>
    <t>Assistant de production</t>
  </si>
  <si>
    <t>ARBOUBBA Oumaima</t>
  </si>
  <si>
    <t>GF</t>
  </si>
  <si>
    <t>FARKACH Hicham</t>
  </si>
  <si>
    <t>manager</t>
  </si>
  <si>
    <t>OUAQERROUCH Nour El Houda</t>
  </si>
  <si>
    <t xml:space="preserve">CHOUIFI Mustapha </t>
  </si>
  <si>
    <t>TADLAOUI ZAKARIA</t>
  </si>
  <si>
    <t>ABDELAOUI KHADIJA</t>
  </si>
  <si>
    <t xml:space="preserve">AZIANE YASSINE </t>
  </si>
  <si>
    <t>KANDI FATIMA ZOHRA</t>
  </si>
  <si>
    <t xml:space="preserve">EL KAOUTAR FATIMA ZAHRA </t>
  </si>
  <si>
    <t xml:space="preserve">BOUAFIA ABDELLATIF </t>
  </si>
  <si>
    <t>GL</t>
  </si>
  <si>
    <t>CM leasing</t>
  </si>
  <si>
    <t>DAC</t>
  </si>
  <si>
    <t>LA PRESSE</t>
  </si>
  <si>
    <t>Taux ABS</t>
  </si>
  <si>
    <t>S01</t>
  </si>
  <si>
    <t>S02</t>
  </si>
  <si>
    <t>FACTO</t>
  </si>
  <si>
    <t>S03</t>
  </si>
  <si>
    <t>S04</t>
  </si>
  <si>
    <t>AZHARI ABDELHAMID</t>
  </si>
  <si>
    <t>NUNEZ LUCIEN BERNARD</t>
  </si>
  <si>
    <t xml:space="preserve">LALOUN MANAL </t>
  </si>
  <si>
    <t>MRANI REDA</t>
  </si>
  <si>
    <t>S05</t>
  </si>
  <si>
    <t>Appels reçus</t>
  </si>
  <si>
    <t>Appels traités</t>
  </si>
  <si>
    <t>Appels Dissuadés</t>
  </si>
  <si>
    <t>Appels abandonnés</t>
  </si>
  <si>
    <t>QS</t>
  </si>
  <si>
    <t>CM_FACTORING</t>
  </si>
  <si>
    <t>FACTOFRANCE</t>
  </si>
  <si>
    <t>DIATTA AISSATOU</t>
  </si>
  <si>
    <t>SIDIBE MOUSKEBA DALAFINA</t>
  </si>
  <si>
    <t>BOULHROUD SALMA</t>
  </si>
  <si>
    <t>ALAMI SOUMAYYA</t>
  </si>
  <si>
    <t>BOURABAA HASSAN</t>
  </si>
  <si>
    <t>EL-AOUAQUI BOUCHRA</t>
  </si>
  <si>
    <t>GUEYE GORA</t>
  </si>
  <si>
    <t xml:space="preserve">DERKAOUI AMAL </t>
  </si>
  <si>
    <t>SECK DIARRA</t>
  </si>
  <si>
    <t>AINELKITANE ZINEB</t>
  </si>
  <si>
    <t>ELBOUTI AYOUB</t>
  </si>
  <si>
    <t>BENSAR ANAS</t>
  </si>
  <si>
    <t>NEMMAOUI MOUNIRA</t>
  </si>
  <si>
    <t>QARBOUI Aymane</t>
  </si>
  <si>
    <t>AIT ADDI Khadija</t>
  </si>
  <si>
    <t>SOUOUD ZAKARIA</t>
  </si>
  <si>
    <t>Congé</t>
  </si>
  <si>
    <t>Missionnée</t>
  </si>
  <si>
    <t>AAZAROU Boutayna</t>
  </si>
  <si>
    <t>AMRI Zineb</t>
  </si>
  <si>
    <t>BOCOUM Diawariah</t>
  </si>
  <si>
    <t>BOULHROUD Salma</t>
  </si>
  <si>
    <t>BOULLOUH Haddou</t>
  </si>
  <si>
    <t>CHAMKHA Nouhaila</t>
  </si>
  <si>
    <t>CHAYAH Chaimae</t>
  </si>
  <si>
    <t>EL IDRISSI ELHA Maha</t>
  </si>
  <si>
    <t>EL OUIKSANI Samia</t>
  </si>
  <si>
    <t>ELANMATI Lamiae</t>
  </si>
  <si>
    <t>FAYE Rokhaya</t>
  </si>
  <si>
    <t>GUEYE Mouhamed</t>
  </si>
  <si>
    <t>HAMDOUNI Yasser</t>
  </si>
  <si>
    <t>MERZOUG Nasrallah</t>
  </si>
  <si>
    <t>MESKOURI Nabila</t>
  </si>
  <si>
    <t>ZTAIT Najlae</t>
  </si>
  <si>
    <t>AIT ELMAHJOUB Taoufiq</t>
  </si>
  <si>
    <t>OULIDA Basma</t>
  </si>
  <si>
    <t>ZITOUNI Lamya</t>
  </si>
  <si>
    <t>ATCHANE Mohamed Amine</t>
  </si>
  <si>
    <t>AZHARI Abdelhamid</t>
  </si>
  <si>
    <t>CISSE Saliou</t>
  </si>
  <si>
    <t>EL BASRI Najib</t>
  </si>
  <si>
    <t>CISSE Oumar</t>
  </si>
  <si>
    <t>DIOUF Ousmane</t>
  </si>
  <si>
    <t>RHEMARI Reda</t>
  </si>
  <si>
    <t>ABS</t>
  </si>
  <si>
    <t>Jour_Deb (AAAAMMJJ)</t>
  </si>
  <si>
    <t>ACTIVITE</t>
  </si>
  <si>
    <t>SITE</t>
  </si>
  <si>
    <t>EMPLOYEE_ID</t>
  </si>
  <si>
    <t>RESOURCE_NAME</t>
  </si>
  <si>
    <t>LOGIN TIME</t>
  </si>
  <si>
    <t>LOGOUT TIME</t>
  </si>
  <si>
    <t>SESSION DURATION</t>
  </si>
  <si>
    <t>MEDIA</t>
  </si>
  <si>
    <t>SUPERVISEUR</t>
  </si>
  <si>
    <t>Jour_Deb (JJ/MM/AAAA)</t>
  </si>
  <si>
    <t>LOGIN DATE</t>
  </si>
  <si>
    <t>LOGIN HEURE</t>
  </si>
  <si>
    <t>LOGOUT DATE</t>
  </si>
  <si>
    <t>LOGOUT HEURE</t>
  </si>
  <si>
    <t>PROCHAIN LOGIN (meme jour)</t>
  </si>
  <si>
    <t>ECART AVANT PROCHAIN LOGIN</t>
  </si>
  <si>
    <t>Voice</t>
  </si>
  <si>
    <t>RABAT</t>
  </si>
  <si>
    <t>CADI</t>
  </si>
  <si>
    <t>LEADS GOOGLE</t>
  </si>
  <si>
    <t>8858466_IPSBLAZ</t>
  </si>
  <si>
    <t>ABILLAAL</t>
  </si>
  <si>
    <t>8858779_IPSAIKH</t>
  </si>
  <si>
    <t>AITADDKH</t>
  </si>
  <si>
    <t>OUAQERNO</t>
  </si>
  <si>
    <t>8858031_IPSJMMN</t>
  </si>
  <si>
    <t>AJMILAMO</t>
  </si>
  <si>
    <t>ALAOUABO</t>
  </si>
  <si>
    <t>8858055_IPSFFOO</t>
  </si>
  <si>
    <t>ANISSEMO</t>
  </si>
  <si>
    <t>8858065_IPSZHBD</t>
  </si>
  <si>
    <t>AZHARIAB</t>
  </si>
  <si>
    <t>HAOUACIK</t>
  </si>
  <si>
    <t>8858325_IPSBBFA</t>
  </si>
  <si>
    <t>BELMEJFA</t>
  </si>
  <si>
    <t>8859173_IPSMOON</t>
  </si>
  <si>
    <t>BENGHAIB</t>
  </si>
  <si>
    <t>8859297_IPSUNNY</t>
  </si>
  <si>
    <t>BENGHAIM</t>
  </si>
  <si>
    <t>8858790_IPSQSVC</t>
  </si>
  <si>
    <t>BENSARAN</t>
  </si>
  <si>
    <t>8859309_IPSBLSL</t>
  </si>
  <si>
    <t>BOULHRSA</t>
  </si>
  <si>
    <t>8859398_IPSCHSX</t>
  </si>
  <si>
    <t>CHAFISA</t>
  </si>
  <si>
    <t>8858027_IPSOUND</t>
  </si>
  <si>
    <t>CHOUKROB</t>
  </si>
  <si>
    <t>8858337_IPSELML</t>
  </si>
  <si>
    <t>ELANAZAA</t>
  </si>
  <si>
    <t>8858069_IPSERCI</t>
  </si>
  <si>
    <t>ELHARRCA</t>
  </si>
  <si>
    <t>8858165_IPSELSX</t>
  </si>
  <si>
    <t>ELHOUJSO</t>
  </si>
  <si>
    <t>8858421_IPSEHHD</t>
  </si>
  <si>
    <t>ELHOUSHD</t>
  </si>
  <si>
    <t>8858427_IPSTUNT</t>
  </si>
  <si>
    <t>ENNOURAY</t>
  </si>
  <si>
    <t>8859100_IPSTOUR</t>
  </si>
  <si>
    <t>EZZAMEMA</t>
  </si>
  <si>
    <t>8858677_IPSGUGO</t>
  </si>
  <si>
    <t>GUEYEGO</t>
  </si>
  <si>
    <t>8858329_IPSGUMX</t>
  </si>
  <si>
    <t>GUEYEME</t>
  </si>
  <si>
    <t>8859245_IPSGROL</t>
  </si>
  <si>
    <t>HAJIMYA</t>
  </si>
  <si>
    <t>KANTAOSA</t>
  </si>
  <si>
    <t>8858695_IPSLFND</t>
  </si>
  <si>
    <t>LAFDILND</t>
  </si>
  <si>
    <t>LALOUNMN</t>
  </si>
  <si>
    <t>8858880_IPSMEYO</t>
  </si>
  <si>
    <t>MELLAHYO</t>
  </si>
  <si>
    <t>8859170_IPSMSSD</t>
  </si>
  <si>
    <t>MOUSKESI</t>
  </si>
  <si>
    <t>8858093_IPSNINA</t>
  </si>
  <si>
    <t>NIANGNY</t>
  </si>
  <si>
    <t>8858074_IPSNNLB</t>
  </si>
  <si>
    <t>NUNEZLU</t>
  </si>
  <si>
    <t>8859337_IPSQRMN</t>
  </si>
  <si>
    <t>QARBOUAY</t>
  </si>
  <si>
    <t>8858743_IPSRANW</t>
  </si>
  <si>
    <t>RACHADNW</t>
  </si>
  <si>
    <t>8858512_IPSSLML</t>
  </si>
  <si>
    <t>SALMAMO</t>
  </si>
  <si>
    <t>8858482_IPSSCDR</t>
  </si>
  <si>
    <t>SECKDA</t>
  </si>
  <si>
    <t>8859413_IPSSOZA</t>
  </si>
  <si>
    <t>SOUOUDZA</t>
  </si>
  <si>
    <t>8858827_IPSTOAB</t>
  </si>
  <si>
    <t>TOUREAB</t>
  </si>
  <si>
    <t>8858445_IPSYOHT</t>
  </si>
  <si>
    <t>YOUSFIHY</t>
  </si>
  <si>
    <t>8858438_IPSZOMA</t>
  </si>
  <si>
    <t>ZAKIOM</t>
  </si>
  <si>
    <t>ZITOUNLM</t>
  </si>
  <si>
    <t>8858354_IPSZHRN</t>
  </si>
  <si>
    <t>ZOHRIRA</t>
  </si>
  <si>
    <t>8858327_IPSAIZU</t>
  </si>
  <si>
    <t>AINELKZI</t>
  </si>
  <si>
    <t>8858613_IPSAIHX</t>
  </si>
  <si>
    <t>AITLARHD</t>
  </si>
  <si>
    <t>8858508_IPSBRHM</t>
  </si>
  <si>
    <t>BARNASHA</t>
  </si>
  <si>
    <t>8858331_IPSBNSZ</t>
  </si>
  <si>
    <t>BENMESIS</t>
  </si>
  <si>
    <t>8858770_IPSDOWN</t>
  </si>
  <si>
    <t>BOUCHANE</t>
  </si>
  <si>
    <t>8859558_IPSBRHS</t>
  </si>
  <si>
    <t>BOURABHS</t>
  </si>
  <si>
    <t>8859714_IPSDNSL</t>
  </si>
  <si>
    <t>DINISA</t>
  </si>
  <si>
    <t>8858333_IPSDIOX</t>
  </si>
  <si>
    <t>DIOUFOU</t>
  </si>
  <si>
    <t>8858053_IPSRUSH</t>
  </si>
  <si>
    <t>ELALAMAY</t>
  </si>
  <si>
    <t>8858775_IPSAINT</t>
  </si>
  <si>
    <t>KINANAWD</t>
  </si>
  <si>
    <t>8858084_IPSPACE</t>
  </si>
  <si>
    <t>LYACOUHO</t>
  </si>
  <si>
    <t>8859439_IPSNAKE</t>
  </si>
  <si>
    <t>NAKHLAAY</t>
  </si>
  <si>
    <t>8858831_IPSNMMN</t>
  </si>
  <si>
    <t>NEMMAOMO</t>
  </si>
  <si>
    <t>ZIOUIDO</t>
  </si>
  <si>
    <t>Nom De l'agent (Google Leads)</t>
  </si>
  <si>
    <t>Resource Name (Connexions)</t>
  </si>
  <si>
    <t>Confirmé</t>
  </si>
  <si>
    <t>DERKAOAM</t>
  </si>
  <si>
    <t>IHASSAIK</t>
  </si>
  <si>
    <t>Heure Début Pause Prévue</t>
  </si>
  <si>
    <t>Heure Fin Pause Prévue</t>
  </si>
  <si>
    <t>Durée Prévue</t>
  </si>
  <si>
    <t>Clé (auto)</t>
  </si>
  <si>
    <t>20260718</t>
  </si>
  <si>
    <t>2026-07-18 14:00:04</t>
  </si>
  <si>
    <t>2026-07-18 14:00:45</t>
  </si>
  <si>
    <t>2026-07-18 08:54:56</t>
  </si>
  <si>
    <t>2026-07-18 13:00:19</t>
  </si>
  <si>
    <t>RHOUDAOT</t>
  </si>
  <si>
    <t>2026-07-18 14:01:04</t>
  </si>
  <si>
    <t>2026-07-18 19:00:02</t>
  </si>
  <si>
    <t>2026-07-18 18:00:05</t>
  </si>
  <si>
    <t>2026-07-18 08:59:31</t>
  </si>
  <si>
    <t>2026-07-18 14:00:01</t>
  </si>
  <si>
    <t>2026-07-18 14:59:38</t>
  </si>
  <si>
    <t>2026-07-18 19:00:29</t>
  </si>
  <si>
    <t>2026-07-18 08:56:15</t>
  </si>
  <si>
    <t>2026-07-18 08:58:38</t>
  </si>
  <si>
    <t>2026-07-18 09:01:50</t>
  </si>
  <si>
    <t>2026-07-18 14:00:02</t>
  </si>
  <si>
    <t>2026-07-18 15:00:41</t>
  </si>
  <si>
    <t>2026-07-18 19:00:05</t>
  </si>
  <si>
    <t>2026-07-18 09:01:23</t>
  </si>
  <si>
    <t>2026-07-18 13:08:00</t>
  </si>
  <si>
    <t>2026-07-18 13:08:03</t>
  </si>
  <si>
    <t>2026-07-18 13:08:08</t>
  </si>
  <si>
    <t>2026-07-18 13:08:39</t>
  </si>
  <si>
    <t>2026-07-18 14:02:06</t>
  </si>
  <si>
    <t>2026-07-18 15:01:51</t>
  </si>
  <si>
    <t>2026-07-18 13:00:23</t>
  </si>
  <si>
    <t>2026-07-18 08:54:13</t>
  </si>
  <si>
    <t>2026-07-18 08:54:25</t>
  </si>
  <si>
    <t>2026-07-18 08:57:34</t>
  </si>
  <si>
    <t>2026-07-18 14:00:12</t>
  </si>
  <si>
    <t>2026-07-18 14:59:36</t>
  </si>
  <si>
    <t>2026-07-18 19:00:11</t>
  </si>
  <si>
    <t>2026-07-18 16:00:14</t>
  </si>
  <si>
    <t>2026-07-18 11:54:46</t>
  </si>
  <si>
    <t>2026-07-18 15:00:36</t>
  </si>
  <si>
    <t>2026-07-18 15:59:23</t>
  </si>
  <si>
    <t>2026-07-18 21:02:40</t>
  </si>
  <si>
    <t>2026-07-18 11:58:53</t>
  </si>
  <si>
    <t>2026-07-18 17:01:48</t>
  </si>
  <si>
    <t>2026-07-18 20:59:33</t>
  </si>
  <si>
    <t>2026-07-18 20:59:36</t>
  </si>
  <si>
    <t>2026-07-18 21:00:03</t>
  </si>
  <si>
    <t>2026-07-18 09:01:36</t>
  </si>
  <si>
    <t>2026-07-18 13:00:51</t>
  </si>
  <si>
    <t>2026-07-18 14:02:17</t>
  </si>
  <si>
    <t>2026-07-18 18:00:03</t>
  </si>
  <si>
    <t>2026-07-18 07:54:23</t>
  </si>
  <si>
    <t>2026-07-18 07:54:26</t>
  </si>
  <si>
    <t>2026-07-18 07:59:19</t>
  </si>
  <si>
    <t>2026-07-18 13:03:34</t>
  </si>
  <si>
    <t>2026-07-18 13:57:18</t>
  </si>
  <si>
    <t>2026-07-18 13:57:30</t>
  </si>
  <si>
    <t>2026-07-18 14:00:08</t>
  </si>
  <si>
    <t>2026-07-18 16:41:56</t>
  </si>
  <si>
    <t>2026-07-18 16:48:39</t>
  </si>
  <si>
    <t>2026-07-18 16:49:01</t>
  </si>
  <si>
    <t>2026-07-18 16:49:03</t>
  </si>
  <si>
    <t>2026-07-18 18:00:09</t>
  </si>
  <si>
    <t>2026-07-18 12:00:12</t>
  </si>
  <si>
    <t>2026-07-18 11:06:14</t>
  </si>
  <si>
    <t>2026-07-18 11:45:57</t>
  </si>
  <si>
    <t>2026-07-18 12:00:54</t>
  </si>
  <si>
    <t>2026-07-18 12:23:54</t>
  </si>
  <si>
    <t>2026-07-18 12:23:58</t>
  </si>
  <si>
    <t>2026-07-18 13:28:20</t>
  </si>
  <si>
    <t>2026-07-18 13:29:02</t>
  </si>
  <si>
    <t>2026-07-18 15:00:08</t>
  </si>
  <si>
    <t>2026-07-18 15:57:28</t>
  </si>
  <si>
    <t>2026-07-18 15:58:29</t>
  </si>
  <si>
    <t>2026-07-18 15:59:39</t>
  </si>
  <si>
    <t>2026-07-18 16:27:17</t>
  </si>
  <si>
    <t>2026-07-18 16:28:06</t>
  </si>
  <si>
    <t>2026-07-18 16:49:08</t>
  </si>
  <si>
    <t>2026-07-18 16:49:30</t>
  </si>
  <si>
    <t>2026-07-18 16:53:21</t>
  </si>
  <si>
    <t>2026-07-18 16:54:26</t>
  </si>
  <si>
    <t>2026-07-18 21:00:13</t>
  </si>
  <si>
    <t>2026-07-18 08:42:03</t>
  </si>
  <si>
    <t>2026-07-18 08:43:05</t>
  </si>
  <si>
    <t>2026-07-18 09:00:24</t>
  </si>
  <si>
    <t>2026-07-18 09:09:28</t>
  </si>
  <si>
    <t>2026-07-18 09:09:32</t>
  </si>
  <si>
    <t>2026-07-18 09:10:31</t>
  </si>
  <si>
    <t>2026-07-18 09:11:34</t>
  </si>
  <si>
    <t>2026-07-18 09:29:47</t>
  </si>
  <si>
    <t>2026-07-18 09:31:33</t>
  </si>
  <si>
    <t>2026-07-18 14:01:06</t>
  </si>
  <si>
    <t>2026-07-18 16:27:03</t>
  </si>
  <si>
    <t>2026-07-18 16:30:36</t>
  </si>
  <si>
    <t>2026-07-18 18:00:06</t>
  </si>
  <si>
    <t>2026-07-18 10:59:04</t>
  </si>
  <si>
    <t>2026-07-18 16:00:13</t>
  </si>
  <si>
    <t>2026-07-18 16:58:05</t>
  </si>
  <si>
    <t>2026-07-18 21:00:06</t>
  </si>
  <si>
    <t>2026-07-18 13:00:09</t>
  </si>
  <si>
    <t>2026-07-18 10:59:20</t>
  </si>
  <si>
    <t>2026-07-18 15:00:25</t>
  </si>
  <si>
    <t>2026-07-18 15:59:35</t>
  </si>
  <si>
    <t>2026-07-18 07:50:40</t>
  </si>
  <si>
    <t>2026-07-18 13:05:19</t>
  </si>
  <si>
    <t>2026-07-18 14:04:12</t>
  </si>
  <si>
    <t>2026-07-18 16:51:59</t>
  </si>
  <si>
    <t>2026-07-18 16:52:22</t>
  </si>
  <si>
    <t>2026-07-18 17:01:03</t>
  </si>
  <si>
    <t>2026-07-18 07:58:49</t>
  </si>
  <si>
    <t>2026-07-18 13:06:05</t>
  </si>
  <si>
    <t>2026-07-18 18:00:08</t>
  </si>
  <si>
    <t>2026-07-18 08:59:38</t>
  </si>
  <si>
    <t>2026-07-18 09:30:47</t>
  </si>
  <si>
    <t>2026-07-18 09:45:55</t>
  </si>
  <si>
    <t>2026-07-18 14:59:25</t>
  </si>
  <si>
    <t>2026-07-18 14:59:35</t>
  </si>
  <si>
    <t>2026-07-18 14:59:56</t>
  </si>
  <si>
    <t>2026-07-18 16:50:41</t>
  </si>
  <si>
    <t>2026-07-18 17:02:18</t>
  </si>
  <si>
    <t>2026-07-18 10:57:12</t>
  </si>
  <si>
    <t>2026-07-18 12:16:30</t>
  </si>
  <si>
    <t>2026-07-18 12:17:03</t>
  </si>
  <si>
    <t>2026-07-18 15:00:13</t>
  </si>
  <si>
    <t>2026-07-18 15:57:08</t>
  </si>
  <si>
    <t>2026-07-18 16:57:22</t>
  </si>
  <si>
    <t>2026-07-18 16:58:28</t>
  </si>
  <si>
    <t>2026-07-18 17:52:22</t>
  </si>
  <si>
    <t>2026-07-18 17:52:58</t>
  </si>
  <si>
    <t>2026-07-18 18:19:30</t>
  </si>
  <si>
    <t>2026-07-18 18:19:59</t>
  </si>
  <si>
    <t>2026-07-18 20:48:18</t>
  </si>
  <si>
    <t>2026-07-18 20:48:55</t>
  </si>
  <si>
    <t>2026-07-18 21:00:05</t>
  </si>
  <si>
    <t>8859561_IPSRBSL</t>
  </si>
  <si>
    <t>ERBATISA</t>
  </si>
  <si>
    <t>2026-07-18 09:01:55</t>
  </si>
  <si>
    <t>2026-07-18 13:08:10</t>
  </si>
  <si>
    <t>2026-07-18 14:08:40</t>
  </si>
  <si>
    <t>2026-07-18 19:00:15</t>
  </si>
  <si>
    <t>2026-07-18 11:55:23</t>
  </si>
  <si>
    <t>2026-07-18 15:00:27</t>
  </si>
  <si>
    <t>2026-07-18 15:58:55</t>
  </si>
  <si>
    <t>2026-07-18 21:00:08</t>
  </si>
  <si>
    <t>2026-07-18 11:56:52</t>
  </si>
  <si>
    <t>2026-07-18 15:07:40</t>
  </si>
  <si>
    <t>2026-07-18 16:05:13</t>
  </si>
  <si>
    <t>2026-07-18 21:00:15</t>
  </si>
  <si>
    <t>2026-07-18 10:57:25</t>
  </si>
  <si>
    <t>2026-07-18 11:23:21</t>
  </si>
  <si>
    <t>2026-07-18 11:25:31</t>
  </si>
  <si>
    <t>2026-07-18 15:01:23</t>
  </si>
  <si>
    <t>2026-07-18 15:59:36</t>
  </si>
  <si>
    <t>2026-07-18 18:53:36</t>
  </si>
  <si>
    <t>2026-07-18 18:54:56</t>
  </si>
  <si>
    <t>2026-07-18 21:00:27</t>
  </si>
  <si>
    <t>2026-07-18 09:02:22</t>
  </si>
  <si>
    <t>2026-07-18 18:00:04</t>
  </si>
  <si>
    <t>2026-07-18 10:53:48</t>
  </si>
  <si>
    <t>2026-07-18 10:53:51</t>
  </si>
  <si>
    <t>2026-07-18 10:58:31</t>
  </si>
  <si>
    <t>2026-07-18 15:00:07</t>
  </si>
  <si>
    <t>2026-07-18 15:59:32</t>
  </si>
  <si>
    <t>2026-07-18 08:00:15</t>
  </si>
  <si>
    <t>2026-07-18 13:00:05</t>
  </si>
  <si>
    <t>2026-07-18 14:00:05</t>
  </si>
  <si>
    <t>2026-07-18 16:41:10</t>
  </si>
  <si>
    <t>2026-07-18 16:52:57</t>
  </si>
  <si>
    <t>2026-07-18 14:31:48</t>
  </si>
  <si>
    <t>2026-07-18 19:00:03</t>
  </si>
  <si>
    <t>2026-07-18 11:03:43</t>
  </si>
  <si>
    <t>2026-07-18 13:26:27</t>
  </si>
  <si>
    <t>2026-07-18 13:37:32</t>
  </si>
  <si>
    <t>2026-07-18 15:00:43</t>
  </si>
  <si>
    <t>2026-07-18 16:05:18</t>
  </si>
  <si>
    <t>2026-07-18 21:01:31</t>
  </si>
  <si>
    <t>2026-07-18 07:50:43</t>
  </si>
  <si>
    <t>2026-07-18 14:03:27</t>
  </si>
  <si>
    <t>2026-07-18 08:58:16</t>
  </si>
  <si>
    <t>2026-07-18 13:59:55</t>
  </si>
  <si>
    <t>2026-07-18 16:25:01</t>
  </si>
  <si>
    <t>2026-07-18 16:30:26</t>
  </si>
  <si>
    <t>2026-07-18 19:00:07</t>
  </si>
  <si>
    <t>2026-07-18 10:41:05</t>
  </si>
  <si>
    <t>2026-07-18 10:41:21</t>
  </si>
  <si>
    <t>2026-07-18 10:57:41</t>
  </si>
  <si>
    <t>2026-07-18 15:00:45</t>
  </si>
  <si>
    <t>2026-07-18 15:57:05</t>
  </si>
  <si>
    <t>2026-07-18 17:25:23</t>
  </si>
  <si>
    <t>2026-07-18 17:25:58</t>
  </si>
  <si>
    <t>2026-07-18 20:00:13</t>
  </si>
  <si>
    <t>2026-07-18 20:18:59</t>
  </si>
  <si>
    <t>2026-07-18 11:59:39</t>
  </si>
  <si>
    <t>2026-07-18 15:00:11</t>
  </si>
  <si>
    <t>2026-07-18 16:02:38</t>
  </si>
  <si>
    <t>2026-07-18 21:00:09</t>
  </si>
  <si>
    <t>2026-07-18 12:00:37</t>
  </si>
  <si>
    <t>2026-07-18 16:00:24</t>
  </si>
  <si>
    <t>2026-07-18 16:57:50</t>
  </si>
  <si>
    <t>2026-07-18 21:00:19</t>
  </si>
  <si>
    <t>2026-07-18 09:00:06</t>
  </si>
  <si>
    <t>2026-07-18 09:58:38</t>
  </si>
  <si>
    <t>2026-07-18 10:00:07</t>
  </si>
  <si>
    <t>2026-07-18 14:00:03</t>
  </si>
  <si>
    <t>2026-07-18 15:00:31</t>
  </si>
  <si>
    <t>2026-07-18 08:59:42</t>
  </si>
  <si>
    <t>2026-07-18 13:59:47</t>
  </si>
  <si>
    <t>20260719</t>
  </si>
  <si>
    <t>2026-07-19 09:05:34</t>
  </si>
  <si>
    <t>2026-07-19 13:00:09</t>
  </si>
  <si>
    <t>2026-07-19 13:59:21</t>
  </si>
  <si>
    <t>2026-07-19 15:58:27</t>
  </si>
  <si>
    <t>2026-07-19 15:59:19</t>
  </si>
  <si>
    <t>2026-07-19 17:00:13</t>
  </si>
  <si>
    <t>2026-07-19 11:56:50</t>
  </si>
  <si>
    <t>2026-07-19 11:56:52</t>
  </si>
  <si>
    <t>2026-07-19 11:59:33</t>
  </si>
  <si>
    <t>2026-07-19 15:01:18</t>
  </si>
  <si>
    <t>2026-07-19 15:56:38</t>
  </si>
  <si>
    <t>2026-07-19 15:56:42</t>
  </si>
  <si>
    <t>2026-07-19 15:59:44</t>
  </si>
  <si>
    <t>2026-07-19 16:29:47</t>
  </si>
  <si>
    <t>2026-07-19 16:30:48</t>
  </si>
  <si>
    <t>2026-07-19 16:42:14</t>
  </si>
  <si>
    <t>2026-07-19 16:49:46</t>
  </si>
  <si>
    <t>2026-07-19 19:05:53</t>
  </si>
  <si>
    <t>2026-07-19 19:10:49</t>
  </si>
  <si>
    <t>2026-07-19 21:00:21</t>
  </si>
  <si>
    <t>2026-07-19 15:00:12</t>
  </si>
  <si>
    <t>2026-07-19 08:01:01</t>
  </si>
  <si>
    <t>2026-07-19 08:16:16</t>
  </si>
  <si>
    <t>2026-07-19 08:16:35</t>
  </si>
  <si>
    <t>2026-07-19 14:00:32</t>
  </si>
  <si>
    <t>2026-07-19 14:01:11</t>
  </si>
  <si>
    <t>2026-07-19 14:50:19</t>
  </si>
  <si>
    <t>2026-07-19 14:50:27</t>
  </si>
  <si>
    <t>2026-07-19 14:51:02</t>
  </si>
  <si>
    <t>2026-07-19 14:51:34</t>
  </si>
  <si>
    <t>2026-07-19 18:06:05</t>
  </si>
  <si>
    <t>2026-07-19 07:57:33</t>
  </si>
  <si>
    <t>2026-07-19 13:02:06</t>
  </si>
  <si>
    <t>2026-07-19 13:58:35</t>
  </si>
  <si>
    <t>2026-07-19 17:00:06</t>
  </si>
  <si>
    <t>2026-07-19 08:00:05</t>
  </si>
  <si>
    <t>2026-07-19 12:50:14</t>
  </si>
  <si>
    <t>2026-07-19 12:50:58</t>
  </si>
  <si>
    <t>2026-07-19 12:54:35</t>
  </si>
  <si>
    <t>2026-07-19 12:55:16</t>
  </si>
  <si>
    <t>2026-07-19 13:02:22</t>
  </si>
  <si>
    <t>2026-07-19 14:02:23</t>
  </si>
  <si>
    <t>2026-07-19 17:00:02</t>
  </si>
  <si>
    <t>2026-07-19 10:58:43</t>
  </si>
  <si>
    <t>2026-07-19 15:02:45</t>
  </si>
  <si>
    <t>2026-07-19 16:00:23</t>
  </si>
  <si>
    <t>2026-07-19 19:40:48</t>
  </si>
  <si>
    <t>2026-07-19 19:47:25</t>
  </si>
  <si>
    <t>2026-07-19 21:00:43</t>
  </si>
  <si>
    <t>2026-07-19 12:08:21</t>
  </si>
  <si>
    <t>2026-07-19 13:40:49</t>
  </si>
  <si>
    <t>2026-07-19 13:42:55</t>
  </si>
  <si>
    <t>2026-07-19 15:11:50</t>
  </si>
  <si>
    <t>2026-07-19 16:10:26</t>
  </si>
  <si>
    <t>2026-07-19 17:43:45</t>
  </si>
  <si>
    <t>2026-07-19 17:44:27</t>
  </si>
  <si>
    <t>2026-07-19 18:45:50</t>
  </si>
  <si>
    <t>2026-07-19 18:46:03</t>
  </si>
  <si>
    <t>2026-07-19 21:02:49</t>
  </si>
  <si>
    <t>2026-07-19 11:02:16</t>
  </si>
  <si>
    <t>2026-07-19 11:14:19</t>
  </si>
  <si>
    <t>2026-07-19 11:59:51</t>
  </si>
  <si>
    <t>2026-07-19 15:59:48</t>
  </si>
  <si>
    <t>2026-07-19 16:04:28</t>
  </si>
  <si>
    <t>2026-07-19 16:05:28</t>
  </si>
  <si>
    <t>2026-07-19 16:17:58</t>
  </si>
  <si>
    <t>2026-07-19 16:26:41</t>
  </si>
  <si>
    <t>2026-07-19 16:38:28</t>
  </si>
  <si>
    <t>2026-07-19 16:43:09</t>
  </si>
  <si>
    <t>2026-07-19 16:46:08</t>
  </si>
  <si>
    <t>2026-07-19 16:47:31</t>
  </si>
  <si>
    <t>2026-07-19 16:53:51</t>
  </si>
  <si>
    <t>2026-07-19 16:54:03</t>
  </si>
  <si>
    <t>2026-07-19 16:58:57</t>
  </si>
  <si>
    <t>2026-07-19 17:06:56</t>
  </si>
  <si>
    <t>2026-07-19 17:07:19</t>
  </si>
  <si>
    <t>2026-07-19 17:18:33</t>
  </si>
  <si>
    <t>2026-07-19 17:21:21</t>
  </si>
  <si>
    <t>2026-07-19 17:57:11</t>
  </si>
  <si>
    <t>2026-07-19 21:00:47</t>
  </si>
  <si>
    <t>20260720</t>
  </si>
  <si>
    <t>2026-07-20 09:54:09</t>
  </si>
  <si>
    <t>2026-07-20 15:00:03</t>
  </si>
  <si>
    <t>2026-07-20 16:09:55</t>
  </si>
  <si>
    <t>2026-07-20 16:14:28</t>
  </si>
  <si>
    <t>2026-07-20 16:15:32</t>
  </si>
  <si>
    <t>2026-07-20 17:17:56</t>
  </si>
  <si>
    <t>2026-07-20 17:19:29</t>
  </si>
  <si>
    <t>2026-07-20 20:00:01</t>
  </si>
  <si>
    <t>2026-07-20 13:00:07</t>
  </si>
  <si>
    <t>2026-07-20 18:00:08</t>
  </si>
  <si>
    <t>2026-07-20 10:54:04</t>
  </si>
  <si>
    <t>2026-07-20 10:54:14</t>
  </si>
  <si>
    <t>2026-07-20 11:00:24</t>
  </si>
  <si>
    <t>2026-07-20 15:00:30</t>
  </si>
  <si>
    <t>2026-07-20 15:58:53</t>
  </si>
  <si>
    <t>2026-07-20 21:00:20</t>
  </si>
  <si>
    <t>2026-07-20 07:58:45</t>
  </si>
  <si>
    <t>2026-07-20 08:01:58</t>
  </si>
  <si>
    <t>2026-07-20 08:02:48</t>
  </si>
  <si>
    <t>2026-07-20 13:00:09</t>
  </si>
  <si>
    <t>2026-07-20 13:57:44</t>
  </si>
  <si>
    <t>2026-07-20 16:13:43</t>
  </si>
  <si>
    <t>2026-07-20 16:15:01</t>
  </si>
  <si>
    <t>2026-07-20 18:00:03</t>
  </si>
  <si>
    <t>2026-07-20 17:00:02</t>
  </si>
  <si>
    <t>2026-07-20 08:00:24</t>
  </si>
  <si>
    <t>2026-07-20 08:05:52</t>
  </si>
  <si>
    <t>2026-07-20 08:06:37</t>
  </si>
  <si>
    <t>2026-07-20 13:00:01</t>
  </si>
  <si>
    <t>2026-07-20 13:59:15</t>
  </si>
  <si>
    <t>2026-07-20 16:07:51</t>
  </si>
  <si>
    <t>2026-07-20 16:07:55</t>
  </si>
  <si>
    <t>2026-07-20 16:12:52</t>
  </si>
  <si>
    <t>2026-07-20 16:13:33</t>
  </si>
  <si>
    <t>2026-07-20 18:00:11</t>
  </si>
  <si>
    <t>2026-07-20 09:59:29</t>
  </si>
  <si>
    <t>2026-07-20 13:01:21</t>
  </si>
  <si>
    <t>2026-07-20 14:05:02</t>
  </si>
  <si>
    <t>2026-07-20 20:00:07</t>
  </si>
  <si>
    <t>2026-07-20 14:05:31</t>
  </si>
  <si>
    <t>2026-07-20 09:59:28</t>
  </si>
  <si>
    <t>2026-07-20 15:00:17</t>
  </si>
  <si>
    <t>2026-07-20 15:58:11</t>
  </si>
  <si>
    <t>2026-07-20 20:00:09</t>
  </si>
  <si>
    <t>2026-07-20 14:00:04</t>
  </si>
  <si>
    <t>2026-07-20 20:00:06</t>
  </si>
  <si>
    <t>2026-07-20 20:00:05</t>
  </si>
  <si>
    <t>2026-07-20 18:00:01</t>
  </si>
  <si>
    <t>2026-07-20 10:00:07</t>
  </si>
  <si>
    <t>2026-07-20 08:02:40</t>
  </si>
  <si>
    <t>2026-07-20 13:00:36</t>
  </si>
  <si>
    <t>2026-07-20 14:02:08</t>
  </si>
  <si>
    <t>2026-07-20 17:00:08</t>
  </si>
  <si>
    <t>2026-07-20 20:00:08</t>
  </si>
  <si>
    <t>2026-07-20 16:13:37</t>
  </si>
  <si>
    <t>2026-07-20 07:57:51</t>
  </si>
  <si>
    <t>2026-07-20 16:00:14</t>
  </si>
  <si>
    <t>2026-07-20 18:02:08</t>
  </si>
  <si>
    <t>2026-07-20 21:00:01</t>
  </si>
  <si>
    <t>2026-07-20 20:00:04</t>
  </si>
  <si>
    <t>2026-07-20 09:59:14</t>
  </si>
  <si>
    <t>2026-07-20 15:12:57</t>
  </si>
  <si>
    <t>2026-07-20 09:59:42</t>
  </si>
  <si>
    <t>2026-07-20 15:12:48</t>
  </si>
  <si>
    <t>2026-07-20 16:07:52</t>
  </si>
  <si>
    <t>2026-07-20 16:13:48</t>
  </si>
  <si>
    <t>2026-07-20 16:08:00</t>
  </si>
  <si>
    <t>2026-07-20 16:29:30</t>
  </si>
  <si>
    <t>2026-07-20 16:37:50</t>
  </si>
  <si>
    <t>2026-07-20 16:29:36</t>
  </si>
  <si>
    <t>2026-07-20 16:38:48</t>
  </si>
  <si>
    <t>2026-07-20 20:00:30</t>
  </si>
  <si>
    <t>2026-07-20 16:39:05</t>
  </si>
  <si>
    <t>2026-07-20 20:00:19</t>
  </si>
  <si>
    <t>2026-07-20 18:00:02</t>
  </si>
  <si>
    <t>2026-07-20 08:50:15</t>
  </si>
  <si>
    <t>2026-07-20 08:00:05</t>
  </si>
  <si>
    <t>2026-07-20 15:59:14</t>
  </si>
  <si>
    <t>2026-07-20 09:57:43</t>
  </si>
  <si>
    <t>2026-07-20 14:00:30</t>
  </si>
  <si>
    <t>2026-07-20 14:54:26</t>
  </si>
  <si>
    <t>2026-07-20 15:36:02</t>
  </si>
  <si>
    <t>2026-07-20 16:08:07</t>
  </si>
  <si>
    <t>2026-07-20 20:00:03</t>
  </si>
  <si>
    <t>2026-07-20 09:59:09</t>
  </si>
  <si>
    <t>2026-07-20 15:00:04</t>
  </si>
  <si>
    <t>2026-07-20 16:11:39</t>
  </si>
  <si>
    <t>2026-07-20 09:59:10</t>
  </si>
  <si>
    <t>2026-07-20 15:00:32</t>
  </si>
  <si>
    <t>2026-07-20 15:59:59</t>
  </si>
  <si>
    <t>2026-07-20 15:00:31</t>
  </si>
  <si>
    <t>2026-07-20 14:00:18</t>
  </si>
  <si>
    <t>2026-07-20 10:59:08</t>
  </si>
  <si>
    <t>2026-07-20 15:04:10</t>
  </si>
  <si>
    <t>2026-07-20 16:02:19</t>
  </si>
  <si>
    <t>2026-07-20 16:02:25</t>
  </si>
  <si>
    <t>2026-07-20 16:03:06</t>
  </si>
  <si>
    <t>2026-07-20 21:03:10</t>
  </si>
  <si>
    <t>2026-07-20 09:51:57</t>
  </si>
  <si>
    <t>2026-07-20 09:52:03</t>
  </si>
  <si>
    <t>2026-07-20 09:59:04</t>
  </si>
  <si>
    <t>2026-07-20 15:00:18</t>
  </si>
  <si>
    <t>2026-07-20 15:59:49</t>
  </si>
  <si>
    <t>2026-07-20 16:17:42</t>
  </si>
  <si>
    <t>2026-07-20 16:38:14</t>
  </si>
  <si>
    <t>2026-07-20 15:59:19</t>
  </si>
  <si>
    <t>2026-07-20 07:46:25</t>
  </si>
  <si>
    <t>2026-07-20 07:46:28</t>
  </si>
  <si>
    <t>2026-07-20 07:59:19</t>
  </si>
  <si>
    <t>2026-07-20 13:08:13</t>
  </si>
  <si>
    <t>2026-07-20 13:46:16</t>
  </si>
  <si>
    <t>2026-07-20 13:46:19</t>
  </si>
  <si>
    <t>2026-07-20 09:49:13</t>
  </si>
  <si>
    <t>2026-07-20 09:49:18</t>
  </si>
  <si>
    <t>2026-07-20 16:01:57</t>
  </si>
  <si>
    <t>2026-07-20 16:06:57</t>
  </si>
  <si>
    <t>2026-07-20 13:00:18</t>
  </si>
  <si>
    <t>2026-07-20 09:58:38</t>
  </si>
  <si>
    <t>2026-07-20 14:00:11</t>
  </si>
  <si>
    <t>2026-07-20 14:58:59</t>
  </si>
  <si>
    <t>2026-07-20 15:53:07</t>
  </si>
  <si>
    <t>2026-07-20 17:17:17</t>
  </si>
  <si>
    <t>2026-07-20 14:02:06</t>
  </si>
  <si>
    <t>2026-07-20 14:00:07</t>
  </si>
  <si>
    <t>2026-07-20 15:42:05</t>
  </si>
  <si>
    <t>2026-07-20 15:54:48</t>
  </si>
  <si>
    <t>2026-07-20 08:01:46</t>
  </si>
  <si>
    <t>2026-07-20 14:00:48</t>
  </si>
  <si>
    <t>2026-07-20 15:00:05</t>
  </si>
  <si>
    <t>8858068_IPSDEAM</t>
  </si>
  <si>
    <t>2026-07-20 11:18:31</t>
  </si>
  <si>
    <t>2026-07-20 15:00:13</t>
  </si>
  <si>
    <t>2026-07-20 16:01:54</t>
  </si>
  <si>
    <t>2026-07-20 21:00:27</t>
  </si>
  <si>
    <t>2026-07-20 09:59:03</t>
  </si>
  <si>
    <t>2026-07-20 15:00:02</t>
  </si>
  <si>
    <t>2026-07-20 16:04:23</t>
  </si>
  <si>
    <t>2026-07-20 20:00:23</t>
  </si>
  <si>
    <t>2026-07-20 07:59:53</t>
  </si>
  <si>
    <t>2026-07-20 13:00:30</t>
  </si>
  <si>
    <t>2026-07-20 08:50:48</t>
  </si>
  <si>
    <t>2026-07-20 13:02:36</t>
  </si>
  <si>
    <t>2026-07-20 14:01:35</t>
  </si>
  <si>
    <t>2026-07-20 09:57:45</t>
  </si>
  <si>
    <t>2026-07-20 10:01:38</t>
  </si>
  <si>
    <t>2026-07-20 13:24:02</t>
  </si>
  <si>
    <t>2026-07-20 14:26:10</t>
  </si>
  <si>
    <t>2026-07-20 15:52:18</t>
  </si>
  <si>
    <t>2026-07-20 15:52:20</t>
  </si>
  <si>
    <t>2026-07-20 16:14:36</t>
  </si>
  <si>
    <t>2026-07-20 16:26:30</t>
  </si>
  <si>
    <t>2026-07-20 16:49:47</t>
  </si>
  <si>
    <t>2026-07-20 16:56:41</t>
  </si>
  <si>
    <t>2026-07-20 10:02:25</t>
  </si>
  <si>
    <t>2026-07-20 15:02:34</t>
  </si>
  <si>
    <t>2026-07-20 15:58:07</t>
  </si>
  <si>
    <t>2026-07-20 10:57:24</t>
  </si>
  <si>
    <t>2026-07-20 15:58:29</t>
  </si>
  <si>
    <t>2026-07-20 21:00:06</t>
  </si>
  <si>
    <t>2026-07-20 11:00:47</t>
  </si>
  <si>
    <t>2026-07-20 15:00:14</t>
  </si>
  <si>
    <t>2026-07-20 15:57:11</t>
  </si>
  <si>
    <t>2026-07-20 19:28:01</t>
  </si>
  <si>
    <t>2026-07-20 19:28:38</t>
  </si>
  <si>
    <t>2026-07-20 20:43:42</t>
  </si>
  <si>
    <t>2026-07-20 20:44:12</t>
  </si>
  <si>
    <t>2026-07-20 21:00:10</t>
  </si>
  <si>
    <t>2026-07-20 14:59:24</t>
  </si>
  <si>
    <t>2026-07-20 10:01:54</t>
  </si>
  <si>
    <t>2026-07-20 13:00:15</t>
  </si>
  <si>
    <t>2026-07-20 13:59:34</t>
  </si>
  <si>
    <t>2026-07-20 15:36:04</t>
  </si>
  <si>
    <t>2026-07-20 16:08:06</t>
  </si>
  <si>
    <t>2026-07-20 16:08:08</t>
  </si>
  <si>
    <t>2026-07-20 16:08:39</t>
  </si>
  <si>
    <t>2026-07-20 10:00:39</t>
  </si>
  <si>
    <t>2026-07-20 20:00:31</t>
  </si>
  <si>
    <t>2026-07-20 09:59:06</t>
  </si>
  <si>
    <t>2026-07-20 14:00:21</t>
  </si>
  <si>
    <t>2026-07-20 14:51:39</t>
  </si>
  <si>
    <t>2026-07-20 15:37:19</t>
  </si>
  <si>
    <t>2026-07-20 16:00:58</t>
  </si>
  <si>
    <t>2026-07-20 20:00:11</t>
  </si>
  <si>
    <t>2026-07-20 13:00:04</t>
  </si>
  <si>
    <t>2026-07-20 10:59:56</t>
  </si>
  <si>
    <t>2026-07-20 07:58:55</t>
  </si>
  <si>
    <t>2026-07-20 13:03:49</t>
  </si>
  <si>
    <t>2026-07-20 14:03:00</t>
  </si>
  <si>
    <t>2026-07-20 08:08:57</t>
  </si>
  <si>
    <t>2026-07-20 08:09:26</t>
  </si>
  <si>
    <t>2026-07-20 13:04:12</t>
  </si>
  <si>
    <t>2026-07-20 18:00:10</t>
  </si>
  <si>
    <t>2026-07-20 09:59:26</t>
  </si>
  <si>
    <t>2026-07-20 20:00:12</t>
  </si>
  <si>
    <t>2026-07-20 14:04:23</t>
  </si>
  <si>
    <t>2026-07-20 09:57:30</t>
  </si>
  <si>
    <t>2026-07-20 14:01:18</t>
  </si>
  <si>
    <t>2026-07-20 10:54:21</t>
  </si>
  <si>
    <t>2026-07-20 15:00:42</t>
  </si>
  <si>
    <t>2026-07-20 21:00:05</t>
  </si>
  <si>
    <t>2026-07-20 09:48:10</t>
  </si>
  <si>
    <t>2026-07-20 14:54:36</t>
  </si>
  <si>
    <t>2026-07-20 16:14:23</t>
  </si>
  <si>
    <t>2026-07-20 16:24:18</t>
  </si>
  <si>
    <t>2026-07-20 08:08:33</t>
  </si>
  <si>
    <t>2026-07-20 08:09:56</t>
  </si>
  <si>
    <t>2026-07-20 14:00:46</t>
  </si>
  <si>
    <t>2026-07-20 16:14:37</t>
  </si>
  <si>
    <t>2026-07-20 16:16:15</t>
  </si>
  <si>
    <t>2026-07-20 14:02:03</t>
  </si>
  <si>
    <t>2026-07-20 09:59:52</t>
  </si>
  <si>
    <t>2026-07-20 10:12:33</t>
  </si>
  <si>
    <t>2026-07-20 10:13:08</t>
  </si>
  <si>
    <t>2026-07-20 13:59:26</t>
  </si>
  <si>
    <t>2026-07-20 15:35:47</t>
  </si>
  <si>
    <t>2026-07-20 15:43:41</t>
  </si>
  <si>
    <t>2026-07-20 15:43:47</t>
  </si>
  <si>
    <t>2026-07-20 16:09:43</t>
  </si>
  <si>
    <t>2026-07-20 10:54:28</t>
  </si>
  <si>
    <t>2026-07-20 10:54:34</t>
  </si>
  <si>
    <t>2026-07-20 10:57:53</t>
  </si>
  <si>
    <t>2026-07-20 15:07:33</t>
  </si>
  <si>
    <t>2026-07-20 16:05:11</t>
  </si>
  <si>
    <t>2026-07-20 07:58:38</t>
  </si>
  <si>
    <t>2026-07-20 13:05:21</t>
  </si>
  <si>
    <t>2026-07-20 13:07:42</t>
  </si>
  <si>
    <t>2026-07-20 13:07:52</t>
  </si>
  <si>
    <t>2026-07-20 18:00:59</t>
  </si>
  <si>
    <t>2026-07-20 08:02:59</t>
  </si>
  <si>
    <t>2026-07-20 11:09:56</t>
  </si>
  <si>
    <t>2026-07-20 11:18:42</t>
  </si>
  <si>
    <t>2026-07-20 11:45:05</t>
  </si>
  <si>
    <t>2026-07-20 11:45:58</t>
  </si>
  <si>
    <t>2026-07-20 12:02:46</t>
  </si>
  <si>
    <t>2026-07-20 12:03:43</t>
  </si>
  <si>
    <t>2026-07-20 12:34:34</t>
  </si>
  <si>
    <t>2026-07-20 12:52:44</t>
  </si>
  <si>
    <t>2026-07-20 12:52:51</t>
  </si>
  <si>
    <t>2026-07-20 12:52:53</t>
  </si>
  <si>
    <t>2026-07-20 13:02:55</t>
  </si>
  <si>
    <t>2026-07-20 17:26:25</t>
  </si>
  <si>
    <t>2026-07-20 17:41:20</t>
  </si>
  <si>
    <t>2026-07-20 18:05:00</t>
  </si>
  <si>
    <t>2026-07-20 11:02:03</t>
  </si>
  <si>
    <t>2026-07-20 11:06:27</t>
  </si>
  <si>
    <t>2026-07-20 15:08:01</t>
  </si>
  <si>
    <t>2026-07-20 16:05:22</t>
  </si>
  <si>
    <t>2026-07-20 21:00:04</t>
  </si>
  <si>
    <t>2026-07-20 10:56:19</t>
  </si>
  <si>
    <t>2026-07-20 15:00:28</t>
  </si>
  <si>
    <t>2026-07-20 21:00:19</t>
  </si>
  <si>
    <t>2026-07-20 07:56:52</t>
  </si>
  <si>
    <t>2026-07-20 08:18:31</t>
  </si>
  <si>
    <t>2026-07-20 08:21:09</t>
  </si>
  <si>
    <t>2026-07-20 08:21:11</t>
  </si>
  <si>
    <t>2026-07-20 08:21:38</t>
  </si>
  <si>
    <t>2026-07-20 13:57:07</t>
  </si>
  <si>
    <t>2026-07-20 18:03:33</t>
  </si>
  <si>
    <t>2026-07-20 07:55:39</t>
  </si>
  <si>
    <t>2026-07-20 11:34:28</t>
  </si>
  <si>
    <t>2026-07-20 11:39:47</t>
  </si>
  <si>
    <t>2026-07-20 13:04:10</t>
  </si>
  <si>
    <t>2026-07-20 15:03:02</t>
  </si>
  <si>
    <t>2026-07-20 15:03:31</t>
  </si>
  <si>
    <t>2026-07-20 18:04:32</t>
  </si>
  <si>
    <t>2026-07-20 09:58:21</t>
  </si>
  <si>
    <t>2026-07-20 14:00:08</t>
  </si>
  <si>
    <t>2026-07-20 13:02:27</t>
  </si>
  <si>
    <t>2026-07-20 09:59:43</t>
  </si>
  <si>
    <t>2026-07-20 16:08:32</t>
  </si>
  <si>
    <t>2026-07-20 16:36:40</t>
  </si>
  <si>
    <t>2026-07-20 19:05:07</t>
  </si>
  <si>
    <t>2026-07-20 19:19:59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</si>
</sst>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h]:mm:ss;@"/>
    <numFmt numFmtId="165" formatCode="00000"/>
    <numFmt numFmtId="166" formatCode="[h]:mm;@"/>
    <numFmt numFmtId="167" formatCode="[$-F400]h:mm:ss\ AM/PM"/>
    <numFmt numFmtId="168" formatCode="h:mm;@"/>
    <numFmt numFmtId="169" formatCode="h:mm"/>
    <numFmt numFmtId="170" formatCode="yyyy"/>
  </numFmts>
  <fonts count="7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rgb="FFC00000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FFFFFF"/>
      <name val="Trebuchet MS"/>
      <family val="2"/>
    </font>
    <font>
      <sz val="10"/>
      <color rgb="FF000000"/>
      <name val="Trebuchet MS"/>
      <family val="2"/>
    </font>
    <font>
      <sz val="10"/>
      <color rgb="FF000000"/>
      <name val="Trebuchet MS"/>
      <family val="2"/>
    </font>
    <font>
      <sz val="11"/>
      <color theme="0"/>
      <name val="Calibri"/>
      <family val="2"/>
      <scheme val="minor"/>
    </font>
    <font>
      <sz val="12"/>
      <color rgb="FF000000"/>
      <name val="Trebuchet MS"/>
      <family val="2"/>
    </font>
    <font>
      <sz val="11"/>
      <color theme="1"/>
      <name val="Trebuchet MS"/>
      <family val="2"/>
    </font>
    <font>
      <sz val="11"/>
      <color rgb="FF000000"/>
      <name val="Trebuchet MS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C00000"/>
      <name val="Calibri"/>
      <family val="2"/>
    </font>
    <font>
      <sz val="10"/>
      <color rgb="FF0D0D0D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B050"/>
      <name val="Calibri"/>
      <family val="2"/>
    </font>
    <font>
      <b/>
      <sz val="10"/>
      <color rgb="FF00B05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"/>
    </font>
    <font>
      <b/>
      <sz val="11"/>
      <name val="Cambria"/>
      <family val="1"/>
    </font>
    <font>
      <sz val="10"/>
      <color rgb="FF000000"/>
      <name val="Arial"/>
      <family val="2"/>
    </font>
    <font>
      <sz val="9"/>
      <color rgb="FF333333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5406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DEBF7"/>
        <bgColor rgb="FFDEEBF7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/>
      <right/>
      <top style="thick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0" tint="-0.24994659260841701"/>
      </left>
      <right/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7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1" fillId="0" borderId="0"/>
    <xf numFmtId="0" fontId="11" fillId="4" borderId="0" applyNumberFormat="0" applyFont="0" applyFill="0" applyBorder="0" applyAlignment="0" applyProtection="0"/>
    <xf numFmtId="0" fontId="12" fillId="0" borderId="0"/>
    <xf numFmtId="0" fontId="13" fillId="0" borderId="0"/>
    <xf numFmtId="0" fontId="14" fillId="0" borderId="0"/>
    <xf numFmtId="0" fontId="15" fillId="0" borderId="0"/>
    <xf numFmtId="0" fontId="3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9" fillId="0" borderId="0"/>
  </cellStyleXfs>
  <cellXfs count="256">
    <xf numFmtId="0" fontId="0" fillId="0" borderId="0" xfId="0"/>
    <xf numFmtId="166" fontId="5" fillId="2" borderId="1" xfId="12" applyNumberFormat="1" applyFont="1" applyFill="1" applyBorder="1" applyAlignment="1">
      <alignment horizontal="center" vertical="center" wrapText="1"/>
    </xf>
    <xf numFmtId="164" fontId="5" fillId="2" borderId="1" xfId="12" applyNumberFormat="1" applyFont="1" applyFill="1" applyBorder="1" applyAlignment="1">
      <alignment horizontal="center" vertical="center" wrapText="1"/>
    </xf>
    <xf numFmtId="166" fontId="7" fillId="5" borderId="2" xfId="12" applyNumberFormat="1" applyFont="1" applyFill="1" applyBorder="1" applyAlignment="1">
      <alignment horizontal="center" vertical="center" wrapText="1"/>
    </xf>
    <xf numFmtId="169" fontId="7" fillId="5" borderId="2" xfId="12" applyNumberFormat="1" applyFont="1" applyFill="1" applyBorder="1" applyAlignment="1">
      <alignment horizontal="center" vertical="center" wrapText="1"/>
    </xf>
    <xf numFmtId="169" fontId="9" fillId="4" borderId="2" xfId="12" applyNumberFormat="1" applyFont="1" applyFill="1" applyBorder="1" applyAlignment="1">
      <alignment horizontal="center" vertical="center" wrapText="1"/>
    </xf>
    <xf numFmtId="165" fontId="0" fillId="0" borderId="0" xfId="0" applyNumberFormat="1"/>
    <xf numFmtId="164" fontId="5" fillId="2" borderId="5" xfId="12" applyNumberFormat="1" applyFont="1" applyFill="1" applyBorder="1" applyAlignment="1">
      <alignment horizontal="center" vertical="center" wrapText="1"/>
    </xf>
    <xf numFmtId="14" fontId="7" fillId="5" borderId="2" xfId="14" applyNumberFormat="1" applyFont="1" applyFill="1" applyBorder="1" applyAlignment="1">
      <alignment horizontal="center" vertical="center" wrapText="1"/>
    </xf>
    <xf numFmtId="166" fontId="6" fillId="4" borderId="2" xfId="12" applyNumberFormat="1" applyFont="1" applyFill="1" applyBorder="1" applyAlignment="1">
      <alignment horizontal="center"/>
    </xf>
    <xf numFmtId="168" fontId="9" fillId="3" borderId="2" xfId="12" applyNumberFormat="1" applyFont="1" applyFill="1" applyBorder="1" applyAlignment="1">
      <alignment horizontal="center"/>
    </xf>
    <xf numFmtId="170" fontId="9" fillId="4" borderId="2" xfId="12" applyNumberFormat="1" applyFont="1" applyFill="1" applyBorder="1" applyAlignment="1">
      <alignment horizontal="left"/>
    </xf>
    <xf numFmtId="168" fontId="9" fillId="3" borderId="2" xfId="12" applyNumberFormat="1" applyFont="1" applyFill="1" applyBorder="1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8" fillId="0" borderId="0" xfId="0" applyFont="1" applyFill="1"/>
    <xf numFmtId="165" fontId="8" fillId="0" borderId="0" xfId="0" applyNumberFormat="1" applyFont="1" applyFill="1" applyAlignment="1">
      <alignment horizontal="right"/>
    </xf>
    <xf numFmtId="167" fontId="8" fillId="0" borderId="0" xfId="0" applyNumberFormat="1" applyFont="1" applyFill="1" applyAlignment="1">
      <alignment horizontal="center" vertical="center"/>
    </xf>
    <xf numFmtId="166" fontId="8" fillId="0" borderId="0" xfId="0" applyNumberFormat="1" applyFont="1" applyFill="1" applyAlignment="1">
      <alignment horizontal="center" vertical="center"/>
    </xf>
    <xf numFmtId="20" fontId="8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Fill="1"/>
    <xf numFmtId="169" fontId="8" fillId="0" borderId="0" xfId="0" applyNumberFormat="1" applyFont="1" applyFill="1" applyAlignment="1">
      <alignment horizontal="center" vertical="center"/>
    </xf>
    <xf numFmtId="169" fontId="6" fillId="3" borderId="2" xfId="12" applyNumberFormat="1" applyFont="1" applyFill="1" applyBorder="1" applyAlignment="1">
      <alignment horizontal="center" vertical="center" wrapText="1"/>
    </xf>
    <xf numFmtId="167" fontId="0" fillId="0" borderId="0" xfId="14" applyNumberFormat="1" applyFont="1"/>
    <xf numFmtId="43" fontId="0" fillId="0" borderId="0" xfId="14" applyFont="1"/>
    <xf numFmtId="0" fontId="0" fillId="0" borderId="0" xfId="0" applyNumberFormat="1" applyAlignment="1">
      <alignment horizontal="center" vertical="center"/>
    </xf>
    <xf numFmtId="12" fontId="0" fillId="0" borderId="0" xfId="14" applyNumberFormat="1" applyFont="1"/>
    <xf numFmtId="0" fontId="25" fillId="6" borderId="7" xfId="0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/>
    </xf>
    <xf numFmtId="14" fontId="26" fillId="0" borderId="7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4" fontId="26" fillId="0" borderId="8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14" fontId="27" fillId="0" borderId="8" xfId="0" applyNumberFormat="1" applyFont="1" applyBorder="1" applyAlignment="1">
      <alignment horizontal="center" vertical="center"/>
    </xf>
    <xf numFmtId="0" fontId="25" fillId="6" borderId="9" xfId="0" applyFont="1" applyFill="1" applyBorder="1" applyAlignment="1">
      <alignment horizontal="center" vertical="center" wrapText="1"/>
    </xf>
    <xf numFmtId="165" fontId="27" fillId="0" borderId="9" xfId="0" applyNumberFormat="1" applyFont="1" applyBorder="1" applyAlignment="1">
      <alignment horizontal="center" vertical="center"/>
    </xf>
    <xf numFmtId="1" fontId="26" fillId="0" borderId="7" xfId="0" applyNumberFormat="1" applyFont="1" applyBorder="1" applyAlignment="1">
      <alignment horizontal="center" vertical="center"/>
    </xf>
    <xf numFmtId="166" fontId="6" fillId="0" borderId="4" xfId="12" applyNumberFormat="1" applyFont="1" applyFill="1" applyBorder="1" applyAlignment="1">
      <alignment horizontal="center" vertical="center"/>
    </xf>
    <xf numFmtId="22" fontId="28" fillId="0" borderId="0" xfId="0" applyNumberFormat="1" applyFont="1"/>
    <xf numFmtId="164" fontId="0" fillId="0" borderId="0" xfId="0" applyNumberFormat="1"/>
    <xf numFmtId="0" fontId="8" fillId="0" borderId="0" xfId="0" applyFont="1" applyFill="1" applyAlignment="1">
      <alignment horizontal="center" vertical="center"/>
    </xf>
    <xf numFmtId="0" fontId="0" fillId="0" borderId="0" xfId="0" applyFill="1"/>
    <xf numFmtId="14" fontId="29" fillId="0" borderId="10" xfId="0" applyNumberFormat="1" applyFont="1" applyBorder="1" applyAlignment="1">
      <alignment horizontal="center" vertical="center"/>
    </xf>
    <xf numFmtId="14" fontId="31" fillId="0" borderId="11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164" fontId="0" fillId="0" borderId="0" xfId="0" applyNumberFormat="1" applyFont="1" applyFill="1" applyBorder="1" applyAlignment="1">
      <alignment horizontal="center" vertical="center"/>
    </xf>
    <xf numFmtId="167" fontId="0" fillId="0" borderId="0" xfId="0" applyNumberFormat="1" applyFont="1" applyFill="1" applyBorder="1" applyAlignment="1">
      <alignment horizontal="center" vertical="center"/>
    </xf>
    <xf numFmtId="0" fontId="0" fillId="0" borderId="0" xfId="0"/>
    <xf numFmtId="0" fontId="10" fillId="0" borderId="0" xfId="0" applyFont="1"/>
    <xf numFmtId="0" fontId="10" fillId="0" borderId="0" xfId="0" applyNumberFormat="1" applyFont="1" applyFill="1"/>
    <xf numFmtId="165" fontId="10" fillId="0" borderId="0" xfId="0" applyNumberFormat="1" applyFont="1"/>
    <xf numFmtId="0" fontId="0" fillId="0" borderId="0" xfId="0" applyAlignment="1">
      <alignment horizontal="left" vertical="center"/>
    </xf>
    <xf numFmtId="0" fontId="0" fillId="0" borderId="0" xfId="0" applyFill="1"/>
    <xf numFmtId="165" fontId="10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10" fillId="0" borderId="0" xfId="0" applyNumberFormat="1" applyFont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14" fontId="29" fillId="0" borderId="6" xfId="0" applyNumberFormat="1" applyFont="1" applyBorder="1" applyAlignment="1">
      <alignment horizontal="center" vertical="center"/>
    </xf>
    <xf numFmtId="14" fontId="30" fillId="0" borderId="7" xfId="0" applyNumberFormat="1" applyFont="1" applyBorder="1" applyAlignment="1">
      <alignment horizontal="center" vertical="center"/>
    </xf>
    <xf numFmtId="166" fontId="6" fillId="0" borderId="3" xfId="12" applyNumberFormat="1" applyFont="1" applyFill="1" applyBorder="1" applyAlignment="1">
      <alignment horizontal="center" vertical="center"/>
    </xf>
    <xf numFmtId="0" fontId="6" fillId="3" borderId="3" xfId="12" applyNumberFormat="1" applyFont="1" applyFill="1" applyBorder="1" applyAlignment="1">
      <alignment horizontal="center"/>
    </xf>
    <xf numFmtId="168" fontId="9" fillId="3" borderId="3" xfId="12" applyNumberFormat="1" applyFont="1" applyFill="1" applyBorder="1" applyAlignment="1">
      <alignment horizontal="center"/>
    </xf>
    <xf numFmtId="166" fontId="5" fillId="2" borderId="7" xfId="12" applyNumberFormat="1" applyFont="1" applyFill="1" applyBorder="1" applyAlignment="1">
      <alignment horizontal="center" vertical="center" wrapText="1"/>
    </xf>
    <xf numFmtId="167" fontId="5" fillId="2" borderId="7" xfId="12" applyNumberFormat="1" applyFont="1" applyFill="1" applyBorder="1" applyAlignment="1">
      <alignment horizontal="center" vertical="center" wrapText="1"/>
    </xf>
    <xf numFmtId="20" fontId="5" fillId="2" borderId="7" xfId="12" applyNumberFormat="1" applyFont="1" applyFill="1" applyBorder="1" applyAlignment="1">
      <alignment horizontal="center" vertical="center" wrapText="1"/>
    </xf>
    <xf numFmtId="164" fontId="5" fillId="2" borderId="7" xfId="12" applyNumberFormat="1" applyFont="1" applyFill="1" applyBorder="1" applyAlignment="1">
      <alignment horizontal="center" vertical="center" wrapText="1"/>
    </xf>
    <xf numFmtId="14" fontId="5" fillId="0" borderId="7" xfId="12" applyNumberFormat="1" applyFont="1" applyFill="1" applyBorder="1" applyAlignment="1">
      <alignment horizontal="center" vertical="center" wrapText="1"/>
    </xf>
    <xf numFmtId="166" fontId="7" fillId="5" borderId="7" xfId="12" applyNumberFormat="1" applyFont="1" applyFill="1" applyBorder="1" applyAlignment="1">
      <alignment horizontal="center" vertical="center" wrapText="1"/>
    </xf>
    <xf numFmtId="165" fontId="6" fillId="4" borderId="12" xfId="12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33" fillId="0" borderId="0" xfId="0" applyFont="1" applyFill="1" applyBorder="1"/>
    <xf numFmtId="164" fontId="33" fillId="0" borderId="0" xfId="0" applyNumberFormat="1" applyFont="1" applyFill="1" applyBorder="1" applyAlignment="1">
      <alignment horizontal="center" vertical="center"/>
    </xf>
    <xf numFmtId="167" fontId="33" fillId="0" borderId="0" xfId="0" applyNumberFormat="1" applyFont="1" applyFill="1" applyBorder="1" applyAlignment="1">
      <alignment horizontal="center" vertical="center"/>
    </xf>
    <xf numFmtId="1" fontId="33" fillId="0" borderId="0" xfId="0" applyNumberFormat="1" applyFont="1" applyFill="1" applyBorder="1" applyAlignment="1">
      <alignment horizontal="center" vertical="center"/>
    </xf>
    <xf numFmtId="164" fontId="33" fillId="0" borderId="0" xfId="0" applyNumberFormat="1" applyFont="1" applyFill="1" applyBorder="1"/>
    <xf numFmtId="0" fontId="31" fillId="0" borderId="11" xfId="0" applyFont="1" applyBorder="1" applyAlignment="1">
      <alignment horizontal="center" vertical="center"/>
    </xf>
    <xf numFmtId="14" fontId="29" fillId="0" borderId="11" xfId="0" applyNumberFormat="1" applyFont="1" applyBorder="1" applyAlignment="1">
      <alignment horizontal="center" vertical="center"/>
    </xf>
    <xf numFmtId="14" fontId="34" fillId="0" borderId="0" xfId="12" applyNumberFormat="1" applyFont="1" applyFill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167" fontId="36" fillId="0" borderId="0" xfId="0" applyNumberFormat="1" applyFont="1" applyFill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14" fontId="31" fillId="0" borderId="6" xfId="0" applyNumberFormat="1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1" fontId="37" fillId="0" borderId="0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/>
    <xf numFmtId="169" fontId="6" fillId="0" borderId="2" xfId="12" applyNumberFormat="1" applyFont="1" applyFill="1" applyBorder="1" applyAlignment="1">
      <alignment horizontal="center" vertical="center" wrapText="1"/>
    </xf>
    <xf numFmtId="169" fontId="6" fillId="0" borderId="3" xfId="12" applyNumberFormat="1" applyFont="1" applyFill="1" applyBorder="1" applyAlignment="1">
      <alignment horizontal="center" vertical="center" wrapText="1"/>
    </xf>
    <xf numFmtId="166" fontId="6" fillId="0" borderId="3" xfId="12" applyNumberFormat="1" applyFont="1" applyFill="1" applyBorder="1" applyAlignment="1">
      <alignment horizontal="center"/>
    </xf>
    <xf numFmtId="0" fontId="6" fillId="0" borderId="3" xfId="12" applyNumberFormat="1" applyFont="1" applyFill="1" applyBorder="1" applyAlignment="1">
      <alignment horizontal="left"/>
    </xf>
    <xf numFmtId="166" fontId="5" fillId="0" borderId="7" xfId="12" applyNumberFormat="1" applyFont="1" applyFill="1" applyBorder="1" applyAlignment="1">
      <alignment horizontal="center" vertical="center" wrapText="1"/>
    </xf>
    <xf numFmtId="0" fontId="6" fillId="0" borderId="3" xfId="12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6" fillId="3" borderId="3" xfId="12" applyNumberFormat="1" applyFont="1" applyFill="1" applyBorder="1" applyAlignment="1">
      <alignment horizontal="center" vertical="center"/>
    </xf>
    <xf numFmtId="0" fontId="6" fillId="3" borderId="3" xfId="12" applyNumberFormat="1" applyFont="1" applyFill="1" applyBorder="1" applyAlignment="1">
      <alignment horizontal="center" vertical="center"/>
    </xf>
    <xf numFmtId="166" fontId="6" fillId="3" borderId="2" xfId="12" applyNumberFormat="1" applyFont="1" applyFill="1" applyBorder="1" applyAlignment="1">
      <alignment horizontal="center"/>
    </xf>
    <xf numFmtId="0" fontId="8" fillId="3" borderId="0" xfId="0" applyFont="1" applyFill="1"/>
    <xf numFmtId="0" fontId="0" fillId="0" borderId="0" xfId="0"/>
    <xf numFmtId="0" fontId="33" fillId="0" borderId="0" xfId="0" applyFont="1" applyFill="1" applyAlignment="1">
      <alignment horizontal="center"/>
    </xf>
    <xf numFmtId="0" fontId="32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20" fontId="0" fillId="0" borderId="14" xfId="0" applyNumberFormat="1" applyBorder="1" applyAlignment="1">
      <alignment vertical="center" wrapText="1"/>
    </xf>
    <xf numFmtId="20" fontId="0" fillId="0" borderId="0" xfId="0" applyNumberFormat="1"/>
    <xf numFmtId="167" fontId="39" fillId="0" borderId="0" xfId="0" applyNumberFormat="1" applyFont="1" applyFill="1" applyBorder="1" applyAlignment="1">
      <alignment horizontal="center" vertical="center"/>
    </xf>
    <xf numFmtId="1" fontId="40" fillId="0" borderId="0" xfId="0" applyNumberFormat="1" applyFont="1" applyFill="1" applyBorder="1" applyAlignment="1">
      <alignment horizontal="center" vertical="center"/>
    </xf>
    <xf numFmtId="164" fontId="40" fillId="0" borderId="0" xfId="0" applyNumberFormat="1" applyFont="1" applyFill="1" applyBorder="1"/>
    <xf numFmtId="0" fontId="0" fillId="7" borderId="0" xfId="0" applyFill="1" applyBorder="1" applyAlignment="1">
      <alignment horizontal="left" vertical="center"/>
    </xf>
    <xf numFmtId="0" fontId="0" fillId="7" borderId="0" xfId="0" applyNumberFormat="1" applyFill="1" applyBorder="1" applyAlignment="1">
      <alignment horizontal="center" vertical="center"/>
    </xf>
    <xf numFmtId="0" fontId="0" fillId="7" borderId="0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167" fontId="41" fillId="0" borderId="0" xfId="0" applyNumberFormat="1" applyFont="1" applyFill="1" applyBorder="1" applyAlignment="1">
      <alignment horizontal="center" vertical="center"/>
    </xf>
    <xf numFmtId="1" fontId="42" fillId="0" borderId="0" xfId="0" applyNumberFormat="1" applyFont="1" applyFill="1" applyBorder="1" applyAlignment="1">
      <alignment horizontal="center" vertical="center"/>
    </xf>
    <xf numFmtId="164" fontId="42" fillId="0" borderId="0" xfId="0" applyNumberFormat="1" applyFont="1" applyFill="1" applyBorder="1"/>
    <xf numFmtId="20" fontId="32" fillId="0" borderId="14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vertical="center" wrapText="1"/>
    </xf>
    <xf numFmtId="14" fontId="34" fillId="7" borderId="0" xfId="12" applyNumberFormat="1" applyFont="1" applyFill="1" applyAlignment="1">
      <alignment horizontal="center" vertical="center"/>
    </xf>
    <xf numFmtId="167" fontId="46" fillId="0" borderId="0" xfId="0" applyNumberFormat="1" applyFont="1" applyFill="1" applyBorder="1" applyAlignment="1">
      <alignment horizontal="center" vertical="center"/>
    </xf>
    <xf numFmtId="1" fontId="47" fillId="0" borderId="0" xfId="0" applyNumberFormat="1" applyFont="1" applyFill="1" applyBorder="1" applyAlignment="1">
      <alignment horizontal="center" vertical="center"/>
    </xf>
    <xf numFmtId="164" fontId="47" fillId="0" borderId="0" xfId="0" applyNumberFormat="1" applyFont="1" applyFill="1" applyBorder="1"/>
    <xf numFmtId="0" fontId="0" fillId="8" borderId="0" xfId="0" applyFill="1" applyBorder="1" applyAlignment="1">
      <alignment horizontal="left" vertical="center"/>
    </xf>
    <xf numFmtId="0" fontId="33" fillId="0" borderId="0" xfId="0" applyFont="1" applyFill="1" applyBorder="1" applyAlignment="1">
      <alignment horizontal="center"/>
    </xf>
    <xf numFmtId="0" fontId="0" fillId="10" borderId="0" xfId="0" applyFill="1" applyBorder="1" applyAlignment="1">
      <alignment horizontal="left" vertical="center"/>
    </xf>
    <xf numFmtId="0" fontId="0" fillId="10" borderId="0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48" fillId="0" borderId="0" xfId="0" applyNumberFormat="1" applyFont="1" applyFill="1" applyBorder="1" applyAlignment="1">
      <alignment horizontal="center" vertical="center"/>
    </xf>
    <xf numFmtId="164" fontId="48" fillId="0" borderId="0" xfId="0" applyNumberFormat="1" applyFont="1" applyFill="1" applyBorder="1"/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pivotButton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0" fontId="0" fillId="0" borderId="0" xfId="0" applyFill="1"/>
    <xf numFmtId="168" fontId="9" fillId="0" borderId="2" xfId="12" applyNumberFormat="1" applyFont="1" applyFill="1" applyBorder="1" applyAlignment="1">
      <alignment horizontal="center"/>
    </xf>
    <xf numFmtId="168" fontId="9" fillId="3" borderId="15" xfId="12" applyNumberFormat="1" applyFont="1" applyFill="1" applyBorder="1" applyAlignment="1">
      <alignment horizontal="center"/>
    </xf>
    <xf numFmtId="0" fontId="35" fillId="0" borderId="0" xfId="0" applyFont="1" applyBorder="1" applyAlignment="1">
      <alignment vertical="center"/>
    </xf>
    <xf numFmtId="20" fontId="45" fillId="0" borderId="0" xfId="0" applyNumberFormat="1" applyFont="1" applyBorder="1" applyAlignment="1">
      <alignment horizontal="center" vertical="center"/>
    </xf>
    <xf numFmtId="0" fontId="45" fillId="0" borderId="0" xfId="0" applyFont="1" applyBorder="1" applyAlignment="1">
      <alignment horizontal="center" vertical="center"/>
    </xf>
    <xf numFmtId="167" fontId="51" fillId="0" borderId="0" xfId="0" applyNumberFormat="1" applyFont="1" applyFill="1" applyBorder="1" applyAlignment="1">
      <alignment horizontal="center" vertical="center"/>
    </xf>
    <xf numFmtId="1" fontId="52" fillId="0" borderId="0" xfId="0" applyNumberFormat="1" applyFont="1" applyFill="1" applyBorder="1" applyAlignment="1">
      <alignment horizontal="center" vertical="center"/>
    </xf>
    <xf numFmtId="164" fontId="52" fillId="0" borderId="0" xfId="0" applyNumberFormat="1" applyFont="1" applyFill="1" applyBorder="1"/>
    <xf numFmtId="0" fontId="0" fillId="0" borderId="13" xfId="0" applyBorder="1"/>
    <xf numFmtId="0" fontId="33" fillId="7" borderId="0" xfId="0" applyFont="1" applyFill="1" applyBorder="1"/>
    <xf numFmtId="1" fontId="57" fillId="0" borderId="0" xfId="0" applyNumberFormat="1" applyFont="1" applyFill="1" applyBorder="1" applyAlignment="1">
      <alignment horizontal="center" vertical="center"/>
    </xf>
    <xf numFmtId="164" fontId="57" fillId="0" borderId="0" xfId="0" applyNumberFormat="1" applyFont="1" applyFill="1" applyBorder="1"/>
    <xf numFmtId="0" fontId="57" fillId="0" borderId="0" xfId="0" applyFont="1" applyFill="1" applyBorder="1"/>
    <xf numFmtId="0" fontId="32" fillId="0" borderId="0" xfId="0" applyFont="1" applyAlignment="1">
      <alignment horizontal="center"/>
    </xf>
    <xf numFmtId="0" fontId="0" fillId="11" borderId="0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/>
    </xf>
    <xf numFmtId="167" fontId="58" fillId="0" borderId="0" xfId="0" applyNumberFormat="1" applyFont="1" applyFill="1" applyBorder="1" applyAlignment="1">
      <alignment horizontal="center" vertical="center"/>
    </xf>
    <xf numFmtId="1" fontId="59" fillId="0" borderId="0" xfId="0" applyNumberFormat="1" applyFont="1" applyFill="1" applyBorder="1" applyAlignment="1">
      <alignment horizontal="center" vertical="center"/>
    </xf>
    <xf numFmtId="164" fontId="59" fillId="0" borderId="0" xfId="0" applyNumberFormat="1" applyFont="1" applyFill="1" applyBorder="1"/>
    <xf numFmtId="0" fontId="59" fillId="0" borderId="0" xfId="0" applyFont="1" applyFill="1" applyBorder="1" applyAlignment="1">
      <alignment horizontal="center"/>
    </xf>
    <xf numFmtId="0" fontId="59" fillId="0" borderId="0" xfId="0" applyFont="1" applyFill="1" applyBorder="1"/>
    <xf numFmtId="0" fontId="38" fillId="0" borderId="0" xfId="0" applyFont="1" applyFill="1" applyBorder="1"/>
    <xf numFmtId="0" fontId="38" fillId="7" borderId="0" xfId="0" applyFont="1" applyFill="1" applyBorder="1"/>
    <xf numFmtId="0" fontId="8" fillId="0" borderId="3" xfId="12" applyNumberFormat="1" applyFont="1" applyFill="1" applyBorder="1" applyAlignment="1">
      <alignment horizontal="left" vertical="center"/>
    </xf>
    <xf numFmtId="14" fontId="49" fillId="0" borderId="16" xfId="12" applyNumberFormat="1" applyFont="1" applyBorder="1" applyAlignment="1">
      <alignment horizontal="left" vertical="center"/>
    </xf>
    <xf numFmtId="0" fontId="0" fillId="12" borderId="0" xfId="0" applyFill="1" applyBorder="1" applyAlignment="1">
      <alignment horizontal="left" vertical="center"/>
    </xf>
    <xf numFmtId="0" fontId="0" fillId="12" borderId="0" xfId="0" applyFill="1" applyAlignment="1">
      <alignment horizontal="center"/>
    </xf>
    <xf numFmtId="0" fontId="0" fillId="12" borderId="0" xfId="0" applyFill="1" applyBorder="1" applyAlignment="1">
      <alignment horizontal="center" vertical="center"/>
    </xf>
    <xf numFmtId="0" fontId="0" fillId="12" borderId="0" xfId="0" applyNumberFormat="1" applyFill="1" applyBorder="1" applyAlignment="1">
      <alignment horizontal="center" vertical="center"/>
    </xf>
    <xf numFmtId="0" fontId="0" fillId="12" borderId="0" xfId="0" applyFill="1" applyBorder="1"/>
    <xf numFmtId="0" fontId="0" fillId="12" borderId="0" xfId="0" applyFill="1" applyBorder="1" applyAlignment="1">
      <alignment horizontal="center"/>
    </xf>
    <xf numFmtId="0" fontId="0" fillId="11" borderId="0" xfId="0" applyFill="1" applyBorder="1" applyAlignment="1">
      <alignment horizontal="left" vertical="center"/>
    </xf>
    <xf numFmtId="0" fontId="0" fillId="11" borderId="0" xfId="0" applyNumberForma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11" borderId="0" xfId="0" applyFill="1" applyBorder="1"/>
    <xf numFmtId="0" fontId="38" fillId="11" borderId="0" xfId="0" applyFont="1" applyFill="1" applyBorder="1" applyAlignment="1">
      <alignment horizontal="left" vertical="center"/>
    </xf>
    <xf numFmtId="0" fontId="45" fillId="8" borderId="15" xfId="12" applyNumberFormat="1" applyFont="1" applyFill="1" applyBorder="1" applyAlignment="1">
      <alignment horizontal="left" vertical="center"/>
    </xf>
    <xf numFmtId="0" fontId="0" fillId="13" borderId="0" xfId="0" applyFill="1" applyBorder="1" applyAlignment="1">
      <alignment horizontal="left" vertical="center"/>
    </xf>
    <xf numFmtId="0" fontId="0" fillId="13" borderId="0" xfId="0" applyNumberForma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7" borderId="0" xfId="0" applyFill="1" applyBorder="1"/>
    <xf numFmtId="0" fontId="0" fillId="14" borderId="0" xfId="0" applyFont="1" applyFill="1" applyBorder="1" applyAlignment="1">
      <alignment horizontal="left" vertical="center"/>
    </xf>
    <xf numFmtId="0" fontId="0" fillId="14" borderId="0" xfId="0" applyFill="1" applyAlignment="1">
      <alignment horizontal="center"/>
    </xf>
    <xf numFmtId="0" fontId="0" fillId="15" borderId="0" xfId="0" applyFill="1" applyBorder="1" applyAlignment="1">
      <alignment horizontal="left" vertical="center"/>
    </xf>
    <xf numFmtId="0" fontId="0" fillId="15" borderId="0" xfId="0" applyFill="1" applyAlignment="1">
      <alignment horizontal="center"/>
    </xf>
    <xf numFmtId="0" fontId="0" fillId="15" borderId="0" xfId="0" applyFill="1" applyBorder="1" applyAlignment="1">
      <alignment vertical="center"/>
    </xf>
    <xf numFmtId="0" fontId="60" fillId="0" borderId="7" xfId="0" applyFont="1" applyFill="1" applyBorder="1"/>
    <xf numFmtId="0" fontId="60" fillId="17" borderId="7" xfId="0" applyFont="1" applyFill="1" applyBorder="1"/>
    <xf numFmtId="0" fontId="32" fillId="17" borderId="7" xfId="0" applyFont="1" applyFill="1" applyBorder="1" applyAlignment="1">
      <alignment horizontal="center" vertical="center"/>
    </xf>
    <xf numFmtId="10" fontId="0" fillId="16" borderId="7" xfId="0" applyNumberFormat="1" applyFill="1" applyBorder="1" applyAlignment="1">
      <alignment horizontal="center" vertical="center"/>
    </xf>
    <xf numFmtId="0" fontId="61" fillId="0" borderId="0" xfId="0" applyFont="1"/>
    <xf numFmtId="0" fontId="0" fillId="0" borderId="0" xfId="0" applyFill="1" applyBorder="1" applyAlignment="1">
      <alignment horizontal="left" vertical="center"/>
    </xf>
    <xf numFmtId="1" fontId="62" fillId="0" borderId="0" xfId="0" applyNumberFormat="1" applyFont="1" applyFill="1" applyBorder="1" applyAlignment="1">
      <alignment horizontal="center" vertical="center"/>
    </xf>
    <xf numFmtId="164" fontId="62" fillId="0" borderId="0" xfId="0" applyNumberFormat="1" applyFont="1" applyFill="1" applyBorder="1"/>
    <xf numFmtId="0" fontId="62" fillId="0" borderId="0" xfId="0" applyFont="1" applyFill="1" applyBorder="1"/>
    <xf numFmtId="0" fontId="60" fillId="17" borderId="7" xfId="0" applyFont="1" applyFill="1" applyBorder="1" applyAlignment="1">
      <alignment horizontal="center" vertical="center"/>
    </xf>
    <xf numFmtId="10" fontId="32" fillId="19" borderId="7" xfId="0" applyNumberFormat="1" applyFont="1" applyFill="1" applyBorder="1" applyAlignment="1">
      <alignment horizontal="center" vertical="center"/>
    </xf>
    <xf numFmtId="0" fontId="60" fillId="18" borderId="7" xfId="0" applyFont="1" applyFill="1" applyBorder="1"/>
    <xf numFmtId="0" fontId="63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64" fillId="0" borderId="7" xfId="0" applyFont="1" applyBorder="1" applyAlignment="1">
      <alignment horizontal="center" vertical="center" wrapText="1"/>
    </xf>
    <xf numFmtId="10" fontId="64" fillId="0" borderId="7" xfId="0" applyNumberFormat="1" applyFont="1" applyBorder="1" applyAlignment="1">
      <alignment horizontal="center" vertical="center" wrapText="1"/>
    </xf>
    <xf numFmtId="0" fontId="60" fillId="17" borderId="7" xfId="0" applyFont="1" applyFill="1" applyBorder="1" applyAlignment="1">
      <alignment horizontal="center" vertical="center" wrapText="1"/>
    </xf>
    <xf numFmtId="169" fontId="8" fillId="0" borderId="3" xfId="12" applyNumberFormat="1" applyFont="1" applyFill="1" applyBorder="1" applyAlignment="1">
      <alignment horizontal="center" vertical="center" wrapText="1"/>
    </xf>
    <xf numFmtId="0" fontId="8" fillId="7" borderId="0" xfId="0" applyFont="1" applyFill="1"/>
    <xf numFmtId="165" fontId="6" fillId="0" borderId="12" xfId="12" applyNumberFormat="1" applyFont="1" applyFill="1" applyBorder="1" applyAlignment="1">
      <alignment horizontal="center" vertical="center"/>
    </xf>
    <xf numFmtId="166" fontId="6" fillId="0" borderId="2" xfId="12" applyNumberFormat="1" applyFont="1" applyFill="1" applyBorder="1" applyAlignment="1">
      <alignment horizontal="center"/>
    </xf>
    <xf numFmtId="14" fontId="6" fillId="0" borderId="3" xfId="12" applyNumberFormat="1" applyFont="1" applyFill="1" applyBorder="1" applyAlignment="1">
      <alignment horizontal="center" vertical="center"/>
    </xf>
    <xf numFmtId="170" fontId="9" fillId="0" borderId="2" xfId="12" applyNumberFormat="1" applyFont="1" applyFill="1" applyBorder="1" applyAlignment="1">
      <alignment horizontal="left"/>
    </xf>
    <xf numFmtId="169" fontId="9" fillId="0" borderId="2" xfId="12" applyNumberFormat="1" applyFont="1" applyFill="1" applyBorder="1" applyAlignment="1">
      <alignment horizontal="center" vertical="center" wrapText="1"/>
    </xf>
    <xf numFmtId="168" fontId="9" fillId="0" borderId="2" xfId="12" applyNumberFormat="1" applyFont="1" applyFill="1" applyBorder="1" applyAlignment="1">
      <alignment horizontal="left"/>
    </xf>
    <xf numFmtId="168" fontId="9" fillId="0" borderId="15" xfId="12" applyNumberFormat="1" applyFont="1" applyFill="1" applyBorder="1" applyAlignment="1">
      <alignment horizontal="center"/>
    </xf>
    <xf numFmtId="168" fontId="9" fillId="0" borderId="3" xfId="12" applyNumberFormat="1" applyFont="1" applyFill="1" applyBorder="1" applyAlignment="1">
      <alignment horizontal="center"/>
    </xf>
    <xf numFmtId="0" fontId="49" fillId="0" borderId="3" xfId="12" applyNumberFormat="1" applyFont="1" applyFill="1" applyBorder="1" applyAlignment="1">
      <alignment horizontal="left" vertical="center"/>
    </xf>
    <xf numFmtId="20" fontId="44" fillId="9" borderId="7" xfId="0" applyNumberFormat="1" applyFont="1" applyFill="1" applyBorder="1" applyAlignment="1">
      <alignment horizontal="center" vertical="center" wrapText="1"/>
    </xf>
    <xf numFmtId="0" fontId="44" fillId="9" borderId="7" xfId="0" applyFont="1" applyFill="1" applyBorder="1" applyAlignment="1">
      <alignment horizontal="center" vertical="center" wrapText="1"/>
    </xf>
    <xf numFmtId="0" fontId="0" fillId="0" borderId="7" xfId="0" applyBorder="1"/>
    <xf numFmtId="166" fontId="6" fillId="0" borderId="7" xfId="12" applyNumberFormat="1" applyFont="1" applyFill="1" applyBorder="1" applyAlignment="1">
      <alignment horizontal="center" vertical="center"/>
    </xf>
    <xf numFmtId="20" fontId="54" fillId="0" borderId="7" xfId="0" applyNumberFormat="1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/>
    </xf>
    <xf numFmtId="0" fontId="6" fillId="0" borderId="7" xfId="12" applyNumberFormat="1" applyFont="1" applyFill="1" applyBorder="1" applyAlignment="1">
      <alignment horizontal="center"/>
    </xf>
    <xf numFmtId="14" fontId="6" fillId="3" borderId="7" xfId="12" applyNumberFormat="1" applyFont="1" applyFill="1" applyBorder="1" applyAlignment="1">
      <alignment horizontal="center" vertical="center"/>
    </xf>
    <xf numFmtId="0" fontId="65" fillId="0" borderId="7" xfId="0" applyFont="1" applyBorder="1" applyAlignment="1">
      <alignment horizontal="center" vertical="center"/>
    </xf>
    <xf numFmtId="20" fontId="66" fillId="0" borderId="7" xfId="0" applyNumberFormat="1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/>
    </xf>
    <xf numFmtId="0" fontId="54" fillId="0" borderId="7" xfId="0" applyFont="1" applyBorder="1" applyAlignment="1">
      <alignment horizontal="center" vertical="center"/>
    </xf>
    <xf numFmtId="0" fontId="56" fillId="0" borderId="7" xfId="0" applyFont="1" applyBorder="1" applyAlignment="1">
      <alignment horizontal="center"/>
    </xf>
    <xf numFmtId="0" fontId="55" fillId="0" borderId="7" xfId="0" applyFont="1" applyBorder="1" applyAlignment="1">
      <alignment horizontal="center" vertical="center"/>
    </xf>
    <xf numFmtId="0" fontId="50" fillId="0" borderId="7" xfId="0" applyFont="1" applyFill="1" applyBorder="1" applyAlignment="1">
      <alignment horizontal="center" vertical="center"/>
    </xf>
    <xf numFmtId="0" fontId="54" fillId="0" borderId="7" xfId="0" applyFont="1" applyFill="1" applyBorder="1" applyAlignment="1">
      <alignment horizontal="center" vertical="center"/>
    </xf>
    <xf numFmtId="169" fontId="8" fillId="3" borderId="3" xfId="12" applyNumberFormat="1" applyFont="1" applyFill="1" applyBorder="1" applyAlignment="1">
      <alignment horizontal="center" vertical="center" wrapText="1"/>
    </xf>
    <xf numFmtId="169" fontId="8" fillId="7" borderId="3" xfId="12" applyNumberFormat="1" applyFont="1" applyFill="1" applyBorder="1" applyAlignment="1">
      <alignment horizontal="center" vertical="center" wrapText="1"/>
    </xf>
    <xf numFmtId="0" fontId="38" fillId="0" borderId="7" xfId="0" applyFont="1" applyBorder="1"/>
    <xf numFmtId="0" fontId="0" fillId="0" borderId="7" xfId="0" applyFill="1" applyBorder="1"/>
    <xf numFmtId="0" fontId="53" fillId="0" borderId="0" xfId="0" applyFont="1" applyFill="1" applyBorder="1" applyAlignment="1">
      <alignment horizontal="center" vertical="center" wrapText="1"/>
    </xf>
    <xf numFmtId="0" fontId="53" fillId="0" borderId="0" xfId="0" applyFont="1" applyFill="1" applyBorder="1" applyAlignment="1">
      <alignment horizontal="center" wrapText="1"/>
    </xf>
    <xf numFmtId="49" fontId="70" fillId="17" borderId="0" xfId="69" applyNumberFormat="1" applyFont="1" applyFill="1"/>
    <xf numFmtId="0" fontId="70" fillId="7" borderId="0" xfId="69" applyFont="1" applyFill="1"/>
    <xf numFmtId="0" fontId="69" fillId="0" borderId="0" xfId="69"/>
    <xf numFmtId="49" fontId="69" fillId="17" borderId="0" xfId="69" applyNumberFormat="1" applyFill="1"/>
    <xf numFmtId="0" fontId="69" fillId="17" borderId="0" xfId="69" applyFill="1"/>
    <xf numFmtId="14" fontId="69" fillId="7" borderId="0" xfId="69" applyNumberFormat="1" applyFill="1"/>
    <xf numFmtId="21" fontId="69" fillId="7" borderId="0" xfId="69" applyNumberFormat="1" applyFill="1"/>
    <xf numFmtId="0" fontId="69" fillId="7" borderId="0" xfId="69" applyFill="1"/>
    <xf numFmtId="0" fontId="70" fillId="0" borderId="0" xfId="69" applyFont="1"/>
    <xf numFmtId="0" fontId="71" fillId="0" borderId="0" xfId="69" applyFont="1"/>
    <xf numFmtId="14" fontId="69" fillId="0" borderId="0" xfId="69" applyNumberFormat="1"/>
    <xf numFmtId="20" fontId="69" fillId="20" borderId="0" xfId="69" applyNumberFormat="1" applyFill="1"/>
    <xf numFmtId="21" fontId="69" fillId="0" borderId="0" xfId="69" applyNumberFormat="1"/>
    <xf numFmtId="49" fontId="72" fillId="21" borderId="17" xfId="0" applyNumberFormat="1" applyFont="1" applyFill="1" applyBorder="1" applyAlignment="1">
      <alignment horizontal="left"/>
    </xf>
    <xf numFmtId="0" fontId="72" fillId="21" borderId="17" xfId="0" applyFont="1" applyFill="1" applyBorder="1" applyAlignment="1">
      <alignment horizontal="right"/>
    </xf>
  </cellXfs>
  <cellStyles count="70">
    <cellStyle name="CCS_Normal" xfId="16" xr:uid="{00000000-0005-0000-0000-000000000000}"/>
    <cellStyle name="Milliers" xfId="14" builtinId="3"/>
    <cellStyle name="Milliers 2" xfId="22" xr:uid="{00000000-0005-0000-0000-000002000000}"/>
    <cellStyle name="Milliers 2 2" xfId="38" xr:uid="{00000000-0005-0000-0000-000003000000}"/>
    <cellStyle name="Milliers 2 2 2" xfId="51" xr:uid="{00000000-0005-0000-0000-000004000000}"/>
    <cellStyle name="Milliers 2 2 2 2" xfId="60" xr:uid="{00000000-0005-0000-0000-000005000000}"/>
    <cellStyle name="Milliers 2 2 2 3" xfId="68" xr:uid="{00000000-0005-0000-0000-000006000000}"/>
    <cellStyle name="Milliers 2 2 3" xfId="56" xr:uid="{00000000-0005-0000-0000-000007000000}"/>
    <cellStyle name="Milliers 2 2 4" xfId="64" xr:uid="{00000000-0005-0000-0000-000008000000}"/>
    <cellStyle name="Milliers 2 3" xfId="49" xr:uid="{00000000-0005-0000-0000-000009000000}"/>
    <cellStyle name="Milliers 2 3 2" xfId="58" xr:uid="{00000000-0005-0000-0000-00000A000000}"/>
    <cellStyle name="Milliers 2 3 3" xfId="66" xr:uid="{00000000-0005-0000-0000-00000B000000}"/>
    <cellStyle name="Milliers 2 4" xfId="54" xr:uid="{00000000-0005-0000-0000-00000C000000}"/>
    <cellStyle name="Milliers 2 5" xfId="62" xr:uid="{00000000-0005-0000-0000-00000D000000}"/>
    <cellStyle name="Milliers 3" xfId="36" xr:uid="{00000000-0005-0000-0000-00000E000000}"/>
    <cellStyle name="Milliers 3 2" xfId="50" xr:uid="{00000000-0005-0000-0000-00000F000000}"/>
    <cellStyle name="Milliers 3 2 2" xfId="59" xr:uid="{00000000-0005-0000-0000-000010000000}"/>
    <cellStyle name="Milliers 3 2 3" xfId="67" xr:uid="{00000000-0005-0000-0000-000011000000}"/>
    <cellStyle name="Milliers 3 3" xfId="55" xr:uid="{00000000-0005-0000-0000-000012000000}"/>
    <cellStyle name="Milliers 3 4" xfId="63" xr:uid="{00000000-0005-0000-0000-000013000000}"/>
    <cellStyle name="Milliers 4" xfId="48" xr:uid="{00000000-0005-0000-0000-000014000000}"/>
    <cellStyle name="Milliers 4 2" xfId="57" xr:uid="{00000000-0005-0000-0000-000015000000}"/>
    <cellStyle name="Milliers 4 3" xfId="65" xr:uid="{00000000-0005-0000-0000-000016000000}"/>
    <cellStyle name="Milliers 5" xfId="53" xr:uid="{00000000-0005-0000-0000-000017000000}"/>
    <cellStyle name="Milliers 6" xfId="61" xr:uid="{00000000-0005-0000-0000-000018000000}"/>
    <cellStyle name="Nor}al" xfId="12" xr:uid="{00000000-0005-0000-0000-000019000000}"/>
    <cellStyle name="Normal" xfId="0" builtinId="0"/>
    <cellStyle name="Normal 10" xfId="28" xr:uid="{00000000-0005-0000-0000-00001B000000}"/>
    <cellStyle name="Normal 10 2" xfId="41" xr:uid="{00000000-0005-0000-0000-00001C000000}"/>
    <cellStyle name="Normal 11" xfId="29" xr:uid="{00000000-0005-0000-0000-00001D000000}"/>
    <cellStyle name="Normal 11 2" xfId="42" xr:uid="{00000000-0005-0000-0000-00001E000000}"/>
    <cellStyle name="Normal 12" xfId="30" xr:uid="{00000000-0005-0000-0000-00001F000000}"/>
    <cellStyle name="Normal 12 2" xfId="43" xr:uid="{00000000-0005-0000-0000-000020000000}"/>
    <cellStyle name="Normal 13" xfId="31" xr:uid="{00000000-0005-0000-0000-000021000000}"/>
    <cellStyle name="Normal 13 2" xfId="44" xr:uid="{00000000-0005-0000-0000-000022000000}"/>
    <cellStyle name="Normal 14" xfId="32" xr:uid="{00000000-0005-0000-0000-000023000000}"/>
    <cellStyle name="Normal 14 2" xfId="45" xr:uid="{00000000-0005-0000-0000-000024000000}"/>
    <cellStyle name="Normal 15" xfId="33" xr:uid="{00000000-0005-0000-0000-000025000000}"/>
    <cellStyle name="Normal 15 2" xfId="46" xr:uid="{00000000-0005-0000-0000-000026000000}"/>
    <cellStyle name="Normal 16" xfId="34" xr:uid="{00000000-0005-0000-0000-000027000000}"/>
    <cellStyle name="Normal 17" xfId="47" xr:uid="{00000000-0005-0000-0000-000028000000}"/>
    <cellStyle name="Normal 17 2" xfId="52" xr:uid="{00000000-0005-0000-0000-000029000000}"/>
    <cellStyle name="Normal 18" xfId="69" xr:uid="{83F48616-BD55-40D4-967D-5CBC7D76480A}"/>
    <cellStyle name="Normal 2" xfId="15" xr:uid="{00000000-0005-0000-0000-00002A000000}"/>
    <cellStyle name="Normal 2 10 2" xfId="7" xr:uid="{00000000-0005-0000-0000-00002B000000}"/>
    <cellStyle name="Normal 3" xfId="13" xr:uid="{00000000-0005-0000-0000-00002C000000}"/>
    <cellStyle name="Normal 4" xfId="17" xr:uid="{00000000-0005-0000-0000-00002D000000}"/>
    <cellStyle name="Normal 4 2" xfId="23" xr:uid="{00000000-0005-0000-0000-00002E000000}"/>
    <cellStyle name="Normal 5" xfId="18" xr:uid="{00000000-0005-0000-0000-00002F000000}"/>
    <cellStyle name="Normal 5 2" xfId="24" xr:uid="{00000000-0005-0000-0000-000030000000}"/>
    <cellStyle name="Normal 58 2" xfId="2" xr:uid="{00000000-0005-0000-0000-000031000000}"/>
    <cellStyle name="Normal 59" xfId="1" xr:uid="{00000000-0005-0000-0000-000032000000}"/>
    <cellStyle name="Normal 6" xfId="19" xr:uid="{00000000-0005-0000-0000-000033000000}"/>
    <cellStyle name="Normal 6 2" xfId="25" xr:uid="{00000000-0005-0000-0000-000034000000}"/>
    <cellStyle name="Normal 60" xfId="3" xr:uid="{00000000-0005-0000-0000-000035000000}"/>
    <cellStyle name="Normal 61" xfId="4" xr:uid="{00000000-0005-0000-0000-000036000000}"/>
    <cellStyle name="Normal 62" xfId="5" xr:uid="{00000000-0005-0000-0000-000037000000}"/>
    <cellStyle name="Normal 63" xfId="6" xr:uid="{00000000-0005-0000-0000-000038000000}"/>
    <cellStyle name="Normal 64" xfId="8" xr:uid="{00000000-0005-0000-0000-000039000000}"/>
    <cellStyle name="Normal 65" xfId="9" xr:uid="{00000000-0005-0000-0000-00003A000000}"/>
    <cellStyle name="Normal 66" xfId="10" xr:uid="{00000000-0005-0000-0000-00003B000000}"/>
    <cellStyle name="Normal 68" xfId="11" xr:uid="{00000000-0005-0000-0000-00003C000000}"/>
    <cellStyle name="Normal 68 2" xfId="21" xr:uid="{00000000-0005-0000-0000-00003D000000}"/>
    <cellStyle name="Normal 7" xfId="20" xr:uid="{00000000-0005-0000-0000-00003E000000}"/>
    <cellStyle name="Normal 7 2" xfId="37" xr:uid="{00000000-0005-0000-0000-00003F000000}"/>
    <cellStyle name="Normal 8" xfId="26" xr:uid="{00000000-0005-0000-0000-000040000000}"/>
    <cellStyle name="Normal 8 2" xfId="39" xr:uid="{00000000-0005-0000-0000-000041000000}"/>
    <cellStyle name="Normal 9" xfId="27" xr:uid="{00000000-0005-0000-0000-000042000000}"/>
    <cellStyle name="Normal 9 2" xfId="40" xr:uid="{00000000-0005-0000-0000-000043000000}"/>
    <cellStyle name="Pourcentage 2" xfId="35" xr:uid="{00000000-0005-0000-0000-000044000000}"/>
  </cellStyles>
  <dxfs count="1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numFmt numFmtId="165" formatCode="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rebuchet MS"/>
        <scheme val="none"/>
      </font>
      <fill>
        <patternFill patternType="solid">
          <fgColor indexed="64"/>
          <bgColor rgb="FF25406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64" formatCode="[h]:mm:ss;@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numFmt numFmtId="164" formatCode="[h]:mm:ss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numFmt numFmtId="164" formatCode="[h]:mm:ss;@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</font>
      <numFmt numFmtId="164" formatCode="[h]:mm:ss;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outline="0">
        <left style="medium">
          <color indexed="64"/>
        </left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 tint="-0.14996795556505021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 tint="-0.14996795556505021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 tint="-0.14996795556505021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 tint="-0.14996795556505021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 tint="-0.14996795556505021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FD0F0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microsoft.com/office/2007/relationships/slicerCache" Target="slicerCaches/slicerCache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microsoft.com/office/2007/relationships/slicerCache" Target="slicerCaches/slicerCache8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07/relationships/slicerCache" Target="slicerCaches/slicerCache7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85724</xdr:colOff>
      <xdr:row>20</xdr:row>
      <xdr:rowOff>71438</xdr:rowOff>
    </xdr:from>
    <xdr:to>
      <xdr:col>1</xdr:col>
      <xdr:colOff>381000</xdr:colOff>
      <xdr:row>30</xdr:row>
      <xdr:rowOff>134471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is 7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4" y="3881438"/>
              <a:ext cx="1001247" cy="19680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408213</xdr:colOff>
      <xdr:row>20</xdr:row>
      <xdr:rowOff>78582</xdr:rowOff>
    </xdr:from>
    <xdr:to>
      <xdr:col>4</xdr:col>
      <xdr:colOff>1586</xdr:colOff>
      <xdr:row>30</xdr:row>
      <xdr:rowOff>134471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ine 7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ine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4184" y="3888582"/>
              <a:ext cx="1644049" cy="19608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8</xdr:row>
      <xdr:rowOff>166688</xdr:rowOff>
    </xdr:from>
    <xdr:to>
      <xdr:col>4</xdr:col>
      <xdr:colOff>2382</xdr:colOff>
      <xdr:row>19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ment 6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1809751"/>
              <a:ext cx="2856706" cy="20081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71439</xdr:colOff>
      <xdr:row>0</xdr:row>
      <xdr:rowOff>59532</xdr:rowOff>
    </xdr:from>
    <xdr:to>
      <xdr:col>4</xdr:col>
      <xdr:colOff>2382</xdr:colOff>
      <xdr:row>7</xdr:row>
      <xdr:rowOff>57151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Business 6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usiness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9" y="242095"/>
              <a:ext cx="2880518" cy="1277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107435</xdr:colOff>
      <xdr:row>17</xdr:row>
      <xdr:rowOff>1892</xdr:rowOff>
    </xdr:from>
    <xdr:to>
      <xdr:col>1</xdr:col>
      <xdr:colOff>402711</xdr:colOff>
      <xdr:row>30</xdr:row>
      <xdr:rowOff>29673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is 4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435" y="3105455"/>
              <a:ext cx="1057276" cy="2394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418018</xdr:colOff>
      <xdr:row>17</xdr:row>
      <xdr:rowOff>4273</xdr:rowOff>
    </xdr:from>
    <xdr:to>
      <xdr:col>5</xdr:col>
      <xdr:colOff>121723</xdr:colOff>
      <xdr:row>30</xdr:row>
      <xdr:rowOff>20941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ine 4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in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487" y="3242773"/>
              <a:ext cx="1644424" cy="24931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116962</xdr:colOff>
      <xdr:row>6</xdr:row>
      <xdr:rowOff>124667</xdr:rowOff>
    </xdr:from>
    <xdr:to>
      <xdr:col>5</xdr:col>
      <xdr:colOff>140775</xdr:colOff>
      <xdr:row>16</xdr:row>
      <xdr:rowOff>142923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ment 3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962" y="1220042"/>
              <a:ext cx="2865438" cy="18494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116962</xdr:colOff>
      <xdr:row>0</xdr:row>
      <xdr:rowOff>41322</xdr:rowOff>
    </xdr:from>
    <xdr:to>
      <xdr:col>5</xdr:col>
      <xdr:colOff>164587</xdr:colOff>
      <xdr:row>6</xdr:row>
      <xdr:rowOff>77041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Business 3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usines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962" y="41322"/>
              <a:ext cx="2889250" cy="1131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ivi_Absent&#233;isme_Google_Leads_S28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ogle Leads "/>
      <sheetName val="log"/>
      <sheetName val="trame"/>
      <sheetName val="Source CC pulse"/>
      <sheetName val="Planning"/>
      <sheetName val="Annuaire_roster"/>
      <sheetName val="Contrôle des heures"/>
      <sheetName val="Contrôle des jours"/>
      <sheetName val="Feuil1"/>
      <sheetName val="Suivi des justificatifs"/>
      <sheetName val="Connexions"/>
      <sheetName val="Mapping_Noms"/>
      <sheetName val="Planning Pauses Dej"/>
    </sheetNames>
    <sheetDataSet>
      <sheetData sheetId="0">
        <row r="1">
          <cell r="A1" t="str">
            <v>Matricule</v>
          </cell>
          <cell r="B1" t="str">
            <v>Nom De l'agent</v>
          </cell>
          <cell r="C1" t="str">
            <v>Hr début shift Réalisée</v>
          </cell>
          <cell r="D1" t="str">
            <v>Hr début shift Planifiée</v>
          </cell>
          <cell r="E1" t="str">
            <v>Hr fin shift Réalisée</v>
          </cell>
          <cell r="F1" t="str">
            <v>Hr Fin shift Planifiée</v>
          </cell>
          <cell r="G1" t="str">
            <v>Durée de la Pause Dej</v>
          </cell>
          <cell r="H1" t="str">
            <v>Dépsement des pauses</v>
          </cell>
          <cell r="I1" t="str">
            <v>Retard Debut de shift</v>
          </cell>
          <cell r="J1" t="str">
            <v>Retard Dej</v>
          </cell>
          <cell r="K1" t="str">
            <v>Somme des retards</v>
          </cell>
          <cell r="L1" t="str">
            <v>Départs Anticipés</v>
          </cell>
          <cell r="M1" t="str">
            <v>Absences</v>
          </cell>
          <cell r="N1" t="str">
            <v>Hr Adherée</v>
          </cell>
          <cell r="O1" t="str">
            <v>Hr Planifiée</v>
          </cell>
          <cell r="P1" t="str">
            <v>Segment</v>
          </cell>
          <cell r="Q1" t="str">
            <v>Date</v>
          </cell>
          <cell r="R1" t="str">
            <v>Hr Abs Pure</v>
          </cell>
          <cell r="S1" t="str">
            <v>Hr Abs Totales</v>
          </cell>
          <cell r="T1" t="str">
            <v>Semaine</v>
          </cell>
          <cell r="U1" t="str">
            <v>Mois</v>
          </cell>
          <cell r="V1" t="str">
            <v>Année</v>
          </cell>
          <cell r="W1" t="str">
            <v>VTO</v>
          </cell>
          <cell r="X1" t="str">
            <v>Heures SUP</v>
          </cell>
          <cell r="Y1" t="str">
            <v>Team</v>
          </cell>
          <cell r="Z1" t="str">
            <v>Business</v>
          </cell>
          <cell r="AA1" t="str">
            <v>Statut</v>
          </cell>
          <cell r="AB1" t="str">
            <v>Congé payé</v>
          </cell>
          <cell r="AC1" t="str">
            <v>Congé sans solde</v>
          </cell>
          <cell r="AD1" t="str">
            <v>Congé spécial</v>
          </cell>
          <cell r="AE1" t="str">
            <v>Jour férié</v>
          </cell>
          <cell r="AF1" t="str">
            <v>Commentaire</v>
          </cell>
          <cell r="AG1" t="str">
            <v>Plannif spécial</v>
          </cell>
        </row>
        <row r="2">
          <cell r="B2" t="str">
            <v>ZAKI OMAR</v>
          </cell>
        </row>
        <row r="3">
          <cell r="B3" t="str">
            <v>AZHARI ABDELHAMID</v>
          </cell>
        </row>
        <row r="4">
          <cell r="B4" t="str">
            <v xml:space="preserve">LALOUN MANAL </v>
          </cell>
        </row>
        <row r="5">
          <cell r="B5" t="str">
            <v>BOULHROUD SALMA</v>
          </cell>
        </row>
        <row r="6">
          <cell r="B6" t="str">
            <v>NEMMAOUI MOUNIRA</v>
          </cell>
        </row>
        <row r="7">
          <cell r="B7" t="str">
            <v>NIANG NDEYE ABSA</v>
          </cell>
        </row>
        <row r="8">
          <cell r="B8" t="str">
            <v>BENSAR ANAS</v>
          </cell>
        </row>
        <row r="9">
          <cell r="B9" t="str">
            <v>MELLAHI YOUSSEF</v>
          </cell>
        </row>
        <row r="10">
          <cell r="B10" t="str">
            <v xml:space="preserve">EL HOUJJAJI Soufiane </v>
          </cell>
        </row>
        <row r="11">
          <cell r="B11" t="str">
            <v>BOURABAA HASSAN</v>
          </cell>
        </row>
        <row r="12">
          <cell r="B12" t="str">
            <v>EL-AOUAQUI BOUCHRA</v>
          </cell>
        </row>
        <row r="13">
          <cell r="B13" t="str">
            <v>ZITOUNI LAMYA</v>
          </cell>
        </row>
        <row r="14">
          <cell r="B14" t="str">
            <v>NUNEZ LUCIEN BERNARD</v>
          </cell>
        </row>
        <row r="15">
          <cell r="B15" t="str">
            <v>SIDIBE MOUSKEBA DALAFINA</v>
          </cell>
        </row>
        <row r="16">
          <cell r="B16" t="str">
            <v>SOUOUD ZAKARIA</v>
          </cell>
        </row>
        <row r="17">
          <cell r="B17" t="str">
            <v>LAFDIL NADA</v>
          </cell>
        </row>
        <row r="18">
          <cell r="B18" t="str">
            <v>SECK DIARRA</v>
          </cell>
        </row>
        <row r="19">
          <cell r="B19" t="str">
            <v>GUEYE GORA</v>
          </cell>
        </row>
        <row r="20">
          <cell r="B20" t="str">
            <v>AINELKITANE ZINEB</v>
          </cell>
        </row>
        <row r="21">
          <cell r="B21" t="str">
            <v>AIT LARBI HIND</v>
          </cell>
        </row>
        <row r="22">
          <cell r="B22" t="str">
            <v>KANTAOUI SALMA</v>
          </cell>
        </row>
        <row r="23">
          <cell r="B23" t="str">
            <v>AIT ADDI KHADIJA</v>
          </cell>
        </row>
        <row r="24">
          <cell r="B24" t="str">
            <v>ZIOUI DOUNIA</v>
          </cell>
        </row>
        <row r="25">
          <cell r="B25" t="str">
            <v xml:space="preserve">DERKAOUI AMAL </v>
          </cell>
        </row>
        <row r="26">
          <cell r="B26" t="str">
            <v>IHASSANE Ikram</v>
          </cell>
        </row>
        <row r="27">
          <cell r="B27" t="str">
            <v>EL HOUSSAINI HOUDA</v>
          </cell>
        </row>
        <row r="28">
          <cell r="B28" t="str">
            <v>GUEYE MOUHAMED</v>
          </cell>
        </row>
        <row r="29">
          <cell r="B29" t="str">
            <v>RACHAD NAWAR</v>
          </cell>
        </row>
        <row r="30">
          <cell r="B30" t="str">
            <v>DIOUF OUSSMANE</v>
          </cell>
        </row>
        <row r="31">
          <cell r="B31" t="str">
            <v>QARBOUI Aymane</v>
          </cell>
        </row>
        <row r="32">
          <cell r="B32" t="str">
            <v>EL HARROUCHI CHAIMAE</v>
          </cell>
        </row>
        <row r="33">
          <cell r="B33" t="str">
            <v>TOURE ABIBOU</v>
          </cell>
        </row>
        <row r="34">
          <cell r="B34" t="str">
            <v>ZAKI OMAR</v>
          </cell>
        </row>
        <row r="35">
          <cell r="B35" t="str">
            <v>GUEYE MOUHAMED</v>
          </cell>
        </row>
        <row r="36">
          <cell r="B36" t="str">
            <v>DIOUF OUSSMANE</v>
          </cell>
        </row>
        <row r="37">
          <cell r="B37" t="str">
            <v>AZHARI ABDELHAMID</v>
          </cell>
        </row>
        <row r="38">
          <cell r="B38" t="str">
            <v xml:space="preserve">LALOUN MANAL </v>
          </cell>
        </row>
        <row r="39">
          <cell r="B39" t="str">
            <v>BOULHROUD SALMA</v>
          </cell>
        </row>
        <row r="40">
          <cell r="B40" t="str">
            <v>BOURABAA HASSAN</v>
          </cell>
        </row>
        <row r="41">
          <cell r="B41" t="str">
            <v>NIANG NDEYE ABSA</v>
          </cell>
        </row>
        <row r="42">
          <cell r="B42" t="str">
            <v>SECK DIARRA</v>
          </cell>
        </row>
        <row r="43">
          <cell r="B43" t="str">
            <v>BENSAR ANAS</v>
          </cell>
        </row>
        <row r="44">
          <cell r="B44" t="str">
            <v>NEMMAOUI MOUNIRA</v>
          </cell>
        </row>
        <row r="45">
          <cell r="B45" t="str">
            <v xml:space="preserve">EL HOUJJAJI Soufiane </v>
          </cell>
        </row>
        <row r="46">
          <cell r="B46" t="str">
            <v>EL-AOUAQUI BOUCHRA</v>
          </cell>
        </row>
        <row r="47">
          <cell r="B47" t="str">
            <v>LAFDIL NADA</v>
          </cell>
        </row>
        <row r="48">
          <cell r="B48" t="str">
            <v>ZITOUNI LAMYA</v>
          </cell>
        </row>
        <row r="49">
          <cell r="B49" t="str">
            <v>GUEYE GORA</v>
          </cell>
        </row>
        <row r="50">
          <cell r="B50" t="str">
            <v>TOURE ABIBOU</v>
          </cell>
        </row>
        <row r="51">
          <cell r="B51" t="str">
            <v>KANTAOUI SALMA</v>
          </cell>
        </row>
        <row r="52">
          <cell r="B52" t="str">
            <v>SOUOUD ZAKARIA</v>
          </cell>
        </row>
        <row r="53">
          <cell r="B53" t="str">
            <v>AIT ADDI KHADIJA</v>
          </cell>
        </row>
        <row r="54">
          <cell r="B54" t="str">
            <v>MELLAHI YOUSSEF</v>
          </cell>
        </row>
        <row r="55">
          <cell r="B55" t="str">
            <v>EL HARROUCHI CHAIMAE</v>
          </cell>
        </row>
        <row r="56">
          <cell r="B56" t="str">
            <v>SIDIBE MOUSKEBA DALAFINA</v>
          </cell>
        </row>
        <row r="57">
          <cell r="B57" t="str">
            <v>AINELKITANE ZINEB</v>
          </cell>
        </row>
        <row r="58">
          <cell r="B58" t="str">
            <v>AIT LARBI HIND</v>
          </cell>
        </row>
        <row r="59">
          <cell r="B59" t="str">
            <v>ZIOUI DOUNIA</v>
          </cell>
        </row>
        <row r="60">
          <cell r="B60" t="str">
            <v xml:space="preserve">DERKAOUI AMAL </v>
          </cell>
        </row>
        <row r="61">
          <cell r="B61" t="str">
            <v>IHASSANE Ikram</v>
          </cell>
        </row>
        <row r="62">
          <cell r="B62" t="str">
            <v>NUNEZ LUCIEN BERNARD</v>
          </cell>
        </row>
        <row r="63">
          <cell r="B63" t="str">
            <v>EL HOUSSAINI HOUDA</v>
          </cell>
        </row>
        <row r="64">
          <cell r="B64" t="str">
            <v>RACHAD NAWAR</v>
          </cell>
        </row>
        <row r="65">
          <cell r="B65" t="str">
            <v>QARBOUI Aymane</v>
          </cell>
        </row>
        <row r="66">
          <cell r="B66" t="str">
            <v>ZAKI OMAR</v>
          </cell>
        </row>
        <row r="67">
          <cell r="B67" t="str">
            <v>GUEYE MOUHAMED</v>
          </cell>
        </row>
        <row r="68">
          <cell r="B68" t="str">
            <v>AIT LARBI HIND</v>
          </cell>
        </row>
        <row r="69">
          <cell r="B69" t="str">
            <v xml:space="preserve">LALOUN MANAL </v>
          </cell>
        </row>
        <row r="70">
          <cell r="B70" t="str">
            <v>SIDIBE MOUSKEBA DALAFINA</v>
          </cell>
        </row>
        <row r="71">
          <cell r="B71" t="str">
            <v>BOULHROUD SALMA</v>
          </cell>
        </row>
        <row r="72">
          <cell r="B72" t="str">
            <v>BOURABAA HASSAN</v>
          </cell>
        </row>
        <row r="73">
          <cell r="B73" t="str">
            <v>AIT ADDI KHADIJA</v>
          </cell>
        </row>
        <row r="74">
          <cell r="B74" t="str">
            <v>NUNEZ LUCIEN BERNARD</v>
          </cell>
        </row>
        <row r="75">
          <cell r="B75" t="str">
            <v>SECK DIARRA</v>
          </cell>
        </row>
        <row r="76">
          <cell r="B76" t="str">
            <v>BENSAR ANAS</v>
          </cell>
        </row>
        <row r="77">
          <cell r="B77" t="str">
            <v>TOURE ABIBOU</v>
          </cell>
        </row>
        <row r="78">
          <cell r="B78" t="str">
            <v>EL HARROUCHI CHAIMAE</v>
          </cell>
        </row>
        <row r="79">
          <cell r="B79" t="str">
            <v>GUEYE GORA</v>
          </cell>
        </row>
        <row r="80">
          <cell r="B80" t="str">
            <v>DIOUF OUSSMANE</v>
          </cell>
        </row>
        <row r="81">
          <cell r="B81" t="str">
            <v>EL HOUSSAINI HOUDA</v>
          </cell>
        </row>
        <row r="82">
          <cell r="B82" t="str">
            <v>RACHAD NAWAR</v>
          </cell>
        </row>
        <row r="83">
          <cell r="B83" t="str">
            <v>ZIOUI DOUNIA</v>
          </cell>
        </row>
        <row r="84">
          <cell r="B84" t="str">
            <v>AINELKITANE ZINEB</v>
          </cell>
        </row>
        <row r="85">
          <cell r="B85" t="str">
            <v>NEMMAOUI MOUNIRA</v>
          </cell>
        </row>
        <row r="86">
          <cell r="B86" t="str">
            <v>QARBOUI Aymane</v>
          </cell>
        </row>
        <row r="87">
          <cell r="B87" t="str">
            <v>LAFDIL NADA</v>
          </cell>
        </row>
        <row r="88">
          <cell r="B88" t="str">
            <v>MELLAHI YOUSSEF</v>
          </cell>
        </row>
        <row r="89">
          <cell r="B89" t="str">
            <v>SOUOUD ZAKARIA</v>
          </cell>
        </row>
        <row r="90">
          <cell r="B90" t="str">
            <v xml:space="preserve">DERKAOUI AMAL </v>
          </cell>
        </row>
        <row r="91">
          <cell r="B91" t="str">
            <v>IHASSANE Ikram</v>
          </cell>
        </row>
        <row r="92">
          <cell r="B92" t="str">
            <v>EL-AOUAQUI BOUCHRA</v>
          </cell>
        </row>
        <row r="93">
          <cell r="B93" t="str">
            <v>ZITOUNI LAMYA</v>
          </cell>
        </row>
        <row r="94">
          <cell r="B94" t="str">
            <v>KANTAOUI SALMA</v>
          </cell>
        </row>
        <row r="95">
          <cell r="B95" t="str">
            <v xml:space="preserve">EL HOUJJAJI Soufiane </v>
          </cell>
        </row>
        <row r="96">
          <cell r="B96" t="str">
            <v>AZHARI ABDELHAMID</v>
          </cell>
        </row>
        <row r="97">
          <cell r="B97" t="str">
            <v>NIANG NDEYE ABSA</v>
          </cell>
        </row>
        <row r="98">
          <cell r="B98" t="str">
            <v>GUEYE MOUHAMED</v>
          </cell>
        </row>
        <row r="99">
          <cell r="B99" t="str">
            <v>DIOUF OUSSMANE</v>
          </cell>
        </row>
        <row r="100">
          <cell r="B100" t="str">
            <v xml:space="preserve">EL HOUJJAJI Soufiane </v>
          </cell>
        </row>
        <row r="101">
          <cell r="B101" t="str">
            <v>AZHARI ABDELHAMID</v>
          </cell>
        </row>
        <row r="102">
          <cell r="B102" t="str">
            <v xml:space="preserve">LALOUN MANAL </v>
          </cell>
        </row>
        <row r="103">
          <cell r="B103" t="str">
            <v>SIDIBE MOUSKEBA DALAFINA</v>
          </cell>
        </row>
        <row r="104">
          <cell r="B104" t="str">
            <v>BOULHROUD SALMA</v>
          </cell>
        </row>
        <row r="105">
          <cell r="B105" t="str">
            <v>RACHAD NAWAR</v>
          </cell>
        </row>
        <row r="106">
          <cell r="B106" t="str">
            <v>SECK DIARRA</v>
          </cell>
        </row>
        <row r="107">
          <cell r="B107" t="str">
            <v>NIANG NDEYE ABSA</v>
          </cell>
        </row>
        <row r="108">
          <cell r="B108" t="str">
            <v>ZAKI OMAR</v>
          </cell>
        </row>
        <row r="109">
          <cell r="B109" t="str">
            <v>NUNEZ LUCIEN BERNARD</v>
          </cell>
        </row>
        <row r="110">
          <cell r="B110" t="str">
            <v>TOURE ABIBOU</v>
          </cell>
        </row>
        <row r="111">
          <cell r="B111" t="str">
            <v>EL HARROUCHI CHAIMAE</v>
          </cell>
        </row>
        <row r="112">
          <cell r="B112" t="str">
            <v>GUEYE GORA</v>
          </cell>
        </row>
        <row r="113">
          <cell r="B113" t="str">
            <v>SOUOUD ZAKARIA</v>
          </cell>
        </row>
        <row r="114">
          <cell r="B114" t="str">
            <v>EL HOUSSAINI HOUDA</v>
          </cell>
        </row>
        <row r="115">
          <cell r="B115" t="str">
            <v>ZIOUI DOUNIA</v>
          </cell>
        </row>
        <row r="116">
          <cell r="B116" t="str">
            <v>AINELKITANE ZINEB</v>
          </cell>
        </row>
        <row r="117">
          <cell r="B117" t="str">
            <v>BENSAR ANAS</v>
          </cell>
        </row>
        <row r="118">
          <cell r="B118" t="str">
            <v>QARBOUI Aymane</v>
          </cell>
        </row>
        <row r="119">
          <cell r="B119" t="str">
            <v>MELLAHI YOUSSEF</v>
          </cell>
        </row>
        <row r="120">
          <cell r="B120" t="str">
            <v xml:space="preserve">DERKAOUI AMAL </v>
          </cell>
        </row>
        <row r="121">
          <cell r="B121" t="str">
            <v>IHASSANE Ikram</v>
          </cell>
        </row>
        <row r="122">
          <cell r="B122" t="str">
            <v>LAFDIL NADA</v>
          </cell>
        </row>
        <row r="123">
          <cell r="B123" t="str">
            <v>BOURABAA HASSAN</v>
          </cell>
        </row>
        <row r="124">
          <cell r="B124" t="str">
            <v>AIT ADDI KHADIJA</v>
          </cell>
        </row>
        <row r="125">
          <cell r="B125" t="str">
            <v>NEMMAOUI MOUNIRA</v>
          </cell>
        </row>
        <row r="126">
          <cell r="B126" t="str">
            <v>AIT LARBI HIND</v>
          </cell>
        </row>
        <row r="127">
          <cell r="B127" t="str">
            <v>EL-AOUAQUI BOUCHRA</v>
          </cell>
        </row>
        <row r="128">
          <cell r="B128" t="str">
            <v>ZITOUNI LAMYA</v>
          </cell>
        </row>
        <row r="129">
          <cell r="B129" t="str">
            <v>KANTAOUI SALMA</v>
          </cell>
        </row>
        <row r="130">
          <cell r="B130" t="str">
            <v>EL-AOUAQUI BOUCHRA</v>
          </cell>
        </row>
        <row r="131">
          <cell r="B131" t="str">
            <v>NIANG NDEYE ABSA</v>
          </cell>
        </row>
        <row r="132">
          <cell r="B132" t="str">
            <v>EL HARROUCHI CHAIMAE</v>
          </cell>
        </row>
        <row r="133">
          <cell r="B133" t="str">
            <v>LAFDIL NADA</v>
          </cell>
        </row>
        <row r="134">
          <cell r="B134" t="str">
            <v>GUEYE MOUHAMED</v>
          </cell>
        </row>
        <row r="135">
          <cell r="B135" t="str">
            <v>GUEYE GORA</v>
          </cell>
        </row>
        <row r="136">
          <cell r="B136" t="str">
            <v>DIOUF OUSSMANE</v>
          </cell>
        </row>
        <row r="137">
          <cell r="B137" t="str">
            <v>TOURE ABIBOU</v>
          </cell>
        </row>
        <row r="138">
          <cell r="B138" t="str">
            <v>KANTAOUI SALMA</v>
          </cell>
        </row>
        <row r="139">
          <cell r="B139" t="str">
            <v xml:space="preserve">EL HOUJJAJI Soufiane </v>
          </cell>
        </row>
        <row r="140">
          <cell r="B140" t="str">
            <v>AZHARI ABDELHAMID</v>
          </cell>
        </row>
        <row r="141">
          <cell r="B141" t="str">
            <v>SIDIBE MOUSKEBA DALAFINA</v>
          </cell>
        </row>
        <row r="142">
          <cell r="B142" t="str">
            <v>BOURABAA HASSAN</v>
          </cell>
        </row>
        <row r="143">
          <cell r="B143" t="str">
            <v>SOUOUD ZAKARIA</v>
          </cell>
        </row>
        <row r="144">
          <cell r="B144" t="str">
            <v>IHASSANE Ikram</v>
          </cell>
        </row>
        <row r="145">
          <cell r="B145" t="str">
            <v>EL HOUSSAINI HOUDA</v>
          </cell>
        </row>
        <row r="146">
          <cell r="B146" t="str">
            <v>RACHAD NAWAR</v>
          </cell>
        </row>
        <row r="147">
          <cell r="B147" t="str">
            <v>ZIOUI DOUNIA</v>
          </cell>
        </row>
        <row r="148">
          <cell r="B148" t="str">
            <v>AIT ADDI KHADIJA</v>
          </cell>
        </row>
        <row r="149">
          <cell r="B149" t="str">
            <v>MELLAHI YOUSSEF</v>
          </cell>
        </row>
        <row r="150">
          <cell r="B150" t="str">
            <v>NUNEZ LUCIEN BERNARD</v>
          </cell>
        </row>
        <row r="151">
          <cell r="B151" t="str">
            <v>SECK DIARRA</v>
          </cell>
        </row>
        <row r="152">
          <cell r="B152" t="str">
            <v>AINELKITANE ZINEB</v>
          </cell>
        </row>
        <row r="153">
          <cell r="B153" t="str">
            <v>BENSAR ANAS</v>
          </cell>
        </row>
        <row r="154">
          <cell r="B154" t="str">
            <v>QARBOUI Aymane</v>
          </cell>
        </row>
        <row r="155">
          <cell r="B155" t="str">
            <v xml:space="preserve">DERKAOUI AMAL </v>
          </cell>
        </row>
        <row r="156">
          <cell r="B156" t="str">
            <v>AIT LARBI HIND</v>
          </cell>
        </row>
        <row r="157">
          <cell r="B157" t="str">
            <v>ZAKI OMAR</v>
          </cell>
        </row>
        <row r="158">
          <cell r="B158" t="str">
            <v>ZITOUNI LAMYA</v>
          </cell>
        </row>
        <row r="159">
          <cell r="B159" t="str">
            <v xml:space="preserve">LALOUN MANAL </v>
          </cell>
        </row>
        <row r="160">
          <cell r="B160" t="str">
            <v>BOULHROUD SALMA</v>
          </cell>
        </row>
        <row r="161">
          <cell r="B161" t="str">
            <v>NEMMAOUI MOUNIRA</v>
          </cell>
        </row>
        <row r="162">
          <cell r="B162" t="str">
            <v>EL-AOUAQUI BOUCHRA</v>
          </cell>
        </row>
        <row r="163">
          <cell r="B163" t="str">
            <v>NIANG NDEYE ABSA</v>
          </cell>
        </row>
        <row r="164">
          <cell r="B164" t="str">
            <v>LAFDIL NADA</v>
          </cell>
        </row>
        <row r="165">
          <cell r="B165" t="str">
            <v>ZITOUNI LAMYA</v>
          </cell>
        </row>
        <row r="166">
          <cell r="B166" t="str">
            <v>BOURABAA HASSAN</v>
          </cell>
        </row>
        <row r="167">
          <cell r="B167" t="str">
            <v xml:space="preserve">EL HOUJJAJI Soufiane </v>
          </cell>
        </row>
        <row r="168">
          <cell r="B168" t="str">
            <v>GUEYE MOUHAMED</v>
          </cell>
        </row>
        <row r="169">
          <cell r="B169" t="str">
            <v>RACHAD NAWAR</v>
          </cell>
        </row>
        <row r="170">
          <cell r="B170" t="str">
            <v>AIT ADDI KHADIJA</v>
          </cell>
        </row>
        <row r="171">
          <cell r="B171" t="str">
            <v>AZHARI ABDELHAMID</v>
          </cell>
        </row>
        <row r="172">
          <cell r="B172" t="str">
            <v>TOURE ABIBOU</v>
          </cell>
        </row>
        <row r="173">
          <cell r="B173" t="str">
            <v>EL HARROUCHI CHAIMAE</v>
          </cell>
        </row>
        <row r="174">
          <cell r="B174" t="str">
            <v>IHASSANE Ikram</v>
          </cell>
        </row>
        <row r="175">
          <cell r="B175" t="str">
            <v>NUNEZ LUCIEN BERNARD</v>
          </cell>
        </row>
        <row r="176">
          <cell r="B176" t="str">
            <v>EL HOUSSAINI HOUDA</v>
          </cell>
        </row>
        <row r="177">
          <cell r="B177" t="str">
            <v>DIOUF OUSSMANE</v>
          </cell>
        </row>
        <row r="178">
          <cell r="B178" t="str">
            <v>AIT LARBI HIND</v>
          </cell>
        </row>
        <row r="179">
          <cell r="B179" t="str">
            <v>NEMMAOUI MOUNIRA</v>
          </cell>
        </row>
        <row r="180">
          <cell r="B180" t="str">
            <v>QARBOUI Aymane</v>
          </cell>
        </row>
        <row r="181">
          <cell r="B181" t="str">
            <v>AINELKITANE ZINEB</v>
          </cell>
        </row>
        <row r="182">
          <cell r="B182" t="str">
            <v>KANTAOUI SALMA</v>
          </cell>
        </row>
        <row r="183">
          <cell r="B183" t="str">
            <v>ZAKI OMAR</v>
          </cell>
        </row>
        <row r="184">
          <cell r="B184" t="str">
            <v>GUEYE GORA</v>
          </cell>
        </row>
        <row r="185">
          <cell r="B185" t="str">
            <v xml:space="preserve">LALOUN MANAL </v>
          </cell>
        </row>
        <row r="186">
          <cell r="B186" t="str">
            <v>BOULHROUD SALMA</v>
          </cell>
        </row>
        <row r="187">
          <cell r="B187" t="str">
            <v>SOUOUD ZAKARIA</v>
          </cell>
        </row>
        <row r="188">
          <cell r="B188" t="str">
            <v>ZIOUI DOUNIA</v>
          </cell>
        </row>
        <row r="189">
          <cell r="B189" t="str">
            <v>MELLAHI YOUSSEF</v>
          </cell>
        </row>
        <row r="190">
          <cell r="B190" t="str">
            <v>SECK DIARRA</v>
          </cell>
        </row>
        <row r="191">
          <cell r="B191" t="str">
            <v>BENSAR ANAS</v>
          </cell>
        </row>
        <row r="192">
          <cell r="B192" t="str">
            <v xml:space="preserve">DERKAOUI AMAL </v>
          </cell>
        </row>
        <row r="193">
          <cell r="B193" t="str">
            <v>SIDIBE MOUSKEBA DALAFINA</v>
          </cell>
        </row>
        <row r="194">
          <cell r="B194" t="str">
            <v>EL-AOUAQUI BOUCHRA</v>
          </cell>
        </row>
        <row r="195">
          <cell r="B195" t="str">
            <v>IHASSANE Ikram</v>
          </cell>
        </row>
        <row r="196">
          <cell r="B196" t="str">
            <v>NIANG NDEYE ABSA</v>
          </cell>
        </row>
        <row r="197">
          <cell r="B197" t="str">
            <v>ZAKI OMAR</v>
          </cell>
        </row>
        <row r="198">
          <cell r="B198" t="str">
            <v>EL HOUSSAINI HOUDA</v>
          </cell>
        </row>
        <row r="199">
          <cell r="B199" t="str">
            <v>EL HARROUCHI CHAIMAE</v>
          </cell>
        </row>
        <row r="200">
          <cell r="B200" t="str">
            <v>LAFDIL NADA</v>
          </cell>
        </row>
        <row r="201">
          <cell r="B201" t="str">
            <v>GUEYE MOUHAMED</v>
          </cell>
        </row>
        <row r="202">
          <cell r="B202" t="str">
            <v>RACHAD NAWAR</v>
          </cell>
        </row>
        <row r="203">
          <cell r="B203" t="str">
            <v>ZITOUNI LAMYA</v>
          </cell>
        </row>
        <row r="204">
          <cell r="B204" t="str">
            <v>GUEYE GORA</v>
          </cell>
        </row>
        <row r="205">
          <cell r="B205" t="str">
            <v>DIOUF OUSSMANE</v>
          </cell>
        </row>
        <row r="206">
          <cell r="B206" t="str">
            <v xml:space="preserve">DERKAOUI AMAL </v>
          </cell>
        </row>
        <row r="207">
          <cell r="B207" t="str">
            <v>AIT LARBI HIND</v>
          </cell>
        </row>
        <row r="208">
          <cell r="B208" t="str">
            <v>TOURE ABIBOU</v>
          </cell>
        </row>
        <row r="209">
          <cell r="B209" t="str">
            <v>KANTAOUI SALMA</v>
          </cell>
        </row>
        <row r="210">
          <cell r="B210" t="str">
            <v>ZIOUI DOUNIA</v>
          </cell>
        </row>
        <row r="211">
          <cell r="B211" t="str">
            <v>AIT ADDI KHADIJA</v>
          </cell>
        </row>
        <row r="212">
          <cell r="B212" t="str">
            <v>MELLAHI YOUSSEF</v>
          </cell>
        </row>
        <row r="213">
          <cell r="B213" t="str">
            <v xml:space="preserve">EL HOUJJAJI Soufiane </v>
          </cell>
        </row>
        <row r="214">
          <cell r="B214" t="str">
            <v>AZHARI ABDELHAMID</v>
          </cell>
        </row>
        <row r="215">
          <cell r="B215" t="str">
            <v>NUNEZ LUCIEN BERNARD</v>
          </cell>
        </row>
        <row r="216">
          <cell r="B216" t="str">
            <v xml:space="preserve">LALOUN MANAL </v>
          </cell>
        </row>
        <row r="217">
          <cell r="B217" t="str">
            <v>SIDIBE MOUSKEBA DALAFINA</v>
          </cell>
        </row>
        <row r="218">
          <cell r="B218" t="str">
            <v>BOULHROUD SALMA</v>
          </cell>
        </row>
        <row r="219">
          <cell r="B219" t="str">
            <v>BOURABAA HASSAN</v>
          </cell>
        </row>
        <row r="220">
          <cell r="B220" t="str">
            <v>SECK DIARRA</v>
          </cell>
        </row>
        <row r="221">
          <cell r="B221" t="str">
            <v>AINELKITANE ZINEB</v>
          </cell>
        </row>
        <row r="222">
          <cell r="B222" t="str">
            <v>BENSAR ANAS</v>
          </cell>
        </row>
        <row r="223">
          <cell r="B223" t="str">
            <v>NEMMAOUI MOUNIRA</v>
          </cell>
        </row>
        <row r="224">
          <cell r="B224" t="str">
            <v>QARBOUI Aymane</v>
          </cell>
        </row>
        <row r="225">
          <cell r="B225" t="str">
            <v>SOUOUD ZAKARIA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BOUBBA Oumaima [EIDS]" refreshedDate="44724.423288773149" createdVersion="6" refreshedVersion="7" minRefreshableVersion="3" recordCount="231" xr:uid="{00000000-000A-0000-FFFF-FFFF3C000000}">
  <cacheSource type="worksheet">
    <worksheetSource name="=data"/>
  </cacheSource>
  <cacheFields count="35">
    <cacheField name="Matricule" numFmtId="165">
      <sharedItems containsSemiMixedTypes="0" containsString="0" containsNumber="1" containsInteger="1" minValue="0" maxValue="1274"/>
    </cacheField>
    <cacheField name="Nom De l'agent" numFmtId="0">
      <sharedItems count="223">
        <s v="EL-AOUAQUI BOUCHRA"/>
        <s v="EL HARROUCHI CHAIMAE"/>
        <s v="LAFDIL NADA"/>
        <s v="GUEYE MOUHAMED"/>
        <s v="ZITOUNI LAMYA"/>
        <s v="AIT ADDI KHADIJA"/>
        <s v="SIDIBE MOUSKEBA DALAFINA"/>
        <s v="BENSAR ANAS"/>
        <s v="NEMMAOUI MOUNIRA"/>
        <s v="IHASSANE Ikram"/>
        <s v="EL HOUJJAJI Soufiane "/>
        <s v="BOURABAA HASSAN"/>
        <s v="QARBOUI Aymane"/>
        <s v="SOUOUD ZAKARIA"/>
        <s v="ZAKI OMAR"/>
        <s v="AIT LARBI HIND"/>
        <s v="MELLAHI YOUSSEF"/>
        <s v="AZHARI ABDELHAMID"/>
        <s v="LALOUN MANAL "/>
        <s v="BOULHROUD SALMA"/>
        <s v="SECK DIARRA"/>
        <s v="AINELKITANE ZINEB"/>
        <s v="ELBOUTI AYOUB"/>
        <s v="KANTAOUI SALMA"/>
        <s v="ZIOUI DOUNIA"/>
        <s v="GUEYE GORA"/>
        <s v="TOURE ABIBOU"/>
        <s v="NIANG NDEYE ABSA"/>
        <s v="EL HOUSSAINI HOUDA"/>
        <s v="RACHAD NAWAR"/>
        <s v="DIOUF OUSSMANE"/>
        <s v="DERKAOUI AMAL "/>
        <s v="NUNEZ LUCIEN BERNARD"/>
        <s v="DIAGNE MOHAMED IBRAHIMA" u="1"/>
        <s v="TAMIR ADAM" u="1"/>
        <s v="ZIZAH JAAFAR" u="1"/>
        <s v="ESSABERY ISMAIL" u="1"/>
        <s v="SYLLA SOKHNA SAFIETOU" u="1"/>
        <s v="EL KHATTABI NOUHAILA" u="1"/>
        <s v="DEBBOU SARA" u="1"/>
        <s v="DAANOUNE ZINEB" u="1"/>
        <s v="COUNDOUL Birane" u="1"/>
        <s v="BOUCHENTOUF ABDELHADI" u="1"/>
        <s v="RHEMARI REDA" u="1"/>
        <s v="LAAFIF Otmane" u="1"/>
        <s v="SADIO BINTOU" u="1"/>
        <s v="HADDAOUI NOUHAYLA" u="1"/>
        <s v="KEBDI JALAL" u="1"/>
        <s v="ALAMI SOUMAYYA" u="1"/>
        <s v="GARGACH HAJAR" u="1"/>
        <s v="EL AROUI MOHAMED" u="1"/>
        <s v="JANAH KHALIL" u="1"/>
        <s v="EL BAKRAOUI Mariame" u="1"/>
        <s v="BOUABDILLAH ZAKARIA" u="1"/>
        <s v="BENHAMMOU ALAE-EDDINE" u="1"/>
        <s v="ET-TOUMI AHMED" u="1"/>
        <s v="EL BATAL AMINA" u="1"/>
        <s v="IDELHAJ MERYEM" u="1"/>
        <s v="SANHAJI SARA" u="1"/>
        <s v="BELRHITI HAJAR" u="1"/>
        <s v="EL AKKAF Badr" u="1"/>
        <s v="BALBAL Dina" u="1"/>
        <s v="IDELHAJ MERIEM" u="1"/>
        <s v="NDIAYE ADJI MARIE CISSE" u="1"/>
        <s v="SEFTI HALA" u="1"/>
        <s v="TRENNOU HATIM" u="1"/>
        <s v="HAMAMI Zineb" u="1"/>
        <s v="ELOULIDI OUMAIMA" u="1"/>
        <s v="IKAMA YOUSSEF" u="1"/>
        <s v="EL HARROUCHI CHAIMAE " u="1"/>
        <s v="PAPA Demba Ndir" u="1"/>
        <s v="EL BAHLOULY DOHA" u="1"/>
        <s v="NOUIBI CHAIMAE " u="1"/>
        <s v="HADDANI ABIR" u="1"/>
        <s v="KBIRI AKRAM" u="1"/>
        <s v="DIEYE MAIMOUNA" u="1"/>
        <s v="CHEHOUANI ADNANE" u="1"/>
        <s v="EL AOUAQUI Bouchra" u="1"/>
        <s v="ASSOR ADAM" u="1"/>
        <s v="NASSI SALMA" u="1"/>
        <s v="AL AOUAQUI Bouchra" u="1"/>
        <s v="IBRAHIM AYOUB" u="1"/>
        <s v="EL BOUTI AHMED" u="1"/>
        <s v="MAKHZEN WISSAL" u="1"/>
        <s v="RHOUDANE OTHMANE " u="1"/>
        <s v="AFINDY CHAIMAA" u="1"/>
        <s v="ESSASBOU Majda" u="1"/>
        <s v="EVORA SYLVA LEONTINE ALEXANDRA" u="1"/>
        <s v="AIT MOULAY YOUSSRA" u="1"/>
        <s v="BESLEM MERYEM " u="1"/>
        <s v="RADI ZINEB " u="1"/>
        <s v="AIT ABIBI AFAFE" u="1"/>
        <s v="LIMANE HIBA" u="1"/>
        <s v="EL KATTI Ghita " u="1"/>
        <s v="BRIHOUMA KHOULOUD" u="1"/>
        <s v="MRANI REDA" u="1"/>
        <s v="MASSROUR Mounia" u="1"/>
        <s v="EL MOUJAHID RACHID" u="1"/>
        <s v="DIALLO ISMATOU" u="1"/>
        <s v="LEHMOUCH NOUHAILA" u="1"/>
        <s v="ENNADAOUI KAWTAR" u="1"/>
        <s v="CHERKAOUI YOUNES" u="1"/>
        <s v="ESSABBAQ INSAF" u="1"/>
        <s v="OUAZZOUZ Sanae" u="1"/>
        <s v="SAGNANG MAME GNIMA" u="1"/>
        <s v="LAFDIL NADA " u="1"/>
        <s v="BOUAZZA YASSINE" u="1"/>
        <s v="FALL EP DIAGNE NOGAYE" u="1"/>
        <s v="BAKHTOUCH OUMAYMA" u="1"/>
        <s v="BOUCHATIB Zakaria" u="1"/>
        <s v="ACHOUR MARYAM" u="1"/>
        <s v="BEMBAREK OUMAIMA" u="1"/>
        <s v="BOUMEZGANE SOUKAINA" u="1"/>
        <s v="HAL SOUFIANE" u="1"/>
        <s v="EL IDRISSI ELHASSANI MAHA" u="1"/>
        <s v="LAGHRISSI ZOUHAIR" u="1"/>
        <s v="AIT RABIAA NOUHAILA " u="1"/>
        <s v="HARGOUS FATIMA ZAHRA" u="1"/>
        <s v="EL ANBOURI HAMZA" u="1"/>
        <s v="AMAZZAL NISRINE" u="1"/>
        <s v="EL KACIMI HAMZA" u="1"/>
        <s v="EL MOUBARIK MOSTAPHA" u="1"/>
        <s v="FALL CHEIKH MOUHAMADOU BA" u="1"/>
        <s v="FADEL YOUSSEF" u="1"/>
        <s v="RADGUI SARA" u="1"/>
        <s v="MADHOUNI SAMIA" u="1"/>
        <s v="MANSRIT IHSSANE" u="1"/>
        <s v="M'BARKA CHOUKHA" u="1"/>
        <s v="MOKATAA  YASMINE " u="1"/>
        <s v="CHAMMOUM HAJAR" u="1"/>
        <s v="LAKHAL MEHDI" u="1"/>
        <s v="GORA GUEYE" u="1"/>
        <s v="HAOUACH Ikram" u="1"/>
        <s v="CHAHIRI HAJAR" u="1"/>
        <s v="SIMOUR Khalil" u="1"/>
        <s v="RADI ZINEB" u="1"/>
        <s v="DERKAOUI Amal" u="1"/>
        <s v="DIAW SALIMATA" u="1"/>
        <s v="EL ALLAKI MOUNTASSER" u="1"/>
        <s v="DIOP ABDOU" u="1"/>
        <s v="BOUABID IMAD" u="1"/>
        <s v="HAREHOR BASMA" u="1"/>
        <s v="CHIQRI ZAKARIA" u="1"/>
        <s v="ABOUNAAIM SANAA" u="1"/>
        <s v="BAYA OUMAIMA" u="1"/>
        <s v="FARZIZ SANAE" u="1"/>
        <s v="NKKAR MOHAMED YOUSSEF" u="1"/>
        <s v="FAYE ASSY" u="1"/>
        <s v="MOUHAFIDI WALID" u="1"/>
        <s v="ZOUINE FATIMA-ZAHRA" u="1"/>
        <s v="DIATTA AISSATOU" u="1"/>
        <s v="REMMAL KAMAL" u="1"/>
        <s v="BOUABID WALID" u="1"/>
        <s v="KAIBOUR SANAE " u="1"/>
        <s v="ELBAHLOUL Nazha" u="1"/>
        <s v="DIAL OUMAIMA" u="1"/>
        <s v="CHAHID Ittou" u="1"/>
        <s v="ADERBAZ Kawtar" u="1"/>
        <s v="EL ATMANI Aboubaker" u="1"/>
        <s v="EL MAHJOUBI ABDESSATAR" u="1"/>
        <s v="BESLEM MERYEM" u="1"/>
        <s v="CHAABANE BTISSAM" u="1"/>
        <s v="SAIDI SAMIA" u="1"/>
        <s v="AOUMARI Halima" u="1"/>
        <s v="IKRADINE RIME" u="1"/>
        <s v="SYASSI Zineb" u="1"/>
        <s v="CHEBBALI RABAB" u="1"/>
        <s v="KHALFAOUI Khaoula" u="1"/>
        <s v="BERNOUSSI RHEBOURI AMINA" u="1"/>
        <s v="YABOU Ayoub" u="1"/>
        <s v="OUQERROUCH NOUR ELHOUDA" u="1"/>
        <s v="MESSOUR MERYEM" u="1"/>
        <s v="MAHFOUD BOUCHRA" u="1"/>
        <s v="MEKKOUR OTHMANE" u="1"/>
        <s v="ELYAROUBI YOUSRA" u="1"/>
        <s v="LAKHIOUI MERYEM" u="1"/>
        <s v="karte jihane" u="1"/>
        <s v="GHAOUTY NISRINE" u="1"/>
        <s v="KHALLA FATIMA ZOHRA" u="1"/>
        <s v="SAMOURE NDEYE ROKHAYA" u="1"/>
        <s v="EL BOUGADRAOUI HIBA" u="1"/>
        <s v="SAADA LINA" u="1"/>
        <s v="DELRHARH HOUDA" u="1"/>
        <s v="RHATOUS HAMZA" u="1"/>
        <s v="NDOUR MOUHAMADOU MOUSTAPHA" u="1"/>
        <s v="AGUIZOUL MOHAMMED MOUNDIR" u="1"/>
        <s v="NAKHLA Soukaina" u="1"/>
        <s v="BOUAFIA ABDELLATIF" u="1"/>
        <s v="ZBIDA MAJDA" u="1"/>
        <s v="KHTATI MADIHA " u="1"/>
        <s v="LASRI NIDAL" u="1"/>
        <s v="OUBRAHIM MOHAMMED" u="1"/>
        <s v="DAGDAG Younes" u="1"/>
        <s v="EL GUARJAOUI HIBA" u="1"/>
        <s v="BOUZIANI Lina" u="1"/>
        <s v="IGEDDI MERYEM" u="1"/>
        <s v="OUADI ATIKA" u="1"/>
        <s v="MAIZI ANASS" u="1"/>
        <s v="ELMQUIRMI ILIAS-NABIL" u="1"/>
        <s v="JARBI JIHANE" u="1"/>
        <s v="IDRISSI JAZOULI Youssef" u="1"/>
        <s v="SABRI AYOUB" u="1"/>
        <s v="NAGRAOUI Atef" u="1"/>
        <s v="ACHAOUI SAFAE" u="1"/>
        <s v="MASRAR MOHAMMED" u="1"/>
        <s v="EL KHALLOUKI ABIR" u="1"/>
        <s v="BAYEZ LAMIAE" u="1"/>
        <s v="KHARMIZ NADA" u="1"/>
        <s v="GOMIS AMINATA AGNES" u="1"/>
        <s v="TALBI FAIROUZ" u="1"/>
        <s v="BOUCHALLA OMAIMA" u="1"/>
        <s v="BELQASMI EL MEHDI" u="1"/>
        <s v="FIKRI Mohamed" u="1"/>
        <s v="EL AMRI IBTISSAM" u="1"/>
        <s v="EL KHAOUDI AMINE" u="1"/>
        <s v="BIHAT HIBA" u="1"/>
        <s v="OUKACHE ISSAM" u="1"/>
        <s v="JAHID KHALID" u="1"/>
        <s v="BOUZBOUZ SOUKAYNA" u="1"/>
        <s v="BENKHAYI AWATIF" u="1"/>
        <s v="DIALLOU MATHURIN MOUSTAPHA" u="1"/>
        <s v="DEBBOU SARA " u="1"/>
        <s v="TADLAOUI ZAKARIA" u="1"/>
      </sharedItems>
    </cacheField>
    <cacheField name="Hr début shift Réalisée" numFmtId="166">
      <sharedItems containsNonDate="0" containsString="0" containsBlank="1"/>
    </cacheField>
    <cacheField name="Hr début shift Planifiée" numFmtId="166">
      <sharedItems containsDate="1" containsBlank="1" containsMixedTypes="1" minDate="1904-01-01T00:00:00" maxDate="1904-01-01T19:00:00" count="35">
        <d v="1904-01-01T07:00:00"/>
        <d v="1904-01-01T08:00:00"/>
        <d v="1904-01-01T10:00:00"/>
        <d v="1904-01-01T15:00:00"/>
        <s v="Congé sans solde"/>
        <s v="OFF"/>
        <d v="1904-01-01T11:00:00"/>
        <s v="08:00" u="1"/>
        <m u="1"/>
        <s v="-" u="1"/>
        <s v="Mission  " u="1"/>
        <d v="1904-01-01T00:00:00" u="1"/>
        <d v="1904-01-01T06:00:00" u="1"/>
        <s v="AT" u="1"/>
        <d v="1904-01-01T09:00:00" u="1"/>
        <d v="1904-01-01T12:00:00" u="1"/>
        <s v="14:00" u="1"/>
        <d v="1904-01-01T14:00:00" u="1"/>
        <s v="Férié" u="1"/>
        <d v="1904-01-01T06:30:00" u="1"/>
        <d v="1904-01-01T18:00:00" u="1"/>
        <d v="1904-01-01T19:00:00" u="1"/>
        <d v="1904-01-01T08:30:00" u="1"/>
        <s v="PRESSE" u="1"/>
        <d v="1904-01-01T09:30:00" u="1"/>
        <s v="Démission" u="1"/>
        <s v="Congé" u="1"/>
        <s v="Maladie" u="1"/>
        <s v="HS" u="1"/>
        <s v="OFF " u="1"/>
        <s v="00:00" u="1"/>
        <s v="Congé spécial" u="1"/>
        <s v="Récup " u="1"/>
        <s v="MB" u="1"/>
        <s v="10:00:00" u="1"/>
      </sharedItems>
    </cacheField>
    <cacheField name="Hr fin shift Réalisée" numFmtId="0">
      <sharedItems containsNonDate="0" containsString="0" containsBlank="1"/>
    </cacheField>
    <cacheField name="Hr Fin shift Planifiée" numFmtId="166">
      <sharedItems containsDate="1" containsMixedTypes="1" minDate="1904-01-01T16:00:00" maxDate="1904-01-01T20:00:00"/>
    </cacheField>
    <cacheField name="Durée de la Pause Dej" numFmtId="169">
      <sharedItems containsNonDate="0" containsString="0" containsBlank="1"/>
    </cacheField>
    <cacheField name="Dépsement des pauses" numFmtId="169">
      <sharedItems containsNonDate="0" containsString="0" containsBlank="1"/>
    </cacheField>
    <cacheField name="Retard Debut de shift" numFmtId="169">
      <sharedItems/>
    </cacheField>
    <cacheField name="Retard Dej" numFmtId="169">
      <sharedItems containsNonDate="0" containsString="0" containsBlank="1"/>
    </cacheField>
    <cacheField name="Somme des retards" numFmtId="169">
      <sharedItems containsNonDate="0" containsDate="1" containsString="0" containsBlank="1" minDate="1904-01-01T00:00:00" maxDate="1904-01-02T00:00:00"/>
    </cacheField>
    <cacheField name="Départs Anticipés" numFmtId="169">
      <sharedItems containsSemiMixedTypes="0" containsNonDate="0" containsDate="1" containsString="0" minDate="1904-01-01T00:00:00" maxDate="1904-01-02T00:00:00"/>
    </cacheField>
    <cacheField name="Absences" numFmtId="0">
      <sharedItems containsMixedTypes="1" containsNumber="1" containsInteger="1" minValue="0" maxValue="0"/>
    </cacheField>
    <cacheField name="Hr Adherée" numFmtId="166">
      <sharedItems/>
    </cacheField>
    <cacheField name="Hr Planifiée" numFmtId="166">
      <sharedItems containsSemiMixedTypes="0" containsNonDate="0" containsDate="1" containsString="0" minDate="1904-01-01T00:00:00" maxDate="1904-01-01T09:00:00"/>
    </cacheField>
    <cacheField name="Segment" numFmtId="0">
      <sharedItems containsMixedTypes="1" containsNumber="1" containsInteger="1" minValue="0" maxValue="0" count="2">
        <s v="Google Leads"/>
        <n v="0" u="1"/>
      </sharedItems>
    </cacheField>
    <cacheField name="Date" numFmtId="14">
      <sharedItems containsSemiMixedTypes="0" containsNonDate="0" containsDate="1" containsString="0" minDate="1904-01-08T00:00:00" maxDate="2026-06-22T00:00:00" count="1203">
        <d v="2026-06-15T00:00:00"/>
        <d v="2026-06-16T00:00:00"/>
        <d v="2026-06-17T00:00:00"/>
        <d v="2026-06-18T00:00:00"/>
        <d v="2026-06-19T00:00:00"/>
        <d v="2026-06-20T00:00:00"/>
        <d v="2026-06-21T00:00:00"/>
        <d v="2025-12-15T00:00:00" u="1"/>
        <d v="2021-09-29T00:00:00" u="1"/>
        <d v="2022-09-29T00:00:00" u="1"/>
        <d v="2021-10-25T00:00:00" u="1"/>
        <d v="2022-10-25T00:00:00" u="1"/>
        <d v="2021-11-21T00:00:00" u="1"/>
        <d v="2022-11-21T00:00:00" u="1"/>
        <d v="2021-12-17T00:00:00" u="1"/>
        <d v="2023-11-21T00:00:00" u="1"/>
        <d v="2025-10-25T00:00:00" u="1"/>
        <d v="2022-12-17T00:00:00" u="1"/>
        <d v="2024-11-21T00:00:00" u="1"/>
        <d v="2023-12-17T00:00:00" u="1"/>
        <d v="2024-12-17T00:00:00" u="1"/>
        <d v="2025-12-17T00:00:00" u="1"/>
        <d v="2021-10-27T00:00:00" u="1"/>
        <d v="2022-10-27T00:00:00" u="1"/>
        <d v="2021-11-23T00:00:00" u="1"/>
        <d v="2022-11-23T00:00:00" u="1"/>
        <d v="2021-12-19T00:00:00" u="1"/>
        <d v="2023-11-23T00:00:00" u="1"/>
        <d v="2024-11-23T00:00:00" u="1"/>
        <d v="2023-12-19T00:00:00" u="1"/>
        <d v="2024-12-19T00:00:00" u="1"/>
        <d v="2025-12-19T00:00:00" u="1"/>
        <d v="1904-01-08T00:00:00" u="1"/>
        <d v="2021-10-29T00:00:00" u="1"/>
        <d v="2022-10-29T00:00:00" u="1"/>
        <d v="2021-11-25T00:00:00" u="1"/>
        <d v="2022-11-25T00:00:00" u="1"/>
        <d v="2024-10-29T00:00:00" u="1"/>
        <d v="2021-12-21T00:00:00" u="1"/>
        <d v="2023-11-25T00:00:00" u="1"/>
        <d v="2024-11-25T00:00:00" u="1"/>
        <d v="2023-12-21T00:00:00" u="1"/>
        <d v="2024-12-21T00:00:00" u="1"/>
        <d v="2025-12-21T00:00:00" u="1"/>
        <d v="2022-01-02T00:00:00" u="1"/>
        <d v="2025-01-02T00:00:00" u="1"/>
        <d v="2026-01-02T00:00:00" u="1"/>
        <d v="2021-10-31T00:00:00" u="1"/>
        <d v="2022-10-31T00:00:00" u="1"/>
        <d v="2021-11-27T00:00:00" u="1"/>
        <d v="2023-10-31T00:00:00" u="1"/>
        <d v="2022-11-27T00:00:00" u="1"/>
        <d v="2024-10-31T00:00:00" u="1"/>
        <d v="2021-12-23T00:00:00" u="1"/>
        <d v="2023-11-27T00:00:00" u="1"/>
        <d v="2024-11-27T00:00:00" u="1"/>
        <d v="2023-12-23T00:00:00" u="1"/>
        <d v="2024-12-23T00:00:00" u="1"/>
        <d v="2025-12-23T00:00:00" u="1"/>
        <d v="2022-01-04T00:00:00" u="1"/>
        <d v="2025-01-04T00:00:00" u="1"/>
        <d v="2026-01-04T00:00:00" u="1"/>
        <d v="2021-11-29T00:00:00" u="1"/>
        <d v="2022-11-29T00:00:00" u="1"/>
        <d v="2021-12-25T00:00:00" u="1"/>
        <d v="2023-11-29T00:00:00" u="1"/>
        <d v="2024-11-29T00:00:00" u="1"/>
        <d v="2023-12-25T00:00:00" u="1"/>
        <d v="2024-12-25T00:00:00" u="1"/>
        <d v="2025-12-25T00:00:00" u="1"/>
        <d v="2022-01-06T00:00:00" u="1"/>
        <d v="2022-02-02T00:00:00" u="1"/>
        <d v="2023-02-02T00:00:00" u="1"/>
        <d v="2025-01-06T00:00:00" u="1"/>
        <d v="2024-02-02T00:00:00" u="1"/>
        <d v="2026-02-02T00:00:00" u="1"/>
        <d v="2021-12-27T00:00:00" u="1"/>
        <d v="2022-12-27T00:00:00" u="1"/>
        <d v="2023-12-27T00:00:00" u="1"/>
        <d v="2024-12-27T00:00:00" u="1"/>
        <d v="2025-12-27T00:00:00" u="1"/>
        <d v="2022-01-08T00:00:00" u="1"/>
        <d v="2022-02-04T00:00:00" u="1"/>
        <d v="2023-02-04T00:00:00" u="1"/>
        <d v="2025-01-08T00:00:00" u="1"/>
        <d v="2024-02-04T00:00:00" u="1"/>
        <d v="2026-02-04T00:00:00" u="1"/>
        <d v="2021-12-29T00:00:00" u="1"/>
        <d v="2022-12-29T00:00:00" u="1"/>
        <d v="2023-12-29T00:00:00" u="1"/>
        <d v="2024-12-29T00:00:00" u="1"/>
        <d v="2025-12-29T00:00:00" u="1"/>
        <d v="2022-01-10T00:00:00" u="1"/>
        <d v="2023-01-10T00:00:00" u="1"/>
        <d v="2022-02-06T00:00:00" u="1"/>
        <d v="2025-01-10T00:00:00" u="1"/>
        <d v="2022-03-02T00:00:00" u="1"/>
        <d v="2024-02-06T00:00:00" u="1"/>
        <d v="2023-03-02T00:00:00" u="1"/>
        <d v="2024-03-02T00:00:00" u="1"/>
        <d v="2026-02-06T00:00:00" u="1"/>
        <d v="2026-03-02T00:00:00" u="1"/>
        <d v="2021-12-31T00:00:00" u="1"/>
        <d v="2022-12-31T00:00:00" u="1"/>
        <d v="2023-12-31T00:00:00" u="1"/>
        <d v="2024-12-31T00:00:00" u="1"/>
        <d v="2025-12-31T00:00:00" u="1"/>
        <d v="2022-01-12T00:00:00" u="1"/>
        <d v="2023-01-12T00:00:00" u="1"/>
        <d v="2022-02-08T00:00:00" u="1"/>
        <d v="2025-01-12T00:00:00" u="1"/>
        <d v="2022-03-04T00:00:00" u="1"/>
        <d v="2024-02-08T00:00:00" u="1"/>
        <d v="2023-03-04T00:00:00" u="1"/>
        <d v="2026-02-08T00:00:00" u="1"/>
        <d v="2025-03-04T00:00:00" u="1"/>
        <d v="2026-03-04T00:00:00" u="1"/>
        <d v="2022-01-14T00:00:00" u="1"/>
        <d v="2023-01-14T00:00:00" u="1"/>
        <d v="2022-02-10T00:00:00" u="1"/>
        <d v="2025-01-14T00:00:00" u="1"/>
        <d v="2022-03-06T00:00:00" u="1"/>
        <d v="2024-02-10T00:00:00" u="1"/>
        <d v="2023-03-06T00:00:00" u="1"/>
        <d v="2022-04-02T00:00:00" u="1"/>
        <d v="2026-02-10T00:00:00" u="1"/>
        <d v="2023-04-02T00:00:00" u="1"/>
        <d v="2025-03-06T00:00:00" u="1"/>
        <d v="2026-03-06T00:00:00" u="1"/>
        <d v="2025-04-02T00:00:00" u="1"/>
        <d v="2026-04-02T00:00:00" u="1"/>
        <d v="2022-01-16T00:00:00" u="1"/>
        <d v="2023-01-16T00:00:00" u="1"/>
        <d v="2022-02-12T00:00:00" u="1"/>
        <d v="2024-01-16T00:00:00" u="1"/>
        <d v="2025-01-16T00:00:00" u="1"/>
        <d v="2022-03-08T00:00:00" u="1"/>
        <d v="2023-03-08T00:00:00" u="1"/>
        <d v="2022-04-04T00:00:00" u="1"/>
        <d v="2026-02-12T00:00:00" u="1"/>
        <d v="2023-04-04T00:00:00" u="1"/>
        <d v="2025-03-08T00:00:00" u="1"/>
        <d v="2026-03-08T00:00:00" u="1"/>
        <d v="2025-04-04T00:00:00" u="1"/>
        <d v="2026-04-04T00:00:00" u="1"/>
        <d v="2022-01-18T00:00:00" u="1"/>
        <d v="2023-01-18T00:00:00" u="1"/>
        <d v="2022-02-14T00:00:00" u="1"/>
        <d v="2024-01-18T00:00:00" u="1"/>
        <d v="2023-02-14T00:00:00" u="1"/>
        <d v="2025-01-18T00:00:00" u="1"/>
        <d v="2022-03-10T00:00:00" u="1"/>
        <d v="2023-03-10T00:00:00" u="1"/>
        <d v="2022-04-06T00:00:00" u="1"/>
        <d v="2026-02-14T00:00:00" u="1"/>
        <d v="2023-04-06T00:00:00" u="1"/>
        <d v="2022-05-02T00:00:00" u="1"/>
        <d v="2023-05-02T00:00:00" u="1"/>
        <d v="2025-04-06T00:00:00" u="1"/>
        <d v="2026-05-02T00:00:00" u="1"/>
        <d v="2022-01-20T00:00:00" u="1"/>
        <d v="2023-01-20T00:00:00" u="1"/>
        <d v="2022-02-16T00:00:00" u="1"/>
        <d v="2024-01-20T00:00:00" u="1"/>
        <d v="2023-02-16T00:00:00" u="1"/>
        <d v="2025-01-20T00:00:00" u="1"/>
        <d v="2022-03-12T00:00:00" u="1"/>
        <d v="2023-03-12T00:00:00" u="1"/>
        <d v="2022-04-08T00:00:00" u="1"/>
        <d v="2023-04-08T00:00:00" u="1"/>
        <d v="2022-05-04T00:00:00" u="1"/>
        <d v="2023-05-04T00:00:00" u="1"/>
        <d v="2025-04-08T00:00:00" u="1"/>
        <d v="2022-01-22T00:00:00" u="1"/>
        <d v="2023-01-22T00:00:00" u="1"/>
        <d v="2022-02-18T00:00:00" u="1"/>
        <d v="2024-01-22T00:00:00" u="1"/>
        <d v="2023-02-18T00:00:00" u="1"/>
        <d v="2025-01-22T00:00:00" u="1"/>
        <d v="2022-03-14T00:00:00" u="1"/>
        <d v="2023-03-14T00:00:00" u="1"/>
        <d v="2025-02-18T00:00:00" u="1"/>
        <d v="2022-04-10T00:00:00" u="1"/>
        <d v="2023-04-10T00:00:00" u="1"/>
        <d v="2022-05-06T00:00:00" u="1"/>
        <d v="2023-05-06T00:00:00" u="1"/>
        <d v="2025-04-10T00:00:00" u="1"/>
        <d v="2022-06-02T00:00:00" u="1"/>
        <d v="2024-06-02T00:00:00" u="1"/>
        <d v="2025-06-02T00:00:00" u="1"/>
        <d v="2022-01-24T00:00:00" u="1"/>
        <d v="2023-01-24T00:00:00" u="1"/>
        <d v="2022-02-20T00:00:00" u="1"/>
        <d v="2024-01-24T00:00:00" u="1"/>
        <d v="2023-02-20T00:00:00" u="1"/>
        <d v="2025-01-24T00:00:00" u="1"/>
        <d v="2022-03-16T00:00:00" u="1"/>
        <d v="2023-03-16T00:00:00" u="1"/>
        <d v="2025-02-20T00:00:00" u="1"/>
        <d v="2022-04-12T00:00:00" u="1"/>
        <d v="2023-04-12T00:00:00" u="1"/>
        <d v="2022-05-08T00:00:00" u="1"/>
        <d v="2023-05-08T00:00:00" u="1"/>
        <d v="2025-04-12T00:00:00" u="1"/>
        <d v="2022-06-04T00:00:00" u="1"/>
        <d v="2024-06-04T00:00:00" u="1"/>
        <d v="2025-06-04T00:00:00" u="1"/>
        <d v="2022-01-26T00:00:00" u="1"/>
        <d v="2023-01-26T00:00:00" u="1"/>
        <d v="2022-02-22T00:00:00" u="1"/>
        <d v="2024-01-26T00:00:00" u="1"/>
        <d v="2023-02-22T00:00:00" u="1"/>
        <d v="2022-03-18T00:00:00" u="1"/>
        <d v="2023-03-18T00:00:00" u="1"/>
        <d v="2025-02-22T00:00:00" u="1"/>
        <d v="2022-04-14T00:00:00" u="1"/>
        <d v="2023-04-14T00:00:00" u="1"/>
        <d v="2025-03-18T00:00:00" u="1"/>
        <d v="2022-05-10T00:00:00" u="1"/>
        <d v="2023-05-10T00:00:00" u="1"/>
        <d v="2025-04-14T00:00:00" u="1"/>
        <d v="2022-06-06T00:00:00" u="1"/>
        <d v="2026-04-14T00:00:00" u="1"/>
        <d v="2023-06-06T00:00:00" u="1"/>
        <d v="2022-07-02T00:00:00" u="1"/>
        <d v="2024-06-06T00:00:00" u="1"/>
        <d v="2025-06-06T00:00:00" u="1"/>
        <d v="2024-07-02T00:00:00" u="1"/>
        <d v="2025-07-02T00:00:00" u="1"/>
        <d v="2022-01-28T00:00:00" u="1"/>
        <d v="2023-01-28T00:00:00" u="1"/>
        <d v="2022-02-24T00:00:00" u="1"/>
        <d v="2024-01-28T00:00:00" u="1"/>
        <d v="2023-02-24T00:00:00" u="1"/>
        <d v="2022-03-20T00:00:00" u="1"/>
        <d v="2023-03-20T00:00:00" u="1"/>
        <d v="2022-04-16T00:00:00" u="1"/>
        <d v="2023-04-16T00:00:00" u="1"/>
        <d v="2025-03-20T00:00:00" u="1"/>
        <d v="2022-05-12T00:00:00" u="1"/>
        <d v="2023-05-12T00:00:00" u="1"/>
        <d v="2025-04-16T00:00:00" u="1"/>
        <d v="2022-06-08T00:00:00" u="1"/>
        <d v="2026-04-16T00:00:00" u="1"/>
        <d v="2023-06-08T00:00:00" u="1"/>
        <d v="2022-07-04T00:00:00" u="1"/>
        <d v="2024-06-08T00:00:00" u="1"/>
        <d v="2026-05-12T00:00:00" u="1"/>
        <d v="2023-07-04T00:00:00" u="1"/>
        <d v="2025-06-08T00:00:00" u="1"/>
        <d v="2024-07-04T00:00:00" u="1"/>
        <d v="2025-07-04T00:00:00" u="1"/>
        <d v="2022-01-30T00:00:00" u="1"/>
        <d v="2023-01-30T00:00:00" u="1"/>
        <d v="2022-02-26T00:00:00" u="1"/>
        <d v="2024-01-30T00:00:00" u="1"/>
        <d v="2023-02-26T00:00:00" u="1"/>
        <d v="2022-03-22T00:00:00" u="1"/>
        <d v="2024-02-26T00:00:00" u="1"/>
        <d v="2023-03-22T00:00:00" u="1"/>
        <d v="2022-04-18T00:00:00" u="1"/>
        <d v="2023-04-18T00:00:00" u="1"/>
        <d v="2025-03-22T00:00:00" u="1"/>
        <d v="2022-05-14T00:00:00" u="1"/>
        <d v="2023-05-14T00:00:00" u="1"/>
        <d v="2025-04-18T00:00:00" u="1"/>
        <d v="2022-06-10T00:00:00" u="1"/>
        <d v="2026-04-18T00:00:00" u="1"/>
        <d v="2023-06-10T00:00:00" u="1"/>
        <d v="2022-07-06T00:00:00" u="1"/>
        <d v="2026-05-14T00:00:00" u="1"/>
        <d v="2021-08-02T00:00:00" u="1"/>
        <d v="2023-07-06T00:00:00" u="1"/>
        <d v="2022-08-02T00:00:00" u="1"/>
        <d v="2024-07-06T00:00:00" u="1"/>
        <d v="2025-07-06T00:00:00" u="1"/>
        <d v="2024-08-02T00:00:00" u="1"/>
        <d v="2022-02-28T00:00:00" u="1"/>
        <d v="2023-02-28T00:00:00" u="1"/>
        <d v="2022-03-24T00:00:00" u="1"/>
        <d v="2024-02-28T00:00:00" u="1"/>
        <d v="2023-03-24T00:00:00" u="1"/>
        <d v="2022-04-20T00:00:00" u="1"/>
        <d v="2023-04-20T00:00:00" u="1"/>
        <d v="2022-05-16T00:00:00" u="1"/>
        <d v="2023-05-16T00:00:00" u="1"/>
        <d v="2025-04-20T00:00:00" u="1"/>
        <d v="2022-06-12T00:00:00" u="1"/>
        <d v="2022-07-08T00:00:00" u="1"/>
        <d v="2026-05-16T00:00:00" u="1"/>
        <d v="2021-08-04T00:00:00" u="1"/>
        <d v="2023-07-08T00:00:00" u="1"/>
        <d v="2022-08-04T00:00:00" u="1"/>
        <d v="2024-07-08T00:00:00" u="1"/>
        <d v="2025-07-08T00:00:00" u="1"/>
        <d v="2024-08-04T00:00:00" u="1"/>
        <d v="2025-08-04T00:00:00" u="1"/>
        <d v="2022-03-26T00:00:00" u="1"/>
        <d v="2023-03-26T00:00:00" u="1"/>
        <d v="2022-04-22T00:00:00" u="1"/>
        <d v="2023-04-22T00:00:00" u="1"/>
        <d v="2022-05-18T00:00:00" u="1"/>
        <d v="2023-05-18T00:00:00" u="1"/>
        <d v="2022-06-14T00:00:00" u="1"/>
        <d v="2022-07-10T00:00:00" u="1"/>
        <d v="2026-05-18T00:00:00" u="1"/>
        <d v="2021-08-06T00:00:00" u="1"/>
        <d v="2023-07-10T00:00:00" u="1"/>
        <d v="2022-08-06T00:00:00" u="1"/>
        <d v="2024-07-10T00:00:00" u="1"/>
        <d v="2021-09-02T00:00:00" u="1"/>
        <d v="2025-07-10T00:00:00" u="1"/>
        <d v="2022-09-02T00:00:00" u="1"/>
        <d v="2024-08-06T00:00:00" u="1"/>
        <d v="2023-09-02T00:00:00" u="1"/>
        <d v="2025-08-06T00:00:00" u="1"/>
        <d v="2024-09-02T00:00:00" u="1"/>
        <d v="2022-03-28T00:00:00" u="1"/>
        <d v="2023-03-28T00:00:00" u="1"/>
        <d v="2022-04-24T00:00:00" u="1"/>
        <d v="2023-04-24T00:00:00" u="1"/>
        <d v="2022-05-20T00:00:00" u="1"/>
        <d v="2023-05-20T00:00:00" u="1"/>
        <d v="2022-06-16T00:00:00" u="1"/>
        <d v="2024-05-20T00:00:00" u="1"/>
        <d v="2025-05-20T00:00:00" u="1"/>
        <d v="2026-05-20T00:00:00" u="1"/>
        <d v="2021-08-08T00:00:00" u="1"/>
        <d v="2023-07-12T00:00:00" u="1"/>
        <d v="2022-08-08T00:00:00" u="1"/>
        <d v="2024-07-12T00:00:00" u="1"/>
        <d v="2021-09-04T00:00:00" u="1"/>
        <d v="2025-07-12T00:00:00" u="1"/>
        <d v="2022-09-04T00:00:00" u="1"/>
        <d v="2024-08-08T00:00:00" u="1"/>
        <d v="2023-09-04T00:00:00" u="1"/>
        <d v="2025-08-08T00:00:00" u="1"/>
        <d v="2024-09-04T00:00:00" u="1"/>
        <d v="2022-03-30T00:00:00" u="1"/>
        <d v="2023-03-30T00:00:00" u="1"/>
        <d v="2022-04-26T00:00:00" u="1"/>
        <d v="2023-04-26T00:00:00" u="1"/>
        <d v="2022-05-22T00:00:00" u="1"/>
        <d v="2026-03-30T00:00:00" u="1"/>
        <d v="2023-05-22T00:00:00" u="1"/>
        <d v="2022-06-18T00:00:00" u="1"/>
        <d v="2024-05-22T00:00:00" u="1"/>
        <d v="2025-05-22T00:00:00" u="1"/>
        <d v="2026-05-22T00:00:00" u="1"/>
        <d v="2021-08-10T00:00:00" u="1"/>
        <d v="2023-07-14T00:00:00" u="1"/>
        <d v="2022-08-10T00:00:00" u="1"/>
        <d v="2024-07-14T00:00:00" u="1"/>
        <d v="2021-09-06T00:00:00" u="1"/>
        <d v="2022-09-06T00:00:00" u="1"/>
        <d v="2024-08-10T00:00:00" u="1"/>
        <d v="2021-10-02T00:00:00" u="1"/>
        <d v="2023-09-06T00:00:00" u="1"/>
        <d v="2025-08-10T00:00:00" u="1"/>
        <d v="2022-10-02T00:00:00" u="1"/>
        <d v="2024-09-06T00:00:00" u="1"/>
        <d v="2022-04-28T00:00:00" u="1"/>
        <d v="2023-04-28T00:00:00" u="1"/>
        <d v="2022-05-24T00:00:00" u="1"/>
        <d v="2023-05-24T00:00:00" u="1"/>
        <d v="2022-06-20T00:00:00" u="1"/>
        <d v="2024-05-24T00:00:00" u="1"/>
        <d v="2026-04-28T00:00:00" u="1"/>
        <d v="2023-06-20T00:00:00" u="1"/>
        <d v="2025-05-24T00:00:00" u="1"/>
        <d v="2026-05-24T00:00:00" u="1"/>
        <d v="2021-08-12T00:00:00" u="1"/>
        <d v="2023-07-16T00:00:00" u="1"/>
        <d v="2022-08-12T00:00:00" u="1"/>
        <d v="2024-07-16T00:00:00" u="1"/>
        <d v="2021-09-08T00:00:00" u="1"/>
        <d v="2022-09-08T00:00:00" u="1"/>
        <d v="2021-10-04T00:00:00" u="1"/>
        <d v="2023-09-08T00:00:00" u="1"/>
        <d v="2022-10-04T00:00:00" u="1"/>
        <d v="2024-09-08T00:00:00" u="1"/>
        <d v="2022-04-30T00:00:00" u="1"/>
        <d v="2023-04-30T00:00:00" u="1"/>
        <d v="2022-05-26T00:00:00" u="1"/>
        <d v="2023-05-26T00:00:00" u="1"/>
        <d v="2022-06-22T00:00:00" u="1"/>
        <d v="2024-05-26T00:00:00" u="1"/>
        <d v="2026-04-30T00:00:00" u="1"/>
        <d v="2023-06-22T00:00:00" u="1"/>
        <d v="2022-07-18T00:00:00" u="1"/>
        <d v="2026-05-26T00:00:00" u="1"/>
        <d v="2021-08-14T00:00:00" u="1"/>
        <d v="2022-08-14T00:00:00" u="1"/>
        <d v="2024-07-18T00:00:00" u="1"/>
        <d v="2021-09-10T00:00:00" u="1"/>
        <d v="2022-09-10T00:00:00" u="1"/>
        <d v="2021-10-06T00:00:00" u="1"/>
        <d v="2023-09-10T00:00:00" u="1"/>
        <d v="2022-10-06T00:00:00" u="1"/>
        <d v="2021-11-02T00:00:00" u="1"/>
        <d v="2022-11-02T00:00:00" u="1"/>
        <d v="2023-11-02T00:00:00" u="1"/>
        <d v="2025-10-06T00:00:00" u="1"/>
        <d v="2024-11-02T00:00:00" u="1"/>
        <d v="2022-05-28T00:00:00" u="1"/>
        <d v="2023-05-28T00:00:00" u="1"/>
        <d v="2022-06-24T00:00:00" u="1"/>
        <d v="2024-05-28T00:00:00" u="1"/>
        <d v="2021-07-20T00:00:00" u="1"/>
        <d v="2023-06-24T00:00:00" u="1"/>
        <d v="2022-07-20T00:00:00" u="1"/>
        <d v="2026-05-28T00:00:00" u="1"/>
        <d v="2021-08-16T00:00:00" u="1"/>
        <d v="2025-06-24T00:00:00" u="1"/>
        <d v="2022-08-16T00:00:00" u="1"/>
        <d v="2024-07-20T00:00:00" u="1"/>
        <d v="2021-09-12T00:00:00" u="1"/>
        <d v="2022-09-12T00:00:00" u="1"/>
        <d v="2021-10-08T00:00:00" u="1"/>
        <d v="2023-09-12T00:00:00" u="1"/>
        <d v="2022-10-08T00:00:00" u="1"/>
        <d v="2021-11-04T00:00:00" u="1"/>
        <d v="2022-11-04T00:00:00" u="1"/>
        <d v="2023-11-04T00:00:00" u="1"/>
        <d v="2025-10-08T00:00:00" u="1"/>
        <d v="2024-11-04T00:00:00" u="1"/>
        <d v="2025-11-04T00:00:00" u="1"/>
        <d v="2022-05-30T00:00:00" u="1"/>
        <d v="2022-06-26T00:00:00" u="1"/>
        <d v="2024-05-30T00:00:00" u="1"/>
        <d v="2021-07-22T00:00:00" u="1"/>
        <d v="2022-07-22T00:00:00" u="1"/>
        <d v="2026-05-30T00:00:00" u="1"/>
        <d v="2021-08-18T00:00:00" u="1"/>
        <d v="2025-06-26T00:00:00" u="1"/>
        <d v="2022-08-18T00:00:00" u="1"/>
        <d v="2024-07-22T00:00:00" u="1"/>
        <d v="2021-09-14T00:00:00" u="1"/>
        <d v="2022-09-14T00:00:00" u="1"/>
        <d v="2021-10-10T00:00:00" u="1"/>
        <d v="2023-09-14T00:00:00" u="1"/>
        <d v="2025-08-18T00:00:00" u="1"/>
        <d v="2022-10-10T00:00:00" u="1"/>
        <d v="2021-11-06T00:00:00" u="1"/>
        <d v="2023-10-10T00:00:00" u="1"/>
        <d v="2022-11-06T00:00:00" u="1"/>
        <d v="2021-12-02T00:00:00" u="1"/>
        <d v="2023-11-06T00:00:00" u="1"/>
        <d v="2025-10-10T00:00:00" u="1"/>
        <d v="2022-12-02T00:00:00" u="1"/>
        <d v="2024-11-06T00:00:00" u="1"/>
        <d v="2023-12-02T00:00:00" u="1"/>
        <d v="2025-11-06T00:00:00" u="1"/>
        <d v="2022-06-28T00:00:00" u="1"/>
        <d v="2021-07-24T00:00:00" u="1"/>
        <d v="2022-07-24T00:00:00" u="1"/>
        <d v="2021-08-20T00:00:00" u="1"/>
        <d v="2025-06-28T00:00:00" u="1"/>
        <d v="2022-08-20T00:00:00" u="1"/>
        <d v="2024-07-24T00:00:00" u="1"/>
        <d v="2021-09-16T00:00:00" u="1"/>
        <d v="2022-09-16T00:00:00" u="1"/>
        <d v="2024-08-20T00:00:00" u="1"/>
        <d v="2021-10-12T00:00:00" u="1"/>
        <d v="2023-09-16T00:00:00" u="1"/>
        <d v="2025-08-20T00:00:00" u="1"/>
        <d v="2022-10-12T00:00:00" u="1"/>
        <d v="2024-09-16T00:00:00" u="1"/>
        <d v="2021-11-08T00:00:00" u="1"/>
        <d v="2023-10-12T00:00:00" u="1"/>
        <d v="2025-09-16T00:00:00" u="1"/>
        <d v="2022-11-08T00:00:00" u="1"/>
        <d v="2021-12-04T00:00:00" u="1"/>
        <d v="2023-11-08T00:00:00" u="1"/>
        <d v="2025-10-12T00:00:00" u="1"/>
        <d v="2022-12-04T00:00:00" u="1"/>
        <d v="2024-11-08T00:00:00" u="1"/>
        <d v="2023-12-04T00:00:00" u="1"/>
        <d v="2025-11-08T00:00:00" u="1"/>
        <d v="2022-06-30T00:00:00" u="1"/>
        <d v="2021-07-26T00:00:00" u="1"/>
        <d v="2022-07-26T00:00:00" u="1"/>
        <d v="2021-08-22T00:00:00" u="1"/>
        <d v="2025-06-30T00:00:00" u="1"/>
        <d v="2022-08-22T00:00:00" u="1"/>
        <d v="2024-07-26T00:00:00" u="1"/>
        <d v="2021-09-18T00:00:00" u="1"/>
        <d v="2022-09-18T00:00:00" u="1"/>
        <d v="2024-08-22T00:00:00" u="1"/>
        <d v="2021-10-14T00:00:00" u="1"/>
        <d v="2025-08-22T00:00:00" u="1"/>
        <d v="2022-10-14T00:00:00" u="1"/>
        <d v="2024-09-18T00:00:00" u="1"/>
        <d v="2021-11-10T00:00:00" u="1"/>
        <d v="2023-10-14T00:00:00" u="1"/>
        <d v="2025-09-18T00:00:00" u="1"/>
        <d v="2022-11-10T00:00:00" u="1"/>
        <d v="2021-12-06T00:00:00" u="1"/>
        <d v="2023-11-10T00:00:00" u="1"/>
        <d v="2025-10-14T00:00:00" u="1"/>
        <d v="2022-12-06T00:00:00" u="1"/>
        <d v="2024-11-10T00:00:00" u="1"/>
        <d v="2023-12-06T00:00:00" u="1"/>
        <d v="2021-07-28T00:00:00" u="1"/>
        <d v="2022-07-28T00:00:00" u="1"/>
        <d v="2021-08-24T00:00:00" u="1"/>
        <d v="2022-08-24T00:00:00" u="1"/>
        <d v="2024-07-28T00:00:00" u="1"/>
        <d v="2021-09-20T00:00:00" u="1"/>
        <d v="2022-09-20T00:00:00" u="1"/>
        <d v="2024-08-24T00:00:00" u="1"/>
        <d v="2021-10-16T00:00:00" u="1"/>
        <d v="2025-08-24T00:00:00" u="1"/>
        <d v="2022-10-16T00:00:00" u="1"/>
        <d v="2024-09-20T00:00:00" u="1"/>
        <d v="2021-11-12T00:00:00" u="1"/>
        <d v="2023-10-16T00:00:00" u="1"/>
        <d v="2025-09-20T00:00:00" u="1"/>
        <d v="2022-11-12T00:00:00" u="1"/>
        <d v="2021-12-08T00:00:00" u="1"/>
        <d v="2023-11-12T00:00:00" u="1"/>
        <d v="2025-10-16T00:00:00" u="1"/>
        <d v="2022-12-08T00:00:00" u="1"/>
        <d v="2024-11-12T00:00:00" u="1"/>
        <d v="2023-12-08T00:00:00" u="1"/>
        <d v="2021-07-30T00:00:00" u="1"/>
        <d v="2022-07-30T00:00:00" u="1"/>
        <d v="2021-08-26T00:00:00" u="1"/>
        <d v="2022-08-26T00:00:00" u="1"/>
        <d v="2024-07-30T00:00:00" u="1"/>
        <d v="2021-09-22T00:00:00" u="1"/>
        <d v="2022-09-22T00:00:00" u="1"/>
        <d v="2024-08-26T00:00:00" u="1"/>
        <d v="2021-10-18T00:00:00" u="1"/>
        <d v="2025-08-26T00:00:00" u="1"/>
        <d v="2022-10-18T00:00:00" u="1"/>
        <d v="2024-09-22T00:00:00" u="1"/>
        <d v="2021-11-14T00:00:00" u="1"/>
        <d v="2023-10-18T00:00:00" u="1"/>
        <d v="2022-11-14T00:00:00" u="1"/>
        <d v="2021-12-10T00:00:00" u="1"/>
        <d v="2023-11-14T00:00:00" u="1"/>
        <d v="2025-10-18T00:00:00" u="1"/>
        <d v="2022-12-10T00:00:00" u="1"/>
        <d v="2024-11-14T00:00:00" u="1"/>
        <d v="2023-12-10T00:00:00" u="1"/>
        <d v="2021-08-28T00:00:00" u="1"/>
        <d v="2022-08-28T00:00:00" u="1"/>
        <d v="2021-09-24T00:00:00" u="1"/>
        <d v="2023-08-28T00:00:00" u="1"/>
        <d v="2022-09-24T00:00:00" u="1"/>
        <d v="2024-08-28T00:00:00" u="1"/>
        <d v="2021-10-20T00:00:00" u="1"/>
        <d v="2025-08-28T00:00:00" u="1"/>
        <d v="2022-10-20T00:00:00" u="1"/>
        <d v="2021-11-16T00:00:00" u="1"/>
        <d v="2023-10-20T00:00:00" u="1"/>
        <d v="2022-11-16T00:00:00" u="1"/>
        <d v="2021-12-12T00:00:00" u="1"/>
        <d v="2023-11-16T00:00:00" u="1"/>
        <d v="2025-10-20T00:00:00" u="1"/>
        <d v="2022-12-12T00:00:00" u="1"/>
        <d v="2024-11-16T00:00:00" u="1"/>
        <d v="2023-12-12T00:00:00" u="1"/>
        <d v="2021-08-30T00:00:00" u="1"/>
        <d v="2022-08-30T00:00:00" u="1"/>
        <d v="2021-09-26T00:00:00" u="1"/>
        <d v="2023-08-30T00:00:00" u="1"/>
        <d v="2022-09-26T00:00:00" u="1"/>
        <d v="2024-08-30T00:00:00" u="1"/>
        <d v="2021-10-22T00:00:00" u="1"/>
        <d v="2025-08-30T00:00:00" u="1"/>
        <d v="2022-10-22T00:00:00" u="1"/>
        <d v="2021-11-18T00:00:00" u="1"/>
        <d v="2023-10-22T00:00:00" u="1"/>
        <d v="2022-11-18T00:00:00" u="1"/>
        <d v="2021-12-14T00:00:00" u="1"/>
        <d v="2023-11-18T00:00:00" u="1"/>
        <d v="2025-10-22T00:00:00" u="1"/>
        <d v="2022-12-14T00:00:00" u="1"/>
        <d v="2024-11-18T00:00:00" u="1"/>
        <d v="2023-12-14T00:00:00" u="1"/>
        <d v="2021-09-28T00:00:00" u="1"/>
        <d v="2022-09-28T00:00:00" u="1"/>
        <d v="2021-10-24T00:00:00" u="1"/>
        <d v="2022-10-24T00:00:00" u="1"/>
        <d v="2021-11-20T00:00:00" u="1"/>
        <d v="2022-11-20T00:00:00" u="1"/>
        <d v="2021-12-16T00:00:00" u="1"/>
        <d v="2023-11-20T00:00:00" u="1"/>
        <d v="2025-10-24T00:00:00" u="1"/>
        <d v="2022-12-16T00:00:00" u="1"/>
        <d v="2024-11-20T00:00:00" u="1"/>
        <d v="2023-12-16T00:00:00" u="1"/>
        <d v="2024-12-16T00:00:00" u="1"/>
        <d v="2025-12-16T00:00:00" u="1"/>
        <d v="2021-09-30T00:00:00" u="1"/>
        <d v="2022-09-30T00:00:00" u="1"/>
        <d v="2021-10-26T00:00:00" u="1"/>
        <d v="2022-10-26T00:00:00" u="1"/>
        <d v="2021-11-22T00:00:00" u="1"/>
        <d v="2022-11-22T00:00:00" u="1"/>
        <d v="2021-12-18T00:00:00" u="1"/>
        <d v="2023-11-22T00:00:00" u="1"/>
        <d v="2025-10-26T00:00:00" u="1"/>
        <d v="2022-12-18T00:00:00" u="1"/>
        <d v="2024-11-22T00:00:00" u="1"/>
        <d v="2023-12-18T00:00:00" u="1"/>
        <d v="2024-12-18T00:00:00" u="1"/>
        <d v="2025-12-18T00:00:00" u="1"/>
        <d v="2021-10-28T00:00:00" u="1"/>
        <d v="2022-10-28T00:00:00" u="1"/>
        <d v="2021-11-24T00:00:00" u="1"/>
        <d v="2022-11-24T00:00:00" u="1"/>
        <d v="2024-10-28T00:00:00" u="1"/>
        <d v="2021-12-20T00:00:00" u="1"/>
        <d v="2023-11-24T00:00:00" u="1"/>
        <d v="2024-11-24T00:00:00" u="1"/>
        <d v="2023-12-20T00:00:00" u="1"/>
        <d v="2024-12-20T00:00:00" u="1"/>
        <d v="2025-12-20T00:00:00" u="1"/>
        <d v="2022-01-01T00:00:00" u="1"/>
        <d v="2023-01-01T00:00:00" u="1"/>
        <d v="2025-01-01T00:00:00" u="1"/>
        <d v="2026-01-01T00:00:00" u="1"/>
        <d v="2021-10-30T00:00:00" u="1"/>
        <d v="2022-10-30T00:00:00" u="1"/>
        <d v="2021-11-26T00:00:00" u="1"/>
        <d v="2023-10-30T00:00:00" u="1"/>
        <d v="2022-11-26T00:00:00" u="1"/>
        <d v="2024-10-30T00:00:00" u="1"/>
        <d v="2021-12-22T00:00:00" u="1"/>
        <d v="2023-11-26T00:00:00" u="1"/>
        <d v="2024-11-26T00:00:00" u="1"/>
        <d v="2023-12-22T00:00:00" u="1"/>
        <d v="2024-12-22T00:00:00" u="1"/>
        <d v="2025-12-22T00:00:00" u="1"/>
        <d v="2022-01-03T00:00:00" u="1"/>
        <d v="2025-01-03T00:00:00" u="1"/>
        <d v="2026-01-03T00:00:00" u="1"/>
        <d v="2021-11-28T00:00:00" u="1"/>
        <d v="2022-11-28T00:00:00" u="1"/>
        <d v="2021-12-24T00:00:00" u="1"/>
        <d v="2023-11-28T00:00:00" u="1"/>
        <d v="2024-11-28T00:00:00" u="1"/>
        <d v="2023-12-24T00:00:00" u="1"/>
        <d v="2024-12-24T00:00:00" u="1"/>
        <d v="2025-12-24T00:00:00" u="1"/>
        <d v="2022-01-05T00:00:00" u="1"/>
        <d v="2022-02-01T00:00:00" u="1"/>
        <d v="2023-02-01T00:00:00" u="1"/>
        <d v="2025-01-05T00:00:00" u="1"/>
        <d v="2024-02-01T00:00:00" u="1"/>
        <d v="2021-11-30T00:00:00" u="1"/>
        <d v="2022-11-30T00:00:00" u="1"/>
        <d v="2021-12-26T00:00:00" u="1"/>
        <d v="2023-11-30T00:00:00" u="1"/>
        <d v="2022-12-26T00:00:00" u="1"/>
        <d v="2024-11-30T00:00:00" u="1"/>
        <d v="2023-12-26T00:00:00" u="1"/>
        <d v="2024-12-26T00:00:00" u="1"/>
        <d v="2025-12-26T00:00:00" u="1"/>
        <d v="2022-01-07T00:00:00" u="1"/>
        <d v="2022-02-03T00:00:00" u="1"/>
        <d v="2023-02-03T00:00:00" u="1"/>
        <d v="2025-01-07T00:00:00" u="1"/>
        <d v="2024-02-03T00:00:00" u="1"/>
        <d v="2026-02-03T00:00:00" u="1"/>
        <d v="2021-12-28T00:00:00" u="1"/>
        <d v="2022-12-28T00:00:00" u="1"/>
        <d v="2023-12-28T00:00:00" u="1"/>
        <d v="2024-12-28T00:00:00" u="1"/>
        <d v="2025-12-28T00:00:00" u="1"/>
        <d v="2022-01-09T00:00:00" u="1"/>
        <d v="2023-01-09T00:00:00" u="1"/>
        <d v="2022-02-05T00:00:00" u="1"/>
        <d v="2023-02-05T00:00:00" u="1"/>
        <d v="2025-01-09T00:00:00" u="1"/>
        <d v="2022-03-01T00:00:00" u="1"/>
        <d v="2024-02-05T00:00:00" u="1"/>
        <d v="2023-03-01T00:00:00" u="1"/>
        <d v="2024-03-01T00:00:00" u="1"/>
        <d v="2026-02-05T00:00:00" u="1"/>
        <d v="2021-12-30T00:00:00" u="1"/>
        <d v="2022-12-30T00:00:00" u="1"/>
        <d v="2023-12-30T00:00:00" u="1"/>
        <d v="2024-12-30T00:00:00" u="1"/>
        <d v="2025-12-30T00:00:00" u="1"/>
        <d v="2022-01-11T00:00:00" u="1"/>
        <d v="2023-01-11T00:00:00" u="1"/>
        <d v="2022-02-07T00:00:00" u="1"/>
        <d v="2025-01-11T00:00:00" u="1"/>
        <d v="2022-03-03T00:00:00" u="1"/>
        <d v="2024-02-07T00:00:00" u="1"/>
        <d v="2023-03-03T00:00:00" u="1"/>
        <d v="2024-03-03T00:00:00" u="1"/>
        <d v="2026-02-07T00:00:00" u="1"/>
        <d v="2025-03-03T00:00:00" u="1"/>
        <d v="2026-03-03T00:00:00" u="1"/>
        <d v="2022-01-13T00:00:00" u="1"/>
        <d v="2023-01-13T00:00:00" u="1"/>
        <d v="2022-02-09T00:00:00" u="1"/>
        <d v="2025-01-13T00:00:00" u="1"/>
        <d v="2022-03-05T00:00:00" u="1"/>
        <d v="2024-02-09T00:00:00" u="1"/>
        <d v="2023-03-05T00:00:00" u="1"/>
        <d v="2022-04-01T00:00:00" u="1"/>
        <d v="2026-02-09T00:00:00" u="1"/>
        <d v="2023-04-01T00:00:00" u="1"/>
        <d v="2025-03-05T00:00:00" u="1"/>
        <d v="2026-03-05T00:00:00" u="1"/>
        <d v="2025-04-01T00:00:00" u="1"/>
        <d v="2026-04-01T00:00:00" u="1"/>
        <d v="2022-01-15T00:00:00" u="1"/>
        <d v="2023-01-15T00:00:00" u="1"/>
        <d v="2022-02-11T00:00:00" u="1"/>
        <d v="2024-01-15T00:00:00" u="1"/>
        <d v="2025-01-15T00:00:00" u="1"/>
        <d v="2022-03-07T00:00:00" u="1"/>
        <d v="2024-02-11T00:00:00" u="1"/>
        <d v="2023-03-07T00:00:00" u="1"/>
        <d v="2022-04-03T00:00:00" u="1"/>
        <d v="2026-02-11T00:00:00" u="1"/>
        <d v="2023-04-03T00:00:00" u="1"/>
        <d v="2025-03-07T00:00:00" u="1"/>
        <d v="2026-03-07T00:00:00" u="1"/>
        <d v="2025-04-03T00:00:00" u="1"/>
        <d v="2026-04-03T00:00:00" u="1"/>
        <d v="2022-01-17T00:00:00" u="1"/>
        <d v="2023-01-17T00:00:00" u="1"/>
        <d v="2022-02-13T00:00:00" u="1"/>
        <d v="2024-01-17T00:00:00" u="1"/>
        <d v="2023-02-13T00:00:00" u="1"/>
        <d v="2025-01-17T00:00:00" u="1"/>
        <d v="2022-03-09T00:00:00" u="1"/>
        <d v="2023-03-09T00:00:00" u="1"/>
        <d v="2022-04-05T00:00:00" u="1"/>
        <d v="2026-02-13T00:00:00" u="1"/>
        <d v="2023-04-05T00:00:00" u="1"/>
        <d v="2025-03-09T00:00:00" u="1"/>
        <d v="2022-05-01T00:00:00" u="1"/>
        <d v="2023-05-01T00:00:00" u="1"/>
        <d v="2025-04-05T00:00:00" u="1"/>
        <d v="2026-04-05T00:00:00" u="1"/>
        <d v="2026-05-01T00:00:00" u="1"/>
        <d v="2022-01-19T00:00:00" u="1"/>
        <d v="2023-01-19T00:00:00" u="1"/>
        <d v="2022-02-15T00:00:00" u="1"/>
        <d v="2024-01-19T00:00:00" u="1"/>
        <d v="2023-02-15T00:00:00" u="1"/>
        <d v="2025-01-19T00:00:00" u="1"/>
        <d v="2022-03-11T00:00:00" u="1"/>
        <d v="2023-03-11T00:00:00" u="1"/>
        <d v="2022-04-07T00:00:00" u="1"/>
        <d v="2026-02-15T00:00:00" u="1"/>
        <d v="2023-04-07T00:00:00" u="1"/>
        <d v="2022-05-03T00:00:00" u="1"/>
        <d v="2023-05-03T00:00:00" u="1"/>
        <d v="2025-04-07T00:00:00" u="1"/>
        <d v="2026-05-03T00:00:00" u="1"/>
        <d v="2022-01-21T00:00:00" u="1"/>
        <d v="2023-01-21T00:00:00" u="1"/>
        <d v="2022-02-17T00:00:00" u="1"/>
        <d v="2024-01-21T00:00:00" u="1"/>
        <d v="2023-02-17T00:00:00" u="1"/>
        <d v="2025-01-21T00:00:00" u="1"/>
        <d v="2023-03-13T00:00:00" u="1"/>
        <d v="2025-02-17T00:00:00" u="1"/>
        <d v="2022-04-09T00:00:00" u="1"/>
        <d v="2023-04-09T00:00:00" u="1"/>
        <d v="2022-05-05T00:00:00" u="1"/>
        <d v="2023-05-05T00:00:00" u="1"/>
        <d v="2025-04-09T00:00:00" u="1"/>
        <d v="2022-06-01T00:00:00" u="1"/>
        <d v="2024-06-01T00:00:00" u="1"/>
        <d v="2022-01-23T00:00:00" u="1"/>
        <d v="2023-01-23T00:00:00" u="1"/>
        <d v="2022-02-19T00:00:00" u="1"/>
        <d v="2024-01-23T00:00:00" u="1"/>
        <d v="2023-02-19T00:00:00" u="1"/>
        <d v="2025-01-23T00:00:00" u="1"/>
        <d v="2022-03-15T00:00:00" u="1"/>
        <d v="2023-03-15T00:00:00" u="1"/>
        <d v="2025-02-19T00:00:00" u="1"/>
        <d v="2022-04-11T00:00:00" u="1"/>
        <d v="2023-04-11T00:00:00" u="1"/>
        <d v="2022-05-07T00:00:00" u="1"/>
        <d v="2023-05-07T00:00:00" u="1"/>
        <d v="2025-04-11T00:00:00" u="1"/>
        <d v="2022-06-03T00:00:00" u="1"/>
        <d v="2024-06-03T00:00:00" u="1"/>
        <d v="2025-06-03T00:00:00" u="1"/>
        <d v="2022-01-25T00:00:00" u="1"/>
        <d v="2023-01-25T00:00:00" u="1"/>
        <d v="2022-02-21T00:00:00" u="1"/>
        <d v="2024-01-25T00:00:00" u="1"/>
        <d v="2023-02-21T00:00:00" u="1"/>
        <d v="2025-01-25T00:00:00" u="1"/>
        <d v="2022-03-17T00:00:00" u="1"/>
        <d v="2023-03-17T00:00:00" u="1"/>
        <d v="2025-02-21T00:00:00" u="1"/>
        <d v="2022-04-13T00:00:00" u="1"/>
        <d v="2023-04-13T00:00:00" u="1"/>
        <d v="2025-03-17T00:00:00" u="1"/>
        <d v="2022-05-09T00:00:00" u="1"/>
        <d v="2023-05-09T00:00:00" u="1"/>
        <d v="2025-04-13T00:00:00" u="1"/>
        <d v="2022-06-05T00:00:00" u="1"/>
        <d v="2026-04-13T00:00:00" u="1"/>
        <d v="2023-06-05T00:00:00" u="1"/>
        <d v="2022-07-01T00:00:00" u="1"/>
        <d v="2024-06-05T00:00:00" u="1"/>
        <d v="2025-06-05T00:00:00" u="1"/>
        <d v="2024-07-01T00:00:00" u="1"/>
        <d v="2025-07-01T00:00:00" u="1"/>
        <d v="2022-01-27T00:00:00" u="1"/>
        <d v="2023-01-27T00:00:00" u="1"/>
        <d v="2022-02-23T00:00:00" u="1"/>
        <d v="2024-01-27T00:00:00" u="1"/>
        <d v="2023-02-23T00:00:00" u="1"/>
        <d v="2022-03-19T00:00:00" u="1"/>
        <d v="2023-03-19T00:00:00" u="1"/>
        <d v="2025-02-23T00:00:00" u="1"/>
        <d v="2022-04-15T00:00:00" u="1"/>
        <d v="2023-04-15T00:00:00" u="1"/>
        <d v="2025-03-19T00:00:00" u="1"/>
        <d v="2022-05-11T00:00:00" u="1"/>
        <d v="2023-05-11T00:00:00" u="1"/>
        <d v="2025-04-15T00:00:00" u="1"/>
        <d v="2022-06-07T00:00:00" u="1"/>
        <d v="2026-04-15T00:00:00" u="1"/>
        <d v="2023-06-07T00:00:00" u="1"/>
        <d v="2022-07-03T00:00:00" u="1"/>
        <d v="2024-06-07T00:00:00" u="1"/>
        <d v="2026-05-11T00:00:00" u="1"/>
        <d v="2023-07-03T00:00:00" u="1"/>
        <d v="2025-06-07T00:00:00" u="1"/>
        <d v="2024-07-03T00:00:00" u="1"/>
        <d v="2025-07-03T00:00:00" u="1"/>
        <d v="2022-01-29T00:00:00" u="1"/>
        <d v="2023-01-29T00:00:00" u="1"/>
        <d v="2022-02-25T00:00:00" u="1"/>
        <d v="2024-01-29T00:00:00" u="1"/>
        <d v="2023-02-25T00:00:00" u="1"/>
        <d v="2022-03-21T00:00:00" u="1"/>
        <d v="2023-03-21T00:00:00" u="1"/>
        <d v="2022-04-17T00:00:00" u="1"/>
        <d v="2023-04-17T00:00:00" u="1"/>
        <d v="2025-03-21T00:00:00" u="1"/>
        <d v="2022-05-13T00:00:00" u="1"/>
        <d v="2023-05-13T00:00:00" u="1"/>
        <d v="2025-04-17T00:00:00" u="1"/>
        <d v="2022-06-09T00:00:00" u="1"/>
        <d v="2026-04-17T00:00:00" u="1"/>
        <d v="2023-06-09T00:00:00" u="1"/>
        <d v="2022-07-05T00:00:00" u="1"/>
        <d v="2024-06-09T00:00:00" u="1"/>
        <d v="2026-05-13T00:00:00" u="1"/>
        <d v="2021-08-01T00:00:00" u="1"/>
        <d v="2023-07-05T00:00:00" u="1"/>
        <d v="2022-08-01T00:00:00" u="1"/>
        <d v="2024-07-05T00:00:00" u="1"/>
        <d v="2025-07-05T00:00:00" u="1"/>
        <d v="2024-08-01T00:00:00" u="1"/>
        <d v="2022-01-31T00:00:00" u="1"/>
        <d v="2023-01-31T00:00:00" u="1"/>
        <d v="2022-02-27T00:00:00" u="1"/>
        <d v="2024-01-31T00:00:00" u="1"/>
        <d v="2023-02-27T00:00:00" u="1"/>
        <d v="2022-03-23T00:00:00" u="1"/>
        <d v="2024-02-27T00:00:00" u="1"/>
        <d v="2023-03-23T00:00:00" u="1"/>
        <d v="2022-04-19T00:00:00" u="1"/>
        <d v="2023-04-19T00:00:00" u="1"/>
        <d v="2025-03-23T00:00:00" u="1"/>
        <d v="2022-05-15T00:00:00" u="1"/>
        <d v="2023-05-15T00:00:00" u="1"/>
        <d v="2025-04-19T00:00:00" u="1"/>
        <d v="2022-06-11T00:00:00" u="1"/>
        <d v="2026-04-19T00:00:00" u="1"/>
        <d v="2023-06-11T00:00:00" u="1"/>
        <d v="2022-07-07T00:00:00" u="1"/>
        <d v="2026-05-15T00:00:00" u="1"/>
        <d v="2021-08-03T00:00:00" u="1"/>
        <d v="2023-07-07T00:00:00" u="1"/>
        <d v="2022-08-03T00:00:00" u="1"/>
        <d v="2024-07-07T00:00:00" u="1"/>
        <d v="2025-07-07T00:00:00" u="1"/>
        <d v="2024-08-03T00:00:00" u="1"/>
        <d v="2022-03-25T00:00:00" u="1"/>
        <d v="2024-02-29T00:00:00" u="1"/>
        <d v="2023-03-25T00:00:00" u="1"/>
        <d v="2022-04-21T00:00:00" u="1"/>
        <d v="2023-04-21T00:00:00" u="1"/>
        <d v="2022-05-17T00:00:00" u="1"/>
        <d v="2023-05-17T00:00:00" u="1"/>
        <d v="2022-06-13T00:00:00" u="1"/>
        <d v="2022-07-09T00:00:00" u="1"/>
        <d v="2026-05-17T00:00:00" u="1"/>
        <d v="2021-08-05T00:00:00" u="1"/>
        <d v="2023-07-09T00:00:00" u="1"/>
        <d v="2022-08-05T00:00:00" u="1"/>
        <d v="2024-07-09T00:00:00" u="1"/>
        <d v="2021-09-01T00:00:00" u="1"/>
        <d v="2025-07-09T00:00:00" u="1"/>
        <d v="2022-09-01T00:00:00" u="1"/>
        <d v="2024-08-05T00:00:00" u="1"/>
        <d v="2023-09-01T00:00:00" u="1"/>
        <d v="2025-08-05T00:00:00" u="1"/>
        <d v="2024-09-01T00:00:00" u="1"/>
        <d v="2022-03-27T00:00:00" u="1"/>
        <d v="2023-03-27T00:00:00" u="1"/>
        <d v="2022-04-23T00:00:00" u="1"/>
        <d v="2023-04-23T00:00:00" u="1"/>
        <d v="2022-05-19T00:00:00" u="1"/>
        <d v="2023-05-19T00:00:00" u="1"/>
        <d v="2022-06-15T00:00:00" u="1"/>
        <d v="2025-05-19T00:00:00" u="1"/>
        <d v="2026-05-19T00:00:00" u="1"/>
        <d v="2021-08-07T00:00:00" u="1"/>
        <d v="2023-07-11T00:00:00" u="1"/>
        <d v="2022-08-07T00:00:00" u="1"/>
        <d v="2024-07-11T00:00:00" u="1"/>
        <d v="2021-09-03T00:00:00" u="1"/>
        <d v="2025-07-11T00:00:00" u="1"/>
        <d v="2022-09-03T00:00:00" u="1"/>
        <d v="2024-08-07T00:00:00" u="1"/>
        <d v="2023-09-03T00:00:00" u="1"/>
        <d v="2025-08-07T00:00:00" u="1"/>
        <d v="2024-09-03T00:00:00" u="1"/>
        <d v="2022-03-29T00:00:00" u="1"/>
        <d v="2023-03-29T00:00:00" u="1"/>
        <d v="2022-04-25T00:00:00" u="1"/>
        <d v="2023-04-25T00:00:00" u="1"/>
        <d v="2022-05-21T00:00:00" u="1"/>
        <d v="2023-05-21T00:00:00" u="1"/>
        <d v="2022-06-17T00:00:00" u="1"/>
        <d v="2024-05-21T00:00:00" u="1"/>
        <d v="2025-05-21T00:00:00" u="1"/>
        <d v="2026-05-21T00:00:00" u="1"/>
        <d v="2021-08-09T00:00:00" u="1"/>
        <d v="2023-07-13T00:00:00" u="1"/>
        <d v="2022-08-09T00:00:00" u="1"/>
        <d v="2024-07-13T00:00:00" u="1"/>
        <d v="2021-09-05T00:00:00" u="1"/>
        <d v="2025-07-13T00:00:00" u="1"/>
        <d v="2022-09-05T00:00:00" u="1"/>
        <d v="2024-08-09T00:00:00" u="1"/>
        <d v="2021-10-01T00:00:00" u="1"/>
        <d v="2023-09-05T00:00:00" u="1"/>
        <d v="2025-08-09T00:00:00" u="1"/>
        <d v="2022-10-01T00:00:00" u="1"/>
        <d v="2024-09-05T00:00:00" u="1"/>
        <d v="2022-03-31T00:00:00" u="1"/>
        <d v="2023-03-31T00:00:00" u="1"/>
        <d v="2022-04-27T00:00:00" u="1"/>
        <d v="2023-04-27T00:00:00" u="1"/>
        <d v="2025-03-31T00:00:00" u="1"/>
        <d v="2022-05-23T00:00:00" u="1"/>
        <d v="2026-03-31T00:00:00" u="1"/>
        <d v="2023-05-23T00:00:00" u="1"/>
        <d v="2022-06-19T00:00:00" u="1"/>
        <d v="2024-05-23T00:00:00" u="1"/>
        <d v="2026-04-27T00:00:00" u="1"/>
        <d v="2023-06-19T00:00:00" u="1"/>
        <d v="2025-05-23T00:00:00" u="1"/>
        <d v="2026-05-23T00:00:00" u="1"/>
        <d v="2021-08-11T00:00:00" u="1"/>
        <d v="2023-07-15T00:00:00" u="1"/>
        <d v="2022-08-11T00:00:00" u="1"/>
        <d v="2024-07-15T00:00:00" u="1"/>
        <d v="2021-09-07T00:00:00" u="1"/>
        <d v="2022-09-07T00:00:00" u="1"/>
        <d v="2024-08-11T00:00:00" u="1"/>
        <d v="2021-10-03T00:00:00" u="1"/>
        <d v="2023-09-07T00:00:00" u="1"/>
        <d v="2022-10-03T00:00:00" u="1"/>
        <d v="2024-09-07T00:00:00" u="1"/>
        <d v="2022-04-29T00:00:00" u="1"/>
        <d v="2023-04-29T00:00:00" u="1"/>
        <d v="2022-05-25T00:00:00" u="1"/>
        <d v="2023-05-25T00:00:00" u="1"/>
        <d v="2022-06-21T00:00:00" u="1"/>
        <d v="2024-05-25T00:00:00" u="1"/>
        <d v="2026-04-29T00:00:00" u="1"/>
        <d v="2023-06-21T00:00:00" u="1"/>
        <d v="2025-05-25T00:00:00" u="1"/>
        <d v="2026-05-25T00:00:00" u="1"/>
        <d v="2021-08-13T00:00:00" u="1"/>
        <d v="2022-08-13T00:00:00" u="1"/>
        <d v="2024-07-17T00:00:00" u="1"/>
        <d v="2021-09-09T00:00:00" u="1"/>
        <d v="2022-09-09T00:00:00" u="1"/>
        <d v="2021-10-05T00:00:00" u="1"/>
        <d v="2023-09-09T00:00:00" u="1"/>
        <d v="2022-10-05T00:00:00" u="1"/>
        <d v="2021-11-01T00:00:00" u="1"/>
        <d v="2022-11-01T00:00:00" u="1"/>
        <d v="2023-11-01T00:00:00" u="1"/>
        <d v="2024-11-01T00:00:00" u="1"/>
        <d v="2022-05-27T00:00:00" u="1"/>
        <d v="2023-05-27T00:00:00" u="1"/>
        <d v="2022-06-23T00:00:00" u="1"/>
        <d v="2024-05-27T00:00:00" u="1"/>
        <d v="2021-07-19T00:00:00" u="1"/>
        <d v="2023-06-23T00:00:00" u="1"/>
        <d v="2022-07-19T00:00:00" u="1"/>
        <d v="2026-05-27T00:00:00" u="1"/>
        <d v="2021-08-15T00:00:00" u="1"/>
        <d v="2025-06-23T00:00:00" u="1"/>
        <d v="2022-08-15T00:00:00" u="1"/>
        <d v="2024-07-19T00:00:00" u="1"/>
        <d v="2021-09-11T00:00:00" u="1"/>
        <d v="2022-09-11T00:00:00" u="1"/>
        <d v="2021-10-07T00:00:00" u="1"/>
        <d v="2023-09-11T00:00:00" u="1"/>
        <d v="2022-10-07T00:00:00" u="1"/>
        <d v="2021-11-03T00:00:00" u="1"/>
        <d v="2022-11-03T00:00:00" u="1"/>
        <d v="2023-11-03T00:00:00" u="1"/>
        <d v="2025-10-07T00:00:00" u="1"/>
        <d v="2024-11-03T00:00:00" u="1"/>
        <d v="2025-11-03T00:00:00" u="1"/>
        <d v="2022-05-29T00:00:00" u="1"/>
        <d v="2022-06-25T00:00:00" u="1"/>
        <d v="2024-05-29T00:00:00" u="1"/>
        <d v="2021-07-21T00:00:00" u="1"/>
        <d v="2023-06-25T00:00:00" u="1"/>
        <d v="2022-07-21T00:00:00" u="1"/>
        <d v="2026-05-29T00:00:00" u="1"/>
        <d v="2021-08-17T00:00:00" u="1"/>
        <d v="2025-06-25T00:00:00" u="1"/>
        <d v="2022-08-17T00:00:00" u="1"/>
        <d v="2024-07-21T00:00:00" u="1"/>
        <d v="2021-09-13T00:00:00" u="1"/>
        <d v="2022-09-13T00:00:00" u="1"/>
        <d v="2021-10-09T00:00:00" u="1"/>
        <d v="2023-09-13T00:00:00" u="1"/>
        <d v="2022-10-09T00:00:00" u="1"/>
        <d v="2021-11-05T00:00:00" u="1"/>
        <d v="2023-10-09T00:00:00" u="1"/>
        <d v="2022-11-05T00:00:00" u="1"/>
        <d v="2021-12-01T00:00:00" u="1"/>
        <d v="2023-11-05T00:00:00" u="1"/>
        <d v="2025-10-09T00:00:00" u="1"/>
        <d v="2022-12-01T00:00:00" u="1"/>
        <d v="2024-11-05T00:00:00" u="1"/>
        <d v="2023-12-01T00:00:00" u="1"/>
        <d v="2025-11-05T00:00:00" u="1"/>
        <d v="2024-12-01T00:00:00" u="1"/>
        <d v="2022-05-31T00:00:00" u="1"/>
        <d v="2022-06-27T00:00:00" u="1"/>
        <d v="2024-05-31T00:00:00" u="1"/>
        <d v="2021-07-23T00:00:00" u="1"/>
        <d v="2022-07-23T00:00:00" u="1"/>
        <d v="2026-05-31T00:00:00" u="1"/>
        <d v="2021-08-19T00:00:00" u="1"/>
        <d v="2025-06-27T00:00:00" u="1"/>
        <d v="2022-08-19T00:00:00" u="1"/>
        <d v="2024-07-23T00:00:00" u="1"/>
        <d v="2021-09-15T00:00:00" u="1"/>
        <d v="2022-09-15T00:00:00" u="1"/>
        <d v="2024-08-19T00:00:00" u="1"/>
        <d v="2021-10-11T00:00:00" u="1"/>
        <d v="2023-09-15T00:00:00" u="1"/>
        <d v="2025-08-19T00:00:00" u="1"/>
        <d v="2022-10-11T00:00:00" u="1"/>
        <d v="2021-11-07T00:00:00" u="1"/>
        <d v="2023-10-11T00:00:00" u="1"/>
        <d v="2025-09-15T00:00:00" u="1"/>
        <d v="2022-11-07T00:00:00" u="1"/>
        <d v="2021-12-03T00:00:00" u="1"/>
        <d v="2023-11-07T00:00:00" u="1"/>
        <d v="2025-10-11T00:00:00" u="1"/>
        <d v="2022-12-03T00:00:00" u="1"/>
        <d v="2024-11-07T00:00:00" u="1"/>
        <d v="2023-12-03T00:00:00" u="1"/>
        <d v="2025-11-07T00:00:00" u="1"/>
        <d v="2022-06-29T00:00:00" u="1"/>
        <d v="2021-07-25T00:00:00" u="1"/>
        <d v="2022-07-25T00:00:00" u="1"/>
        <d v="2021-08-21T00:00:00" u="1"/>
        <d v="2025-06-29T00:00:00" u="1"/>
        <d v="2022-08-21T00:00:00" u="1"/>
        <d v="2024-07-25T00:00:00" u="1"/>
        <d v="2021-09-17T00:00:00" u="1"/>
        <d v="2022-09-17T00:00:00" u="1"/>
        <d v="2024-08-21T00:00:00" u="1"/>
        <d v="2021-10-13T00:00:00" u="1"/>
        <d v="2023-09-17T00:00:00" u="1"/>
        <d v="2025-08-21T00:00:00" u="1"/>
        <d v="2022-10-13T00:00:00" u="1"/>
        <d v="2024-09-17T00:00:00" u="1"/>
        <d v="2021-11-09T00:00:00" u="1"/>
        <d v="2023-10-13T00:00:00" u="1"/>
        <d v="2025-09-17T00:00:00" u="1"/>
        <d v="2022-11-09T00:00:00" u="1"/>
        <d v="2021-12-05T00:00:00" u="1"/>
        <d v="2023-11-09T00:00:00" u="1"/>
        <d v="2025-10-13T00:00:00" u="1"/>
        <d v="2022-12-05T00:00:00" u="1"/>
        <d v="2024-11-09T00:00:00" u="1"/>
        <d v="2023-12-05T00:00:00" u="1"/>
        <d v="2025-11-09T00:00:00" u="1"/>
        <d v="2021-07-27T00:00:00" u="1"/>
        <d v="2022-07-27T00:00:00" u="1"/>
        <d v="2021-08-23T00:00:00" u="1"/>
        <d v="2022-08-23T00:00:00" u="1"/>
        <d v="2024-07-27T00:00:00" u="1"/>
        <d v="2021-09-19T00:00:00" u="1"/>
        <d v="2022-09-19T00:00:00" u="1"/>
        <d v="2024-08-23T00:00:00" u="1"/>
        <d v="2021-10-15T00:00:00" u="1"/>
        <d v="2025-08-23T00:00:00" u="1"/>
        <d v="2022-10-15T00:00:00" u="1"/>
        <d v="2024-09-19T00:00:00" u="1"/>
        <d v="2021-11-11T00:00:00" u="1"/>
        <d v="2023-10-15T00:00:00" u="1"/>
        <d v="2025-09-19T00:00:00" u="1"/>
        <d v="2022-11-11T00:00:00" u="1"/>
        <d v="2021-12-07T00:00:00" u="1"/>
        <d v="2023-11-11T00:00:00" u="1"/>
        <d v="2025-10-15T00:00:00" u="1"/>
        <d v="2022-12-07T00:00:00" u="1"/>
        <d v="2024-11-11T00:00:00" u="1"/>
        <d v="2023-12-07T00:00:00" u="1"/>
        <d v="2021-07-29T00:00:00" u="1"/>
        <d v="2022-07-29T00:00:00" u="1"/>
        <d v="2021-08-25T00:00:00" u="1"/>
        <d v="2022-08-25T00:00:00" u="1"/>
        <d v="2024-07-29T00:00:00" u="1"/>
        <d v="2021-09-21T00:00:00" u="1"/>
        <d v="2022-09-21T00:00:00" u="1"/>
        <d v="2024-08-25T00:00:00" u="1"/>
        <d v="2021-10-17T00:00:00" u="1"/>
        <d v="2025-08-25T00:00:00" u="1"/>
        <d v="2022-10-17T00:00:00" u="1"/>
        <d v="2024-09-21T00:00:00" u="1"/>
        <d v="2021-11-13T00:00:00" u="1"/>
        <d v="2023-10-17T00:00:00" u="1"/>
        <d v="2025-09-21T00:00:00" u="1"/>
        <d v="2022-11-13T00:00:00" u="1"/>
        <d v="2021-12-09T00:00:00" u="1"/>
        <d v="2023-11-13T00:00:00" u="1"/>
        <d v="2025-10-17T00:00:00" u="1"/>
        <d v="2022-12-09T00:00:00" u="1"/>
        <d v="2024-11-13T00:00:00" u="1"/>
        <d v="2023-12-09T00:00:00" u="1"/>
        <d v="2021-07-31T00:00:00" u="1"/>
        <d v="2022-07-31T00:00:00" u="1"/>
        <d v="2021-08-27T00:00:00" u="1"/>
        <d v="2022-08-27T00:00:00" u="1"/>
        <d v="2024-07-31T00:00:00" u="1"/>
        <d v="2021-09-23T00:00:00" u="1"/>
        <d v="2022-09-23T00:00:00" u="1"/>
        <d v="2024-08-27T00:00:00" u="1"/>
        <d v="2021-10-19T00:00:00" u="1"/>
        <d v="2025-08-27T00:00:00" u="1"/>
        <d v="2022-10-19T00:00:00" u="1"/>
        <d v="2021-11-15T00:00:00" u="1"/>
        <d v="2023-10-19T00:00:00" u="1"/>
        <d v="2022-11-15T00:00:00" u="1"/>
        <d v="2021-12-11T00:00:00" u="1"/>
        <d v="2023-11-15T00:00:00" u="1"/>
        <d v="2025-10-19T00:00:00" u="1"/>
        <d v="2022-12-11T00:00:00" u="1"/>
        <d v="2024-11-15T00:00:00" u="1"/>
        <d v="2023-12-11T00:00:00" u="1"/>
        <d v="2021-08-29T00:00:00" u="1"/>
        <d v="2022-08-29T00:00:00" u="1"/>
        <d v="2021-09-25T00:00:00" u="1"/>
        <d v="2023-08-29T00:00:00" u="1"/>
        <d v="2022-09-25T00:00:00" u="1"/>
        <d v="2024-08-29T00:00:00" u="1"/>
        <d v="2021-10-21T00:00:00" u="1"/>
        <d v="2025-08-29T00:00:00" u="1"/>
        <d v="2022-10-21T00:00:00" u="1"/>
        <d v="2021-11-17T00:00:00" u="1"/>
        <d v="2023-10-21T00:00:00" u="1"/>
        <d v="2022-11-17T00:00:00" u="1"/>
        <d v="2021-12-13T00:00:00" u="1"/>
        <d v="2023-11-17T00:00:00" u="1"/>
        <d v="2025-10-21T00:00:00" u="1"/>
        <d v="2022-12-13T00:00:00" u="1"/>
        <d v="2024-11-17T00:00:00" u="1"/>
        <d v="2023-12-13T00:00:00" u="1"/>
        <d v="2021-08-31T00:00:00" u="1"/>
        <d v="2022-08-31T00:00:00" u="1"/>
        <d v="2021-09-27T00:00:00" u="1"/>
        <d v="2023-08-31T00:00:00" u="1"/>
        <d v="2022-09-27T00:00:00" u="1"/>
        <d v="2024-08-31T00:00:00" u="1"/>
        <d v="2021-10-23T00:00:00" u="1"/>
        <d v="2025-08-31T00:00:00" u="1"/>
        <d v="2022-10-23T00:00:00" u="1"/>
        <d v="2021-11-19T00:00:00" u="1"/>
        <d v="2022-11-19T00:00:00" u="1"/>
        <d v="2021-12-15T00:00:00" u="1"/>
        <d v="2023-11-19T00:00:00" u="1"/>
        <d v="2025-10-23T00:00:00" u="1"/>
        <d v="2022-12-15T00:00:00" u="1"/>
        <d v="2024-11-19T00:00:00" u="1"/>
        <d v="2023-12-15T00:00:00" u="1"/>
      </sharedItems>
    </cacheField>
    <cacheField name="Hr Abs Pure" numFmtId="168">
      <sharedItems containsSemiMixedTypes="0" containsNonDate="0" containsDate="1" containsString="0" minDate="1904-01-01T00:00:00" maxDate="1904-01-01T09:00:00"/>
    </cacheField>
    <cacheField name="Hr Abs Totales" numFmtId="168">
      <sharedItems containsSemiMixedTypes="0" containsNonDate="0" containsDate="1" containsString="0" minDate="1904-01-01T00:00:00" maxDate="1904-01-01T09:00:00"/>
    </cacheField>
    <cacheField name="Semaine" numFmtId="0">
      <sharedItems containsBlank="1" count="55">
        <s v="Sem - 25"/>
        <m u="1"/>
        <s v="Sem - 39" u="1"/>
        <s v="Sem - 49" u="1"/>
        <e v="#REF!" u="1"/>
        <s v="Sem - 11" u="1"/>
        <s v="Sem - 21" u="1"/>
        <s v="Sem - 31" u="1"/>
        <s v="Sem - 14" u="1"/>
        <s v="Sem - 41" u="1"/>
        <s v="Sem - 24" u="1"/>
        <s v="Sem - 51" u="1"/>
        <s v="Sem - 34" u="1"/>
        <s v="Sem - 17" u="1"/>
        <s v="Sem - 44" u="1"/>
        <s v="Sem - 27" u="1"/>
        <s v="Sem - 37" u="1"/>
        <s v="Sem - 47" u="1"/>
        <s v="Sem - 1" u="1"/>
        <s v="Sem - 2" u="1"/>
        <s v="Sem - 3" u="1"/>
        <s v="Sem - 4" u="1"/>
        <s v="Sem - 5" u="1"/>
        <s v="Sem - 6" u="1"/>
        <s v="Sem - 7" u="1"/>
        <s v="Sem - 8" u="1"/>
        <s v="Sem - 9" u="1"/>
        <s v="Sem - 12" u="1"/>
        <s v="Sem - 22" u="1"/>
        <s v="Sem - 32" u="1"/>
        <s v="Sem - 15" u="1"/>
        <s v="Sem - 42" u="1"/>
        <s v="Sem - 52" u="1"/>
        <s v="Sem - 35" u="1"/>
        <s v="Sem - 18" u="1"/>
        <s v="Sem - 45" u="1"/>
        <s v="Sem - 28" u="1"/>
        <s v="Sem - 38" u="1"/>
        <s v="Sem - 48" u="1"/>
        <s v="Sem - 10" u="1"/>
        <s v="Sem - 20" u="1"/>
        <s v="Sem - 30" u="1"/>
        <s v="Sem - 13" u="1"/>
        <s v="Sem - 40" u="1"/>
        <s v="Sem - 23" u="1"/>
        <s v="Sem - 50" u="1"/>
        <s v="Sem - 33" u="1"/>
        <s v="Sem - 16" u="1"/>
        <s v="Sem - 43" u="1"/>
        <s v="Sem - 26" u="1"/>
        <s v="Sem - 53" u="1"/>
        <s v="Sem - 36" u="1"/>
        <s v="Sem - 19" u="1"/>
        <s v="Sem - 46" u="1"/>
        <s v="Sem - 29" u="1"/>
      </sharedItems>
    </cacheField>
    <cacheField name="Mois" numFmtId="0">
      <sharedItems containsBlank="1" count="14">
        <s v="Juin"/>
        <m u="1"/>
        <s v="Juillet" u="1"/>
        <s v="Octobre" u="1"/>
        <s v="Janvier" u="1"/>
        <e v="#REF!" u="1"/>
        <s v="Mai" u="1"/>
        <s v="Décembre" u="1"/>
        <s v="Août" u="1"/>
        <s v="Mars" u="1"/>
        <s v="Avril" u="1"/>
        <s v="Novembre" u="1"/>
        <s v="Septembre" u="1"/>
        <s v="Février" u="1"/>
      </sharedItems>
    </cacheField>
    <cacheField name="Année" numFmtId="170">
      <sharedItems/>
    </cacheField>
    <cacheField name="VTO" numFmtId="166">
      <sharedItems containsNonDate="0" containsString="0" containsBlank="1"/>
    </cacheField>
    <cacheField name="Heures SUP" numFmtId="169">
      <sharedItems containsSemiMixedTypes="0" containsNonDate="0" containsDate="1" containsString="0" minDate="1904-01-01T00:00:00" maxDate="1904-01-02T00:00:00"/>
    </cacheField>
    <cacheField name="Team" numFmtId="168">
      <sharedItems containsDate="1" containsBlank="1" containsMixedTypes="1" minDate="1904-01-01T00:00:00" maxDate="1904-01-02T00:00:00" count="26">
        <s v="OUAQERROUCH Nour-El Houda"/>
        <s v="CHOUIFI Mustapha"/>
        <d v="1904-01-01T00:00:00"/>
        <m u="1"/>
        <s v="EL-FATIMY Charaf Eddine" u="1"/>
        <s v="-" u="1"/>
        <s v="GOURARI Abdelssadek" u="1"/>
        <s v="MOUFARREH SANAE" u="1"/>
        <s v="IBRAHIM Ayoub" u="1"/>
        <s v="BELQASMI El Mehdi" u="1"/>
        <s v="ALLAM Youssef" u="1"/>
        <s v="CHERKAOUI Tarek" u="1"/>
        <s v="EL JOUHARI Ussama" u="1"/>
        <s v="EL JAOUHARI Ussama" u="1"/>
        <s v="EL ANBOURI HAMZA" u="1"/>
        <s v="BA DEMBA" u="1"/>
        <s v="OUAQERROUCH Nour El Houda" u="1"/>
        <s v="BENKARROUJE Dounia" u="1"/>
        <s v="HMIDOUCH Fouad" u="1"/>
        <s v="EL HARRATI Badreddine" u="1"/>
        <s v="ELMQUIRMI Ilias-Nabil" u="1"/>
        <s v="EL HADIRI Chaimae" u="1"/>
        <s v="JANAH Khalil" u="1"/>
        <s v="DOURAFEI Ikram" u="1"/>
        <s v="OUQERROUCH NOUR ELHOUDA" u="1"/>
        <s v="ABBADI Ihsane" u="1"/>
      </sharedItems>
    </cacheField>
    <cacheField name="Business" numFmtId="168">
      <sharedItems containsBlank="1" count="7">
        <s v="Google Leads"/>
        <m u="1"/>
        <s v="DAC Crédit" u="1"/>
        <s v="-" u="1"/>
        <s v="Credit Mutuel" u="1"/>
        <s v="COFIDIS" u="1"/>
        <s v="FLOA" u="1"/>
      </sharedItems>
    </cacheField>
    <cacheField name="Statut" numFmtId="168">
      <sharedItems containsDate="1" containsBlank="1" containsMixedTypes="1" minDate="1904-01-01T00:00:00" maxDate="1904-01-02T00:00:00" count="8">
        <s v="Forfaitaire"/>
        <d v="1904-01-01T00:00:00"/>
        <s v="Sortie" u="1"/>
        <m u="1"/>
        <s v="FT" u="1"/>
        <s v="INTERIM" u="1"/>
        <s v="-" u="1"/>
        <s v="Mission" u="1"/>
      </sharedItems>
    </cacheField>
    <cacheField name="Congé payé" numFmtId="168">
      <sharedItems/>
    </cacheField>
    <cacheField name="Congé sans solde" numFmtId="168">
      <sharedItems containsDate="1" containsMixedTypes="1" minDate="1904-01-01T08:00:00" maxDate="1904-01-01T08:00:00"/>
    </cacheField>
    <cacheField name="Congé spécial" numFmtId="168">
      <sharedItems/>
    </cacheField>
    <cacheField name="Jour férié" numFmtId="168">
      <sharedItems/>
    </cacheField>
    <cacheField name="Commentaire" numFmtId="168">
      <sharedItems containsNonDate="0" containsString="0" containsBlank="1"/>
    </cacheField>
    <cacheField name="Plannif spécial" numFmtId="168">
      <sharedItems containsNonDate="0" containsString="0" containsBlank="1"/>
    </cacheField>
    <cacheField name="Tx Abs (%)" numFmtId="0" formula=" IFERROR('Hr Abs Totales'/'Hr Planifiée',0)" databaseField="0"/>
    <cacheField name="Théorique" numFmtId="0" formula="'Hr Planifiée'+'Congé payé'+'Congé sans solde'+'Congé spécial'" databaseField="0"/>
  </cacheFields>
  <extLst>
    <ext xmlns:x14="http://schemas.microsoft.com/office/spreadsheetml/2009/9/main" uri="{725AE2AE-9491-48be-B2B4-4EB974FC3084}">
      <x14:pivotCacheDefinition pivotCacheId="4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eau croisé dynamique5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6" indent="0" compact="0" compactData="0" multipleFieldFilters="0">
  <location ref="G4:I38" firstHeaderRow="1" firstDataRow="1" firstDataCol="2" rowPageCount="2" colPageCount="1"/>
  <pivotFields count="35">
    <pivotField compact="0" numFmtId="165" outline="0" showAll="0" defaultSubtotal="0"/>
    <pivotField axis="axisRow" compact="0" outline="0" showAll="0" sortType="descending" defaultSubtotal="0">
      <items count="223">
        <item sd="0" m="1" x="206"/>
        <item sd="0" m="1" x="194"/>
        <item sd="0" m="1" x="161"/>
        <item sd="0" m="1" x="49"/>
        <item sd="0" m="1" x="178"/>
        <item sd="0" m="1" x="149"/>
        <item sd="0" m="1" x="211"/>
        <item sd="0" m="1" x="76"/>
        <item sd="0" m="1" x="82"/>
        <item sd="0" m="1" x="155"/>
        <item sd="0" m="1" x="51"/>
        <item sd="0" m="1" x="197"/>
        <item sd="0" m="1" x="87"/>
        <item sd="0" m="1" x="66"/>
        <item sd="0" m="1" x="61"/>
        <item sd="0" m="1" x="52"/>
        <item sd="0" m="1" x="86"/>
        <item sd="0" m="1" x="45"/>
        <item sd="0" m="1" x="156"/>
        <item sd="0" m="1" x="198"/>
        <item sd="0" m="1" x="93"/>
        <item sd="0" m="1" x="169"/>
        <item sd="0" m="1" x="210"/>
        <item sd="0" m="1" x="42"/>
        <item sd="0" m="1" x="94"/>
        <item sd="0" m="1" x="137"/>
        <item sd="0" m="1" x="138"/>
        <item sd="0" m="1" x="67"/>
        <item sd="0" m="1" x="207"/>
        <item sd="0" m="1" x="204"/>
        <item sd="0" m="1" x="104"/>
        <item sd="0" m="1" x="179"/>
        <item sd="0" m="1" x="75"/>
        <item sd="0" m="1" x="180"/>
        <item sd="0" m="1" x="121"/>
        <item sd="0" m="1" x="145"/>
        <item sd="0" m="1" x="127"/>
        <item sd="0" m="1" x="35"/>
        <item sd="0" m="1" x="143"/>
        <item sd="0" m="1" x="91"/>
        <item sd="0" m="1" x="120"/>
        <item sd="0" m="1" x="174"/>
        <item sd="0" m="1" x="107"/>
        <item sd="0" m="1" x="141"/>
        <item sd="0" m="1" x="115"/>
        <item sd="0" m="1" x="34"/>
        <item sd="0" m="1" x="97"/>
        <item sd="0" m="1" x="125"/>
        <item sd="0" m="1" x="192"/>
        <item sd="0" m="1" x="60"/>
        <item sd="0" m="1" x="158"/>
        <item sd="0" m="1" x="85"/>
        <item sd="0" m="1" x="200"/>
        <item sd="0" m="1" x="44"/>
        <item sd="0" m="1" x="202"/>
        <item sd="0" m="1" x="186"/>
        <item sd="0" m="1" x="201"/>
        <item sd="0" m="1" x="100"/>
        <item sd="0" m="1" x="166"/>
        <item sd="0" m="1" x="83"/>
        <item sd="0" m="1" x="126"/>
        <item sd="0" m="1" x="110"/>
        <item sd="0" m="1" x="142"/>
        <item sd="0" m="1" x="102"/>
        <item sd="0" m="1" x="199"/>
        <item sd="0" m="1" x="101"/>
        <item sd="0" m="1" x="64"/>
        <item sd="0" m="1" x="219"/>
        <item sd="0" m="1" x="129"/>
        <item sd="0" m="1" x="152"/>
        <item sd="0" m="1" x="213"/>
        <item sd="0" m="1" x="170"/>
        <item sd="0" m="1" x="218"/>
        <item sd="0" m="1" x="80"/>
        <item sd="0" m="1" x="214"/>
        <item sd="0" m="1" x="132"/>
        <item sd="0" m="1" x="81"/>
        <item sd="0" m="1" x="47"/>
        <item sd="0" m="1" x="172"/>
        <item sd="0" m="1" x="146"/>
        <item sd="0" m="1" x="185"/>
        <item sd="0" m="1" x="59"/>
        <item sd="0" m="1" x="50"/>
        <item sd="0" m="1" x="56"/>
        <item sd="0" m="1" x="196"/>
        <item sd="0" m="1" x="176"/>
        <item sd="0" m="1" x="171"/>
        <item sd="0" m="1" x="217"/>
        <item sd="0" m="1" x="122"/>
        <item sd="0" m="1" x="191"/>
        <item sd="0" m="1" x="151"/>
        <item sd="0" m="1" x="183"/>
        <item sd="0" m="1" x="78"/>
        <item sd="0" m="1" x="108"/>
        <item sd="0" m="1" x="144"/>
        <item sd="0" m="1" x="111"/>
        <item sd="0" m="1" x="168"/>
        <item sd="0" m="1" x="109"/>
        <item sd="0" m="1" x="46"/>
        <item sd="0" m="1" x="117"/>
        <item sd="0" m="1" x="148"/>
        <item sd="0" m="1" x="96"/>
        <item m="1" x="55"/>
        <item m="1" x="216"/>
        <item sd="0" m="1" x="119"/>
        <item sd="0" m="1" x="162"/>
        <item sd="0" m="1" x="139"/>
        <item sd="0" m="1" x="182"/>
        <item sd="0" m="1" x="190"/>
        <item sd="0" m="1" x="58"/>
        <item sd="0" m="1" x="175"/>
        <item sd="0" m="1" x="157"/>
        <item sd="0" m="1" x="177"/>
        <item sd="0" m="1" x="38"/>
        <item sd="0" m="1" x="205"/>
        <item sd="0" m="1" x="203"/>
        <item sd="0" m="1" x="40"/>
        <item sd="0" m="1" x="209"/>
        <item sd="0" m="1" x="118"/>
        <item sd="0" m="1" x="134"/>
        <item sd="0" m="1" x="165"/>
        <item sd="0" m="1" x="135"/>
        <item sd="0" m="1" x="103"/>
        <item sd="0" m="1" x="212"/>
        <item sd="0" m="1" x="147"/>
        <item sd="0" x="27"/>
        <item sd="0" m="1" x="167"/>
        <item sd="0" m="1" x="163"/>
        <item sd="0" m="1" x="154"/>
        <item sd="0" m="1" x="73"/>
        <item sd="0" m="1" x="41"/>
        <item sd="0" m="1" x="98"/>
        <item sd="0" x="9"/>
        <item sd="0" m="1" x="153"/>
        <item sd="0" m="1" x="70"/>
        <item sd="0" m="1" x="63"/>
        <item sd="0" m="1" x="184"/>
        <item sd="0" m="1" x="33"/>
        <item sd="0" m="1" x="90"/>
        <item sd="0" m="1" x="136"/>
        <item sd="0" m="1" x="68"/>
        <item sd="0" m="1" x="124"/>
        <item sd="0" x="14"/>
        <item sd="0" x="28"/>
        <item sd="0" m="1" x="112"/>
        <item sd="0" m="1" x="79"/>
        <item sd="0" m="1" x="77"/>
        <item sd="0" m="1" x="89"/>
        <item sd="0" m="1" x="69"/>
        <item sd="0" m="1" x="105"/>
        <item sd="0" m="1" x="221"/>
        <item sd="0" m="1" x="62"/>
        <item sd="0" m="1" x="188"/>
        <item sd="0" m="1" x="57"/>
        <item sd="0" m="1" x="160"/>
        <item sd="0" m="1" x="39"/>
        <item sd="0" x="1"/>
        <item sd="0" x="2"/>
        <item sd="0" m="1" x="71"/>
        <item sd="0" m="1" x="99"/>
        <item sd="0" m="1" x="128"/>
        <item sd="0" x="4"/>
        <item sd="0" m="1" x="54"/>
        <item sd="0" m="1" x="159"/>
        <item sd="0" x="3"/>
        <item sd="0" x="29"/>
        <item sd="0" m="1" x="116"/>
        <item sd="0" m="1" x="195"/>
        <item sd="0" m="1" x="72"/>
        <item sd="0" m="1" x="220"/>
        <item sd="0" m="1" x="113"/>
        <item sd="0" m="1" x="189"/>
        <item sd="0" m="1" x="37"/>
        <item sd="0" m="1" x="140"/>
        <item sd="0" m="1" x="84"/>
        <item sd="0" m="1" x="131"/>
        <item sd="0" m="1" x="106"/>
        <item sd="0" m="1" x="133"/>
        <item sd="0" m="1" x="187"/>
        <item sd="0" m="1" x="173"/>
        <item sd="0" x="30"/>
        <item sd="0" m="1" x="114"/>
        <item sd="0" m="1" x="208"/>
        <item sd="0" x="15"/>
        <item sd="0" m="1" x="36"/>
        <item sd="0" x="26"/>
        <item sd="0" m="1" x="123"/>
        <item sd="0" x="23"/>
        <item sd="0" m="1" x="53"/>
        <item sd="0" m="1" x="164"/>
        <item sd="0" m="1" x="92"/>
        <item sd="0" m="1" x="193"/>
        <item sd="0" x="24"/>
        <item sd="0" m="1" x="222"/>
        <item sd="0" m="1" x="43"/>
        <item sd="0" m="1" x="65"/>
        <item sd="0" x="5"/>
        <item sd="0" x="16"/>
        <item sd="0" m="1" x="88"/>
        <item sd="0" m="1" x="181"/>
        <item sd="0" x="10"/>
        <item sd="0" m="1" x="130"/>
        <item sd="0" m="1" x="74"/>
        <item sd="0" m="1" x="95"/>
        <item sd="0" x="32"/>
        <item sd="0" x="17"/>
        <item sd="0" x="18"/>
        <item sd="0" m="1" x="150"/>
        <item sd="0" x="6"/>
        <item sd="0" x="19"/>
        <item sd="0" m="1" x="48"/>
        <item sd="0" x="11"/>
        <item sd="0" x="0"/>
        <item sd="0" x="25"/>
        <item sd="0" x="31"/>
        <item sd="0" x="20"/>
        <item sd="0" x="21"/>
        <item sd="0" x="22"/>
        <item sd="0" x="7"/>
        <item m="1" x="215"/>
        <item sd="0" x="8"/>
        <item sd="0" x="12"/>
        <item sd="0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2">
        <item m="1" x="1"/>
        <item x="0"/>
      </items>
    </pivotField>
    <pivotField axis="axisRow" compact="0" outline="0" multipleItemSelectionAllowed="1" showAll="0">
      <items count="1204">
        <item m="1" x="1026"/>
        <item m="1" x="430"/>
        <item m="1" x="1053"/>
        <item m="1" x="454"/>
        <item m="1" x="1079"/>
        <item m="1" x="480"/>
        <item m="1" x="1104"/>
        <item m="1" x="503"/>
        <item m="1" x="1126"/>
        <item m="1" x="525"/>
        <item m="1" x="1148"/>
        <item m="1" x="858"/>
        <item m="1" x="271"/>
        <item m="1" x="883"/>
        <item m="1" x="290"/>
        <item m="1" x="899"/>
        <item m="1" x="306"/>
        <item m="1" x="919"/>
        <item m="1" x="327"/>
        <item m="1" x="940"/>
        <item m="1" x="349"/>
        <item m="1" x="967"/>
        <item m="1" x="371"/>
        <item m="1" x="988"/>
        <item m="1" x="391"/>
        <item m="1" x="1008"/>
        <item m="1" x="1004"/>
        <item m="1" x="408"/>
        <item m="1" x="412"/>
        <item m="1" x="1030"/>
        <item m="1" x="433"/>
        <item m="1" x="1056"/>
        <item m="1" x="456"/>
        <item m="1" x="1081"/>
        <item m="1" x="482"/>
        <item m="1" x="1106"/>
        <item m="1" x="505"/>
        <item m="1" x="1128"/>
        <item m="1" x="527"/>
        <item m="1" x="1150"/>
        <item m="1" x="546"/>
        <item m="1" x="1168"/>
        <item m="1" x="564"/>
        <item m="1" x="1186"/>
        <item m="1" x="903"/>
        <item m="1" x="310"/>
        <item m="1" x="923"/>
        <item m="1" x="331"/>
        <item m="1" x="944"/>
        <item m="1" x="353"/>
        <item m="1" x="971"/>
        <item m="1" x="375"/>
        <item m="1" x="991"/>
        <item m="1" x="394"/>
        <item m="1" x="1012"/>
        <item m="1" x="1034"/>
        <item m="1" x="437"/>
        <item m="1" x="1060"/>
        <item m="1" x="460"/>
        <item m="1" x="1085"/>
        <item m="1" x="486"/>
        <item m="1" x="508"/>
        <item m="1" x="1131"/>
        <item m="1" x="416"/>
        <item m="1" x="1109"/>
        <item m="1" x="530"/>
        <item m="1" x="1153"/>
        <item m="1" x="548"/>
        <item m="1" x="1170"/>
        <item m="1" x="566"/>
        <item m="1" x="1188"/>
        <item m="1" x="582"/>
        <item m="1" x="8"/>
        <item m="1" x="596"/>
        <item m="1" x="948"/>
        <item m="1" x="356"/>
        <item m="1" x="974"/>
        <item m="1" x="377"/>
        <item m="1" x="993"/>
        <item m="1" x="396"/>
        <item m="1" x="1014"/>
        <item m="1" x="418"/>
        <item m="1" x="1036"/>
        <item m="1" x="439"/>
        <item m="1" x="1063"/>
        <item m="1" x="463"/>
        <item m="1" x="1088"/>
        <item m="1" x="489"/>
        <item m="1" x="1112"/>
        <item m="1" x="511"/>
        <item m="1" x="1134"/>
        <item m="1" x="533"/>
        <item m="1" x="1156"/>
        <item m="1" x="552"/>
        <item m="1" x="1174"/>
        <item m="1" x="570"/>
        <item m="1" x="1192"/>
        <item m="1" x="584"/>
        <item m="1" x="10"/>
        <item m="1" x="598"/>
        <item m="1" x="22"/>
        <item m="1" x="610"/>
        <item m="1" x="33"/>
        <item m="1" x="625"/>
        <item m="1" x="47"/>
        <item m="1" x="996"/>
        <item m="1" x="399"/>
        <item m="1" x="1017"/>
        <item m="1" x="421"/>
        <item m="1" x="1039"/>
        <item m="1" x="443"/>
        <item m="1" x="1067"/>
        <item m="1" x="468"/>
        <item m="1" x="1093"/>
        <item m="1" x="493"/>
        <item m="1" x="1116"/>
        <item m="1" x="515"/>
        <item m="1" x="1138"/>
        <item m="1" x="537"/>
        <item m="1" x="1159"/>
        <item m="1" x="555"/>
        <item m="1" x="1177"/>
        <item m="1" x="573"/>
        <item m="1" x="1195"/>
        <item m="1" x="586"/>
        <item m="1" x="12"/>
        <item m="1" x="600"/>
        <item m="1" x="24"/>
        <item m="1" x="612"/>
        <item m="1" x="35"/>
        <item m="1" x="627"/>
        <item m="1" x="49"/>
        <item m="1" x="640"/>
        <item m="1" x="62"/>
        <item m="1" x="653"/>
        <item m="1" x="1042"/>
        <item m="1" x="446"/>
        <item m="1" x="1071"/>
        <item m="1" x="472"/>
        <item m="1" x="1097"/>
        <item m="1" x="497"/>
        <item m="1" x="1120"/>
        <item m="1" x="519"/>
        <item m="1" x="1142"/>
        <item m="1" x="540"/>
        <item m="1" x="1162"/>
        <item m="1" x="558"/>
        <item m="1" x="1180"/>
        <item m="1" x="576"/>
        <item m="1" x="1197"/>
        <item m="1" x="588"/>
        <item m="1" x="14"/>
        <item m="1" x="602"/>
        <item m="1" x="26"/>
        <item m="1" x="615"/>
        <item m="1" x="38"/>
        <item m="1" x="631"/>
        <item m="1" x="53"/>
        <item m="1" x="642"/>
        <item m="1" x="64"/>
        <item m="1" x="655"/>
        <item m="1" x="76"/>
        <item m="1" x="668"/>
        <item m="1" x="87"/>
        <item m="1" x="683"/>
        <item m="1" x="102"/>
        <item m="1" x="621"/>
        <item m="1" x="44"/>
        <item m="1" x="637"/>
        <item m="1" x="59"/>
        <item m="1" x="648"/>
        <item m="1" x="70"/>
        <item m="1" x="662"/>
        <item m="1" x="81"/>
        <item m="1" x="673"/>
        <item m="1" x="92"/>
        <item m="1" x="688"/>
        <item m="1" x="107"/>
        <item m="1" x="699"/>
        <item m="1" x="117"/>
        <item m="1" x="713"/>
        <item m="1" x="131"/>
        <item m="1" x="728"/>
        <item m="1" x="145"/>
        <item m="1" x="745"/>
        <item m="1" x="160"/>
        <item m="1" x="760"/>
        <item m="1" x="173"/>
        <item m="1" x="775"/>
        <item m="1" x="190"/>
        <item m="1" x="792"/>
        <item m="1" x="207"/>
        <item m="1" x="815"/>
        <item m="1" x="229"/>
        <item m="1" x="839"/>
        <item m="1" x="252"/>
        <item m="1" x="864"/>
        <item m="1" x="649"/>
        <item m="1" x="71"/>
        <item m="1" x="663"/>
        <item m="1" x="82"/>
        <item m="1" x="675"/>
        <item m="1" x="94"/>
        <item m="1" x="690"/>
        <item m="1" x="109"/>
        <item m="1" x="701"/>
        <item m="1" x="119"/>
        <item m="1" x="715"/>
        <item m="1" x="133"/>
        <item m="1" x="730"/>
        <item m="1" x="147"/>
        <item m="1" x="747"/>
        <item m="1" x="162"/>
        <item m="1" x="762"/>
        <item m="1" x="175"/>
        <item m="1" x="777"/>
        <item m="1" x="192"/>
        <item m="1" x="794"/>
        <item m="1" x="209"/>
        <item m="1" x="817"/>
        <item m="1" x="231"/>
        <item m="1" x="841"/>
        <item m="1" x="254"/>
        <item m="1" x="866"/>
        <item m="1" x="277"/>
        <item m="1" x="678"/>
        <item m="1" x="96"/>
        <item m="1" x="692"/>
        <item m="1" x="111"/>
        <item m="1" x="703"/>
        <item m="1" x="121"/>
        <item m="1" x="718"/>
        <item m="1" x="136"/>
        <item m="1" x="734"/>
        <item m="1" x="151"/>
        <item m="1" x="751"/>
        <item m="1" x="166"/>
        <item m="1" x="179"/>
        <item m="1" x="781"/>
        <item m="1" x="196"/>
        <item m="1" x="798"/>
        <item m="1" x="212"/>
        <item m="1" x="820"/>
        <item m="1" x="234"/>
        <item m="1" x="844"/>
        <item m="1" x="257"/>
        <item m="1" x="869"/>
        <item m="1" x="279"/>
        <item m="1" x="889"/>
        <item m="1" x="297"/>
        <item m="1" x="910"/>
        <item m="1" x="317"/>
        <item m="1" x="930"/>
        <item m="1" x="338"/>
        <item m="1" x="953"/>
        <item m="1" x="706"/>
        <item m="1" x="124"/>
        <item m="1" x="721"/>
        <item m="1" x="138"/>
        <item m="1" x="736"/>
        <item m="1" x="153"/>
        <item m="1" x="753"/>
        <item m="1" x="168"/>
        <item m="1" x="768"/>
        <item m="1" x="182"/>
        <item m="1" x="784"/>
        <item m="1" x="199"/>
        <item m="1" x="801"/>
        <item m="1" x="215"/>
        <item m="1" x="823"/>
        <item m="1" x="236"/>
        <item m="1" x="846"/>
        <item m="1" x="260"/>
        <item m="1" x="872"/>
        <item m="1" x="282"/>
        <item m="1" x="892"/>
        <item m="1" x="299"/>
        <item m="1" x="912"/>
        <item m="1" x="319"/>
        <item m="1" x="932"/>
        <item m="1" x="340"/>
        <item m="1" x="955"/>
        <item m="1" x="361"/>
        <item m="1" x="978"/>
        <item m="1" x="381"/>
        <item m="1" x="740"/>
        <item m="1" x="32"/>
        <item m="1" x="156"/>
        <item m="1" x="756"/>
        <item m="1" x="170"/>
        <item m="1" x="770"/>
        <item m="1" x="184"/>
        <item m="1" x="786"/>
        <item m="1" x="201"/>
        <item m="1" x="804"/>
        <item m="1" x="218"/>
        <item m="1" x="826"/>
        <item m="1" x="239"/>
        <item m="1" x="849"/>
        <item m="1" x="263"/>
        <item m="1" x="875"/>
        <item m="1" x="284"/>
        <item m="1" x="894"/>
        <item m="1" x="301"/>
        <item m="1" x="914"/>
        <item m="1" x="321"/>
        <item m="1" x="934"/>
        <item m="1" x="342"/>
        <item m="1" x="958"/>
        <item m="1" x="363"/>
        <item m="1" x="980"/>
        <item m="1" x="383"/>
        <item m="1" x="1000"/>
        <item m="1" x="404"/>
        <item m="1" x="1023"/>
        <item m="1" x="427"/>
        <item m="1" x="1050"/>
        <item m="1" x="773"/>
        <item m="1" x="187"/>
        <item m="1" x="789"/>
        <item m="1" x="204"/>
        <item m="1" x="807"/>
        <item m="1" x="221"/>
        <item m="1" x="829"/>
        <item m="1" x="242"/>
        <item m="1" x="852"/>
        <item m="1" x="266"/>
        <item m="1" x="878"/>
        <item m="1" x="287"/>
        <item m="1" x="896"/>
        <item m="1" x="303"/>
        <item m="1" x="916"/>
        <item m="1" x="323"/>
        <item m="1" x="936"/>
        <item m="1" x="345"/>
        <item m="1" x="961"/>
        <item m="1" x="365"/>
        <item m="1" x="982"/>
        <item m="1" x="385"/>
        <item m="1" x="1002"/>
        <item m="1" x="406"/>
        <item m="1" x="1024"/>
        <item m="1" x="428"/>
        <item m="1" x="1051"/>
        <item m="1" x="453"/>
        <item m="1" x="1078"/>
        <item m="1" x="479"/>
        <item m="1" x="810"/>
        <item m="1" x="224"/>
        <item m="1" x="832"/>
        <item m="1" x="245"/>
        <item m="1" x="855"/>
        <item m="1" x="269"/>
        <item m="1" x="881"/>
        <item m="1" x="288"/>
        <item m="1" x="897"/>
        <item m="1" x="304"/>
        <item m="1" x="389"/>
        <item m="1" x="1006"/>
        <item m="1" x="410"/>
        <item m="1" x="1028"/>
        <item m="1" x="431"/>
        <item m="1" x="1054"/>
        <item m="1" x="455"/>
        <item m="1" x="1080"/>
        <item m="1" x="481"/>
        <item m="1" x="1105"/>
        <item m="1" x="504"/>
        <item m="1" x="1127"/>
        <item m="1" x="526"/>
        <item m="1" x="1149"/>
        <item m="1" x="860"/>
        <item m="1" x="273"/>
        <item m="1" x="885"/>
        <item m="1" x="292"/>
        <item m="1" x="901"/>
        <item m="1" x="308"/>
        <item m="1" x="921"/>
        <item m="1" x="329"/>
        <item m="1" x="942"/>
        <item m="1" x="351"/>
        <item m="1" x="969"/>
        <item m="1" x="373"/>
        <item m="1" x="989"/>
        <item m="1" x="392"/>
        <item m="1" x="1010"/>
        <item m="1" x="414"/>
        <item m="1" x="1032"/>
        <item m="1" x="435"/>
        <item m="1" x="1058"/>
        <item m="1" x="458"/>
        <item m="1" x="1083"/>
        <item m="1" x="484"/>
        <item m="1" x="1107"/>
        <item m="1" x="506"/>
        <item m="1" x="1129"/>
        <item m="1" x="528"/>
        <item m="1" x="1151"/>
        <item m="1" x="547"/>
        <item m="1" x="1169"/>
        <item m="1" x="565"/>
        <item m="1" x="1187"/>
        <item m="1" x="905"/>
        <item m="1" x="312"/>
        <item m="1" x="925"/>
        <item m="1" x="333"/>
        <item m="1" x="946"/>
        <item m="1" x="354"/>
        <item m="1" x="972"/>
        <item m="1" x="376"/>
        <item m="1" x="992"/>
        <item m="1" x="395"/>
        <item m="1" x="1013"/>
        <item m="1" x="417"/>
        <item m="1" x="1035"/>
        <item m="1" x="438"/>
        <item m="1" x="1061"/>
        <item m="1" x="461"/>
        <item m="1" x="1086"/>
        <item m="1" x="487"/>
        <item m="1" x="1110"/>
        <item m="1" x="509"/>
        <item m="1" x="1132"/>
        <item m="1" x="531"/>
        <item m="1" x="1154"/>
        <item m="1" x="550"/>
        <item m="1" x="1172"/>
        <item m="1" x="568"/>
        <item m="1" x="1190"/>
        <item m="1" x="583"/>
        <item m="1" x="9"/>
        <item m="1" x="597"/>
        <item m="1" x="951"/>
        <item m="1" x="359"/>
        <item m="1" x="976"/>
        <item m="1" x="379"/>
        <item m="1" x="995"/>
        <item m="1" x="398"/>
        <item m="1" x="1016"/>
        <item m="1" x="420"/>
        <item m="1" x="1038"/>
        <item m="1" x="442"/>
        <item m="1" x="1066"/>
        <item m="1" x="466"/>
        <item m="1" x="1091"/>
        <item m="1" x="491"/>
        <item m="1" x="1114"/>
        <item m="1" x="513"/>
        <item m="1" x="1136"/>
        <item m="1" x="535"/>
        <item m="1" x="1158"/>
        <item m="1" x="554"/>
        <item m="1" x="1176"/>
        <item m="1" x="572"/>
        <item m="1" x="1194"/>
        <item m="1" x="585"/>
        <item m="1" x="11"/>
        <item m="1" x="599"/>
        <item m="1" x="23"/>
        <item m="1" x="611"/>
        <item m="1" x="34"/>
        <item m="1" x="626"/>
        <item m="1" x="48"/>
        <item m="1" x="997"/>
        <item m="1" x="400"/>
        <item m="1" x="1018"/>
        <item m="1" x="422"/>
        <item m="1" x="1041"/>
        <item m="1" x="445"/>
        <item m="1" x="539"/>
        <item m="1" x="1161"/>
        <item m="1" x="471"/>
        <item m="1" x="557"/>
        <item m="1" x="1096"/>
        <item m="1" x="1179"/>
        <item m="1" x="496"/>
        <item m="1" x="575"/>
        <item m="1" x="1119"/>
        <item m="1" x="1196"/>
        <item m="1" x="518"/>
        <item m="1" x="587"/>
        <item m="1" x="1141"/>
        <item m="1" x="1070"/>
        <item m="1" x="13"/>
        <item m="1" x="601"/>
        <item m="1" x="25"/>
        <item m="1" x="613"/>
        <item m="1" x="36"/>
        <item m="1" x="629"/>
        <item m="1" x="51"/>
        <item m="1" x="641"/>
        <item m="1" x="63"/>
        <item m="1" x="654"/>
        <item m="1" x="1045"/>
        <item m="1" x="449"/>
        <item m="1" x="1074"/>
        <item m="1" x="475"/>
        <item m="1" x="1100"/>
        <item m="1" x="500"/>
        <item m="1" x="1123"/>
        <item m="1" x="522"/>
        <item m="1" x="1145"/>
        <item m="1" x="543"/>
        <item m="1" x="1165"/>
        <item m="1" x="561"/>
        <item m="1" x="1183"/>
        <item m="1" x="579"/>
        <item m="1" x="1200"/>
        <item m="1" x="591"/>
        <item m="1" x="17"/>
        <item m="1" x="605"/>
        <item m="1" x="657"/>
        <item m="1" x="77"/>
        <item m="1" x="669"/>
        <item m="1" x="88"/>
        <item m="1" x="684"/>
        <item m="1" x="103"/>
        <item m="1" x="622"/>
        <item m="1" x="674"/>
        <item m="1" x="93"/>
        <item m="1" x="689"/>
        <item m="1" x="108"/>
        <item m="1" x="700"/>
        <item m="1" x="118"/>
        <item m="1" x="714"/>
        <item m="1" x="132"/>
        <item m="1" x="729"/>
        <item m="1" x="146"/>
        <item m="1" x="746"/>
        <item m="1" x="161"/>
        <item m="1" x="761"/>
        <item m="1" x="174"/>
        <item m="1" x="776"/>
        <item m="1" x="191"/>
        <item m="1" x="793"/>
        <item m="1" x="208"/>
        <item m="1" x="816"/>
        <item m="1" x="230"/>
        <item m="1" x="840"/>
        <item m="1" x="253"/>
        <item m="1" x="865"/>
        <item m="1" x="650"/>
        <item m="1" x="72"/>
        <item m="1" x="664"/>
        <item m="1" x="83"/>
        <item m="1" x="676"/>
        <item m="1" x="732"/>
        <item m="1" x="149"/>
        <item m="1" x="749"/>
        <item m="1" x="164"/>
        <item m="1" x="764"/>
        <item m="1" x="177"/>
        <item m="1" x="779"/>
        <item m="1" x="194"/>
        <item m="1" x="796"/>
        <item m="1" x="211"/>
        <item m="1" x="819"/>
        <item m="1" x="233"/>
        <item m="1" x="843"/>
        <item m="1" x="256"/>
        <item m="1" x="868"/>
        <item m="1" x="278"/>
        <item m="1" x="680"/>
        <item m="1" x="98"/>
        <item m="1" x="694"/>
        <item m="1" x="113"/>
        <item m="1" x="705"/>
        <item m="1" x="123"/>
        <item m="1" x="720"/>
        <item m="1" x="137"/>
        <item m="1" x="735"/>
        <item m="1" x="152"/>
        <item m="1" x="752"/>
        <item m="1" x="167"/>
        <item m="1" x="766"/>
        <item m="1" x="180"/>
        <item m="1" x="782"/>
        <item m="1" x="197"/>
        <item m="1" x="799"/>
        <item m="1" x="213"/>
        <item m="1" x="821"/>
        <item m="1" x="235"/>
        <item m="1" x="845"/>
        <item m="1" x="259"/>
        <item m="1" x="871"/>
        <item m="1" x="281"/>
        <item m="1" x="891"/>
        <item m="1" x="298"/>
        <item m="1" x="911"/>
        <item m="1" x="318"/>
        <item m="1" x="931"/>
        <item m="1" x="339"/>
        <item m="1" x="954"/>
        <item m="1" x="708"/>
        <item m="1" x="126"/>
        <item m="1" x="723"/>
        <item m="1" x="140"/>
        <item m="1" x="738"/>
        <item m="1" x="155"/>
        <item m="1" x="755"/>
        <item m="1" x="169"/>
        <item m="1" x="769"/>
        <item m="1" x="183"/>
        <item m="1" x="785"/>
        <item m="1" x="200"/>
        <item m="1" x="802"/>
        <item m="1" x="216"/>
        <item m="1" x="824"/>
        <item m="1" x="237"/>
        <item m="1" x="847"/>
        <item m="1" x="261"/>
        <item m="1" x="873"/>
        <item m="1" x="283"/>
        <item m="1" x="893"/>
        <item m="1" x="300"/>
        <item m="1" x="913"/>
        <item m="1" x="320"/>
        <item m="1" x="933"/>
        <item m="1" x="341"/>
        <item m="1" x="956"/>
        <item m="1" x="362"/>
        <item m="1" x="979"/>
        <item m="1" x="382"/>
        <item m="1" x="741"/>
        <item m="1" x="157"/>
        <item m="1" x="757"/>
        <item m="1" x="171"/>
        <item m="1" x="771"/>
        <item m="1" x="185"/>
        <item m="1" x="787"/>
        <item m="1" x="202"/>
        <item m="1" x="805"/>
        <item m="1" x="219"/>
        <item m="1" x="827"/>
        <item m="1" x="240"/>
        <item m="1" x="850"/>
        <item m="1" x="264"/>
        <item m="1" x="876"/>
        <item m="1" x="285"/>
        <item m="1" x="895"/>
        <item m="1" x="302"/>
        <item m="1" x="915"/>
        <item m="1" x="322"/>
        <item m="1" x="935"/>
        <item m="1" x="344"/>
        <item m="1" x="960"/>
        <item m="1" x="364"/>
        <item m="1" x="981"/>
        <item m="1" x="384"/>
        <item m="1" x="1001"/>
        <item m="1" x="405"/>
        <item m="1" x="809"/>
        <item m="1" x="223"/>
        <item m="1" x="831"/>
        <item m="1" x="244"/>
        <item m="1" x="854"/>
        <item m="1" x="268"/>
        <item m="1" x="880"/>
        <item m="1" x="964"/>
        <item m="1" x="368"/>
        <item m="1" x="985"/>
        <item m="1" x="388"/>
        <item m="1" x="1005"/>
        <item m="1" x="409"/>
        <item m="1" x="1027"/>
        <item m="1" x="835"/>
        <item m="1" x="248"/>
        <item m="1" x="859"/>
        <item m="1" x="272"/>
        <item m="1" x="884"/>
        <item m="1" x="291"/>
        <item m="1" x="900"/>
        <item m="1" x="307"/>
        <item m="1" x="920"/>
        <item m="1" x="328"/>
        <item m="1" x="941"/>
        <item m="1" x="350"/>
        <item m="1" x="968"/>
        <item m="1" x="372"/>
        <item m="1" x="549"/>
        <item m="1" x="1171"/>
        <item m="1" x="567"/>
        <item m="1" x="1189"/>
        <item m="1" x="907"/>
        <item m="1" x="314"/>
        <item m="1" x="927"/>
        <item m="1" x="335"/>
        <item m="1" x="949"/>
        <item m="1" x="357"/>
        <item m="1" x="975"/>
        <item m="1" x="378"/>
        <item m="1" x="994"/>
        <item m="1" x="397"/>
        <item m="1" x="1015"/>
        <item m="1" x="419"/>
        <item m="1" x="1037"/>
        <item m="1" x="440"/>
        <item m="1" x="1064"/>
        <item m="1" x="464"/>
        <item m="1" x="1089"/>
        <item m="1" x="1040"/>
        <item m="1" x="444"/>
        <item m="1" x="1068"/>
        <item m="1" x="469"/>
        <item m="1" x="1094"/>
        <item m="1" x="494"/>
        <item m="1" x="1117"/>
        <item m="1" x="516"/>
        <item m="1" x="1139"/>
        <item m="1" x="538"/>
        <item m="1" x="1160"/>
        <item m="1" x="556"/>
        <item m="1" x="1178"/>
        <item m="1" x="574"/>
        <item m="1" x="628"/>
        <item m="1" x="50"/>
        <item m="1" x="998"/>
        <item m="1" x="401"/>
        <item m="1" x="1019"/>
        <item m="1" x="423"/>
        <item m="1" x="1043"/>
        <item m="1" x="447"/>
        <item m="1" x="1072"/>
        <item m="1" x="473"/>
        <item m="1" x="1098"/>
        <item m="1" x="498"/>
        <item m="1" x="1121"/>
        <item m="1" x="520"/>
        <item m="1" x="1143"/>
        <item m="1" x="541"/>
        <item m="1" x="1163"/>
        <item m="1" x="559"/>
        <item m="1" x="1181"/>
        <item m="1" x="577"/>
        <item m="1" x="1198"/>
        <item m="1" x="589"/>
        <item m="1" x="15"/>
        <item m="1" x="603"/>
        <item m="1" x="27"/>
        <item m="1" x="616"/>
        <item m="1" x="39"/>
        <item m="1" x="632"/>
        <item m="1" x="54"/>
        <item m="1" x="643"/>
        <item m="1" x="65"/>
        <item m="1" x="656"/>
        <item m="1" x="1047"/>
        <item m="1" x="451"/>
        <item m="1" x="1076"/>
        <item m="1" x="477"/>
        <item m="1" x="1102"/>
        <item m="1" x="502"/>
        <item m="1" x="1125"/>
        <item m="1" x="524"/>
        <item m="1" x="1147"/>
        <item m="1" x="545"/>
        <item m="1" x="1167"/>
        <item m="1" x="563"/>
        <item m="1" x="1185"/>
        <item m="1" x="581"/>
        <item m="1" x="1202"/>
        <item m="1" x="593"/>
        <item m="1" x="19"/>
        <item m="1" x="607"/>
        <item m="1" x="29"/>
        <item m="1" x="618"/>
        <item m="1" x="41"/>
        <item m="1" x="634"/>
        <item m="1" x="56"/>
        <item m="1" x="645"/>
        <item m="1" x="67"/>
        <item m="1" x="659"/>
        <item m="1" x="78"/>
        <item m="1" x="670"/>
        <item m="1" x="89"/>
        <item m="1" x="685"/>
        <item m="1" x="104"/>
        <item m="1" x="716"/>
        <item m="1" x="134"/>
        <item m="1" x="731"/>
        <item m="1" x="148"/>
        <item m="1" x="748"/>
        <item m="1" x="163"/>
        <item m="1" x="763"/>
        <item m="1" x="176"/>
        <item m="1" x="778"/>
        <item m="1" x="193"/>
        <item m="1" x="795"/>
        <item m="1" x="210"/>
        <item m="1" x="818"/>
        <item m="1" x="232"/>
        <item m="1" x="842"/>
        <item m="1" x="255"/>
        <item m="1" x="867"/>
        <item m="1" x="652"/>
        <item m="1" x="74"/>
        <item m="1" x="666"/>
        <item m="1" x="85"/>
        <item m="1" x="679"/>
        <item m="1" x="97"/>
        <item m="1" x="693"/>
        <item m="1" x="112"/>
        <item m="1" x="704"/>
        <item m="1" x="122"/>
        <item m="1" x="719"/>
        <item m="1" x="258"/>
        <item m="1" x="870"/>
        <item m="1" x="280"/>
        <item m="1" x="890"/>
        <item m="1" x="681"/>
        <item m="1" x="99"/>
        <item m="1" x="695"/>
        <item m="1" x="324"/>
        <item m="1" x="937"/>
        <item m="1" x="346"/>
        <item m="1" x="962"/>
        <item m="1" x="366"/>
        <item m="1" x="983"/>
        <item m="1" x="386"/>
        <item m="1" x="1003"/>
        <item m="1" x="407"/>
        <item m="1" x="1025"/>
        <item m="1" x="429"/>
        <item m="1" x="1052"/>
        <item m="1" x="774"/>
        <item m="1" x="188"/>
        <item m="1" x="790"/>
        <item m="1" x="205"/>
        <item m="1" x="811"/>
        <item m="1" x="225"/>
        <item m="1" x="833"/>
        <item m="1" x="246"/>
        <item m="1" x="856"/>
        <item m="1" x="813"/>
        <item m="1" x="227"/>
        <item m="1" x="837"/>
        <item m="1" x="250"/>
        <item m="1" x="861"/>
        <item m="1" x="274"/>
        <item m="1" x="886"/>
        <item m="1" x="293"/>
        <item m="1" x="902"/>
        <item m="1" x="309"/>
        <item m="1" x="922"/>
        <item m="1" x="330"/>
        <item m="1" x="943"/>
        <item m="1" x="352"/>
        <item m="1" x="970"/>
        <item m="1" x="374"/>
        <item m="1" x="990"/>
        <item m="1" x="393"/>
        <item m="1" x="1011"/>
        <item m="1" x="415"/>
        <item m="1" x="1033"/>
        <item m="1" x="436"/>
        <item m="1" x="1059"/>
        <item m="1" x="459"/>
        <item m="1" x="1084"/>
        <item m="1" x="485"/>
        <item m="1" x="1108"/>
        <item m="1" x="507"/>
        <item m="1" x="1130"/>
        <item m="1" x="529"/>
        <item m="1" x="1152"/>
        <item m="1" x="863"/>
        <item m="1" x="276"/>
        <item m="1" x="888"/>
        <item m="1" x="295"/>
        <item m="1" x="906"/>
        <item m="1" x="313"/>
        <item m="1" x="926"/>
        <item m="1" x="334"/>
        <item m="1" x="947"/>
        <item m="1" x="355"/>
        <item m="1" x="973"/>
        <item m="1" x="1062"/>
        <item m="1" x="462"/>
        <item m="1" x="1087"/>
        <item m="1" x="488"/>
        <item m="1" x="1111"/>
        <item m="1" x="510"/>
        <item m="1" x="1133"/>
        <item m="1" x="532"/>
        <item m="1" x="1155"/>
        <item m="1" x="551"/>
        <item m="1" x="1173"/>
        <item m="1" x="569"/>
        <item m="1" x="1191"/>
        <item m="1" x="909"/>
        <item m="1" x="316"/>
        <item m="1" x="929"/>
        <item m="1" x="337"/>
        <item m="1" x="952"/>
        <item m="1" x="360"/>
        <item m="1" x="977"/>
        <item m="1" x="380"/>
        <item m="1" x="467"/>
        <item m="1" x="1092"/>
        <item m="1" x="492"/>
        <item m="1" x="1115"/>
        <item m="1" x="514"/>
        <item m="1" x="1137"/>
        <item m="1" x="536"/>
        <item m="1" x="614"/>
        <item m="1" x="37"/>
        <item m="1" x="630"/>
        <item m="1" x="52"/>
        <item m="1" x="999"/>
        <item m="1" x="403"/>
        <item m="1" x="1021"/>
        <item m="1" x="425"/>
        <item m="1" x="1046"/>
        <item m="1" x="450"/>
        <item m="1" x="1075"/>
        <item m="1" x="476"/>
        <item m="1" x="1101"/>
        <item m="1" x="501"/>
        <item m="1" x="1124"/>
        <item m="1" x="523"/>
        <item m="1" x="1146"/>
        <item m="1" x="544"/>
        <item m="1" x="1166"/>
        <item m="1" x="562"/>
        <item m="1" x="1184"/>
        <item m="1" x="580"/>
        <item m="1" x="1201"/>
        <item m="1" x="592"/>
        <item m="1" x="18"/>
        <item m="1" x="606"/>
        <item m="1" x="28"/>
        <item m="1" x="617"/>
        <item m="1" x="40"/>
        <item m="1" x="633"/>
        <item m="1" x="55"/>
        <item m="1" x="644"/>
        <item m="1" x="66"/>
        <item m="1" x="658"/>
        <item m="1" x="1049"/>
        <item m="1" x="594"/>
        <item m="1" x="20"/>
        <item m="1" x="608"/>
        <item m="1" x="30"/>
        <item m="1" x="619"/>
        <item m="1" x="42"/>
        <item m="1" x="635"/>
        <item m="1" x="57"/>
        <item m="1" x="646"/>
        <item m="1" x="68"/>
        <item m="1" x="660"/>
        <item m="1" x="79"/>
        <item m="1" x="671"/>
        <item m="1" x="90"/>
        <item m="1" x="686"/>
        <item m="1" x="105"/>
        <item m="1" x="623"/>
        <item m="1" x="45"/>
        <item m="1" x="638"/>
        <item m="1" x="60"/>
        <item m="1" x="651"/>
        <item m="1" x="767"/>
        <item m="1" x="181"/>
        <item m="1" x="783"/>
        <item m="1" x="198"/>
        <item m="1" x="800"/>
        <item m="1" x="214"/>
        <item m="1" x="822"/>
        <item m="1" x="697"/>
        <item m="1" x="115"/>
        <item m="1" x="709"/>
        <item m="1" x="127"/>
        <item m="1" x="724"/>
        <item m="1" x="141"/>
        <item m="1" x="739"/>
        <item m="1" x="803"/>
        <item m="1" x="217"/>
        <item m="1" x="825"/>
        <item m="1" x="238"/>
        <item m="1" x="848"/>
        <item m="1" x="262"/>
        <item m="1" x="874"/>
        <item m="1" x="957"/>
        <item m="1" x="711"/>
        <item m="1" x="129"/>
        <item m="1" x="726"/>
        <item m="1" x="143"/>
        <item m="1" x="742"/>
        <item m="1" x="158"/>
        <item m="1" x="758"/>
        <item m="1" x="172"/>
        <item m="1" x="772"/>
        <item m="1" x="186"/>
        <item m="1" x="788"/>
        <item m="1" x="203"/>
        <item m="1" x="806"/>
        <item m="1" x="220"/>
        <item m="1" x="828"/>
        <item m="1" x="241"/>
        <item m="1" x="851"/>
        <item m="1" x="265"/>
        <item m="1" x="877"/>
        <item m="1" x="286"/>
        <item m="1" x="917"/>
        <item m="1" x="325"/>
        <item m="1" x="938"/>
        <item m="1" x="347"/>
        <item m="1" x="965"/>
        <item m="1" x="369"/>
        <item m="1" x="986"/>
        <item m="1" x="189"/>
        <item m="1" x="791"/>
        <item m="1" x="206"/>
        <item m="1" x="812"/>
        <item m="1" x="226"/>
        <item m="1" x="836"/>
        <item m="1" x="249"/>
        <item m="1" x="1009"/>
        <item m="1" x="413"/>
        <item m="1" x="1031"/>
        <item m="1" x="434"/>
        <item m="1" x="1057"/>
        <item m="1" x="457"/>
        <item m="1" x="1082"/>
        <item m="1" x="483"/>
        <item m="1" x="814"/>
        <item m="1" x="228"/>
        <item m="1" x="838"/>
        <item m="1" x="251"/>
        <item m="1" x="862"/>
        <item m="1" x="275"/>
        <item m="1" x="887"/>
        <item m="1" x="294"/>
        <item m="1" x="904"/>
        <item m="1" x="311"/>
        <item m="1" x="924"/>
        <item m="1" x="332"/>
        <item m="1" x="945"/>
        <item m="1" x="296"/>
        <item m="1" x="908"/>
        <item m="1" x="315"/>
        <item m="1" x="928"/>
        <item m="1" x="336"/>
        <item m="1" x="950"/>
        <item m="1" x="358"/>
        <item m="1" x="441"/>
        <item m="1" x="1065"/>
        <item m="1" x="465"/>
        <item m="1" x="1090"/>
        <item m="1" x="490"/>
        <item m="1" x="1113"/>
        <item m="1" x="512"/>
        <item m="1" x="1135"/>
        <item m="1" x="534"/>
        <item m="1" x="1157"/>
        <item m="1" x="553"/>
        <item m="1" x="1175"/>
        <item m="1" x="571"/>
        <item m="1" x="1193"/>
        <item m="1" x="1069"/>
        <item m="1" x="470"/>
        <item m="1" x="1095"/>
        <item m="1" x="495"/>
        <item m="1" x="1118"/>
        <item m="1" x="517"/>
        <item m="1" x="1140"/>
        <item m="1" x="402"/>
        <item m="1" x="1020"/>
        <item m="1" x="424"/>
        <item m="1" x="1044"/>
        <item m="1" x="448"/>
        <item m="1" x="1073"/>
        <item m="1" x="474"/>
        <item m="1" x="1099"/>
        <item m="1" x="499"/>
        <item m="1" x="1122"/>
        <item m="1" x="521"/>
        <item m="1" x="1144"/>
        <item m="1" x="542"/>
        <item m="1" x="1164"/>
        <item m="1" x="560"/>
        <item m="1" x="1182"/>
        <item m="1" x="578"/>
        <item m="1" x="1199"/>
        <item m="1" x="590"/>
        <item m="1" x="16"/>
        <item m="1" x="604"/>
        <item m="1" x="1022"/>
        <item m="1" x="426"/>
        <item m="1" x="1048"/>
        <item m="1" x="452"/>
        <item m="1" x="1077"/>
        <item m="1" x="478"/>
        <item m="1" x="1103"/>
        <item m="1" x="7"/>
        <item m="1" x="595"/>
        <item m="1" x="21"/>
        <item m="1" x="609"/>
        <item m="1" x="31"/>
        <item m="1" x="620"/>
        <item m="1" x="43"/>
        <item m="1" x="636"/>
        <item m="1" x="58"/>
        <item m="1" x="647"/>
        <item m="1" x="69"/>
        <item m="1" x="661"/>
        <item m="1" x="80"/>
        <item m="1" x="672"/>
        <item m="1" x="91"/>
        <item m="1" x="687"/>
        <item m="1" x="106"/>
        <item m="1" x="624"/>
        <item m="1" x="46"/>
        <item m="1" x="639"/>
        <item m="1" x="61"/>
        <item m="1" x="73"/>
        <item m="1" x="665"/>
        <item m="1" x="84"/>
        <item m="1" x="677"/>
        <item m="1" x="95"/>
        <item m="1" x="691"/>
        <item m="1" x="110"/>
        <item m="1" x="702"/>
        <item m="1" x="120"/>
        <item m="1" x="717"/>
        <item m="1" x="135"/>
        <item m="1" x="733"/>
        <item m="1" x="150"/>
        <item m="1" x="750"/>
        <item m="1" x="165"/>
        <item m="1" x="765"/>
        <item m="1" x="178"/>
        <item m="1" x="780"/>
        <item m="1" x="195"/>
        <item m="1" x="797"/>
        <item m="1" x="75"/>
        <item m="1" x="667"/>
        <item m="1" x="86"/>
        <item m="1" x="682"/>
        <item m="1" x="100"/>
        <item m="1" x="696"/>
        <item m="1" x="114"/>
        <item m="1" x="707"/>
        <item m="1" x="125"/>
        <item m="1" x="722"/>
        <item m="1" x="139"/>
        <item m="1" x="737"/>
        <item m="1" x="154"/>
        <item m="1" x="754"/>
        <item m="1" x="101"/>
        <item m="1" x="698"/>
        <item m="1" x="116"/>
        <item m="1" x="710"/>
        <item m="1" x="128"/>
        <item m="1" x="725"/>
        <item m="1" x="142"/>
        <item m="1" x="343"/>
        <item m="1" x="959"/>
        <item m="1" x="712"/>
        <item m="1" x="130"/>
        <item m="1" x="727"/>
        <item m="1" x="144"/>
        <item m="1" x="743"/>
        <item m="1" x="808"/>
        <item m="1" x="222"/>
        <item m="1" x="830"/>
        <item m="1" x="243"/>
        <item m="1" x="853"/>
        <item m="1" x="267"/>
        <item m="1" x="879"/>
        <item m="1" x="963"/>
        <item m="1" x="367"/>
        <item m="1" x="984"/>
        <item m="1" x="387"/>
        <item m="1" x="744"/>
        <item m="1" x="159"/>
        <item m="1" x="759"/>
        <item m="1" x="834"/>
        <item m="1" x="247"/>
        <item m="1" x="857"/>
        <item m="1" x="270"/>
        <item m="1" x="882"/>
        <item m="1" x="289"/>
        <item m="1" x="898"/>
        <item m="1" x="305"/>
        <item m="1" x="918"/>
        <item m="1" x="326"/>
        <item m="1" x="939"/>
        <item m="1" x="348"/>
        <item m="1" x="966"/>
        <item m="1" x="370"/>
        <item m="1" x="987"/>
        <item m="1" x="390"/>
        <item m="1" x="1007"/>
        <item m="1" x="411"/>
        <item m="1" x="1029"/>
        <item m="1" x="432"/>
        <item m="1" x="1055"/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numFmtId="166" outline="0" showAll="0"/>
    <pivotField compact="0" outline="0" showAll="0">
      <items count="56">
        <item m="1" x="18"/>
        <item m="1" x="39"/>
        <item m="1" x="5"/>
        <item m="1" x="27"/>
        <item m="1" x="42"/>
        <item m="1" x="8"/>
        <item m="1" x="30"/>
        <item m="1" x="47"/>
        <item m="1" x="13"/>
        <item m="1" x="34"/>
        <item m="1" x="52"/>
        <item m="1" x="19"/>
        <item m="1" x="40"/>
        <item m="1" x="6"/>
        <item m="1" x="28"/>
        <item m="1" x="44"/>
        <item m="1" x="10"/>
        <item x="0"/>
        <item m="1" x="49"/>
        <item m="1" x="15"/>
        <item m="1" x="36"/>
        <item m="1" x="54"/>
        <item m="1" x="20"/>
        <item m="1" x="41"/>
        <item m="1" x="7"/>
        <item m="1" x="29"/>
        <item m="1" x="46"/>
        <item m="1" x="12"/>
        <item m="1" x="33"/>
        <item m="1" x="51"/>
        <item m="1" x="16"/>
        <item m="1" x="37"/>
        <item m="1" x="2"/>
        <item m="1" x="21"/>
        <item m="1" x="43"/>
        <item m="1" x="9"/>
        <item m="1" x="31"/>
        <item m="1" x="48"/>
        <item m="1" x="14"/>
        <item m="1" x="35"/>
        <item m="1" x="53"/>
        <item m="1" x="17"/>
        <item m="1" x="38"/>
        <item m="1" x="3"/>
        <item m="1" x="22"/>
        <item m="1" x="45"/>
        <item m="1" x="11"/>
        <item m="1" x="32"/>
        <item m="1" x="50"/>
        <item m="1" x="23"/>
        <item m="1" x="24"/>
        <item m="1" x="25"/>
        <item m="1" x="26"/>
        <item m="1" x="4"/>
        <item m="1" x="1"/>
        <item t="default"/>
      </items>
    </pivotField>
    <pivotField compact="0" outline="0" showAll="0">
      <items count="15">
        <item m="1" x="4"/>
        <item m="1" x="13"/>
        <item m="1" x="9"/>
        <item m="1" x="10"/>
        <item m="1" x="6"/>
        <item x="0"/>
        <item m="1" x="2"/>
        <item m="1" x="8"/>
        <item m="1" x="12"/>
        <item m="1" x="3"/>
        <item m="1" x="11"/>
        <item m="1" x="7"/>
        <item m="1" x="5"/>
        <item m="1" x="1"/>
        <item t="default"/>
      </items>
    </pivotField>
    <pivotField compact="0" outline="0" showAll="0"/>
    <pivotField compact="0" outline="0" showAll="0"/>
    <pivotField compact="0" numFmtId="164" outline="0" showAll="0"/>
    <pivotField axis="axisPage" compact="0" outline="0" multipleItemSelectionAllowed="1" showAll="0" defaultSubtotal="0">
      <items count="26">
        <item m="1" x="25"/>
        <item m="1" x="12"/>
        <item m="1" x="9"/>
        <item x="2"/>
        <item m="1" x="17"/>
        <item m="1" x="21"/>
        <item m="1" x="4"/>
        <item m="1" x="22"/>
        <item m="1" x="13"/>
        <item h="1" m="1" x="3"/>
        <item m="1" x="10"/>
        <item m="1" x="23"/>
        <item m="1" x="11"/>
        <item h="1" m="1" x="19"/>
        <item h="1" m="1" x="5"/>
        <item m="1" x="18"/>
        <item m="1" x="16"/>
        <item m="1" x="7"/>
        <item m="1" x="14"/>
        <item m="1" x="8"/>
        <item m="1" x="24"/>
        <item m="1" x="6"/>
        <item x="0"/>
        <item h="1" m="1" x="15"/>
        <item m="1" x="20"/>
        <item x="1"/>
      </items>
    </pivotField>
    <pivotField compact="0" outline="0" showAll="0">
      <items count="8">
        <item m="1" x="5"/>
        <item m="1" x="1"/>
        <item m="1" x="4"/>
        <item m="1" x="6"/>
        <item m="1" x="3"/>
        <item x="0"/>
        <item m="1" x="2"/>
        <item t="default"/>
      </items>
    </pivotField>
    <pivotField axis="axisPage" compact="0" outline="0" multipleItemSelectionAllowed="1" showAll="0" defaultSubtotal="0">
      <items count="8">
        <item m="1" x="4"/>
        <item m="1" x="7"/>
        <item m="1" x="2"/>
        <item m="1" x="3"/>
        <item m="1" x="6"/>
        <item x="1"/>
        <item m="1" x="5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1"/>
    <field x="16"/>
  </rowFields>
  <rowItems count="34">
    <i>
      <x v="205"/>
    </i>
    <i>
      <x v="216"/>
    </i>
    <i>
      <x v="211"/>
    </i>
    <i>
      <x v="132"/>
    </i>
    <i>
      <x v="221"/>
    </i>
    <i>
      <x v="142"/>
    </i>
    <i>
      <x v="208"/>
    </i>
    <i>
      <x v="143"/>
    </i>
    <i>
      <x v="214"/>
    </i>
    <i>
      <x v="156"/>
    </i>
    <i>
      <x v="218"/>
    </i>
    <i>
      <x v="157"/>
    </i>
    <i>
      <x v="204"/>
    </i>
    <i>
      <x v="161"/>
    </i>
    <i>
      <x v="206"/>
    </i>
    <i>
      <x v="164"/>
    </i>
    <i>
      <x v="209"/>
    </i>
    <i>
      <x v="165"/>
    </i>
    <i>
      <x v="212"/>
    </i>
    <i>
      <x v="180"/>
    </i>
    <i>
      <x v="215"/>
    </i>
    <i>
      <x v="183"/>
    </i>
    <i>
      <x v="217"/>
    </i>
    <i>
      <x v="196"/>
    </i>
    <i>
      <x v="220"/>
    </i>
    <i>
      <x v="197"/>
    </i>
    <i>
      <x v="222"/>
    </i>
    <i>
      <x v="125"/>
    </i>
    <i>
      <x v="200"/>
    </i>
    <i>
      <x v="213"/>
    </i>
    <i>
      <x v="185"/>
    </i>
    <i>
      <x v="187"/>
    </i>
    <i>
      <x v="192"/>
    </i>
    <i t="grand">
      <x/>
    </i>
  </rowItems>
  <colItems count="1">
    <i/>
  </colItems>
  <pageFields count="2">
    <pageField fld="26" hier="-1"/>
    <pageField fld="24" hier="-1"/>
  </pageFields>
  <dataFields count="1">
    <dataField name="Somme de Théorique" fld="34" baseField="0" baseItem="0" numFmtId="164"/>
  </dataFields>
  <formats count="9">
    <format dxfId="38">
      <pivotArea field="25" type="button" dataOnly="0" labelOnly="1" outline="0"/>
    </format>
    <format dxfId="37">
      <pivotArea field="15" type="button" dataOnly="0" labelOnly="1" outline="0"/>
    </format>
    <format dxfId="36">
      <pivotArea field="24" type="button" dataOnly="0" labelOnly="1" outline="0" axis="axisPage" fieldPosition="1"/>
    </format>
    <format dxfId="35">
      <pivotArea field="1" type="button" dataOnly="0" labelOnly="1" outline="0" axis="axisRow" fieldPosition="0"/>
    </format>
    <format dxfId="34">
      <pivotArea field="25" type="button" dataOnly="0" labelOnly="1" outline="0"/>
    </format>
    <format dxfId="33">
      <pivotArea field="15" type="button" dataOnly="0" labelOnly="1" outline="0"/>
    </format>
    <format dxfId="32">
      <pivotArea field="24" type="button" dataOnly="0" labelOnly="1" outline="0" axis="axisPage" fieldPosition="1"/>
    </format>
    <format dxfId="31">
      <pivotArea field="1" type="button" dataOnly="0" labelOnly="1" outline="0" axis="axisRow" fieldPosition="0"/>
    </format>
    <format dxfId="3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eau croisé dynamique4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6" indent="0" compact="0" compactData="0" multipleFieldFilters="0">
  <location ref="G5:O40" firstHeaderRow="1" firstDataRow="2" firstDataCol="1" rowPageCount="2" colPageCount="1"/>
  <pivotFields count="35">
    <pivotField compact="0" numFmtId="165" outline="0" showAll="0" defaultSubtotal="0"/>
    <pivotField axis="axisRow" compact="0" outline="0" showAll="0" defaultSubtotal="0">
      <items count="223">
        <item m="1" x="149"/>
        <item m="1" x="197"/>
        <item m="1" x="178"/>
        <item m="1" x="51"/>
        <item m="1" x="66"/>
        <item m="1" x="49"/>
        <item m="1" x="87"/>
        <item m="1" x="82"/>
        <item m="1" x="155"/>
        <item m="1" x="76"/>
        <item m="1" x="161"/>
        <item m="1" x="194"/>
        <item m="1" x="211"/>
        <item m="1" x="206"/>
        <item m="1" x="61"/>
        <item m="1" x="52"/>
        <item m="1" x="86"/>
        <item m="1" x="45"/>
        <item m="1" x="156"/>
        <item m="1" x="198"/>
        <item m="1" x="93"/>
        <item m="1" x="169"/>
        <item m="1" x="210"/>
        <item m="1" x="42"/>
        <item m="1" x="94"/>
        <item m="1" x="137"/>
        <item m="1" x="138"/>
        <item m="1" x="67"/>
        <item m="1" x="207"/>
        <item m="1" x="204"/>
        <item m="1" x="104"/>
        <item m="1" x="179"/>
        <item m="1" x="75"/>
        <item m="1" x="180"/>
        <item m="1" x="121"/>
        <item m="1" x="145"/>
        <item m="1" x="127"/>
        <item m="1" x="35"/>
        <item m="1" x="143"/>
        <item m="1" x="91"/>
        <item m="1" x="120"/>
        <item m="1" x="174"/>
        <item m="1" x="107"/>
        <item m="1" x="141"/>
        <item m="1" x="115"/>
        <item m="1" x="34"/>
        <item m="1" x="97"/>
        <item m="1" x="125"/>
        <item m="1" x="192"/>
        <item m="1" x="60"/>
        <item m="1" x="158"/>
        <item m="1" x="85"/>
        <item m="1" x="200"/>
        <item m="1" x="44"/>
        <item m="1" x="202"/>
        <item m="1" x="186"/>
        <item m="1" x="201"/>
        <item m="1" x="100"/>
        <item m="1" x="166"/>
        <item m="1" x="83"/>
        <item m="1" x="126"/>
        <item m="1" x="110"/>
        <item m="1" x="142"/>
        <item m="1" x="102"/>
        <item m="1" x="199"/>
        <item m="1" x="101"/>
        <item m="1" x="64"/>
        <item m="1" x="219"/>
        <item m="1" x="129"/>
        <item m="1" x="152"/>
        <item m="1" x="213"/>
        <item m="1" x="170"/>
        <item m="1" x="218"/>
        <item m="1" x="80"/>
        <item m="1" x="214"/>
        <item m="1" x="132"/>
        <item m="1" x="81"/>
        <item m="1" x="47"/>
        <item m="1" x="172"/>
        <item m="1" x="146"/>
        <item m="1" x="185"/>
        <item m="1" x="59"/>
        <item m="1" x="50"/>
        <item m="1" x="56"/>
        <item m="1" x="196"/>
        <item m="1" x="176"/>
        <item m="1" x="171"/>
        <item m="1" x="217"/>
        <item m="1" x="122"/>
        <item m="1" x="191"/>
        <item m="1" x="151"/>
        <item m="1" x="183"/>
        <item m="1" x="78"/>
        <item m="1" x="108"/>
        <item m="1" x="144"/>
        <item m="1" x="111"/>
        <item m="1" x="168"/>
        <item m="1" x="109"/>
        <item m="1" x="46"/>
        <item m="1" x="117"/>
        <item m="1" x="148"/>
        <item m="1" x="96"/>
        <item m="1" x="55"/>
        <item m="1" x="216"/>
        <item m="1" x="119"/>
        <item m="1" x="162"/>
        <item m="1" x="139"/>
        <item m="1" x="182"/>
        <item m="1" x="190"/>
        <item m="1" x="58"/>
        <item m="1" x="175"/>
        <item m="1" x="157"/>
        <item m="1" x="177"/>
        <item m="1" x="38"/>
        <item m="1" x="205"/>
        <item m="1" x="203"/>
        <item m="1" x="40"/>
        <item m="1" x="209"/>
        <item m="1" x="118"/>
        <item m="1" x="134"/>
        <item m="1" x="165"/>
        <item m="1" x="135"/>
        <item m="1" x="103"/>
        <item m="1" x="212"/>
        <item m="1" x="147"/>
        <item x="27"/>
        <item m="1" x="167"/>
        <item m="1" x="163"/>
        <item m="1" x="154"/>
        <item m="1" x="73"/>
        <item m="1" x="41"/>
        <item m="1" x="98"/>
        <item x="9"/>
        <item m="1" x="153"/>
        <item m="1" x="70"/>
        <item m="1" x="63"/>
        <item m="1" x="184"/>
        <item m="1" x="33"/>
        <item m="1" x="90"/>
        <item m="1" x="136"/>
        <item m="1" x="68"/>
        <item m="1" x="124"/>
        <item x="14"/>
        <item x="28"/>
        <item m="1" x="112"/>
        <item m="1" x="79"/>
        <item m="1" x="77"/>
        <item m="1" x="89"/>
        <item m="1" x="69"/>
        <item m="1" x="105"/>
        <item m="1" x="221"/>
        <item m="1" x="62"/>
        <item m="1" x="188"/>
        <item m="1" x="57"/>
        <item m="1" x="160"/>
        <item m="1" x="39"/>
        <item x="1"/>
        <item x="2"/>
        <item m="1" x="71"/>
        <item m="1" x="99"/>
        <item m="1" x="128"/>
        <item x="4"/>
        <item m="1" x="54"/>
        <item m="1" x="159"/>
        <item x="3"/>
        <item x="29"/>
        <item m="1" x="116"/>
        <item m="1" x="195"/>
        <item m="1" x="72"/>
        <item m="1" x="220"/>
        <item m="1" x="113"/>
        <item m="1" x="189"/>
        <item m="1" x="37"/>
        <item m="1" x="140"/>
        <item m="1" x="84"/>
        <item m="1" x="131"/>
        <item m="1" x="106"/>
        <item m="1" x="133"/>
        <item m="1" x="187"/>
        <item m="1" x="173"/>
        <item x="30"/>
        <item m="1" x="114"/>
        <item m="1" x="208"/>
        <item x="15"/>
        <item m="1" x="36"/>
        <item x="26"/>
        <item m="1" x="123"/>
        <item x="23"/>
        <item m="1" x="53"/>
        <item m="1" x="164"/>
        <item m="1" x="92"/>
        <item m="1" x="193"/>
        <item x="24"/>
        <item m="1" x="222"/>
        <item m="1" x="43"/>
        <item m="1" x="65"/>
        <item x="5"/>
        <item x="16"/>
        <item m="1" x="88"/>
        <item m="1" x="181"/>
        <item x="10"/>
        <item m="1" x="130"/>
        <item m="1" x="74"/>
        <item m="1" x="95"/>
        <item x="32"/>
        <item x="17"/>
        <item x="18"/>
        <item m="1" x="150"/>
        <item x="6"/>
        <item x="19"/>
        <item m="1" x="48"/>
        <item x="11"/>
        <item x="0"/>
        <item x="25"/>
        <item x="31"/>
        <item x="20"/>
        <item x="21"/>
        <item x="22"/>
        <item x="7"/>
        <item m="1" x="215"/>
        <item x="8"/>
        <item x="12"/>
        <item x="13"/>
      </items>
    </pivotField>
    <pivotField compact="0" numFmtId="164" outline="0" showAll="0"/>
    <pivotField axis="axisPage" compact="0" numFmtId="164" outline="0" multipleItemSelectionAllowed="1" showAll="0">
      <items count="36">
        <item m="1" x="26"/>
        <item x="5"/>
        <item m="1" x="14"/>
        <item x="0"/>
        <item x="2"/>
        <item m="1" x="9"/>
        <item x="1"/>
        <item m="1" x="30"/>
        <item m="1" x="7"/>
        <item m="1" x="16"/>
        <item x="3"/>
        <item m="1" x="17"/>
        <item m="1" x="11"/>
        <item x="4"/>
        <item m="1" x="31"/>
        <item m="1" x="34"/>
        <item x="6"/>
        <item m="1" x="25"/>
        <item m="1" x="8"/>
        <item m="1" x="29"/>
        <item m="1" x="12"/>
        <item m="1" x="19"/>
        <item m="1" x="22"/>
        <item m="1" x="24"/>
        <item m="1" x="15"/>
        <item m="1" x="21"/>
        <item m="1" x="18"/>
        <item m="1" x="20"/>
        <item m="1" x="32"/>
        <item m="1" x="13"/>
        <item m="1" x="33"/>
        <item m="1" x="27"/>
        <item m="1" x="10"/>
        <item m="1" x="23"/>
        <item m="1" x="28"/>
        <item t="default"/>
      </items>
    </pivotField>
    <pivotField compact="0" numFmtId="164" outline="0" showAll="0"/>
    <pivotField compact="0" numFmtId="164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 defaultSubtotal="0">
      <items count="2">
        <item m="1" x="1"/>
        <item x="0"/>
      </items>
    </pivotField>
    <pivotField axis="axisCol" compact="0" outline="0" multipleItemSelectionAllowed="1" showAll="0" sortType="ascending">
      <items count="1204">
        <item m="1" x="32"/>
        <item m="1" x="1004"/>
        <item m="1" x="408"/>
        <item m="1" x="1026"/>
        <item m="1" x="430"/>
        <item m="1" x="1053"/>
        <item m="1" x="454"/>
        <item m="1" x="1079"/>
        <item m="1" x="480"/>
        <item m="1" x="1104"/>
        <item m="1" x="503"/>
        <item m="1" x="1126"/>
        <item m="1" x="525"/>
        <item m="1" x="1148"/>
        <item m="1" x="858"/>
        <item m="1" x="271"/>
        <item m="1" x="883"/>
        <item m="1" x="290"/>
        <item m="1" x="899"/>
        <item m="1" x="306"/>
        <item m="1" x="919"/>
        <item m="1" x="327"/>
        <item m="1" x="940"/>
        <item m="1" x="349"/>
        <item m="1" x="967"/>
        <item m="1" x="371"/>
        <item m="1" x="988"/>
        <item m="1" x="391"/>
        <item m="1" x="1008"/>
        <item m="1" x="412"/>
        <item m="1" x="1030"/>
        <item m="1" x="433"/>
        <item m="1" x="1056"/>
        <item m="1" x="456"/>
        <item m="1" x="1081"/>
        <item m="1" x="482"/>
        <item m="1" x="1106"/>
        <item m="1" x="505"/>
        <item m="1" x="1128"/>
        <item m="1" x="527"/>
        <item m="1" x="1150"/>
        <item m="1" x="546"/>
        <item m="1" x="1168"/>
        <item m="1" x="564"/>
        <item m="1" x="1186"/>
        <item m="1" x="903"/>
        <item m="1" x="310"/>
        <item m="1" x="923"/>
        <item m="1" x="331"/>
        <item m="1" x="944"/>
        <item m="1" x="353"/>
        <item m="1" x="971"/>
        <item m="1" x="375"/>
        <item m="1" x="991"/>
        <item m="1" x="394"/>
        <item m="1" x="1012"/>
        <item m="1" x="416"/>
        <item m="1" x="1034"/>
        <item m="1" x="437"/>
        <item m="1" x="1060"/>
        <item m="1" x="460"/>
        <item m="1" x="1085"/>
        <item m="1" x="486"/>
        <item m="1" x="1109"/>
        <item m="1" x="508"/>
        <item m="1" x="1131"/>
        <item m="1" x="530"/>
        <item m="1" x="1153"/>
        <item m="1" x="548"/>
        <item m="1" x="1170"/>
        <item m="1" x="566"/>
        <item m="1" x="1188"/>
        <item m="1" x="582"/>
        <item m="1" x="8"/>
        <item m="1" x="596"/>
        <item m="1" x="948"/>
        <item m="1" x="356"/>
        <item m="1" x="974"/>
        <item m="1" x="377"/>
        <item m="1" x="993"/>
        <item m="1" x="396"/>
        <item m="1" x="1014"/>
        <item m="1" x="418"/>
        <item m="1" x="1036"/>
        <item m="1" x="439"/>
        <item m="1" x="1063"/>
        <item m="1" x="463"/>
        <item m="1" x="1088"/>
        <item m="1" x="489"/>
        <item m="1" x="1112"/>
        <item m="1" x="511"/>
        <item m="1" x="1134"/>
        <item m="1" x="533"/>
        <item m="1" x="1156"/>
        <item m="1" x="552"/>
        <item m="1" x="1174"/>
        <item m="1" x="570"/>
        <item m="1" x="1192"/>
        <item m="1" x="584"/>
        <item m="1" x="10"/>
        <item m="1" x="598"/>
        <item m="1" x="22"/>
        <item m="1" x="610"/>
        <item m="1" x="33"/>
        <item m="1" x="625"/>
        <item m="1" x="47"/>
        <item m="1" x="996"/>
        <item m="1" x="399"/>
        <item m="1" x="1017"/>
        <item m="1" x="421"/>
        <item m="1" x="1039"/>
        <item m="1" x="443"/>
        <item m="1" x="1067"/>
        <item m="1" x="468"/>
        <item m="1" x="1093"/>
        <item m="1" x="493"/>
        <item m="1" x="1116"/>
        <item m="1" x="515"/>
        <item m="1" x="1138"/>
        <item m="1" x="537"/>
        <item m="1" x="1159"/>
        <item m="1" x="555"/>
        <item m="1" x="1177"/>
        <item m="1" x="573"/>
        <item m="1" x="1195"/>
        <item m="1" x="586"/>
        <item m="1" x="12"/>
        <item m="1" x="600"/>
        <item m="1" x="24"/>
        <item m="1" x="612"/>
        <item m="1" x="35"/>
        <item m="1" x="627"/>
        <item m="1" x="49"/>
        <item m="1" x="640"/>
        <item m="1" x="62"/>
        <item m="1" x="653"/>
        <item m="1" x="1042"/>
        <item m="1" x="446"/>
        <item m="1" x="1071"/>
        <item m="1" x="472"/>
        <item m="1" x="1097"/>
        <item m="1" x="497"/>
        <item m="1" x="1120"/>
        <item m="1" x="519"/>
        <item m="1" x="1142"/>
        <item m="1" x="540"/>
        <item m="1" x="1162"/>
        <item m="1" x="558"/>
        <item m="1" x="1180"/>
        <item m="1" x="576"/>
        <item m="1" x="1197"/>
        <item m="1" x="588"/>
        <item m="1" x="14"/>
        <item m="1" x="602"/>
        <item m="1" x="26"/>
        <item m="1" x="615"/>
        <item m="1" x="38"/>
        <item m="1" x="631"/>
        <item m="1" x="53"/>
        <item m="1" x="642"/>
        <item m="1" x="64"/>
        <item m="1" x="655"/>
        <item m="1" x="76"/>
        <item m="1" x="668"/>
        <item m="1" x="87"/>
        <item m="1" x="683"/>
        <item m="1" x="102"/>
        <item m="1" x="621"/>
        <item m="1" x="44"/>
        <item m="1" x="637"/>
        <item m="1" x="59"/>
        <item m="1" x="648"/>
        <item m="1" x="70"/>
        <item m="1" x="662"/>
        <item m="1" x="81"/>
        <item m="1" x="673"/>
        <item m="1" x="92"/>
        <item m="1" x="688"/>
        <item m="1" x="107"/>
        <item m="1" x="699"/>
        <item m="1" x="117"/>
        <item m="1" x="713"/>
        <item m="1" x="131"/>
        <item m="1" x="728"/>
        <item m="1" x="145"/>
        <item m="1" x="745"/>
        <item m="1" x="160"/>
        <item m="1" x="760"/>
        <item m="1" x="173"/>
        <item m="1" x="775"/>
        <item m="1" x="190"/>
        <item m="1" x="792"/>
        <item m="1" x="207"/>
        <item m="1" x="815"/>
        <item m="1" x="229"/>
        <item m="1" x="839"/>
        <item m="1" x="252"/>
        <item m="1" x="864"/>
        <item m="1" x="649"/>
        <item m="1" x="71"/>
        <item m="1" x="663"/>
        <item m="1" x="82"/>
        <item m="1" x="675"/>
        <item m="1" x="94"/>
        <item m="1" x="690"/>
        <item m="1" x="109"/>
        <item m="1" x="701"/>
        <item m="1" x="119"/>
        <item m="1" x="715"/>
        <item m="1" x="133"/>
        <item m="1" x="730"/>
        <item m="1" x="147"/>
        <item m="1" x="747"/>
        <item m="1" x="162"/>
        <item m="1" x="762"/>
        <item m="1" x="175"/>
        <item m="1" x="777"/>
        <item m="1" x="192"/>
        <item m="1" x="794"/>
        <item m="1" x="209"/>
        <item m="1" x="817"/>
        <item m="1" x="231"/>
        <item m="1" x="841"/>
        <item m="1" x="254"/>
        <item m="1" x="866"/>
        <item m="1" x="277"/>
        <item m="1" x="678"/>
        <item m="1" x="96"/>
        <item m="1" x="692"/>
        <item m="1" x="111"/>
        <item m="1" x="703"/>
        <item m="1" x="121"/>
        <item m="1" x="718"/>
        <item m="1" x="136"/>
        <item m="1" x="734"/>
        <item m="1" x="151"/>
        <item m="1" x="751"/>
        <item m="1" x="166"/>
        <item m="1" x="179"/>
        <item m="1" x="781"/>
        <item m="1" x="196"/>
        <item m="1" x="798"/>
        <item m="1" x="212"/>
        <item m="1" x="820"/>
        <item m="1" x="234"/>
        <item m="1" x="844"/>
        <item m="1" x="257"/>
        <item m="1" x="869"/>
        <item m="1" x="279"/>
        <item m="1" x="889"/>
        <item m="1" x="297"/>
        <item m="1" x="910"/>
        <item m="1" x="317"/>
        <item m="1" x="930"/>
        <item m="1" x="338"/>
        <item m="1" x="953"/>
        <item m="1" x="706"/>
        <item m="1" x="124"/>
        <item m="1" x="721"/>
        <item m="1" x="138"/>
        <item m="1" x="736"/>
        <item m="1" x="153"/>
        <item m="1" x="753"/>
        <item m="1" x="168"/>
        <item m="1" x="768"/>
        <item m="1" x="182"/>
        <item m="1" x="784"/>
        <item m="1" x="199"/>
        <item m="1" x="801"/>
        <item m="1" x="215"/>
        <item m="1" x="823"/>
        <item m="1" x="236"/>
        <item m="1" x="846"/>
        <item m="1" x="260"/>
        <item m="1" x="872"/>
        <item m="1" x="282"/>
        <item m="1" x="892"/>
        <item m="1" x="299"/>
        <item m="1" x="912"/>
        <item m="1" x="319"/>
        <item m="1" x="932"/>
        <item m="1" x="340"/>
        <item m="1" x="955"/>
        <item m="1" x="361"/>
        <item m="1" x="978"/>
        <item m="1" x="381"/>
        <item m="1" x="740"/>
        <item m="1" x="156"/>
        <item m="1" x="756"/>
        <item m="1" x="170"/>
        <item m="1" x="770"/>
        <item m="1" x="184"/>
        <item m="1" x="786"/>
        <item m="1" x="201"/>
        <item m="1" x="804"/>
        <item m="1" x="218"/>
        <item m="1" x="826"/>
        <item m="1" x="239"/>
        <item m="1" x="849"/>
        <item m="1" x="263"/>
        <item m="1" x="875"/>
        <item m="1" x="284"/>
        <item m="1" x="894"/>
        <item m="1" x="301"/>
        <item m="1" x="914"/>
        <item m="1" x="321"/>
        <item m="1" x="934"/>
        <item m="1" x="342"/>
        <item m="1" x="958"/>
        <item m="1" x="363"/>
        <item m="1" x="980"/>
        <item m="1" x="383"/>
        <item m="1" x="1000"/>
        <item m="1" x="404"/>
        <item m="1" x="1023"/>
        <item m="1" x="427"/>
        <item m="1" x="1050"/>
        <item m="1" x="773"/>
        <item m="1" x="187"/>
        <item m="1" x="789"/>
        <item m="1" x="204"/>
        <item m="1" x="807"/>
        <item m="1" x="221"/>
        <item m="1" x="829"/>
        <item m="1" x="242"/>
        <item m="1" x="852"/>
        <item m="1" x="266"/>
        <item m="1" x="878"/>
        <item m="1" x="287"/>
        <item m="1" x="896"/>
        <item m="1" x="303"/>
        <item m="1" x="916"/>
        <item m="1" x="323"/>
        <item m="1" x="936"/>
        <item m="1" x="345"/>
        <item m="1" x="961"/>
        <item m="1" x="365"/>
        <item m="1" x="982"/>
        <item m="1" x="385"/>
        <item m="1" x="1002"/>
        <item m="1" x="406"/>
        <item m="1" x="1024"/>
        <item m="1" x="428"/>
        <item m="1" x="1051"/>
        <item m="1" x="453"/>
        <item m="1" x="1078"/>
        <item m="1" x="479"/>
        <item m="1" x="810"/>
        <item m="1" x="224"/>
        <item m="1" x="832"/>
        <item m="1" x="245"/>
        <item m="1" x="855"/>
        <item m="1" x="269"/>
        <item m="1" x="881"/>
        <item m="1" x="288"/>
        <item m="1" x="897"/>
        <item m="1" x="304"/>
        <item m="1" x="389"/>
        <item m="1" x="1006"/>
        <item m="1" x="410"/>
        <item m="1" x="1028"/>
        <item m="1" x="431"/>
        <item m="1" x="1054"/>
        <item m="1" x="455"/>
        <item m="1" x="1080"/>
        <item m="1" x="481"/>
        <item m="1" x="1105"/>
        <item m="1" x="504"/>
        <item m="1" x="1127"/>
        <item m="1" x="526"/>
        <item m="1" x="1149"/>
        <item m="1" x="860"/>
        <item m="1" x="273"/>
        <item m="1" x="885"/>
        <item m="1" x="292"/>
        <item m="1" x="901"/>
        <item m="1" x="308"/>
        <item m="1" x="921"/>
        <item m="1" x="329"/>
        <item m="1" x="942"/>
        <item m="1" x="351"/>
        <item m="1" x="969"/>
        <item m="1" x="373"/>
        <item m="1" x="989"/>
        <item m="1" x="392"/>
        <item m="1" x="1010"/>
        <item m="1" x="414"/>
        <item m="1" x="1032"/>
        <item m="1" x="435"/>
        <item m="1" x="1058"/>
        <item m="1" x="458"/>
        <item m="1" x="1083"/>
        <item m="1" x="484"/>
        <item m="1" x="1107"/>
        <item m="1" x="506"/>
        <item m="1" x="1129"/>
        <item m="1" x="528"/>
        <item m="1" x="1151"/>
        <item m="1" x="547"/>
        <item m="1" x="1169"/>
        <item m="1" x="565"/>
        <item m="1" x="1187"/>
        <item m="1" x="905"/>
        <item m="1" x="312"/>
        <item m="1" x="925"/>
        <item m="1" x="333"/>
        <item m="1" x="946"/>
        <item m="1" x="354"/>
        <item m="1" x="972"/>
        <item m="1" x="376"/>
        <item m="1" x="992"/>
        <item m="1" x="395"/>
        <item m="1" x="1013"/>
        <item m="1" x="417"/>
        <item m="1" x="1035"/>
        <item m="1" x="438"/>
        <item m="1" x="1061"/>
        <item m="1" x="461"/>
        <item m="1" x="1086"/>
        <item m="1" x="487"/>
        <item m="1" x="1110"/>
        <item m="1" x="509"/>
        <item m="1" x="1132"/>
        <item m="1" x="531"/>
        <item m="1" x="1154"/>
        <item m="1" x="550"/>
        <item m="1" x="1172"/>
        <item m="1" x="568"/>
        <item m="1" x="1190"/>
        <item m="1" x="583"/>
        <item m="1" x="9"/>
        <item m="1" x="597"/>
        <item m="1" x="951"/>
        <item m="1" x="359"/>
        <item m="1" x="976"/>
        <item m="1" x="379"/>
        <item m="1" x="995"/>
        <item m="1" x="398"/>
        <item m="1" x="1016"/>
        <item m="1" x="420"/>
        <item m="1" x="1038"/>
        <item m="1" x="442"/>
        <item m="1" x="1066"/>
        <item m="1" x="466"/>
        <item m="1" x="1091"/>
        <item m="1" x="491"/>
        <item m="1" x="1114"/>
        <item m="1" x="513"/>
        <item m="1" x="1136"/>
        <item m="1" x="535"/>
        <item m="1" x="1158"/>
        <item m="1" x="554"/>
        <item m="1" x="1176"/>
        <item m="1" x="572"/>
        <item m="1" x="1194"/>
        <item m="1" x="585"/>
        <item m="1" x="11"/>
        <item m="1" x="599"/>
        <item m="1" x="23"/>
        <item m="1" x="611"/>
        <item m="1" x="34"/>
        <item m="1" x="626"/>
        <item m="1" x="48"/>
        <item m="1" x="997"/>
        <item m="1" x="400"/>
        <item m="1" x="1018"/>
        <item m="1" x="422"/>
        <item m="1" x="1041"/>
        <item m="1" x="445"/>
        <item m="1" x="1070"/>
        <item m="1" x="471"/>
        <item m="1" x="1096"/>
        <item m="1" x="496"/>
        <item m="1" x="1119"/>
        <item m="1" x="518"/>
        <item m="1" x="1141"/>
        <item m="1" x="539"/>
        <item m="1" x="1161"/>
        <item m="1" x="557"/>
        <item m="1" x="1179"/>
        <item m="1" x="575"/>
        <item m="1" x="1196"/>
        <item m="1" x="587"/>
        <item m="1" x="13"/>
        <item m="1" x="601"/>
        <item m="1" x="25"/>
        <item m="1" x="613"/>
        <item m="1" x="36"/>
        <item m="1" x="629"/>
        <item m="1" x="51"/>
        <item m="1" x="641"/>
        <item m="1" x="63"/>
        <item m="1" x="654"/>
        <item m="1" x="1045"/>
        <item m="1" x="449"/>
        <item m="1" x="1074"/>
        <item m="1" x="475"/>
        <item m="1" x="1100"/>
        <item m="1" x="500"/>
        <item m="1" x="1123"/>
        <item m="1" x="522"/>
        <item m="1" x="1145"/>
        <item m="1" x="543"/>
        <item m="1" x="1165"/>
        <item m="1" x="561"/>
        <item m="1" x="1183"/>
        <item m="1" x="579"/>
        <item m="1" x="1200"/>
        <item m="1" x="591"/>
        <item m="1" x="17"/>
        <item m="1" x="605"/>
        <item m="1" x="657"/>
        <item m="1" x="77"/>
        <item m="1" x="669"/>
        <item m="1" x="88"/>
        <item m="1" x="684"/>
        <item m="1" x="103"/>
        <item m="1" x="622"/>
        <item m="1" x="674"/>
        <item m="1" x="93"/>
        <item m="1" x="689"/>
        <item m="1" x="108"/>
        <item m="1" x="700"/>
        <item m="1" x="118"/>
        <item m="1" x="714"/>
        <item m="1" x="132"/>
        <item m="1" x="729"/>
        <item m="1" x="146"/>
        <item m="1" x="746"/>
        <item m="1" x="161"/>
        <item m="1" x="761"/>
        <item m="1" x="174"/>
        <item m="1" x="776"/>
        <item m="1" x="191"/>
        <item m="1" x="793"/>
        <item m="1" x="208"/>
        <item m="1" x="816"/>
        <item m="1" x="230"/>
        <item m="1" x="840"/>
        <item m="1" x="253"/>
        <item m="1" x="865"/>
        <item m="1" x="650"/>
        <item m="1" x="72"/>
        <item m="1" x="664"/>
        <item m="1" x="83"/>
        <item m="1" x="676"/>
        <item m="1" x="732"/>
        <item m="1" x="149"/>
        <item m="1" x="749"/>
        <item m="1" x="164"/>
        <item m="1" x="764"/>
        <item m="1" x="177"/>
        <item m="1" x="779"/>
        <item m="1" x="194"/>
        <item m="1" x="796"/>
        <item m="1" x="211"/>
        <item m="1" x="819"/>
        <item m="1" x="233"/>
        <item m="1" x="843"/>
        <item m="1" x="256"/>
        <item m="1" x="868"/>
        <item m="1" x="278"/>
        <item m="1" x="680"/>
        <item m="1" x="98"/>
        <item m="1" x="694"/>
        <item m="1" x="113"/>
        <item m="1" x="705"/>
        <item m="1" x="123"/>
        <item m="1" x="720"/>
        <item m="1" x="137"/>
        <item m="1" x="735"/>
        <item m="1" x="152"/>
        <item m="1" x="752"/>
        <item m="1" x="167"/>
        <item m="1" x="766"/>
        <item m="1" x="180"/>
        <item m="1" x="782"/>
        <item m="1" x="197"/>
        <item m="1" x="799"/>
        <item m="1" x="213"/>
        <item m="1" x="821"/>
        <item m="1" x="235"/>
        <item m="1" x="845"/>
        <item m="1" x="259"/>
        <item m="1" x="871"/>
        <item m="1" x="281"/>
        <item m="1" x="891"/>
        <item m="1" x="298"/>
        <item m="1" x="911"/>
        <item m="1" x="318"/>
        <item m="1" x="931"/>
        <item m="1" x="339"/>
        <item m="1" x="954"/>
        <item m="1" x="708"/>
        <item m="1" x="126"/>
        <item m="1" x="723"/>
        <item m="1" x="140"/>
        <item m="1" x="738"/>
        <item m="1" x="155"/>
        <item m="1" x="755"/>
        <item m="1" x="169"/>
        <item m="1" x="769"/>
        <item m="1" x="183"/>
        <item m="1" x="785"/>
        <item m="1" x="200"/>
        <item m="1" x="802"/>
        <item m="1" x="216"/>
        <item m="1" x="824"/>
        <item m="1" x="237"/>
        <item m="1" x="847"/>
        <item m="1" x="261"/>
        <item m="1" x="873"/>
        <item m="1" x="283"/>
        <item m="1" x="893"/>
        <item m="1" x="300"/>
        <item m="1" x="913"/>
        <item m="1" x="320"/>
        <item m="1" x="933"/>
        <item m="1" x="341"/>
        <item m="1" x="956"/>
        <item m="1" x="362"/>
        <item m="1" x="979"/>
        <item m="1" x="382"/>
        <item m="1" x="741"/>
        <item m="1" x="157"/>
        <item m="1" x="757"/>
        <item m="1" x="171"/>
        <item m="1" x="771"/>
        <item m="1" x="185"/>
        <item m="1" x="787"/>
        <item m="1" x="202"/>
        <item m="1" x="805"/>
        <item m="1" x="219"/>
        <item m="1" x="827"/>
        <item m="1" x="240"/>
        <item m="1" x="850"/>
        <item m="1" x="264"/>
        <item m="1" x="876"/>
        <item m="1" x="285"/>
        <item m="1" x="895"/>
        <item m="1" x="302"/>
        <item m="1" x="915"/>
        <item m="1" x="322"/>
        <item m="1" x="935"/>
        <item m="1" x="344"/>
        <item m="1" x="960"/>
        <item m="1" x="364"/>
        <item m="1" x="981"/>
        <item m="1" x="384"/>
        <item m="1" x="1001"/>
        <item m="1" x="405"/>
        <item m="1" x="809"/>
        <item m="1" x="223"/>
        <item m="1" x="831"/>
        <item m="1" x="244"/>
        <item m="1" x="854"/>
        <item m="1" x="268"/>
        <item m="1" x="880"/>
        <item m="1" x="964"/>
        <item m="1" x="368"/>
        <item m="1" x="985"/>
        <item m="1" x="388"/>
        <item m="1" x="1005"/>
        <item m="1" x="409"/>
        <item m="1" x="1027"/>
        <item m="1" x="835"/>
        <item m="1" x="248"/>
        <item m="1" x="859"/>
        <item m="1" x="272"/>
        <item m="1" x="884"/>
        <item m="1" x="291"/>
        <item m="1" x="900"/>
        <item m="1" x="307"/>
        <item m="1" x="920"/>
        <item m="1" x="328"/>
        <item m="1" x="941"/>
        <item m="1" x="350"/>
        <item m="1" x="968"/>
        <item m="1" x="372"/>
        <item m="1" x="549"/>
        <item m="1" x="1171"/>
        <item m="1" x="567"/>
        <item m="1" x="1189"/>
        <item m="1" x="907"/>
        <item m="1" x="314"/>
        <item m="1" x="927"/>
        <item m="1" x="335"/>
        <item m="1" x="949"/>
        <item m="1" x="357"/>
        <item m="1" x="975"/>
        <item m="1" x="378"/>
        <item m="1" x="994"/>
        <item m="1" x="397"/>
        <item m="1" x="1015"/>
        <item m="1" x="419"/>
        <item m="1" x="1037"/>
        <item m="1" x="440"/>
        <item m="1" x="1064"/>
        <item m="1" x="464"/>
        <item m="1" x="1089"/>
        <item m="1" x="1040"/>
        <item m="1" x="444"/>
        <item m="1" x="1068"/>
        <item m="1" x="469"/>
        <item m="1" x="1094"/>
        <item m="1" x="494"/>
        <item m="1" x="1117"/>
        <item m="1" x="516"/>
        <item m="1" x="1139"/>
        <item m="1" x="538"/>
        <item m="1" x="1160"/>
        <item m="1" x="556"/>
        <item m="1" x="1178"/>
        <item m="1" x="574"/>
        <item m="1" x="628"/>
        <item m="1" x="50"/>
        <item m="1" x="998"/>
        <item m="1" x="401"/>
        <item m="1" x="1019"/>
        <item m="1" x="423"/>
        <item m="1" x="1043"/>
        <item m="1" x="447"/>
        <item m="1" x="1072"/>
        <item m="1" x="473"/>
        <item m="1" x="1098"/>
        <item m="1" x="498"/>
        <item m="1" x="1121"/>
        <item m="1" x="520"/>
        <item m="1" x="1143"/>
        <item m="1" x="541"/>
        <item m="1" x="1163"/>
        <item m="1" x="559"/>
        <item m="1" x="1181"/>
        <item m="1" x="577"/>
        <item m="1" x="1198"/>
        <item m="1" x="589"/>
        <item m="1" x="15"/>
        <item m="1" x="603"/>
        <item m="1" x="27"/>
        <item m="1" x="616"/>
        <item m="1" x="39"/>
        <item m="1" x="632"/>
        <item m="1" x="54"/>
        <item m="1" x="643"/>
        <item m="1" x="65"/>
        <item m="1" x="656"/>
        <item m="1" x="1047"/>
        <item m="1" x="451"/>
        <item m="1" x="1076"/>
        <item m="1" x="477"/>
        <item m="1" x="1102"/>
        <item m="1" x="502"/>
        <item m="1" x="1125"/>
        <item m="1" x="524"/>
        <item m="1" x="1147"/>
        <item m="1" x="545"/>
        <item m="1" x="1167"/>
        <item m="1" x="563"/>
        <item m="1" x="1185"/>
        <item m="1" x="581"/>
        <item m="1" x="1202"/>
        <item m="1" x="593"/>
        <item m="1" x="19"/>
        <item m="1" x="607"/>
        <item m="1" x="29"/>
        <item m="1" x="618"/>
        <item m="1" x="41"/>
        <item m="1" x="634"/>
        <item m="1" x="56"/>
        <item m="1" x="645"/>
        <item m="1" x="67"/>
        <item m="1" x="659"/>
        <item m="1" x="78"/>
        <item m="1" x="670"/>
        <item m="1" x="89"/>
        <item m="1" x="685"/>
        <item m="1" x="104"/>
        <item m="1" x="716"/>
        <item m="1" x="134"/>
        <item m="1" x="731"/>
        <item m="1" x="148"/>
        <item m="1" x="748"/>
        <item m="1" x="163"/>
        <item m="1" x="763"/>
        <item m="1" x="176"/>
        <item m="1" x="778"/>
        <item m="1" x="193"/>
        <item m="1" x="795"/>
        <item m="1" x="210"/>
        <item m="1" x="818"/>
        <item m="1" x="232"/>
        <item m="1" x="842"/>
        <item m="1" x="255"/>
        <item m="1" x="867"/>
        <item m="1" x="652"/>
        <item m="1" x="74"/>
        <item m="1" x="666"/>
        <item m="1" x="85"/>
        <item m="1" x="679"/>
        <item m="1" x="97"/>
        <item m="1" x="693"/>
        <item m="1" x="112"/>
        <item m="1" x="704"/>
        <item m="1" x="122"/>
        <item m="1" x="719"/>
        <item m="1" x="258"/>
        <item m="1" x="870"/>
        <item m="1" x="280"/>
        <item m="1" x="890"/>
        <item m="1" x="681"/>
        <item m="1" x="99"/>
        <item m="1" x="695"/>
        <item m="1" x="324"/>
        <item m="1" x="937"/>
        <item m="1" x="346"/>
        <item m="1" x="962"/>
        <item m="1" x="366"/>
        <item m="1" x="983"/>
        <item m="1" x="386"/>
        <item m="1" x="1003"/>
        <item m="1" x="407"/>
        <item m="1" x="1025"/>
        <item m="1" x="429"/>
        <item m="1" x="1052"/>
        <item m="1" x="774"/>
        <item m="1" x="188"/>
        <item m="1" x="790"/>
        <item m="1" x="205"/>
        <item m="1" x="811"/>
        <item m="1" x="225"/>
        <item m="1" x="833"/>
        <item m="1" x="246"/>
        <item m="1" x="856"/>
        <item m="1" x="813"/>
        <item m="1" x="227"/>
        <item m="1" x="837"/>
        <item m="1" x="250"/>
        <item m="1" x="861"/>
        <item m="1" x="274"/>
        <item m="1" x="886"/>
        <item m="1" x="293"/>
        <item m="1" x="902"/>
        <item m="1" x="309"/>
        <item m="1" x="922"/>
        <item m="1" x="330"/>
        <item m="1" x="943"/>
        <item m="1" x="352"/>
        <item m="1" x="970"/>
        <item m="1" x="374"/>
        <item m="1" x="990"/>
        <item m="1" x="393"/>
        <item m="1" x="1011"/>
        <item m="1" x="415"/>
        <item m="1" x="1033"/>
        <item m="1" x="436"/>
        <item m="1" x="1059"/>
        <item m="1" x="459"/>
        <item m="1" x="1084"/>
        <item m="1" x="485"/>
        <item m="1" x="1108"/>
        <item m="1" x="507"/>
        <item m="1" x="1130"/>
        <item m="1" x="529"/>
        <item m="1" x="1152"/>
        <item m="1" x="863"/>
        <item m="1" x="276"/>
        <item m="1" x="888"/>
        <item m="1" x="295"/>
        <item m="1" x="906"/>
        <item m="1" x="313"/>
        <item m="1" x="926"/>
        <item m="1" x="334"/>
        <item m="1" x="947"/>
        <item m="1" x="355"/>
        <item m="1" x="973"/>
        <item m="1" x="1062"/>
        <item m="1" x="462"/>
        <item m="1" x="1087"/>
        <item m="1" x="488"/>
        <item m="1" x="1111"/>
        <item m="1" x="510"/>
        <item m="1" x="1133"/>
        <item m="1" x="532"/>
        <item m="1" x="1155"/>
        <item m="1" x="551"/>
        <item m="1" x="1173"/>
        <item m="1" x="569"/>
        <item m="1" x="1191"/>
        <item m="1" x="909"/>
        <item m="1" x="316"/>
        <item m="1" x="929"/>
        <item m="1" x="337"/>
        <item m="1" x="952"/>
        <item m="1" x="360"/>
        <item m="1" x="977"/>
        <item m="1" x="380"/>
        <item m="1" x="467"/>
        <item m="1" x="1092"/>
        <item m="1" x="492"/>
        <item m="1" x="1115"/>
        <item m="1" x="514"/>
        <item m="1" x="1137"/>
        <item m="1" x="536"/>
        <item m="1" x="614"/>
        <item m="1" x="37"/>
        <item m="1" x="630"/>
        <item m="1" x="52"/>
        <item m="1" x="999"/>
        <item m="1" x="403"/>
        <item m="1" x="1021"/>
        <item m="1" x="425"/>
        <item m="1" x="1046"/>
        <item m="1" x="450"/>
        <item m="1" x="1075"/>
        <item m="1" x="476"/>
        <item m="1" x="1101"/>
        <item m="1" x="501"/>
        <item m="1" x="1124"/>
        <item m="1" x="523"/>
        <item m="1" x="1146"/>
        <item m="1" x="544"/>
        <item m="1" x="1166"/>
        <item m="1" x="562"/>
        <item m="1" x="1184"/>
        <item m="1" x="580"/>
        <item m="1" x="1201"/>
        <item m="1" x="592"/>
        <item m="1" x="18"/>
        <item m="1" x="606"/>
        <item m="1" x="28"/>
        <item m="1" x="617"/>
        <item m="1" x="40"/>
        <item m="1" x="633"/>
        <item m="1" x="55"/>
        <item m="1" x="644"/>
        <item m="1" x="66"/>
        <item m="1" x="658"/>
        <item m="1" x="1049"/>
        <item m="1" x="594"/>
        <item m="1" x="20"/>
        <item m="1" x="608"/>
        <item m="1" x="30"/>
        <item m="1" x="619"/>
        <item m="1" x="42"/>
        <item m="1" x="635"/>
        <item m="1" x="57"/>
        <item m="1" x="646"/>
        <item m="1" x="68"/>
        <item m="1" x="660"/>
        <item m="1" x="79"/>
        <item m="1" x="671"/>
        <item m="1" x="90"/>
        <item m="1" x="686"/>
        <item m="1" x="105"/>
        <item m="1" x="623"/>
        <item m="1" x="45"/>
        <item m="1" x="638"/>
        <item m="1" x="60"/>
        <item m="1" x="651"/>
        <item m="1" x="73"/>
        <item m="1" x="665"/>
        <item m="1" x="84"/>
        <item m="1" x="677"/>
        <item m="1" x="95"/>
        <item m="1" x="691"/>
        <item m="1" x="110"/>
        <item m="1" x="702"/>
        <item m="1" x="120"/>
        <item m="1" x="717"/>
        <item m="1" x="135"/>
        <item m="1" x="733"/>
        <item m="1" x="150"/>
        <item m="1" x="750"/>
        <item m="1" x="165"/>
        <item m="1" x="765"/>
        <item m="1" x="178"/>
        <item m="1" x="780"/>
        <item m="1" x="195"/>
        <item m="1" x="797"/>
        <item m="1" x="767"/>
        <item m="1" x="181"/>
        <item m="1" x="783"/>
        <item m="1" x="198"/>
        <item m="1" x="800"/>
        <item m="1" x="214"/>
        <item m="1" x="822"/>
        <item m="1" x="697"/>
        <item m="1" x="115"/>
        <item m="1" x="709"/>
        <item m="1" x="127"/>
        <item m="1" x="724"/>
        <item m="1" x="141"/>
        <item m="1" x="739"/>
        <item m="1" x="803"/>
        <item m="1" x="217"/>
        <item m="1" x="825"/>
        <item m="1" x="238"/>
        <item m="1" x="848"/>
        <item m="1" x="262"/>
        <item m="1" x="874"/>
        <item m="1" x="957"/>
        <item m="1" x="711"/>
        <item m="1" x="129"/>
        <item m="1" x="726"/>
        <item m="1" x="143"/>
        <item m="1" x="742"/>
        <item m="1" x="158"/>
        <item m="1" x="758"/>
        <item m="1" x="172"/>
        <item m="1" x="772"/>
        <item m="1" x="186"/>
        <item m="1" x="788"/>
        <item m="1" x="203"/>
        <item m="1" x="806"/>
        <item m="1" x="220"/>
        <item m="1" x="828"/>
        <item m="1" x="241"/>
        <item m="1" x="851"/>
        <item m="1" x="265"/>
        <item m="1" x="877"/>
        <item m="1" x="286"/>
        <item m="1" x="917"/>
        <item m="1" x="325"/>
        <item m="1" x="938"/>
        <item m="1" x="347"/>
        <item m="1" x="965"/>
        <item m="1" x="369"/>
        <item m="1" x="986"/>
        <item m="1" x="189"/>
        <item m="1" x="791"/>
        <item m="1" x="206"/>
        <item m="1" x="812"/>
        <item m="1" x="226"/>
        <item m="1" x="836"/>
        <item m="1" x="249"/>
        <item m="1" x="1009"/>
        <item m="1" x="413"/>
        <item m="1" x="1031"/>
        <item m="1" x="434"/>
        <item m="1" x="1057"/>
        <item m="1" x="457"/>
        <item m="1" x="1082"/>
        <item m="1" x="483"/>
        <item m="1" x="814"/>
        <item m="1" x="228"/>
        <item m="1" x="838"/>
        <item m="1" x="251"/>
        <item m="1" x="862"/>
        <item m="1" x="275"/>
        <item m="1" x="887"/>
        <item m="1" x="294"/>
        <item m="1" x="904"/>
        <item m="1" x="311"/>
        <item m="1" x="924"/>
        <item m="1" x="332"/>
        <item m="1" x="945"/>
        <item m="1" x="296"/>
        <item m="1" x="908"/>
        <item m="1" x="315"/>
        <item m="1" x="928"/>
        <item m="1" x="336"/>
        <item m="1" x="950"/>
        <item m="1" x="358"/>
        <item m="1" x="441"/>
        <item m="1" x="1065"/>
        <item m="1" x="465"/>
        <item m="1" x="1090"/>
        <item m="1" x="490"/>
        <item m="1" x="1113"/>
        <item m="1" x="512"/>
        <item m="1" x="1135"/>
        <item m="1" x="534"/>
        <item m="1" x="1157"/>
        <item m="1" x="553"/>
        <item m="1" x="1175"/>
        <item m="1" x="571"/>
        <item m="1" x="1193"/>
        <item m="1" x="1069"/>
        <item m="1" x="470"/>
        <item m="1" x="1095"/>
        <item m="1" x="495"/>
        <item m="1" x="1118"/>
        <item m="1" x="517"/>
        <item m="1" x="1140"/>
        <item m="1" x="402"/>
        <item m="1" x="1020"/>
        <item m="1" x="424"/>
        <item m="1" x="1044"/>
        <item m="1" x="448"/>
        <item m="1" x="1073"/>
        <item m="1" x="474"/>
        <item m="1" x="1099"/>
        <item m="1" x="499"/>
        <item m="1" x="1122"/>
        <item m="1" x="521"/>
        <item m="1" x="1144"/>
        <item m="1" x="542"/>
        <item m="1" x="1164"/>
        <item m="1" x="560"/>
        <item m="1" x="1182"/>
        <item m="1" x="578"/>
        <item m="1" x="1199"/>
        <item m="1" x="590"/>
        <item m="1" x="16"/>
        <item m="1" x="604"/>
        <item m="1" x="1022"/>
        <item m="1" x="426"/>
        <item m="1" x="1048"/>
        <item m="1" x="452"/>
        <item m="1" x="1077"/>
        <item m="1" x="478"/>
        <item m="1" x="1103"/>
        <item m="1" x="7"/>
        <item m="1" x="595"/>
        <item m="1" x="21"/>
        <item m="1" x="609"/>
        <item m="1" x="31"/>
        <item m="1" x="620"/>
        <item m="1" x="43"/>
        <item m="1" x="636"/>
        <item m="1" x="58"/>
        <item m="1" x="647"/>
        <item m="1" x="69"/>
        <item m="1" x="661"/>
        <item m="1" x="80"/>
        <item m="1" x="672"/>
        <item m="1" x="91"/>
        <item m="1" x="687"/>
        <item m="1" x="106"/>
        <item m="1" x="624"/>
        <item m="1" x="46"/>
        <item m="1" x="639"/>
        <item m="1" x="61"/>
        <item m="1" x="75"/>
        <item m="1" x="667"/>
        <item m="1" x="86"/>
        <item m="1" x="682"/>
        <item m="1" x="100"/>
        <item m="1" x="696"/>
        <item m="1" x="114"/>
        <item m="1" x="707"/>
        <item m="1" x="125"/>
        <item m="1" x="722"/>
        <item m="1" x="139"/>
        <item m="1" x="737"/>
        <item m="1" x="154"/>
        <item m="1" x="754"/>
        <item m="1" x="101"/>
        <item m="1" x="698"/>
        <item m="1" x="116"/>
        <item m="1" x="710"/>
        <item m="1" x="128"/>
        <item m="1" x="725"/>
        <item m="1" x="142"/>
        <item m="1" x="343"/>
        <item m="1" x="959"/>
        <item m="1" x="712"/>
        <item m="1" x="130"/>
        <item m="1" x="727"/>
        <item m="1" x="144"/>
        <item m="1" x="743"/>
        <item m="1" x="808"/>
        <item m="1" x="222"/>
        <item m="1" x="830"/>
        <item m="1" x="243"/>
        <item m="1" x="853"/>
        <item m="1" x="267"/>
        <item m="1" x="879"/>
        <item m="1" x="963"/>
        <item m="1" x="367"/>
        <item m="1" x="984"/>
        <item m="1" x="387"/>
        <item m="1" x="744"/>
        <item m="1" x="159"/>
        <item m="1" x="759"/>
        <item m="1" x="834"/>
        <item m="1" x="247"/>
        <item m="1" x="857"/>
        <item m="1" x="270"/>
        <item m="1" x="882"/>
        <item m="1" x="289"/>
        <item m="1" x="898"/>
        <item m="1" x="305"/>
        <item m="1" x="918"/>
        <item m="1" x="326"/>
        <item m="1" x="939"/>
        <item m="1" x="348"/>
        <item m="1" x="966"/>
        <item m="1" x="370"/>
        <item m="1" x="987"/>
        <item m="1" x="390"/>
        <item m="1" x="1007"/>
        <item m="1" x="411"/>
        <item m="1" x="1029"/>
        <item m="1" x="432"/>
        <item m="1" x="1055"/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numFmtId="166" outline="0" showAll="0"/>
    <pivotField compact="0" outline="0" showAll="0">
      <items count="56">
        <item m="1" x="18"/>
        <item m="1" x="39"/>
        <item m="1" x="5"/>
        <item m="1" x="27"/>
        <item m="1" x="42"/>
        <item m="1" x="8"/>
        <item m="1" x="30"/>
        <item m="1" x="47"/>
        <item m="1" x="13"/>
        <item m="1" x="34"/>
        <item m="1" x="52"/>
        <item m="1" x="19"/>
        <item m="1" x="40"/>
        <item m="1" x="6"/>
        <item m="1" x="28"/>
        <item m="1" x="44"/>
        <item m="1" x="10"/>
        <item x="0"/>
        <item m="1" x="49"/>
        <item m="1" x="15"/>
        <item m="1" x="36"/>
        <item m="1" x="54"/>
        <item m="1" x="20"/>
        <item m="1" x="41"/>
        <item m="1" x="7"/>
        <item m="1" x="29"/>
        <item m="1" x="46"/>
        <item m="1" x="12"/>
        <item m="1" x="33"/>
        <item m="1" x="51"/>
        <item m="1" x="16"/>
        <item m="1" x="37"/>
        <item m="1" x="2"/>
        <item m="1" x="21"/>
        <item m="1" x="43"/>
        <item m="1" x="9"/>
        <item m="1" x="31"/>
        <item m="1" x="48"/>
        <item m="1" x="14"/>
        <item m="1" x="35"/>
        <item m="1" x="53"/>
        <item m="1" x="17"/>
        <item m="1" x="38"/>
        <item m="1" x="3"/>
        <item m="1" x="22"/>
        <item m="1" x="45"/>
        <item m="1" x="11"/>
        <item m="1" x="32"/>
        <item m="1" x="50"/>
        <item m="1" x="23"/>
        <item m="1" x="24"/>
        <item m="1" x="25"/>
        <item m="1" x="26"/>
        <item m="1" x="4"/>
        <item m="1" x="1"/>
        <item t="default"/>
      </items>
    </pivotField>
    <pivotField compact="0" outline="0" showAll="0">
      <items count="15">
        <item m="1" x="4"/>
        <item m="1" x="13"/>
        <item m="1" x="9"/>
        <item m="1" x="10"/>
        <item m="1" x="6"/>
        <item x="0"/>
        <item m="1" x="2"/>
        <item m="1" x="8"/>
        <item m="1" x="12"/>
        <item m="1" x="3"/>
        <item m="1" x="11"/>
        <item m="1" x="7"/>
        <item m="1" x="5"/>
        <item m="1" x="1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 defaultSubtotal="0">
      <items count="26">
        <item m="1" x="25"/>
        <item m="1" x="12"/>
        <item m="1" x="9"/>
        <item x="2"/>
        <item m="1" x="17"/>
        <item m="1" x="21"/>
        <item m="1" x="4"/>
        <item m="1" x="22"/>
        <item m="1" x="13"/>
        <item m="1" x="3"/>
        <item m="1" x="10"/>
        <item m="1" x="23"/>
        <item m="1" x="11"/>
        <item m="1" x="19"/>
        <item m="1" x="5"/>
        <item m="1" x="18"/>
        <item m="1" x="16"/>
        <item m="1" x="7"/>
        <item m="1" x="14"/>
        <item m="1" x="8"/>
        <item m="1" x="24"/>
        <item m="1" x="6"/>
        <item x="0"/>
        <item m="1" x="15"/>
        <item m="1" x="20"/>
        <item x="1"/>
      </items>
    </pivotField>
    <pivotField compact="0" outline="0" showAll="0">
      <items count="8">
        <item m="1" x="5"/>
        <item m="1" x="1"/>
        <item m="1" x="4"/>
        <item m="1" x="6"/>
        <item m="1" x="3"/>
        <item x="0"/>
        <item m="1" x="2"/>
        <item t="default" sd="0"/>
      </items>
    </pivotField>
    <pivotField axis="axisPage" compact="0" outline="0" showAll="0" defaultSubtotal="0">
      <items count="8">
        <item m="1" x="4"/>
        <item m="1" x="7"/>
        <item m="1" x="2"/>
        <item m="1" x="3"/>
        <item m="1" x="6"/>
        <item x="1"/>
        <item m="1" x="5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1"/>
  </rowFields>
  <rowItems count="34">
    <i>
      <x v="125"/>
    </i>
    <i>
      <x v="132"/>
    </i>
    <i>
      <x v="142"/>
    </i>
    <i>
      <x v="143"/>
    </i>
    <i>
      <x v="156"/>
    </i>
    <i>
      <x v="157"/>
    </i>
    <i>
      <x v="161"/>
    </i>
    <i>
      <x v="164"/>
    </i>
    <i>
      <x v="165"/>
    </i>
    <i>
      <x v="180"/>
    </i>
    <i>
      <x v="183"/>
    </i>
    <i>
      <x v="185"/>
    </i>
    <i>
      <x v="187"/>
    </i>
    <i>
      <x v="192"/>
    </i>
    <i>
      <x v="196"/>
    </i>
    <i>
      <x v="197"/>
    </i>
    <i>
      <x v="200"/>
    </i>
    <i>
      <x v="204"/>
    </i>
    <i>
      <x v="205"/>
    </i>
    <i>
      <x v="206"/>
    </i>
    <i>
      <x v="208"/>
    </i>
    <i>
      <x v="209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20"/>
    </i>
    <i>
      <x v="221"/>
    </i>
    <i>
      <x v="222"/>
    </i>
    <i t="grand">
      <x/>
    </i>
  </rowItems>
  <colFields count="1">
    <field x="16"/>
  </colFields>
  <colItems count="8">
    <i>
      <x v="1196"/>
    </i>
    <i>
      <x v="1197"/>
    </i>
    <i>
      <x v="1198"/>
    </i>
    <i>
      <x v="1199"/>
    </i>
    <i>
      <x v="1200"/>
    </i>
    <i>
      <x v="1201"/>
    </i>
    <i>
      <x v="1202"/>
    </i>
    <i t="grand">
      <x/>
    </i>
  </colItems>
  <pageFields count="2">
    <pageField fld="26" hier="-1"/>
    <pageField fld="3" hier="-1"/>
  </pageFields>
  <dataFields count="1">
    <dataField name="Nombre de Segment" fld="15" subtotal="count" baseField="0" baseItem="0" numFmtId="1"/>
  </dataFields>
  <formats count="10">
    <format dxfId="23">
      <pivotArea field="25" type="button" dataOnly="0" labelOnly="1" outline="0"/>
    </format>
    <format dxfId="22">
      <pivotArea field="15" type="button" dataOnly="0" labelOnly="1" outline="0"/>
    </format>
    <format dxfId="21">
      <pivotArea field="24" type="button" dataOnly="0" labelOnly="1" outline="0"/>
    </format>
    <format dxfId="20">
      <pivotArea field="1" type="button" dataOnly="0" labelOnly="1" outline="0" axis="axisRow" fieldPosition="0"/>
    </format>
    <format dxfId="19">
      <pivotArea field="25" type="button" dataOnly="0" labelOnly="1" outline="0"/>
    </format>
    <format dxfId="18">
      <pivotArea field="15" type="button" dataOnly="0" labelOnly="1" outline="0"/>
    </format>
    <format dxfId="17">
      <pivotArea field="24" type="button" dataOnly="0" labelOnly="1" outline="0"/>
    </format>
    <format dxfId="16">
      <pivotArea field="1" type="button" dataOnly="0" labelOnly="1" outline="0" axis="axisRow" fieldPosition="0"/>
    </format>
    <format dxfId="15">
      <pivotArea outline="0" collapsedLevelsAreSubtotals="1" fieldPosition="0"/>
    </format>
    <format dxfId="1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12" xr10:uid="{00000000-0013-0000-FFFF-FFFF01000000}" sourceName="Mois">
  <pivotTables>
    <pivotTable tabId="15" name="Tableau croisé dynamique4"/>
  </pivotTables>
  <data>
    <tabular pivotCacheId="4">
      <items count="14">
        <i x="0" s="1"/>
        <i x="4" s="1" nd="1"/>
        <i x="13" s="1" nd="1"/>
        <i x="9" s="1" nd="1"/>
        <i x="10" s="1" nd="1"/>
        <i x="6" s="1" nd="1"/>
        <i x="2" s="1" nd="1"/>
        <i x="8" s="1" nd="1"/>
        <i x="12" s="1" nd="1"/>
        <i x="3" s="1" nd="1"/>
        <i x="11" s="1" nd="1"/>
        <i x="7" s="1" nd="1"/>
        <i x="5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maine12" xr10:uid="{00000000-0013-0000-FFFF-FFFF02000000}" sourceName="Semaine">
  <pivotTables>
    <pivotTable tabId="15" name="Tableau croisé dynamique4"/>
  </pivotTables>
  <data>
    <tabular pivotCacheId="4">
      <items count="55">
        <i x="0" s="1"/>
        <i x="18" s="1" nd="1"/>
        <i x="39" s="1" nd="1"/>
        <i x="5" s="1" nd="1"/>
        <i x="27" s="1" nd="1"/>
        <i x="42" s="1" nd="1"/>
        <i x="8" s="1" nd="1"/>
        <i x="30" s="1" nd="1"/>
        <i x="47" s="1" nd="1"/>
        <i x="13" s="1" nd="1"/>
        <i x="34" s="1" nd="1"/>
        <i x="52" s="1" nd="1"/>
        <i x="19" s="1" nd="1"/>
        <i x="40" s="1" nd="1"/>
        <i x="6" s="1" nd="1"/>
        <i x="28" s="1" nd="1"/>
        <i x="44" s="1" nd="1"/>
        <i x="10" s="1" nd="1"/>
        <i x="49" s="1" nd="1"/>
        <i x="15" s="1" nd="1"/>
        <i x="36" s="1" nd="1"/>
        <i x="54" s="1" nd="1"/>
        <i x="20" s="1" nd="1"/>
        <i x="41" s="1" nd="1"/>
        <i x="7" s="1" nd="1"/>
        <i x="29" s="1" nd="1"/>
        <i x="46" s="1" nd="1"/>
        <i x="12" s="1" nd="1"/>
        <i x="33" s="1" nd="1"/>
        <i x="51" s="1" nd="1"/>
        <i x="16" s="1" nd="1"/>
        <i x="37" s="1" nd="1"/>
        <i x="2" s="1" nd="1"/>
        <i x="21" s="1" nd="1"/>
        <i x="43" s="1" nd="1"/>
        <i x="9" s="1" nd="1"/>
        <i x="31" s="1" nd="1"/>
        <i x="48" s="1" nd="1"/>
        <i x="14" s="1" nd="1"/>
        <i x="35" s="1" nd="1"/>
        <i x="53" s="1" nd="1"/>
        <i x="17" s="1" nd="1"/>
        <i x="38" s="1" nd="1"/>
        <i x="3" s="1" nd="1"/>
        <i x="22" s="1" nd="1"/>
        <i x="45" s="1" nd="1"/>
        <i x="11" s="1" nd="1"/>
        <i x="32" s="1" nd="1"/>
        <i x="50" s="1" nd="1"/>
        <i x="23" s="1" nd="1"/>
        <i x="24" s="1" nd="1"/>
        <i x="25" s="1" nd="1"/>
        <i x="26" s="1" nd="1"/>
        <i x="4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12" xr10:uid="{00000000-0013-0000-FFFF-FFFF03000000}" sourceName="Segment">
  <pivotTables>
    <pivotTable tabId="15" name="Tableau croisé dynamique4"/>
  </pivotTables>
  <data>
    <tabular pivotCacheId="4">
      <items count="2">
        <i x="0" s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Business12" xr10:uid="{00000000-0013-0000-FFFF-FFFF04000000}" sourceName="Business">
  <pivotTables>
    <pivotTable tabId="15" name="Tableau croisé dynamique4"/>
  </pivotTables>
  <data>
    <tabular pivotCacheId="4">
      <items count="7">
        <i x="0" s="1"/>
        <i x="3" s="1" nd="1"/>
        <i x="5" s="1" nd="1"/>
        <i x="4" s="1" nd="1"/>
        <i x="2" s="1" nd="1"/>
        <i x="6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141" xr10:uid="{00000000-0013-0000-FFFF-FFFF05000000}" sourceName="Mois">
  <pivotTables>
    <pivotTable tabId="16" name="Tableau croisé dynamique5"/>
  </pivotTables>
  <data>
    <tabular pivotCacheId="4">
      <items count="14">
        <i x="0" s="1"/>
        <i x="4" s="1" nd="1"/>
        <i x="13" s="1" nd="1"/>
        <i x="9" s="1" nd="1"/>
        <i x="10" s="1" nd="1"/>
        <i x="6" s="1" nd="1"/>
        <i x="2" s="1" nd="1"/>
        <i x="8" s="1" nd="1"/>
        <i x="12" s="1" nd="1"/>
        <i x="3" s="1" nd="1"/>
        <i x="11" s="1" nd="1"/>
        <i x="7" s="1" nd="1"/>
        <i x="5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maine141" xr10:uid="{00000000-0013-0000-FFFF-FFFF06000000}" sourceName="Semaine">
  <pivotTables>
    <pivotTable tabId="16" name="Tableau croisé dynamique5"/>
  </pivotTables>
  <data>
    <tabular pivotCacheId="4">
      <items count="55">
        <i x="0" s="1"/>
        <i x="18" s="1" nd="1"/>
        <i x="39" s="1" nd="1"/>
        <i x="5" s="1" nd="1"/>
        <i x="27" s="1" nd="1"/>
        <i x="42" s="1" nd="1"/>
        <i x="8" s="1" nd="1"/>
        <i x="30" s="1" nd="1"/>
        <i x="47" s="1" nd="1"/>
        <i x="13" s="1" nd="1"/>
        <i x="34" s="1" nd="1"/>
        <i x="52" s="1" nd="1"/>
        <i x="19" s="1" nd="1"/>
        <i x="40" s="1" nd="1"/>
        <i x="6" s="1" nd="1"/>
        <i x="28" s="1" nd="1"/>
        <i x="44" s="1" nd="1"/>
        <i x="10" s="1" nd="1"/>
        <i x="49" s="1" nd="1"/>
        <i x="15" s="1" nd="1"/>
        <i x="36" s="1" nd="1"/>
        <i x="54" s="1" nd="1"/>
        <i x="20" s="1" nd="1"/>
        <i x="41" s="1" nd="1"/>
        <i x="7" s="1" nd="1"/>
        <i x="29" s="1" nd="1"/>
        <i x="46" s="1" nd="1"/>
        <i x="12" s="1" nd="1"/>
        <i x="33" s="1" nd="1"/>
        <i x="51" s="1" nd="1"/>
        <i x="16" s="1" nd="1"/>
        <i x="37" s="1" nd="1"/>
        <i x="2" s="1" nd="1"/>
        <i x="21" s="1" nd="1"/>
        <i x="43" s="1" nd="1"/>
        <i x="9" s="1" nd="1"/>
        <i x="31" s="1" nd="1"/>
        <i x="48" s="1" nd="1"/>
        <i x="14" s="1" nd="1"/>
        <i x="35" s="1" nd="1"/>
        <i x="53" s="1" nd="1"/>
        <i x="17" s="1" nd="1"/>
        <i x="38" s="1" nd="1"/>
        <i x="3" s="1" nd="1"/>
        <i x="22" s="1" nd="1"/>
        <i x="45" s="1" nd="1"/>
        <i x="11" s="1" nd="1"/>
        <i x="32" s="1" nd="1"/>
        <i x="50" s="1" nd="1"/>
        <i x="23" s="1" nd="1"/>
        <i x="24" s="1" nd="1"/>
        <i x="25" s="1" nd="1"/>
        <i x="26" s="1" nd="1"/>
        <i x="4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141" xr10:uid="{00000000-0013-0000-FFFF-FFFF07000000}" sourceName="Segment">
  <pivotTables>
    <pivotTable tabId="16" name="Tableau croisé dynamique5"/>
  </pivotTables>
  <data>
    <tabular pivotCacheId="4">
      <items count="2">
        <i x="0" s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Business141" xr10:uid="{00000000-0013-0000-FFFF-FFFF08000000}" sourceName="Business">
  <pivotTables>
    <pivotTable tabId="16" name="Tableau croisé dynamique5"/>
  </pivotTables>
  <data>
    <tabular pivotCacheId="4">
      <items count="7">
        <i x="0" s="1"/>
        <i x="3" s="1" nd="1"/>
        <i x="5" s="1" nd="1"/>
        <i x="4" s="1" nd="1"/>
        <i x="2" s="1" nd="1"/>
        <i x="6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is 7" xr10:uid="{00000000-0014-0000-FFFF-FFFF01000000}" cache="Segment_Mois141" caption="Mois" rowHeight="241300"/>
  <slicer name="Semaine 7" xr10:uid="{00000000-0014-0000-FFFF-FFFF02000000}" cache="Segment_Semaine141" caption="Semaine" rowHeight="241300"/>
  <slicer name="Segment 6" xr10:uid="{00000000-0014-0000-FFFF-FFFF03000000}" cache="Segment_Segment141" caption="Segment" style="SlicerStyleLight6" rowHeight="241300"/>
  <slicer name="Business 6" xr10:uid="{00000000-0014-0000-FFFF-FFFF04000000}" cache="Segment_Business141" caption="Business" style="SlicerStyleLight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is 4" xr10:uid="{00000000-0014-0000-FFFF-FFFF05000000}" cache="Segment_Mois12" caption="Mois" rowHeight="241300"/>
  <slicer name="Semaine 4" xr10:uid="{00000000-0014-0000-FFFF-FFFF06000000}" cache="Segment_Semaine12" caption="Semaine" rowHeight="241300"/>
  <slicer name="Segment 3" xr10:uid="{00000000-0014-0000-FFFF-FFFF07000000}" cache="Segment_Segment12" caption="Segment" columnCount="2" style="SlicerStyleLight6" rowHeight="241300"/>
  <slicer name="Business 3" xr10:uid="{00000000-0014-0000-FFFF-FFFF08000000}" cache="Segment_Business12" caption="Business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lanning2" displayName="Planning2" ref="A1:H225" totalsRowShown="0" headerRowDxfId="116" dataDxfId="115">
  <autoFilter ref="A1:H225" xr:uid="{00000000-000C-0000-FFFF-FFFF00000000}">
    <filterColumn colId="0">
      <filters>
        <filter val="BOURABAA HASSAN"/>
      </filters>
    </filterColumn>
    <filterColumn colId="1">
      <filters>
        <dateGroupItem year="2026" month="7" day="21" dateTimeGrouping="day"/>
      </filters>
    </filterColumn>
  </autoFilter>
  <sortState xmlns:xlrd2="http://schemas.microsoft.com/office/spreadsheetml/2017/richdata2" ref="A168:H196">
    <sortCondition ref="C1:C196"/>
  </sortState>
  <tableColumns count="8">
    <tableColumn id="1" xr3:uid="{00000000-0010-0000-0000-000001000000}" name="Nom" dataDxfId="114" dataCellStyle="Nor}al"/>
    <tableColumn id="2" xr3:uid="{00000000-0010-0000-0000-000002000000}" name="Date" dataDxfId="113" dataCellStyle="Nor}al"/>
    <tableColumn id="3" xr3:uid="{00000000-0010-0000-0000-000003000000}" name="Entrée" dataDxfId="112"/>
    <tableColumn id="4" xr3:uid="{00000000-0010-0000-0000-000004000000}" name="Sortie" dataDxfId="111"/>
    <tableColumn id="6" xr3:uid="{00000000-0010-0000-0000-000006000000}" name="No Semaine" dataDxfId="110">
      <calculatedColumnFormula>WEEKNUM(Planning2[[#This Row],[Date]],21)</calculatedColumnFormula>
    </tableColumn>
    <tableColumn id="5" xr3:uid="{00000000-0010-0000-0000-000005000000}" name="Segment" dataDxfId="109">
      <calculatedColumnFormula>VLOOKUP(A2,Annuaire_roster!B:C,2,0)</calculatedColumnFormula>
    </tableColumn>
    <tableColumn id="7" xr3:uid="{00000000-0010-0000-0000-000007000000}" name="Colonne1" dataDxfId="108"/>
    <tableColumn id="8" xr3:uid="{00000000-0010-0000-0000-000008000000}" name="Colonne2" dataDxfId="10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au4" displayName="Tableau4" ref="N5:Q16" totalsRowShown="0" headerRowDxfId="29">
  <autoFilter ref="N5:Q16" xr:uid="{00000000-0009-0000-0100-000004000000}"/>
  <tableColumns count="4">
    <tableColumn id="1" xr3:uid="{00000000-0010-0000-0100-000001000000}" name="Nom De l'agent" dataDxfId="28"/>
    <tableColumn id="2" xr3:uid="{00000000-0010-0000-0100-000002000000}" name="Date" dataDxfId="27"/>
    <tableColumn id="3" xr3:uid="{00000000-0010-0000-0100-000003000000}" name="Somme de Théorique" dataDxfId="26"/>
    <tableColumn id="4" xr3:uid="{00000000-0010-0000-0100-000004000000}" name="Commentaire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au132" displayName="Tableau132" ref="C4:J64" totalsRowShown="0" headerRowDxfId="11" headerRowBorderDxfId="10" tableBorderDxfId="9" totalsRowBorderDxfId="8">
  <sortState xmlns:xlrd2="http://schemas.microsoft.com/office/spreadsheetml/2017/richdata2" ref="C7:K74">
    <sortCondition ref="F4:F75"/>
  </sortState>
  <tableColumns count="8">
    <tableColumn id="8" xr3:uid="{00000000-0010-0000-0200-000008000000}" name="Matricule" dataDxfId="7">
      <calculatedColumnFormula>VLOOKUP(Tableau132[[#This Row],[Nom et Prénom du salarié]],Annuaire_roster!B:F,5,0)</calculatedColumnFormula>
    </tableColumn>
    <tableColumn id="1" xr3:uid="{00000000-0010-0000-0200-000001000000}" name="Activité" dataDxfId="6"/>
    <tableColumn id="2" xr3:uid="{00000000-0010-0000-0200-000002000000}" name="Manager" dataDxfId="5"/>
    <tableColumn id="3" xr3:uid="{00000000-0010-0000-0200-000003000000}" name="Nom et Prénom du salarié" dataDxfId="4"/>
    <tableColumn id="4" xr3:uid="{00000000-0010-0000-0200-000004000000}" name="Date début de l'arrêt" dataDxfId="3"/>
    <tableColumn id="5" xr3:uid="{00000000-0010-0000-0200-000005000000}" name="Date de reprise" dataDxfId="2"/>
    <tableColumn id="9" xr3:uid="{00000000-0010-0000-0200-000009000000}" name="Date de dépôt du CM" dataDxfId="1"/>
    <tableColumn id="6" xr3:uid="{00000000-0010-0000-0200-000006000000}" name="Durée de l'arrêt" dataDxfId="0">
      <calculatedColumnFormula>Tableau132[[#This Row],[Date de reprise]]-Tableau132[[#This Row],[Date début de l''arrêt]] &amp; "j"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 filterMode="1"/>
  <dimension ref="A1:AG225"/>
  <sheetViews>
    <sheetView showGridLines="0" tabSelected="1" zoomScaleNormal="100" workbookViewId="0">
      <pane xSplit="2" ySplit="1" topLeftCell="C2" activePane="bottomRight" state="frozen"/>
      <selection activeCell="C37" sqref="C37"/>
      <selection pane="topRight" activeCell="C37" sqref="C37"/>
      <selection pane="bottomLeft" activeCell="C37" sqref="C37"/>
      <selection pane="bottomRight" activeCell="J25" sqref="J25"/>
    </sheetView>
  </sheetViews>
  <sheetFormatPr baseColWidth="10" defaultColWidth="11.42578125" defaultRowHeight="12.75" x14ac:dyDescent="0.2"/>
  <cols>
    <col min="1" max="1" width="13.7109375" style="16" customWidth="1"/>
    <col min="2" max="2" width="27.28515625" style="41" bestFit="1" customWidth="1"/>
    <col min="3" max="3" width="16.42578125" style="18" customWidth="1"/>
    <col min="4" max="4" width="16.42578125" style="19" customWidth="1"/>
    <col min="5" max="5" width="13.7109375" style="20" customWidth="1"/>
    <col min="6" max="6" width="14" style="20" customWidth="1"/>
    <col min="7" max="7" width="14.5703125" style="21" customWidth="1"/>
    <col min="8" max="8" width="17.7109375" style="21" customWidth="1"/>
    <col min="9" max="9" width="16.28515625" style="21" customWidth="1"/>
    <col min="10" max="11" width="13.7109375" style="21" customWidth="1"/>
    <col min="12" max="12" width="12.7109375" style="21" customWidth="1"/>
    <col min="13" max="13" width="12.7109375" style="16" customWidth="1"/>
    <col min="14" max="14" width="14.7109375" style="21" customWidth="1"/>
    <col min="15" max="15" width="14.5703125" style="21" customWidth="1"/>
    <col min="16" max="16" width="12.5703125" style="16" customWidth="1"/>
    <col min="17" max="17" width="10.42578125" style="16" customWidth="1"/>
    <col min="18" max="18" width="14.7109375" style="16" customWidth="1"/>
    <col min="19" max="19" width="16.7109375" style="16" customWidth="1"/>
    <col min="20" max="20" width="12.28515625" style="16" customWidth="1"/>
    <col min="21" max="21" width="9.28515625" style="16" customWidth="1"/>
    <col min="22" max="22" width="10.7109375" style="16" customWidth="1"/>
    <col min="23" max="23" width="8.7109375" style="16" customWidth="1"/>
    <col min="24" max="24" width="14.5703125" style="22" customWidth="1"/>
    <col min="25" max="25" width="25.28515625" style="16" customWidth="1"/>
    <col min="26" max="26" width="12.28515625" style="16" customWidth="1"/>
    <col min="27" max="27" width="10.42578125" style="17" customWidth="1"/>
    <col min="28" max="28" width="14.5703125" style="16" customWidth="1"/>
    <col min="29" max="29" width="18.7109375" style="16" customWidth="1"/>
    <col min="30" max="30" width="16" style="16" customWidth="1"/>
    <col min="31" max="31" width="13" style="16" customWidth="1"/>
    <col min="32" max="32" width="38.28515625" style="16" customWidth="1"/>
    <col min="33" max="33" width="16.42578125" style="16" bestFit="1" customWidth="1"/>
    <col min="34" max="16384" width="11.42578125" style="16"/>
  </cols>
  <sheetData>
    <row r="1" spans="1:33" s="15" customFormat="1" ht="35.25" customHeight="1" thickTop="1" thickBot="1" x14ac:dyDescent="0.3">
      <c r="A1" s="71" t="s">
        <v>28</v>
      </c>
      <c r="B1" s="92" t="s">
        <v>12</v>
      </c>
      <c r="C1" s="65" t="s">
        <v>5</v>
      </c>
      <c r="D1" s="64" t="s">
        <v>1</v>
      </c>
      <c r="E1" s="66" t="s">
        <v>32</v>
      </c>
      <c r="F1" s="66" t="s">
        <v>2</v>
      </c>
      <c r="G1" s="7" t="s">
        <v>13</v>
      </c>
      <c r="H1" s="7" t="s">
        <v>27</v>
      </c>
      <c r="I1" s="7" t="s">
        <v>6</v>
      </c>
      <c r="J1" s="7" t="s">
        <v>7</v>
      </c>
      <c r="K1" s="7" t="s">
        <v>8</v>
      </c>
      <c r="L1" s="7" t="s">
        <v>14</v>
      </c>
      <c r="M1" s="67" t="s">
        <v>9</v>
      </c>
      <c r="N1" s="2" t="s">
        <v>10</v>
      </c>
      <c r="O1" s="64" t="s">
        <v>11</v>
      </c>
      <c r="P1" s="64" t="s">
        <v>24</v>
      </c>
      <c r="Q1" s="68" t="s">
        <v>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1" t="s">
        <v>20</v>
      </c>
      <c r="X1" s="4" t="s">
        <v>21</v>
      </c>
      <c r="Y1" s="3" t="s">
        <v>22</v>
      </c>
      <c r="Z1" s="3" t="s">
        <v>23</v>
      </c>
      <c r="AA1" s="8" t="s">
        <v>3</v>
      </c>
      <c r="AB1" s="3" t="s">
        <v>33</v>
      </c>
      <c r="AC1" s="3" t="s">
        <v>34</v>
      </c>
      <c r="AD1" s="3" t="s">
        <v>35</v>
      </c>
      <c r="AE1" s="3" t="s">
        <v>50</v>
      </c>
      <c r="AF1" s="69" t="s">
        <v>59</v>
      </c>
      <c r="AG1" s="3" t="s">
        <v>36</v>
      </c>
    </row>
    <row r="2" spans="1:33" x14ac:dyDescent="0.2">
      <c r="A2" s="70">
        <f>VLOOKUP(B2,Annuaire_roster!B:F,5,0)</f>
        <v>742</v>
      </c>
      <c r="B2" s="165" t="s">
        <v>76</v>
      </c>
      <c r="C2" s="61">
        <f>IFERROR(IF(COUNTIFS(Connexions!$K:$K,$Q2,Connexions!$E:$E,VLOOKUP($B2,Mapping_Noms!$A:$B,2,0))=0,"",_xlfn.MINIFS(Connexions!$M:$M,Connexions!$K:$K,$Q2,Connexions!$E:$E,VLOOKUP($B2,Mapping_Noms!$A:$B,2,0))-TIME(1,0,0)),"")</f>
        <v>0.29172453703703705</v>
      </c>
      <c r="D2" s="61">
        <f t="array" ref="D2">IFERROR(INDEX(Planning2[],MATCH(1,(Planning2[Nom]=B2)*(Planning2[Date]=Q2),0),3),"-")</f>
        <v>0.29166666666666669</v>
      </c>
      <c r="E2" s="38">
        <f>IFERROR(IF(COUNTIFS(Connexions!$K:$K,$Q2,Connexions!$E:$E,VLOOKUP($B2,Mapping_Noms!$A:$B,2,0))=0,"",_xlfn.MAXIFS(Connexions!$O:$O,Connexions!$K:$K,$Q2,Connexions!$E:$E,VLOOKUP($B2,Mapping_Noms!$A:$B,2,0))-TIME(1,0,0)),"")</f>
        <v>0.66668981481481482</v>
      </c>
      <c r="F2" s="38">
        <f t="array" ref="F2">IFERROR(INDEX(Planning2[],MATCH(1,(Planning2[Nom]=B2)*(Planning2[Date]=Q2),0),4),"-")</f>
        <v>0.66666666666666663</v>
      </c>
      <c r="G2" s="88"/>
      <c r="H2" s="88"/>
      <c r="I2" s="208" t="str">
        <f t="shared" ref="I2:I33" si="0">IF(IF(OR(C2="",D2="Congé",D2="OFF",D2="Congé spécial"),"",IF(D2&gt;F2,D2-C2,IF(C2-D2&lt;0,0,C2-D2)))&lt;0.00068287037037037,"",IF(OR(D2="Congé",D2="OFF",C2="",D2="Congé spécial"),"",IF(D2&gt;F2,D2-C2,IF(C2-D2&lt;0,0,C2-D2))))</f>
        <v/>
      </c>
      <c r="J2" s="88"/>
      <c r="K2" s="89">
        <f t="shared" ref="K2:K33" si="1">IF(SUM(H2:J2)&lt;0.00068287037037037,0,SUM(H2:J2))</f>
        <v>0</v>
      </c>
      <c r="L2" s="88">
        <f t="shared" ref="L2:L33" si="2">IF(OR(F2="Congé",F2="OFF",M2="Abs",F2="Congé sans solde",F2="Férié",F2="Congé spécial",D2="Congé spécial"),0,IF(F2-E2&lt;0,0,IF(F2-E2&lt;=0.00068287037037037,0,F2-E2)))</f>
        <v>0</v>
      </c>
      <c r="M2" s="62">
        <f t="shared" ref="M2:M33" si="3">IF(AND(O2&lt;&gt;0,C2=""),"Abs",0)</f>
        <v>0</v>
      </c>
      <c r="N2" s="102">
        <f t="shared" ref="N2:N33" si="4">IFERROR(IF(OR(D2="OFF",D2="Congé",M2="Abs",D2="Congé sans solde",D2="Férié"),"",IF(O2-K2-L2&gt;O2,O2,IF(O2-K2-L2&lt;0,"",O2-K2-L2))),"")</f>
        <v>0.33333333333333326</v>
      </c>
      <c r="O2" s="90">
        <f t="shared" ref="O2:O33" si="5">IF(AG2="2H Pause déjeuner",IF(F2-D2-0.0833333333333333&lt;0,F2-D2-0.0833333333333333+1,F2-D2-0.0833333333333333),IF(OR(AND(F2="OFF",D2="OFF"),AND(F2="Congé",D2="Congé"),AND(F2="Congé sans solde",D2="Congé sans solde"),AND(F2="Congé spécial",D2="Congé spécial"),AND(F2="Férié",D2="Férié"),AND(F2="OFF",D2="Congé"),AND(F2="OFF",D2="Congé sans solde"),AND(F2="OFF",D2="Congé spécial"),AND(F2="OFF",D2="Férié"),AND(F2="Congé",D2="OFF"),AND(F2="Congé",D2="Congé sans solde"),AND(F2="Congé",D2="Congé spécial"),AND(F2="Congé",D2="Férié"),AND(F2="Congé sans solde",D2="OFF"),AND(F2="Congé sans solde",D2="Congé"),AND(F2="Congé sans solde",D2="Congé spécial"),AND(F2="Congé sans solde",D2="Férié"),AND(F2="Congé spécial",D2="OFF"),AND(F2="Congé spécial",D2="Congé"),AND(F2="Congé spécial",D2="Congé sans solde"),AND(F2="Congé spécial",D2="Férié"),AND(F2="Férié",D2="OFF"),AND(F2="Férié",D2="Congé"),AND(F2="Férié",D2="Congé sans solde"),AND(F2="Férié",D2="Congé spécial")),0,IF(OR(F2="OFF",F2="Congé",F2="Congé spécial",F2="Congé sans solde",D2="OFF",D2="Congé",D2="Congé spécial",D2="Congé sans solde"),0.208333333333334,IF(AND(AG2="",F2-D2&lt;0),("24:00:00"-D2)+("00:00:00"+F2)-0.0416666666666667,IF(AND(OR(AG2="Allaitement",AG2="Sans déjeuner"),F2-D2&lt;0),("24:00:00"-D2)+("00:00:00"+F2),IF(AND(AG2="",F2-D2&gt;0.166666666666667),F2-D2-0.0416666666666667,IF(AND(OR(AG2="Allaitement",AG2="Sans déjeuner"),F2-D2&gt;0.166666666666667),F2-D2,F2-D2)))))))</f>
        <v>0.33333333333333326</v>
      </c>
      <c r="P2" s="91" t="str">
        <f>IFERROR(VLOOKUP($B2,Annuaire_roster!$B:$G,MATCH(P$1,Annuaire_roster!$B$1:$G$1,0),0),"-")</f>
        <v>Google Leads</v>
      </c>
      <c r="Q2" s="100">
        <v>44761</v>
      </c>
      <c r="R2" s="10">
        <f t="shared" ref="R2:R33" si="6">IF(M2="Abs",O2,0)</f>
        <v>0</v>
      </c>
      <c r="S2" s="10">
        <f t="shared" ref="S2:S33" si="7">SUM(R2,L2,I2,J2,W2,H2)</f>
        <v>0</v>
      </c>
      <c r="T2" s="16" t="str">
        <f t="shared" ref="T2:T33" si="8">"Sem - "&amp;WEEKNUM(Q2,21)</f>
        <v>Sem - 30</v>
      </c>
      <c r="U2" s="16" t="str">
        <f t="shared" ref="U2:U33" si="9">PROPER(TEXT(Q2,"mmmm"))</f>
        <v>Juillet</v>
      </c>
      <c r="V2" s="11" t="str">
        <f t="shared" ref="V2:V33" si="10">+TEXT(Q2,"aaa")</f>
        <v>2026</v>
      </c>
      <c r="W2" s="9"/>
      <c r="X2" s="5">
        <f t="shared" ref="X2:X33" si="11">IFERROR(IF(M2="Abs",0,IF((D2-C2+E2-F2)&lt;0.000694444444444444,0,(D2-C2+E2-F2))),0)</f>
        <v>0</v>
      </c>
      <c r="Y2" s="12" t="str">
        <f>IFERROR(VLOOKUP(B2,Annuaire_roster!B:E,4,0),"-")</f>
        <v>OUAQERROUCH Nour-El Houda</v>
      </c>
      <c r="Z2" s="12" t="str">
        <f>IFERROR(VLOOKUP(B2,Annuaire_roster!B:F,3,0),"-")</f>
        <v>Google Leads</v>
      </c>
      <c r="AA2" s="12" t="str">
        <f>IFERROR(VLOOKUP(B2,Annuaire_roster!B:I,6,0),"-")</f>
        <v>Forfaitaire</v>
      </c>
      <c r="AB2" s="142" t="str">
        <f t="shared" ref="AB2:AB33" si="12">IF(AND(D2="Congé",F2="Congé"),0.333333333333333,IF(OR(AND(D2="Congé",F2&lt;&gt;"Congé"),(AND(F2="Congé",D2&lt;&gt;"Congé"))),0.166666666666667,""))</f>
        <v/>
      </c>
      <c r="AC2" s="142" t="str">
        <f t="shared" ref="AC2:AC33" si="13">IF(AND(D2="Congé sans solde",F2="Congé sans solde"),0.333333333333333,IF(OR(AND(D2="Congé sans solde",F2&lt;&gt;"Congé sans solde"),(AND(F2="Congé sans solde",D2&lt;&gt;"Congé sans solde"))),0.166666666666667,""))</f>
        <v/>
      </c>
      <c r="AD2" s="142" t="str">
        <f t="shared" ref="AD2:AD33" si="14">IF(AND(D2="Congé spécial",F2="Congé spécial"),0.333333333333333,IF(OR(AND(D2="Congé spécial",F2&lt;&gt;"Congé décès"),(AND(F2="Congé spécial",D2&lt;&gt;"Congé spécial"))),0.166666666666667,""))</f>
        <v/>
      </c>
      <c r="AE2" s="143" t="str">
        <f t="shared" ref="AE2:AE33" si="15">IF(AND(D2="Férié",F2="Férié"),0.333333333333333,IF(OR(AND(D2="Férié",F2&lt;&gt;"Férié"),(AND(F2="Férié",D2&lt;&gt;"Férié"))),0.166666666666667,""))</f>
        <v/>
      </c>
      <c r="AF2" s="63"/>
      <c r="AG2" s="10"/>
    </row>
    <row r="3" spans="1:33" x14ac:dyDescent="0.2">
      <c r="A3" s="70">
        <f>VLOOKUP(B3,Annuaire_roster!B:F,5,0)</f>
        <v>0</v>
      </c>
      <c r="B3" s="165" t="s">
        <v>196</v>
      </c>
      <c r="C3" s="61">
        <f>IFERROR(IF(COUNTIFS(Connexions!$K:$K,$Q3,Connexions!$E:$E,VLOOKUP($B3,Mapping_Noms!$A:$B,2,0))=0,"",_xlfn.MINIFS(Connexions!$M:$M,Connexions!$K:$K,$Q3,Connexions!$E:$E,VLOOKUP($B3,Mapping_Noms!$A:$B,2,0))-TIME(1,0,0)),"")</f>
        <v>0.29351851851851851</v>
      </c>
      <c r="D3" s="61">
        <f t="array" ref="D3">IFERROR(INDEX(Planning2[],MATCH(1,(Planning2[Nom]=B3)*(Planning2[Date]=Q3),0),3),"-")</f>
        <v>0.29166666666666669</v>
      </c>
      <c r="E3" s="38">
        <f>IFERROR(IF(COUNTIFS(Connexions!$K:$K,$Q3,Connexions!$E:$E,VLOOKUP($B3,Mapping_Noms!$A:$B,2,0))=0,"",_xlfn.MAXIFS(Connexions!$O:$O,Connexions!$K:$K,$Q3,Connexions!$E:$E,VLOOKUP($B3,Mapping_Noms!$A:$B,2,0))-TIME(1,0,0)),"")</f>
        <v>0.66675925925925927</v>
      </c>
      <c r="F3" s="38">
        <f t="array" ref="F3">IFERROR(INDEX(Planning2[],MATCH(1,(Planning2[Nom]=B3)*(Planning2[Date]=Q3),0),4),"-")</f>
        <v>0.66666666666666663</v>
      </c>
      <c r="G3" s="88"/>
      <c r="H3" s="88"/>
      <c r="I3" s="208">
        <f t="shared" si="0"/>
        <v>1.8518518518518268E-3</v>
      </c>
      <c r="J3" s="88"/>
      <c r="K3" s="89">
        <f t="shared" si="1"/>
        <v>1.8518518518518268E-3</v>
      </c>
      <c r="L3" s="88">
        <f t="shared" si="2"/>
        <v>0</v>
      </c>
      <c r="M3" s="62">
        <f t="shared" si="3"/>
        <v>0</v>
      </c>
      <c r="N3" s="102">
        <f t="shared" si="4"/>
        <v>0.33148148148148143</v>
      </c>
      <c r="O3" s="90">
        <f t="shared" si="5"/>
        <v>0.33333333333333326</v>
      </c>
      <c r="P3" s="91" t="str">
        <f>IFERROR(VLOOKUP($B3,Annuaire_roster!$B:$G,MATCH(P$1,Annuaire_roster!$B$1:$G$1,0),0),"-")</f>
        <v>Google Leads</v>
      </c>
      <c r="Q3" s="100">
        <v>44761</v>
      </c>
      <c r="R3" s="10">
        <f t="shared" si="6"/>
        <v>0</v>
      </c>
      <c r="S3" s="10">
        <f t="shared" si="7"/>
        <v>1.8518518518518268E-3</v>
      </c>
      <c r="T3" s="16" t="str">
        <f t="shared" si="8"/>
        <v>Sem - 30</v>
      </c>
      <c r="U3" s="16" t="str">
        <f t="shared" si="9"/>
        <v>Juillet</v>
      </c>
      <c r="V3" s="11" t="str">
        <f t="shared" si="10"/>
        <v>2026</v>
      </c>
      <c r="W3" s="9"/>
      <c r="X3" s="5">
        <f t="shared" si="11"/>
        <v>0</v>
      </c>
      <c r="Y3" s="12">
        <f>IFERROR(VLOOKUP(B3,Annuaire_roster!B:E,4,0),"-")</f>
        <v>0</v>
      </c>
      <c r="Z3" s="12" t="str">
        <f>IFERROR(VLOOKUP(B3,Annuaire_roster!B:F,3,0),"-")</f>
        <v>Google Leads</v>
      </c>
      <c r="AA3" s="12">
        <f>IFERROR(VLOOKUP(B3,Annuaire_roster!B:I,6,0),"-")</f>
        <v>0</v>
      </c>
      <c r="AB3" s="142" t="str">
        <f t="shared" si="12"/>
        <v/>
      </c>
      <c r="AC3" s="142" t="str">
        <f t="shared" si="13"/>
        <v/>
      </c>
      <c r="AD3" s="142" t="str">
        <f t="shared" si="14"/>
        <v/>
      </c>
      <c r="AE3" s="143" t="str">
        <f t="shared" si="15"/>
        <v/>
      </c>
      <c r="AF3" s="63"/>
      <c r="AG3" s="10"/>
    </row>
    <row r="4" spans="1:33" s="209" customFormat="1" x14ac:dyDescent="0.2">
      <c r="A4" s="70">
        <f>VLOOKUP(B4,Annuaire_roster!B:F,5,0)</f>
        <v>1145</v>
      </c>
      <c r="B4" s="165" t="s">
        <v>102</v>
      </c>
      <c r="C4" s="61">
        <f>IFERROR(IF(COUNTIFS(Connexions!$K:$K,$Q4,Connexions!$E:$E,VLOOKUP($B4,Mapping_Noms!$A:$B,2,0))=0,"",_xlfn.MINIFS(Connexions!$M:$M,Connexions!$K:$K,$Q4,Connexions!$E:$E,VLOOKUP($B4,Mapping_Noms!$A:$B,2,0))-TIME(1,0,0)),"")</f>
        <v>0.29017361111111112</v>
      </c>
      <c r="D4" s="61">
        <f t="array" ref="D4">IFERROR(INDEX(Planning2[],MATCH(1,(Planning2[Nom]=B4)*(Planning2[Date]=Q4),0),3),"-")</f>
        <v>0.29166666666666669</v>
      </c>
      <c r="E4" s="38">
        <f>IFERROR(IF(COUNTIFS(Connexions!$K:$K,$Q4,Connexions!$E:$E,VLOOKUP($B4,Mapping_Noms!$A:$B,2,0))=0,"",_xlfn.MAXIFS(Connexions!$O:$O,Connexions!$K:$K,$Q4,Connexions!$E:$E,VLOOKUP($B4,Mapping_Noms!$A:$B,2,0))-TIME(1,0,0)),"")</f>
        <v>0.70842592592592601</v>
      </c>
      <c r="F4" s="38">
        <f t="array" ref="F4">IFERROR(INDEX(Planning2[],MATCH(1,(Planning2[Nom]=B4)*(Planning2[Date]=Q4),0),4),"-")</f>
        <v>0.70833333333333337</v>
      </c>
      <c r="G4" s="88"/>
      <c r="H4" s="88"/>
      <c r="I4" s="235" t="str">
        <f t="shared" si="0"/>
        <v/>
      </c>
      <c r="J4" s="88"/>
      <c r="K4" s="89">
        <f t="shared" si="1"/>
        <v>0</v>
      </c>
      <c r="L4" s="88">
        <f t="shared" si="2"/>
        <v>0</v>
      </c>
      <c r="M4" s="62">
        <f t="shared" si="3"/>
        <v>0</v>
      </c>
      <c r="N4" s="102">
        <f t="shared" si="4"/>
        <v>0.375</v>
      </c>
      <c r="O4" s="90">
        <f t="shared" si="5"/>
        <v>0.375</v>
      </c>
      <c r="P4" s="91" t="str">
        <f>IFERROR(VLOOKUP($B4,Annuaire_roster!$B:$G,MATCH(P$1,Annuaire_roster!$B$1:$G$1,0),0),"-")</f>
        <v>Google Leads</v>
      </c>
      <c r="Q4" s="100">
        <v>44761</v>
      </c>
      <c r="R4" s="10">
        <f t="shared" si="6"/>
        <v>0</v>
      </c>
      <c r="S4" s="10">
        <f t="shared" si="7"/>
        <v>0</v>
      </c>
      <c r="T4" s="16" t="str">
        <f t="shared" si="8"/>
        <v>Sem - 30</v>
      </c>
      <c r="U4" s="16" t="str">
        <f t="shared" si="9"/>
        <v>Juillet</v>
      </c>
      <c r="V4" s="11" t="str">
        <f t="shared" si="10"/>
        <v>2026</v>
      </c>
      <c r="W4" s="9"/>
      <c r="X4" s="5">
        <f t="shared" si="11"/>
        <v>1.585648148148211E-3</v>
      </c>
      <c r="Y4" s="12" t="str">
        <f>IFERROR(VLOOKUP(B4,Annuaire_roster!B:E,4,0),"-")</f>
        <v>CHOUIFI Mustapha</v>
      </c>
      <c r="Z4" s="12" t="str">
        <f>IFERROR(VLOOKUP(B4,Annuaire_roster!B:F,3,0),"-")</f>
        <v>Google Leads</v>
      </c>
      <c r="AA4" s="12" t="str">
        <f>IFERROR(VLOOKUP(B4,Annuaire_roster!B:I,6,0),"-")</f>
        <v>Forfaitaire</v>
      </c>
      <c r="AB4" s="142" t="str">
        <f t="shared" si="12"/>
        <v/>
      </c>
      <c r="AC4" s="142" t="str">
        <f t="shared" si="13"/>
        <v/>
      </c>
      <c r="AD4" s="142" t="str">
        <f t="shared" si="14"/>
        <v/>
      </c>
      <c r="AE4" s="143" t="str">
        <f t="shared" si="15"/>
        <v/>
      </c>
      <c r="AF4" s="63"/>
      <c r="AG4" s="10"/>
    </row>
    <row r="5" spans="1:33" x14ac:dyDescent="0.2">
      <c r="A5" s="70">
        <f>VLOOKUP(B5,Annuaire_roster!B:F,5,0)</f>
        <v>669</v>
      </c>
      <c r="B5" s="165" t="s">
        <v>45</v>
      </c>
      <c r="C5" s="61">
        <f>IFERROR(IF(COUNTIFS(Connexions!$K:$K,$Q5,Connexions!$E:$E,VLOOKUP($B5,Mapping_Noms!$A:$B,2,0))=0,"",_xlfn.MINIFS(Connexions!$M:$M,Connexions!$K:$K,$Q5,Connexions!$E:$E,VLOOKUP($B5,Mapping_Noms!$A:$B,2,0))-TIME(1,0,0)),"")</f>
        <v>0.29071759259259256</v>
      </c>
      <c r="D5" s="61">
        <f t="array" ref="D5">IFERROR(INDEX(Planning2[],MATCH(1,(Planning2[Nom]=B5)*(Planning2[Date]=Q5),0),3),"-")</f>
        <v>0.29166666666666669</v>
      </c>
      <c r="E5" s="38">
        <f>IFERROR(IF(COUNTIFS(Connexions!$K:$K,$Q5,Connexions!$E:$E,VLOOKUP($B5,Mapping_Noms!$A:$B,2,0))=0,"",_xlfn.MAXIFS(Connexions!$O:$O,Connexions!$K:$K,$Q5,Connexions!$E:$E,VLOOKUP($B5,Mapping_Noms!$A:$B,2,0))-TIME(1,0,0)),"")</f>
        <v>0.70901620370370377</v>
      </c>
      <c r="F5" s="38">
        <f t="array" ref="F5">IFERROR(INDEX(Planning2[],MATCH(1,(Planning2[Nom]=B5)*(Planning2[Date]=Q5),0),4),"-")</f>
        <v>0.70833333333333337</v>
      </c>
      <c r="G5" s="88"/>
      <c r="H5" s="88"/>
      <c r="I5" s="235" t="str">
        <f t="shared" si="0"/>
        <v/>
      </c>
      <c r="J5" s="88"/>
      <c r="K5" s="89">
        <f t="shared" si="1"/>
        <v>0</v>
      </c>
      <c r="L5" s="88">
        <f t="shared" si="2"/>
        <v>0</v>
      </c>
      <c r="M5" s="62">
        <f t="shared" si="3"/>
        <v>0</v>
      </c>
      <c r="N5" s="102">
        <f t="shared" si="4"/>
        <v>0.375</v>
      </c>
      <c r="O5" s="90">
        <f t="shared" si="5"/>
        <v>0.375</v>
      </c>
      <c r="P5" s="91" t="str">
        <f>IFERROR(VLOOKUP($B5,Annuaire_roster!$B:$G,MATCH(P$1,Annuaire_roster!$B$1:$G$1,0),0),"-")</f>
        <v>Google Leads</v>
      </c>
      <c r="Q5" s="100">
        <v>44761</v>
      </c>
      <c r="R5" s="10">
        <f t="shared" si="6"/>
        <v>0</v>
      </c>
      <c r="S5" s="10">
        <f t="shared" si="7"/>
        <v>0</v>
      </c>
      <c r="T5" s="16" t="str">
        <f t="shared" si="8"/>
        <v>Sem - 30</v>
      </c>
      <c r="U5" s="16" t="str">
        <f t="shared" si="9"/>
        <v>Juillet</v>
      </c>
      <c r="V5" s="11" t="str">
        <f t="shared" si="10"/>
        <v>2026</v>
      </c>
      <c r="W5" s="9"/>
      <c r="X5" s="5">
        <f t="shared" si="11"/>
        <v>1.6319444444444775E-3</v>
      </c>
      <c r="Y5" s="12" t="str">
        <f>IFERROR(VLOOKUP(B5,Annuaire_roster!B:E,4,0),"-")</f>
        <v>CHOUIFI Mustapha</v>
      </c>
      <c r="Z5" s="12" t="str">
        <f>IFERROR(VLOOKUP(B5,Annuaire_roster!B:F,3,0),"-")</f>
        <v>Google Leads</v>
      </c>
      <c r="AA5" s="12" t="str">
        <f>IFERROR(VLOOKUP(B5,Annuaire_roster!B:I,6,0),"-")</f>
        <v>Forfaitaire</v>
      </c>
      <c r="AB5" s="142" t="str">
        <f t="shared" si="12"/>
        <v/>
      </c>
      <c r="AC5" s="142" t="str">
        <f t="shared" si="13"/>
        <v/>
      </c>
      <c r="AD5" s="142" t="str">
        <f t="shared" si="14"/>
        <v/>
      </c>
      <c r="AE5" s="143" t="str">
        <f t="shared" si="15"/>
        <v/>
      </c>
      <c r="AF5" s="63"/>
      <c r="AG5" s="10"/>
    </row>
    <row r="6" spans="1:33" s="103" customFormat="1" x14ac:dyDescent="0.2">
      <c r="A6" s="70">
        <f>VLOOKUP(B6,Annuaire_roster!B:F,5,0)</f>
        <v>0</v>
      </c>
      <c r="B6" s="165" t="s">
        <v>197</v>
      </c>
      <c r="C6" s="61">
        <f>IFERROR(IF(COUNTIFS(Connexions!$K:$K,$Q6,Connexions!$E:$E,VLOOKUP($B6,Mapping_Noms!$A:$B,2,0))=0,"",_xlfn.MINIFS(Connexions!$M:$M,Connexions!$K:$K,$Q6,Connexions!$E:$E,VLOOKUP($B6,Mapping_Noms!$A:$B,2,0))-TIME(1,0,0)),"")</f>
        <v>0.29373842592592592</v>
      </c>
      <c r="D6" s="61">
        <f t="array" ref="D6">IFERROR(INDEX(Planning2[],MATCH(1,(Planning2[Nom]=B6)*(Planning2[Date]=Q6),0),3),"-")</f>
        <v>0.29166666666666669</v>
      </c>
      <c r="E6" s="38">
        <f>IFERROR(IF(COUNTIFS(Connexions!$K:$K,$Q6,Connexions!$E:$E,VLOOKUP($B6,Mapping_Noms!$A:$B,2,0))=0,"",_xlfn.MAXIFS(Connexions!$O:$O,Connexions!$K:$K,$Q6,Connexions!$E:$E,VLOOKUP($B6,Mapping_Noms!$A:$B,2,0))-TIME(1,0,0)),"")</f>
        <v>0.71180555555555558</v>
      </c>
      <c r="F6" s="38">
        <f t="array" ref="F6">IFERROR(INDEX(Planning2[],MATCH(1,(Planning2[Nom]=B6)*(Planning2[Date]=Q6),0),4),"-")</f>
        <v>0.70833333333333337</v>
      </c>
      <c r="G6" s="88"/>
      <c r="H6" s="88"/>
      <c r="I6" s="235">
        <f t="shared" si="0"/>
        <v>2.0717592592592315E-3</v>
      </c>
      <c r="J6" s="88"/>
      <c r="K6" s="89">
        <f t="shared" si="1"/>
        <v>2.0717592592592315E-3</v>
      </c>
      <c r="L6" s="88">
        <f t="shared" si="2"/>
        <v>0</v>
      </c>
      <c r="M6" s="62">
        <f t="shared" si="3"/>
        <v>0</v>
      </c>
      <c r="N6" s="102">
        <f t="shared" si="4"/>
        <v>0.37292824074074077</v>
      </c>
      <c r="O6" s="90">
        <f t="shared" si="5"/>
        <v>0.375</v>
      </c>
      <c r="P6" s="91" t="str">
        <f>IFERROR(VLOOKUP($B6,Annuaire_roster!$B:$G,MATCH(P$1,Annuaire_roster!$B$1:$G$1,0),0),"-")</f>
        <v>Google Leads</v>
      </c>
      <c r="Q6" s="100">
        <v>44761</v>
      </c>
      <c r="R6" s="10">
        <f t="shared" si="6"/>
        <v>0</v>
      </c>
      <c r="S6" s="10">
        <f t="shared" si="7"/>
        <v>2.0717592592592315E-3</v>
      </c>
      <c r="T6" s="16" t="str">
        <f t="shared" si="8"/>
        <v>Sem - 30</v>
      </c>
      <c r="U6" s="16" t="str">
        <f t="shared" si="9"/>
        <v>Juillet</v>
      </c>
      <c r="V6" s="11" t="str">
        <f t="shared" si="10"/>
        <v>2026</v>
      </c>
      <c r="W6" s="9"/>
      <c r="X6" s="5">
        <f t="shared" si="11"/>
        <v>1.4004629629630339E-3</v>
      </c>
      <c r="Y6" s="12">
        <f>IFERROR(VLOOKUP(B6,Annuaire_roster!B:E,4,0),"-")</f>
        <v>0</v>
      </c>
      <c r="Z6" s="12" t="str">
        <f>IFERROR(VLOOKUP(B6,Annuaire_roster!B:F,3,0),"-")</f>
        <v>Google Leads</v>
      </c>
      <c r="AA6" s="12">
        <f>IFERROR(VLOOKUP(B6,Annuaire_roster!B:I,6,0),"-")</f>
        <v>0</v>
      </c>
      <c r="AB6" s="142" t="str">
        <f t="shared" si="12"/>
        <v/>
      </c>
      <c r="AC6" s="142" t="str">
        <f t="shared" si="13"/>
        <v/>
      </c>
      <c r="AD6" s="142" t="str">
        <f t="shared" si="14"/>
        <v/>
      </c>
      <c r="AE6" s="143" t="str">
        <f t="shared" si="15"/>
        <v/>
      </c>
      <c r="AF6" s="63"/>
      <c r="AG6" s="10"/>
    </row>
    <row r="7" spans="1:33" x14ac:dyDescent="0.2">
      <c r="A7" s="70">
        <f>VLOOKUP(B7,Annuaire_roster!B:F,5,0)</f>
        <v>0</v>
      </c>
      <c r="B7" s="165" t="s">
        <v>223</v>
      </c>
      <c r="C7" s="61">
        <f>IFERROR(IF(COUNTIFS(Connexions!$K:$K,$Q7,Connexions!$E:$E,VLOOKUP($B7,Mapping_Noms!$A:$B,2,0))=0,"",_xlfn.MINIFS(Connexions!$M:$M,Connexions!$K:$K,$Q7,Connexions!$E:$E,VLOOKUP($B7,Mapping_Noms!$A:$B,2,0))-TIME(1,0,0)),"")</f>
        <v>0.28864583333333332</v>
      </c>
      <c r="D7" s="61">
        <f t="array" ref="D7">IFERROR(INDEX(Planning2[],MATCH(1,(Planning2[Nom]=B7)*(Planning2[Date]=Q7),0),3),"-")</f>
        <v>0.29166666666666669</v>
      </c>
      <c r="E7" s="38">
        <f>IFERROR(IF(COUNTIFS(Connexions!$K:$K,$Q7,Connexions!$E:$E,VLOOKUP($B7,Mapping_Noms!$A:$B,2,0))=0,"",_xlfn.MAXIFS(Connexions!$O:$O,Connexions!$K:$K,$Q7,Connexions!$E:$E,VLOOKUP($B7,Mapping_Noms!$A:$B,2,0))-TIME(1,0,0)),"")</f>
        <v>0.71148148148148149</v>
      </c>
      <c r="F7" s="38">
        <f t="array" ref="F7">IFERROR(INDEX(Planning2[],MATCH(1,(Planning2[Nom]=B7)*(Planning2[Date]=Q7),0),4),"-")</f>
        <v>0.70833333333333337</v>
      </c>
      <c r="G7" s="88"/>
      <c r="H7" s="88"/>
      <c r="I7" s="235" t="str">
        <f t="shared" si="0"/>
        <v/>
      </c>
      <c r="J7" s="88"/>
      <c r="K7" s="89">
        <f t="shared" si="1"/>
        <v>0</v>
      </c>
      <c r="L7" s="88">
        <f t="shared" si="2"/>
        <v>0</v>
      </c>
      <c r="M7" s="62">
        <f t="shared" si="3"/>
        <v>0</v>
      </c>
      <c r="N7" s="102">
        <f t="shared" si="4"/>
        <v>0.375</v>
      </c>
      <c r="O7" s="90">
        <f t="shared" si="5"/>
        <v>0.375</v>
      </c>
      <c r="P7" s="91" t="str">
        <f>IFERROR(VLOOKUP($B7,Annuaire_roster!$B:$G,MATCH(P$1,Annuaire_roster!$B$1:$G$1,0),0),"-")</f>
        <v>Google Leads</v>
      </c>
      <c r="Q7" s="100">
        <v>44761</v>
      </c>
      <c r="R7" s="10">
        <f t="shared" si="6"/>
        <v>0</v>
      </c>
      <c r="S7" s="10">
        <f t="shared" si="7"/>
        <v>0</v>
      </c>
      <c r="T7" s="16" t="str">
        <f t="shared" si="8"/>
        <v>Sem - 30</v>
      </c>
      <c r="U7" s="16" t="str">
        <f t="shared" si="9"/>
        <v>Juillet</v>
      </c>
      <c r="V7" s="11" t="str">
        <f t="shared" si="10"/>
        <v>2026</v>
      </c>
      <c r="W7" s="9"/>
      <c r="X7" s="5">
        <f t="shared" si="11"/>
        <v>6.1689814814814836E-3</v>
      </c>
      <c r="Y7" s="12">
        <f>IFERROR(VLOOKUP(B7,Annuaire_roster!B:E,4,0),"-")</f>
        <v>0</v>
      </c>
      <c r="Z7" s="12" t="str">
        <f>IFERROR(VLOOKUP(B7,Annuaire_roster!B:F,3,0),"-")</f>
        <v>Google Leads</v>
      </c>
      <c r="AA7" s="12">
        <f>IFERROR(VLOOKUP(B7,Annuaire_roster!B:I,6,0),"-")</f>
        <v>0</v>
      </c>
      <c r="AB7" s="142" t="str">
        <f t="shared" si="12"/>
        <v/>
      </c>
      <c r="AC7" s="142" t="str">
        <f t="shared" si="13"/>
        <v/>
      </c>
      <c r="AD7" s="142" t="str">
        <f t="shared" si="14"/>
        <v/>
      </c>
      <c r="AE7" s="143" t="str">
        <f t="shared" si="15"/>
        <v/>
      </c>
      <c r="AF7" s="63"/>
      <c r="AG7" s="10"/>
    </row>
    <row r="8" spans="1:33" x14ac:dyDescent="0.2">
      <c r="A8" s="70">
        <f>VLOOKUP(B8,Annuaire_roster!B:F,5,0)</f>
        <v>0</v>
      </c>
      <c r="B8" s="165" t="s">
        <v>216</v>
      </c>
      <c r="C8" s="61">
        <f>IFERROR(IF(COUNTIFS(Connexions!$K:$K,$Q8,Connexions!$E:$E,VLOOKUP($B8,Mapping_Noms!$A:$B,2,0))=0,"",_xlfn.MINIFS(Connexions!$M:$M,Connexions!$K:$K,$Q8,Connexions!$E:$E,VLOOKUP($B8,Mapping_Noms!$A:$B,2,0))-TIME(1,0,0)),"")</f>
        <v>0.28949074074074072</v>
      </c>
      <c r="D8" s="61">
        <f t="array" ref="D8">IFERROR(INDEX(Planning2[],MATCH(1,(Planning2[Nom]=B8)*(Planning2[Date]=Q8),0),3),"-")</f>
        <v>0.29166666666666669</v>
      </c>
      <c r="E8" s="38">
        <f>IFERROR(IF(COUNTIFS(Connexions!$K:$K,$Q8,Connexions!$E:$E,VLOOKUP($B8,Mapping_Noms!$A:$B,2,0))=0,"",_xlfn.MAXIFS(Connexions!$O:$O,Connexions!$K:$K,$Q8,Connexions!$E:$E,VLOOKUP($B8,Mapping_Noms!$A:$B,2,0))-TIME(1,0,0)),"")</f>
        <v>0.7107986111111112</v>
      </c>
      <c r="F8" s="38">
        <f t="array" ref="F8">IFERROR(INDEX(Planning2[],MATCH(1,(Planning2[Nom]=B8)*(Planning2[Date]=Q8),0),4),"-")</f>
        <v>0.70833333333333337</v>
      </c>
      <c r="G8" s="88"/>
      <c r="H8" s="88"/>
      <c r="I8" s="235" t="str">
        <f t="shared" si="0"/>
        <v/>
      </c>
      <c r="J8" s="88"/>
      <c r="K8" s="89">
        <f t="shared" si="1"/>
        <v>0</v>
      </c>
      <c r="L8" s="88">
        <f t="shared" si="2"/>
        <v>0</v>
      </c>
      <c r="M8" s="62">
        <f t="shared" si="3"/>
        <v>0</v>
      </c>
      <c r="N8" s="102">
        <f t="shared" si="4"/>
        <v>0.375</v>
      </c>
      <c r="O8" s="90">
        <f t="shared" si="5"/>
        <v>0.375</v>
      </c>
      <c r="P8" s="91" t="str">
        <f>IFERROR(VLOOKUP($B8,Annuaire_roster!$B:$G,MATCH(P$1,Annuaire_roster!$B$1:$G$1,0),0),"-")</f>
        <v>Google Leads</v>
      </c>
      <c r="Q8" s="100">
        <v>44761</v>
      </c>
      <c r="R8" s="10">
        <f t="shared" si="6"/>
        <v>0</v>
      </c>
      <c r="S8" s="10">
        <f t="shared" si="7"/>
        <v>0</v>
      </c>
      <c r="T8" s="16" t="str">
        <f t="shared" si="8"/>
        <v>Sem - 30</v>
      </c>
      <c r="U8" s="16" t="str">
        <f t="shared" si="9"/>
        <v>Juillet</v>
      </c>
      <c r="V8" s="11" t="str">
        <f t="shared" si="10"/>
        <v>2026</v>
      </c>
      <c r="W8" s="9"/>
      <c r="X8" s="5">
        <f t="shared" si="11"/>
        <v>4.6412037037038001E-3</v>
      </c>
      <c r="Y8" s="12">
        <f>IFERROR(VLOOKUP(B8,Annuaire_roster!B:E,4,0),"-")</f>
        <v>0</v>
      </c>
      <c r="Z8" s="12" t="str">
        <f>IFERROR(VLOOKUP(B8,Annuaire_roster!B:F,3,0),"-")</f>
        <v>Google Leads</v>
      </c>
      <c r="AA8" s="12">
        <f>IFERROR(VLOOKUP(B8,Annuaire_roster!B:I,6,0),"-")</f>
        <v>0</v>
      </c>
      <c r="AB8" s="142" t="str">
        <f t="shared" si="12"/>
        <v/>
      </c>
      <c r="AC8" s="142" t="str">
        <f t="shared" si="13"/>
        <v/>
      </c>
      <c r="AD8" s="142" t="str">
        <f t="shared" si="14"/>
        <v/>
      </c>
      <c r="AE8" s="143" t="str">
        <f t="shared" si="15"/>
        <v/>
      </c>
      <c r="AF8" s="63"/>
      <c r="AG8" s="142"/>
    </row>
    <row r="9" spans="1:33" x14ac:dyDescent="0.2">
      <c r="A9" s="70">
        <f>VLOOKUP(B9,Annuaire_roster!B:F,5,0)</f>
        <v>1131</v>
      </c>
      <c r="B9" s="165" t="s">
        <v>214</v>
      </c>
      <c r="C9" s="61">
        <f>IFERROR(IF(COUNTIFS(Connexions!$K:$K,$Q9,Connexions!$E:$E,VLOOKUP($B9,Mapping_Noms!$A:$B,2,0))=0,"",_xlfn.MINIFS(Connexions!$M:$M,Connexions!$K:$K,$Q9,Connexions!$E:$E,VLOOKUP($B9,Mapping_Noms!$A:$B,2,0))-TIME(1,0,0)),"")</f>
        <v>0.29091435185185183</v>
      </c>
      <c r="D9" s="61">
        <f t="array" ref="D9">IFERROR(INDEX(Planning2[],MATCH(1,(Planning2[Nom]=B9)*(Planning2[Date]=Q9),0),3),"-")</f>
        <v>0.29166666666666669</v>
      </c>
      <c r="E9" s="38">
        <f>IFERROR(IF(COUNTIFS(Connexions!$K:$K,$Q9,Connexions!$E:$E,VLOOKUP($B9,Mapping_Noms!$A:$B,2,0))=0,"",_xlfn.MAXIFS(Connexions!$O:$O,Connexions!$K:$K,$Q9,Connexions!$E:$E,VLOOKUP($B9,Mapping_Noms!$A:$B,2,0))-TIME(1,0,0)),"")</f>
        <v>0.7098148148148149</v>
      </c>
      <c r="F9" s="38">
        <f t="array" ref="F9">IFERROR(INDEX(Planning2[],MATCH(1,(Planning2[Nom]=B9)*(Planning2[Date]=Q9),0),4),"-")</f>
        <v>0.70833333333333337</v>
      </c>
      <c r="G9" s="88"/>
      <c r="H9" s="88"/>
      <c r="I9" s="235" t="str">
        <f t="shared" si="0"/>
        <v/>
      </c>
      <c r="J9" s="88"/>
      <c r="K9" s="89">
        <f t="shared" si="1"/>
        <v>0</v>
      </c>
      <c r="L9" s="88">
        <f t="shared" si="2"/>
        <v>0</v>
      </c>
      <c r="M9" s="62">
        <f t="shared" si="3"/>
        <v>0</v>
      </c>
      <c r="N9" s="102">
        <f t="shared" si="4"/>
        <v>0.375</v>
      </c>
      <c r="O9" s="90">
        <f t="shared" si="5"/>
        <v>0.375</v>
      </c>
      <c r="P9" s="91" t="str">
        <f>IFERROR(VLOOKUP($B9,Annuaire_roster!$B:$G,MATCH(P$1,Annuaire_roster!$B$1:$G$1,0),0),"-")</f>
        <v>Google Leads</v>
      </c>
      <c r="Q9" s="100">
        <v>44761</v>
      </c>
      <c r="R9" s="10">
        <f t="shared" si="6"/>
        <v>0</v>
      </c>
      <c r="S9" s="10">
        <f t="shared" si="7"/>
        <v>0</v>
      </c>
      <c r="T9" s="16" t="str">
        <f t="shared" si="8"/>
        <v>Sem - 30</v>
      </c>
      <c r="U9" s="16" t="str">
        <f t="shared" si="9"/>
        <v>Juillet</v>
      </c>
      <c r="V9" s="11" t="str">
        <f t="shared" si="10"/>
        <v>2026</v>
      </c>
      <c r="W9" s="9"/>
      <c r="X9" s="5">
        <f t="shared" si="11"/>
        <v>2.2337962962963864E-3</v>
      </c>
      <c r="Y9" s="12" t="str">
        <f>IFERROR(VLOOKUP(B9,Annuaire_roster!B:E,4,0),"-")</f>
        <v>CHOUIFI Mustapha</v>
      </c>
      <c r="Z9" s="12" t="str">
        <f>IFERROR(VLOOKUP(B9,Annuaire_roster!B:F,3,0),"-")</f>
        <v>Google Leads</v>
      </c>
      <c r="AA9" s="12" t="str">
        <f>IFERROR(VLOOKUP(B9,Annuaire_roster!B:I,6,0),"-")</f>
        <v>Forfaitaire</v>
      </c>
      <c r="AB9" s="142" t="str">
        <f t="shared" si="12"/>
        <v/>
      </c>
      <c r="AC9" s="142" t="str">
        <f t="shared" si="13"/>
        <v/>
      </c>
      <c r="AD9" s="142" t="str">
        <f t="shared" si="14"/>
        <v/>
      </c>
      <c r="AE9" s="143" t="str">
        <f t="shared" si="15"/>
        <v/>
      </c>
      <c r="AF9" s="63"/>
      <c r="AG9" s="10"/>
    </row>
    <row r="10" spans="1:33" ht="12.75" customHeight="1" x14ac:dyDescent="0.2">
      <c r="A10" s="70">
        <f>VLOOKUP(B10,Annuaire_roster!B:F,5,0)</f>
        <v>0</v>
      </c>
      <c r="B10" s="165" t="s">
        <v>210</v>
      </c>
      <c r="C10" s="61">
        <f>IFERROR(IF(COUNTIFS(Connexions!$K:$K,$Q10,Connexions!$E:$E,VLOOKUP($B10,Mapping_Noms!$A:$B,2,0))=0,"",_xlfn.MINIFS(Connexions!$M:$M,Connexions!$K:$K,$Q10,Connexions!$E:$E,VLOOKUP($B10,Mapping_Noms!$A:$B,2,0))-TIME(1,0,0)),"")</f>
        <v>0.2822337962962963</v>
      </c>
      <c r="D10" s="61">
        <f t="array" ref="D10">IFERROR(INDEX(Planning2[],MATCH(1,(Planning2[Nom]=B10)*(Planning2[Date]=Q10),0),3),"-")</f>
        <v>0.29166666666666669</v>
      </c>
      <c r="E10" s="38">
        <f>IFERROR(IF(COUNTIFS(Connexions!$K:$K,$Q10,Connexions!$E:$E,VLOOKUP($B10,Mapping_Noms!$A:$B,2,0))=0,"",_xlfn.MAXIFS(Connexions!$O:$O,Connexions!$K:$K,$Q10,Connexions!$E:$E,VLOOKUP($B10,Mapping_Noms!$A:$B,2,0))-TIME(1,0,0)),"")</f>
        <v>0.70834490740740741</v>
      </c>
      <c r="F10" s="38">
        <f t="array" ref="F10">IFERROR(INDEX(Planning2[],MATCH(1,(Planning2[Nom]=B10)*(Planning2[Date]=Q10),0),4),"-")</f>
        <v>0.70833333333333337</v>
      </c>
      <c r="G10" s="88"/>
      <c r="H10" s="88"/>
      <c r="I10" s="235" t="str">
        <f t="shared" si="0"/>
        <v/>
      </c>
      <c r="J10" s="88"/>
      <c r="K10" s="89">
        <f t="shared" si="1"/>
        <v>0</v>
      </c>
      <c r="L10" s="88">
        <f t="shared" si="2"/>
        <v>0</v>
      </c>
      <c r="M10" s="62">
        <f t="shared" si="3"/>
        <v>0</v>
      </c>
      <c r="N10" s="102">
        <f t="shared" si="4"/>
        <v>0.375</v>
      </c>
      <c r="O10" s="90">
        <f t="shared" si="5"/>
        <v>0.375</v>
      </c>
      <c r="P10" s="91" t="str">
        <f>IFERROR(VLOOKUP($B10,Annuaire_roster!$B:$G,MATCH(P$1,Annuaire_roster!$B$1:$G$1,0),0),"-")</f>
        <v>Google Leads</v>
      </c>
      <c r="Q10" s="100">
        <v>44761</v>
      </c>
      <c r="R10" s="10">
        <f t="shared" si="6"/>
        <v>0</v>
      </c>
      <c r="S10" s="10">
        <f t="shared" si="7"/>
        <v>0</v>
      </c>
      <c r="T10" s="16" t="str">
        <f t="shared" si="8"/>
        <v>Sem - 30</v>
      </c>
      <c r="U10" s="16" t="str">
        <f t="shared" si="9"/>
        <v>Juillet</v>
      </c>
      <c r="V10" s="11" t="str">
        <f t="shared" si="10"/>
        <v>2026</v>
      </c>
      <c r="W10" s="9"/>
      <c r="X10" s="5">
        <f t="shared" si="11"/>
        <v>9.4444444444444775E-3</v>
      </c>
      <c r="Y10" s="12">
        <f>IFERROR(VLOOKUP(B10,Annuaire_roster!B:E,4,0),"-")</f>
        <v>0</v>
      </c>
      <c r="Z10" s="12" t="str">
        <f>IFERROR(VLOOKUP(B10,Annuaire_roster!B:F,3,0),"-")</f>
        <v>Google Leads</v>
      </c>
      <c r="AA10" s="12">
        <f>IFERROR(VLOOKUP(B10,Annuaire_roster!B:I,6,0),"-")</f>
        <v>0</v>
      </c>
      <c r="AB10" s="142" t="str">
        <f t="shared" si="12"/>
        <v/>
      </c>
      <c r="AC10" s="142" t="str">
        <f t="shared" si="13"/>
        <v/>
      </c>
      <c r="AD10" s="142" t="str">
        <f t="shared" si="14"/>
        <v/>
      </c>
      <c r="AE10" s="143" t="str">
        <f t="shared" si="15"/>
        <v/>
      </c>
      <c r="AF10" s="63"/>
      <c r="AG10" s="10"/>
    </row>
    <row r="11" spans="1:33" ht="12.75" customHeight="1" x14ac:dyDescent="0.2">
      <c r="A11" s="210">
        <f>VLOOKUP(B11,Annuaire_roster!B:F,5,0)</f>
        <v>1007</v>
      </c>
      <c r="B11" s="165" t="s">
        <v>89</v>
      </c>
      <c r="C11" s="61">
        <f>IFERROR(IF(COUNTIFS(Connexions!$K:$K,$Q11,Connexions!$E:$E,VLOOKUP($B11,Mapping_Noms!$A:$B,2,0))=0,"",_xlfn.MINIFS(Connexions!$M:$M,Connexions!$K:$K,$Q11,Connexions!$E:$E,VLOOKUP($B11,Mapping_Noms!$A:$B,2,0))-TIME(1,0,0)),"")</f>
        <v>0.29158564814814814</v>
      </c>
      <c r="D11" s="61">
        <f t="array" ref="D11">IFERROR(INDEX(Planning2[],MATCH(1,(Planning2[Nom]=B11)*(Planning2[Date]=Q11),0),3),"-")</f>
        <v>0.29166666666666669</v>
      </c>
      <c r="E11" s="38">
        <f>IFERROR(IF(COUNTIFS(Connexions!$K:$K,$Q11,Connexions!$E:$E,VLOOKUP($B11,Mapping_Noms!$A:$B,2,0))=0,"",_xlfn.MAXIFS(Connexions!$O:$O,Connexions!$K:$K,$Q11,Connexions!$E:$E,VLOOKUP($B11,Mapping_Noms!$A:$B,2,0))-TIME(1,0,0)),"")</f>
        <v>0.70844907407407409</v>
      </c>
      <c r="F11" s="38">
        <f t="array" ref="F11">IFERROR(INDEX(Planning2[],MATCH(1,(Planning2[Nom]=B11)*(Planning2[Date]=Q11),0),4),"-")</f>
        <v>0.70833333333333337</v>
      </c>
      <c r="G11" s="88"/>
      <c r="H11" s="88"/>
      <c r="I11" s="235" t="str">
        <f t="shared" si="0"/>
        <v/>
      </c>
      <c r="J11" s="88"/>
      <c r="K11" s="89">
        <f t="shared" si="1"/>
        <v>0</v>
      </c>
      <c r="L11" s="88">
        <f t="shared" si="2"/>
        <v>0</v>
      </c>
      <c r="M11" s="62">
        <f t="shared" si="3"/>
        <v>0</v>
      </c>
      <c r="N11" s="211">
        <f t="shared" si="4"/>
        <v>0.375</v>
      </c>
      <c r="O11" s="90">
        <f t="shared" si="5"/>
        <v>0.375</v>
      </c>
      <c r="P11" s="91" t="str">
        <f>IFERROR(VLOOKUP($B11,Annuaire_roster!$B:$G,MATCH(P$1,Annuaire_roster!$B$1:$G$1,0),0),"-")</f>
        <v>Google Leads</v>
      </c>
      <c r="Q11" s="212">
        <v>44761</v>
      </c>
      <c r="R11" s="142">
        <f t="shared" si="6"/>
        <v>0</v>
      </c>
      <c r="S11" s="142">
        <f t="shared" si="7"/>
        <v>0</v>
      </c>
      <c r="T11" s="16" t="str">
        <f t="shared" si="8"/>
        <v>Sem - 30</v>
      </c>
      <c r="U11" s="16" t="str">
        <f t="shared" si="9"/>
        <v>Juillet</v>
      </c>
      <c r="V11" s="213" t="str">
        <f t="shared" si="10"/>
        <v>2026</v>
      </c>
      <c r="W11" s="211"/>
      <c r="X11" s="214">
        <f t="shared" si="11"/>
        <v>0</v>
      </c>
      <c r="Y11" s="215" t="str">
        <f>IFERROR(VLOOKUP(B11,Annuaire_roster!B:E,4,0),"-")</f>
        <v>OUAQERROUCH Nour-El Houda</v>
      </c>
      <c r="Z11" s="215" t="str">
        <f>IFERROR(VLOOKUP(B11,Annuaire_roster!B:F,3,0),"-")</f>
        <v>Google Leads</v>
      </c>
      <c r="AA11" s="215" t="str">
        <f>IFERROR(VLOOKUP(B11,Annuaire_roster!B:I,6,0),"-")</f>
        <v>Forfaitaire</v>
      </c>
      <c r="AB11" s="142" t="str">
        <f t="shared" si="12"/>
        <v/>
      </c>
      <c r="AC11" s="142" t="str">
        <f t="shared" si="13"/>
        <v/>
      </c>
      <c r="AD11" s="142" t="str">
        <f t="shared" si="14"/>
        <v/>
      </c>
      <c r="AE11" s="216" t="str">
        <f t="shared" si="15"/>
        <v/>
      </c>
      <c r="AF11" s="63"/>
      <c r="AG11" s="142"/>
    </row>
    <row r="12" spans="1:33" x14ac:dyDescent="0.2">
      <c r="A12" s="210">
        <f>VLOOKUP(B12,Annuaire_roster!B:F,5,0)</f>
        <v>0</v>
      </c>
      <c r="B12" s="165" t="s">
        <v>212</v>
      </c>
      <c r="C12" s="61">
        <f>IFERROR(IF(COUNTIFS(Connexions!$K:$K,$Q12,Connexions!$E:$E,VLOOKUP($B12,Mapping_Noms!$A:$B,2,0))=0,"",_xlfn.MINIFS(Connexions!$M:$M,Connexions!$K:$K,$Q12,Connexions!$E:$E,VLOOKUP($B12,Mapping_Noms!$A:$B,2,0))-TIME(1,0,0)),"")</f>
        <v>0.36751157407407403</v>
      </c>
      <c r="D12" s="61">
        <f t="array" ref="D12">IFERROR(INDEX(Planning2[],MATCH(1,(Planning2[Nom]=B12)*(Planning2[Date]=Q12),0),3),"-")</f>
        <v>0.375</v>
      </c>
      <c r="E12" s="38">
        <f>IFERROR(IF(COUNTIFS(Connexions!$K:$K,$Q12,Connexions!$E:$E,VLOOKUP($B12,Mapping_Noms!$A:$B,2,0))=0,"",_xlfn.MAXIFS(Connexions!$O:$O,Connexions!$K:$K,$Q12,Connexions!$E:$E,VLOOKUP($B12,Mapping_Noms!$A:$B,2,0))-TIME(1,0,0)),"")</f>
        <v>0.79171296296296301</v>
      </c>
      <c r="F12" s="38">
        <f t="array" ref="F12">IFERROR(INDEX(Planning2[],MATCH(1,(Planning2[Nom]=B12)*(Planning2[Date]=Q12),0),4),"-")</f>
        <v>0.79166666666666663</v>
      </c>
      <c r="G12" s="88"/>
      <c r="H12" s="88"/>
      <c r="I12" s="235" t="str">
        <f t="shared" si="0"/>
        <v/>
      </c>
      <c r="J12" s="88"/>
      <c r="K12" s="89">
        <f t="shared" si="1"/>
        <v>0</v>
      </c>
      <c r="L12" s="88">
        <f t="shared" si="2"/>
        <v>0</v>
      </c>
      <c r="M12" s="62">
        <f t="shared" si="3"/>
        <v>0</v>
      </c>
      <c r="N12" s="211">
        <f t="shared" si="4"/>
        <v>0.37499999999999994</v>
      </c>
      <c r="O12" s="90">
        <f t="shared" si="5"/>
        <v>0.37499999999999994</v>
      </c>
      <c r="P12" s="91" t="str">
        <f>IFERROR(VLOOKUP($B12,Annuaire_roster!$B:$G,MATCH(P$1,Annuaire_roster!$B$1:$G$1,0),0),"-")</f>
        <v>Google Leads</v>
      </c>
      <c r="Q12" s="212">
        <v>44761</v>
      </c>
      <c r="R12" s="142">
        <f t="shared" si="6"/>
        <v>0</v>
      </c>
      <c r="S12" s="142">
        <f t="shared" si="7"/>
        <v>0</v>
      </c>
      <c r="T12" s="16" t="str">
        <f t="shared" si="8"/>
        <v>Sem - 30</v>
      </c>
      <c r="U12" s="16" t="str">
        <f t="shared" si="9"/>
        <v>Juillet</v>
      </c>
      <c r="V12" s="213" t="str">
        <f t="shared" si="10"/>
        <v>2026</v>
      </c>
      <c r="W12" s="211"/>
      <c r="X12" s="214">
        <f t="shared" si="11"/>
        <v>7.5347222222222898E-3</v>
      </c>
      <c r="Y12" s="215">
        <f>IFERROR(VLOOKUP(B12,Annuaire_roster!B:E,4,0),"-")</f>
        <v>0</v>
      </c>
      <c r="Z12" s="215" t="str">
        <f>IFERROR(VLOOKUP(B12,Annuaire_roster!B:F,3,0),"-")</f>
        <v>Google Leads</v>
      </c>
      <c r="AA12" s="215">
        <f>IFERROR(VLOOKUP(B12,Annuaire_roster!B:I,6,0),"-")</f>
        <v>0</v>
      </c>
      <c r="AB12" s="142" t="str">
        <f t="shared" si="12"/>
        <v/>
      </c>
      <c r="AC12" s="142" t="str">
        <f t="shared" si="13"/>
        <v/>
      </c>
      <c r="AD12" s="142" t="str">
        <f t="shared" si="14"/>
        <v/>
      </c>
      <c r="AE12" s="216" t="str">
        <f t="shared" si="15"/>
        <v/>
      </c>
      <c r="AF12" s="217"/>
      <c r="AG12" s="142"/>
    </row>
    <row r="13" spans="1:33" x14ac:dyDescent="0.2">
      <c r="A13" s="70">
        <f>VLOOKUP(B13,Annuaire_roster!B:F,5,0)</f>
        <v>1170</v>
      </c>
      <c r="B13" s="165" t="s">
        <v>106</v>
      </c>
      <c r="C13" s="61">
        <f>IFERROR(IF(COUNTIFS(Connexions!$K:$K,$Q13,Connexions!$E:$E,VLOOKUP($B13,Mapping_Noms!$A:$B,2,0))=0,"",_xlfn.MINIFS(Connexions!$M:$M,Connexions!$K:$K,$Q13,Connexions!$E:$E,VLOOKUP($B13,Mapping_Noms!$A:$B,2,0))-TIME(1,0,0)),"")</f>
        <v>0.37343749999999998</v>
      </c>
      <c r="D13" s="61">
        <f t="array" ref="D13">IFERROR(INDEX(Planning2[],MATCH(1,(Planning2[Nom]=B13)*(Planning2[Date]=Q13),0),3),"-")</f>
        <v>0.375</v>
      </c>
      <c r="E13" s="38">
        <f>IFERROR(IF(COUNTIFS(Connexions!$K:$K,$Q13,Connexions!$E:$E,VLOOKUP($B13,Mapping_Noms!$A:$B,2,0))=0,"",_xlfn.MAXIFS(Connexions!$O:$O,Connexions!$K:$K,$Q13,Connexions!$E:$E,VLOOKUP($B13,Mapping_Noms!$A:$B,2,0))-TIME(1,0,0)),"")</f>
        <v>0.7917939814814815</v>
      </c>
      <c r="F13" s="38">
        <f t="array" ref="F13">IFERROR(INDEX(Planning2[],MATCH(1,(Planning2[Nom]=B13)*(Planning2[Date]=Q13),0),4),"-")</f>
        <v>0.79166666666666663</v>
      </c>
      <c r="G13" s="88"/>
      <c r="H13" s="88"/>
      <c r="I13" s="235" t="str">
        <f t="shared" si="0"/>
        <v/>
      </c>
      <c r="J13" s="88"/>
      <c r="K13" s="89">
        <f t="shared" si="1"/>
        <v>0</v>
      </c>
      <c r="L13" s="88">
        <f t="shared" si="2"/>
        <v>0</v>
      </c>
      <c r="M13" s="62">
        <f t="shared" si="3"/>
        <v>0</v>
      </c>
      <c r="N13" s="102">
        <f t="shared" si="4"/>
        <v>0.37499999999999994</v>
      </c>
      <c r="O13" s="90">
        <f t="shared" si="5"/>
        <v>0.37499999999999994</v>
      </c>
      <c r="P13" s="91" t="str">
        <f>IFERROR(VLOOKUP($B13,Annuaire_roster!$B:$G,MATCH(P$1,Annuaire_roster!$B$1:$G$1,0),0),"-")</f>
        <v>Google Leads</v>
      </c>
      <c r="Q13" s="100">
        <v>44761</v>
      </c>
      <c r="R13" s="10">
        <f t="shared" si="6"/>
        <v>0</v>
      </c>
      <c r="S13" s="10">
        <f t="shared" si="7"/>
        <v>0</v>
      </c>
      <c r="T13" s="16" t="str">
        <f t="shared" si="8"/>
        <v>Sem - 30</v>
      </c>
      <c r="U13" s="16" t="str">
        <f t="shared" si="9"/>
        <v>Juillet</v>
      </c>
      <c r="V13" s="11" t="str">
        <f t="shared" si="10"/>
        <v>2026</v>
      </c>
      <c r="W13" s="9"/>
      <c r="X13" s="5">
        <f t="shared" si="11"/>
        <v>1.6898148148148939E-3</v>
      </c>
      <c r="Y13" s="12" t="str">
        <f>IFERROR(VLOOKUP(B13,Annuaire_roster!B:E,4,0),"-")</f>
        <v>CHOUIFI Mustapha</v>
      </c>
      <c r="Z13" s="12" t="str">
        <f>IFERROR(VLOOKUP(B13,Annuaire_roster!B:F,3,0),"-")</f>
        <v>Google Leads</v>
      </c>
      <c r="AA13" s="12" t="str">
        <f>IFERROR(VLOOKUP(B13,Annuaire_roster!B:I,6,0),"-")</f>
        <v>Forfaitaire</v>
      </c>
      <c r="AB13" s="142" t="str">
        <f t="shared" si="12"/>
        <v/>
      </c>
      <c r="AC13" s="142" t="str">
        <f t="shared" si="13"/>
        <v/>
      </c>
      <c r="AD13" s="142" t="str">
        <f t="shared" si="14"/>
        <v/>
      </c>
      <c r="AE13" s="143" t="str">
        <f t="shared" si="15"/>
        <v/>
      </c>
      <c r="AF13" s="63"/>
      <c r="AG13" s="10"/>
    </row>
    <row r="14" spans="1:33" x14ac:dyDescent="0.2">
      <c r="A14" s="210">
        <f>VLOOKUP(B14,Annuaire_roster!B:F,5,0)</f>
        <v>949</v>
      </c>
      <c r="B14" s="165" t="s">
        <v>85</v>
      </c>
      <c r="C14" s="61">
        <f>IFERROR(IF(COUNTIFS(Connexions!$K:$K,$Q14,Connexions!$E:$E,VLOOKUP($B14,Mapping_Noms!$A:$B,2,0))=0,"",_xlfn.MINIFS(Connexions!$M:$M,Connexions!$K:$K,$Q14,Connexions!$E:$E,VLOOKUP($B14,Mapping_Noms!$A:$B,2,0))-TIME(1,0,0)),"")</f>
        <v>0.41274305555555552</v>
      </c>
      <c r="D14" s="61">
        <f t="array" ref="D14">IFERROR(INDEX(Planning2[],MATCH(1,(Planning2[Nom]=B14)*(Planning2[Date]=Q14),0),3),"-")</f>
        <v>0.41666666666666669</v>
      </c>
      <c r="E14" s="38">
        <f>IFERROR(IF(COUNTIFS(Connexions!$K:$K,$Q14,Connexions!$E:$E,VLOOKUP($B14,Mapping_Noms!$A:$B,2,0))=0,"",_xlfn.MAXIFS(Connexions!$O:$O,Connexions!$K:$K,$Q14,Connexions!$E:$E,VLOOKUP($B14,Mapping_Noms!$A:$B,2,0))-TIME(1,0,0)),"")</f>
        <v>0.83339120370370379</v>
      </c>
      <c r="F14" s="38">
        <f t="array" ref="F14">IFERROR(INDEX(Planning2[],MATCH(1,(Planning2[Nom]=B14)*(Planning2[Date]=Q14),0),4),"-")</f>
        <v>0.83333333333333337</v>
      </c>
      <c r="G14" s="88"/>
      <c r="H14" s="88"/>
      <c r="I14" s="235" t="str">
        <f t="shared" si="0"/>
        <v/>
      </c>
      <c r="J14" s="88"/>
      <c r="K14" s="89">
        <f t="shared" si="1"/>
        <v>0</v>
      </c>
      <c r="L14" s="88">
        <f t="shared" si="2"/>
        <v>0</v>
      </c>
      <c r="M14" s="62">
        <f t="shared" si="3"/>
        <v>0</v>
      </c>
      <c r="N14" s="211">
        <f t="shared" si="4"/>
        <v>0.375</v>
      </c>
      <c r="O14" s="90">
        <f t="shared" si="5"/>
        <v>0.375</v>
      </c>
      <c r="P14" s="91" t="str">
        <f>IFERROR(VLOOKUP($B14,Annuaire_roster!$B:$G,MATCH(P$1,Annuaire_roster!$B$1:$G$1,0),0),"-")</f>
        <v>Google Leads</v>
      </c>
      <c r="Q14" s="212">
        <v>44761</v>
      </c>
      <c r="R14" s="142">
        <f t="shared" si="6"/>
        <v>0</v>
      </c>
      <c r="S14" s="142">
        <f t="shared" si="7"/>
        <v>0</v>
      </c>
      <c r="T14" s="16" t="str">
        <f t="shared" si="8"/>
        <v>Sem - 30</v>
      </c>
      <c r="U14" s="16" t="str">
        <f t="shared" si="9"/>
        <v>Juillet</v>
      </c>
      <c r="V14" s="213" t="str">
        <f t="shared" si="10"/>
        <v>2026</v>
      </c>
      <c r="W14" s="211"/>
      <c r="X14" s="214">
        <f t="shared" si="11"/>
        <v>3.9814814814815858E-3</v>
      </c>
      <c r="Y14" s="215" t="str">
        <f>IFERROR(VLOOKUP(B14,Annuaire_roster!B:E,4,0),"-")</f>
        <v>CHOUIFI Mustapha</v>
      </c>
      <c r="Z14" s="215" t="str">
        <f>IFERROR(VLOOKUP(B14,Annuaire_roster!B:F,3,0),"-")</f>
        <v>Google Leads</v>
      </c>
      <c r="AA14" s="215" t="str">
        <f>IFERROR(VLOOKUP(B14,Annuaire_roster!B:I,6,0),"-")</f>
        <v>Forfaitaire</v>
      </c>
      <c r="AB14" s="142" t="str">
        <f t="shared" si="12"/>
        <v/>
      </c>
      <c r="AC14" s="142" t="str">
        <f t="shared" si="13"/>
        <v/>
      </c>
      <c r="AD14" s="142" t="str">
        <f t="shared" si="14"/>
        <v/>
      </c>
      <c r="AE14" s="216" t="str">
        <f t="shared" si="15"/>
        <v/>
      </c>
      <c r="AF14" s="63"/>
      <c r="AG14" s="142"/>
    </row>
    <row r="15" spans="1:33" x14ac:dyDescent="0.2">
      <c r="A15" s="70">
        <f>VLOOKUP(B15,Annuaire_roster!B:F,5,0)</f>
        <v>1008</v>
      </c>
      <c r="B15" s="165" t="s">
        <v>94</v>
      </c>
      <c r="C15" s="61">
        <f>IFERROR(IF(COUNTIFS(Connexions!$K:$K,$Q15,Connexions!$E:$E,VLOOKUP($B15,Mapping_Noms!$A:$B,2,0))=0,"",_xlfn.MINIFS(Connexions!$M:$M,Connexions!$K:$K,$Q15,Connexions!$E:$E,VLOOKUP($B15,Mapping_Noms!$A:$B,2,0))-TIME(1,0,0)),"")</f>
        <v>0.41410879629629627</v>
      </c>
      <c r="D15" s="61">
        <f t="array" ref="D15">IFERROR(INDEX(Planning2[],MATCH(1,(Planning2[Nom]=B15)*(Planning2[Date]=Q15),0),3),"-")</f>
        <v>0.41666666666666669</v>
      </c>
      <c r="E15" s="38">
        <f>IFERROR(IF(COUNTIFS(Connexions!$K:$K,$Q15,Connexions!$E:$E,VLOOKUP($B15,Mapping_Noms!$A:$B,2,0))=0,"",_xlfn.MAXIFS(Connexions!$O:$O,Connexions!$K:$K,$Q15,Connexions!$E:$E,VLOOKUP($B15,Mapping_Noms!$A:$B,2,0))-TIME(1,0,0)),"")</f>
        <v>0.83355324074074078</v>
      </c>
      <c r="F15" s="38">
        <f t="array" ref="F15">IFERROR(INDEX(Planning2[],MATCH(1,(Planning2[Nom]=B15)*(Planning2[Date]=Q15),0),4),"-")</f>
        <v>0.83333333333333337</v>
      </c>
      <c r="G15" s="88"/>
      <c r="H15" s="88"/>
      <c r="I15" s="235" t="str">
        <f t="shared" si="0"/>
        <v/>
      </c>
      <c r="J15" s="88"/>
      <c r="K15" s="89">
        <f t="shared" si="1"/>
        <v>0</v>
      </c>
      <c r="L15" s="88">
        <f t="shared" si="2"/>
        <v>0</v>
      </c>
      <c r="M15" s="62">
        <f t="shared" si="3"/>
        <v>0</v>
      </c>
      <c r="N15" s="102">
        <f t="shared" si="4"/>
        <v>0.375</v>
      </c>
      <c r="O15" s="90">
        <f t="shared" si="5"/>
        <v>0.375</v>
      </c>
      <c r="P15" s="91" t="str">
        <f>IFERROR(VLOOKUP($B15,Annuaire_roster!$B:$G,MATCH(P$1,Annuaire_roster!$B$1:$G$1,0),0),"-")</f>
        <v>Google Leads</v>
      </c>
      <c r="Q15" s="100">
        <v>44761</v>
      </c>
      <c r="R15" s="10">
        <f t="shared" si="6"/>
        <v>0</v>
      </c>
      <c r="S15" s="10">
        <f t="shared" si="7"/>
        <v>0</v>
      </c>
      <c r="T15" s="16" t="str">
        <f t="shared" si="8"/>
        <v>Sem - 30</v>
      </c>
      <c r="U15" s="16" t="str">
        <f t="shared" si="9"/>
        <v>Juillet</v>
      </c>
      <c r="V15" s="11" t="str">
        <f t="shared" si="10"/>
        <v>2026</v>
      </c>
      <c r="W15" s="9"/>
      <c r="X15" s="5">
        <f t="shared" si="11"/>
        <v>2.7777777777778789E-3</v>
      </c>
      <c r="Y15" s="12" t="str">
        <f>IFERROR(VLOOKUP(B15,Annuaire_roster!B:E,4,0),"-")</f>
        <v>CHOUIFI Mustapha</v>
      </c>
      <c r="Z15" s="12" t="str">
        <f>IFERROR(VLOOKUP(B15,Annuaire_roster!B:F,3,0),"-")</f>
        <v>Google Leads</v>
      </c>
      <c r="AA15" s="12" t="str">
        <f>IFERROR(VLOOKUP(B15,Annuaire_roster!B:I,6,0),"-")</f>
        <v>Forfaitaire</v>
      </c>
      <c r="AB15" s="142" t="str">
        <f t="shared" si="12"/>
        <v/>
      </c>
      <c r="AC15" s="142" t="str">
        <f t="shared" si="13"/>
        <v/>
      </c>
      <c r="AD15" s="142" t="str">
        <f t="shared" si="14"/>
        <v/>
      </c>
      <c r="AE15" s="143" t="str">
        <f t="shared" si="15"/>
        <v/>
      </c>
      <c r="AF15" s="63"/>
      <c r="AG15" s="10"/>
    </row>
    <row r="16" spans="1:33" x14ac:dyDescent="0.2">
      <c r="A16" s="70">
        <f>VLOOKUP(B16,Annuaire_roster!B:F,5,0)</f>
        <v>952</v>
      </c>
      <c r="B16" s="165" t="s">
        <v>87</v>
      </c>
      <c r="C16" s="61">
        <f>IFERROR(IF(COUNTIFS(Connexions!$K:$K,$Q16,Connexions!$E:$E,VLOOKUP($B16,Mapping_Noms!$A:$B,2,0))=0,"",_xlfn.MINIFS(Connexions!$M:$M,Connexions!$K:$K,$Q16,Connexions!$E:$E,VLOOKUP($B16,Mapping_Noms!$A:$B,2,0))-TIME(1,0,0)),"")</f>
        <v>0.41486111111111107</v>
      </c>
      <c r="D16" s="61">
        <f t="array" ref="D16">IFERROR(INDEX(Planning2[],MATCH(1,(Planning2[Nom]=B16)*(Planning2[Date]=Q16),0),3),"-")</f>
        <v>0.41666666666666669</v>
      </c>
      <c r="E16" s="38">
        <f>IFERROR(IF(COUNTIFS(Connexions!$K:$K,$Q16,Connexions!$E:$E,VLOOKUP($B16,Mapping_Noms!$A:$B,2,0))=0,"",_xlfn.MAXIFS(Connexions!$O:$O,Connexions!$K:$K,$Q16,Connexions!$E:$E,VLOOKUP($B16,Mapping_Noms!$A:$B,2,0))-TIME(1,0,0)),"")</f>
        <v>0.83340277777777783</v>
      </c>
      <c r="F16" s="38">
        <f t="array" ref="F16">IFERROR(INDEX(Planning2[],MATCH(1,(Planning2[Nom]=B16)*(Planning2[Date]=Q16),0),4),"-")</f>
        <v>0.83333333333333337</v>
      </c>
      <c r="G16" s="88"/>
      <c r="H16" s="88"/>
      <c r="I16" s="235" t="str">
        <f t="shared" si="0"/>
        <v/>
      </c>
      <c r="J16" s="88"/>
      <c r="K16" s="89">
        <f t="shared" si="1"/>
        <v>0</v>
      </c>
      <c r="L16" s="88">
        <f t="shared" si="2"/>
        <v>0</v>
      </c>
      <c r="M16" s="62">
        <f t="shared" si="3"/>
        <v>0</v>
      </c>
      <c r="N16" s="102">
        <f t="shared" si="4"/>
        <v>0.375</v>
      </c>
      <c r="O16" s="90">
        <f t="shared" si="5"/>
        <v>0.375</v>
      </c>
      <c r="P16" s="91" t="str">
        <f>IFERROR(VLOOKUP($B16,Annuaire_roster!$B:$G,MATCH(P$1,Annuaire_roster!$B$1:$G$1,0),0),"-")</f>
        <v>Google Leads</v>
      </c>
      <c r="Q16" s="100">
        <v>44761</v>
      </c>
      <c r="R16" s="10">
        <f t="shared" si="6"/>
        <v>0</v>
      </c>
      <c r="S16" s="10">
        <f t="shared" si="7"/>
        <v>0</v>
      </c>
      <c r="T16" s="16" t="str">
        <f t="shared" si="8"/>
        <v>Sem - 30</v>
      </c>
      <c r="U16" s="16" t="str">
        <f t="shared" si="9"/>
        <v>Juillet</v>
      </c>
      <c r="V16" s="11" t="str">
        <f t="shared" si="10"/>
        <v>2026</v>
      </c>
      <c r="W16" s="9"/>
      <c r="X16" s="5">
        <f t="shared" si="11"/>
        <v>1.8750000000000711E-3</v>
      </c>
      <c r="Y16" s="12" t="str">
        <f>IFERROR(VLOOKUP(B16,Annuaire_roster!B:E,4,0),"-")</f>
        <v>OUAQERROUCH Nour-El Houda</v>
      </c>
      <c r="Z16" s="12" t="str">
        <f>IFERROR(VLOOKUP(B16,Annuaire_roster!B:F,3,0),"-")</f>
        <v>Google Leads</v>
      </c>
      <c r="AA16" s="12" t="str">
        <f>IFERROR(VLOOKUP(B16,Annuaire_roster!B:I,6,0),"-")</f>
        <v>Forfaitaire</v>
      </c>
      <c r="AB16" s="142" t="str">
        <f t="shared" si="12"/>
        <v/>
      </c>
      <c r="AC16" s="142" t="str">
        <f t="shared" si="13"/>
        <v/>
      </c>
      <c r="AD16" s="142" t="str">
        <f t="shared" si="14"/>
        <v/>
      </c>
      <c r="AE16" s="143" t="str">
        <f t="shared" si="15"/>
        <v/>
      </c>
      <c r="AF16" s="63"/>
      <c r="AG16" s="142"/>
    </row>
    <row r="17" spans="1:33" x14ac:dyDescent="0.2">
      <c r="A17" s="210">
        <f>VLOOKUP(B17,Annuaire_roster!B:F,5,0)</f>
        <v>0</v>
      </c>
      <c r="B17" s="165" t="s">
        <v>220</v>
      </c>
      <c r="C17" s="61">
        <f>IFERROR(IF(COUNTIFS(Connexions!$K:$K,$Q17,Connexions!$E:$E,VLOOKUP($B17,Mapping_Noms!$A:$B,2,0))=0,"",_xlfn.MINIFS(Connexions!$M:$M,Connexions!$K:$K,$Q17,Connexions!$E:$E,VLOOKUP($B17,Mapping_Noms!$A:$B,2,0))-TIME(1,0,0)),"")</f>
        <v>0.41282407407407407</v>
      </c>
      <c r="D17" s="61">
        <f t="array" ref="D17">IFERROR(INDEX(Planning2[],MATCH(1,(Planning2[Nom]=B17)*(Planning2[Date]=Q17),0),3),"-")</f>
        <v>0.41666666666666669</v>
      </c>
      <c r="E17" s="38">
        <f>IFERROR(IF(COUNTIFS(Connexions!$K:$K,$Q17,Connexions!$E:$E,VLOOKUP($B17,Mapping_Noms!$A:$B,2,0))=0,"",_xlfn.MAXIFS(Connexions!$O:$O,Connexions!$K:$K,$Q17,Connexions!$E:$E,VLOOKUP($B17,Mapping_Noms!$A:$B,2,0))-TIME(1,0,0)),"")</f>
        <v>0.83334490740740741</v>
      </c>
      <c r="F17" s="38">
        <f t="array" ref="F17">IFERROR(INDEX(Planning2[],MATCH(1,(Planning2[Nom]=B17)*(Planning2[Date]=Q17),0),4),"-")</f>
        <v>0.83333333333333337</v>
      </c>
      <c r="G17" s="88"/>
      <c r="H17" s="88"/>
      <c r="I17" s="235" t="str">
        <f t="shared" si="0"/>
        <v/>
      </c>
      <c r="J17" s="88"/>
      <c r="K17" s="89">
        <f t="shared" si="1"/>
        <v>0</v>
      </c>
      <c r="L17" s="88">
        <f t="shared" si="2"/>
        <v>0</v>
      </c>
      <c r="M17" s="62">
        <f t="shared" si="3"/>
        <v>0</v>
      </c>
      <c r="N17" s="211">
        <f t="shared" si="4"/>
        <v>0.375</v>
      </c>
      <c r="O17" s="90">
        <f t="shared" si="5"/>
        <v>0.375</v>
      </c>
      <c r="P17" s="91" t="str">
        <f>IFERROR(VLOOKUP($B17,Annuaire_roster!$B:$G,MATCH(P$1,Annuaire_roster!$B$1:$G$1,0),0),"-")</f>
        <v>Google Leads</v>
      </c>
      <c r="Q17" s="212">
        <v>44761</v>
      </c>
      <c r="R17" s="142">
        <f t="shared" si="6"/>
        <v>0</v>
      </c>
      <c r="S17" s="142">
        <f t="shared" si="7"/>
        <v>0</v>
      </c>
      <c r="T17" s="16" t="str">
        <f t="shared" si="8"/>
        <v>Sem - 30</v>
      </c>
      <c r="U17" s="16" t="str">
        <f t="shared" si="9"/>
        <v>Juillet</v>
      </c>
      <c r="V17" s="213" t="str">
        <f t="shared" si="10"/>
        <v>2026</v>
      </c>
      <c r="W17" s="211"/>
      <c r="X17" s="214">
        <f t="shared" si="11"/>
        <v>3.854166666666603E-3</v>
      </c>
      <c r="Y17" s="215">
        <f>IFERROR(VLOOKUP(B17,Annuaire_roster!B:E,4,0),"-")</f>
        <v>0</v>
      </c>
      <c r="Z17" s="215" t="str">
        <f>IFERROR(VLOOKUP(B17,Annuaire_roster!B:F,3,0),"-")</f>
        <v>Google Leads</v>
      </c>
      <c r="AA17" s="215">
        <f>IFERROR(VLOOKUP(B17,Annuaire_roster!B:I,6,0),"-")</f>
        <v>0</v>
      </c>
      <c r="AB17" s="142" t="str">
        <f t="shared" si="12"/>
        <v/>
      </c>
      <c r="AC17" s="142" t="str">
        <f t="shared" si="13"/>
        <v/>
      </c>
      <c r="AD17" s="142" t="str">
        <f t="shared" si="14"/>
        <v/>
      </c>
      <c r="AE17" s="216" t="str">
        <f t="shared" si="15"/>
        <v/>
      </c>
      <c r="AF17" s="63"/>
      <c r="AG17" s="142"/>
    </row>
    <row r="18" spans="1:33" x14ac:dyDescent="0.2">
      <c r="A18" s="210">
        <f>VLOOKUP(B18,Annuaire_roster!B:F,5,0)</f>
        <v>0</v>
      </c>
      <c r="B18" s="165" t="s">
        <v>217</v>
      </c>
      <c r="C18" s="61">
        <f>IFERROR(IF(COUNTIFS(Connexions!$K:$K,$Q18,Connexions!$E:$E,VLOOKUP($B18,Mapping_Noms!$A:$B,2,0))=0,"",_xlfn.MINIFS(Connexions!$M:$M,Connexions!$K:$K,$Q18,Connexions!$E:$E,VLOOKUP($B18,Mapping_Noms!$A:$B,2,0))-TIME(1,0,0)),"")</f>
        <v>0.4125462962962963</v>
      </c>
      <c r="D18" s="61">
        <f t="array" ref="D18">IFERROR(INDEX(Planning2[],MATCH(1,(Planning2[Nom]=B18)*(Planning2[Date]=Q18),0),3),"-")</f>
        <v>0.41666666666666669</v>
      </c>
      <c r="E18" s="38">
        <f>IFERROR(IF(COUNTIFS(Connexions!$K:$K,$Q18,Connexions!$E:$E,VLOOKUP($B18,Mapping_Noms!$A:$B,2,0))=0,"",_xlfn.MAXIFS(Connexions!$O:$O,Connexions!$K:$K,$Q18,Connexions!$E:$E,VLOOKUP($B18,Mapping_Noms!$A:$B,2,0))-TIME(1,0,0)),"")</f>
        <v>0.83356481481481481</v>
      </c>
      <c r="F18" s="38">
        <f t="array" ref="F18">IFERROR(INDEX(Planning2[],MATCH(1,(Planning2[Nom]=B18)*(Planning2[Date]=Q18),0),4),"-")</f>
        <v>0.83333333333333337</v>
      </c>
      <c r="G18" s="88"/>
      <c r="H18" s="88"/>
      <c r="I18" s="235" t="str">
        <f t="shared" si="0"/>
        <v/>
      </c>
      <c r="J18" s="88"/>
      <c r="K18" s="89">
        <f t="shared" si="1"/>
        <v>0</v>
      </c>
      <c r="L18" s="88">
        <f t="shared" si="2"/>
        <v>0</v>
      </c>
      <c r="M18" s="62">
        <f t="shared" si="3"/>
        <v>0</v>
      </c>
      <c r="N18" s="211">
        <f t="shared" si="4"/>
        <v>0.375</v>
      </c>
      <c r="O18" s="90">
        <f t="shared" si="5"/>
        <v>0.375</v>
      </c>
      <c r="P18" s="91" t="str">
        <f>IFERROR(VLOOKUP($B18,Annuaire_roster!$B:$G,MATCH(P$1,Annuaire_roster!$B$1:$G$1,0),0),"-")</f>
        <v>Google Leads</v>
      </c>
      <c r="Q18" s="212">
        <v>44761</v>
      </c>
      <c r="R18" s="142">
        <f t="shared" si="6"/>
        <v>0</v>
      </c>
      <c r="S18" s="142">
        <f t="shared" si="7"/>
        <v>0</v>
      </c>
      <c r="T18" s="16" t="str">
        <f t="shared" si="8"/>
        <v>Sem - 30</v>
      </c>
      <c r="U18" s="16" t="str">
        <f t="shared" si="9"/>
        <v>Juillet</v>
      </c>
      <c r="V18" s="213" t="str">
        <f t="shared" si="10"/>
        <v>2026</v>
      </c>
      <c r="W18" s="211"/>
      <c r="X18" s="214">
        <f t="shared" si="11"/>
        <v>4.351851851851829E-3</v>
      </c>
      <c r="Y18" s="215">
        <f>IFERROR(VLOOKUP(B18,Annuaire_roster!B:E,4,0),"-")</f>
        <v>0</v>
      </c>
      <c r="Z18" s="215" t="str">
        <f>IFERROR(VLOOKUP(B18,Annuaire_roster!B:F,3,0),"-")</f>
        <v>Google Leads</v>
      </c>
      <c r="AA18" s="215">
        <f>IFERROR(VLOOKUP(B18,Annuaire_roster!B:I,6,0),"-")</f>
        <v>0</v>
      </c>
      <c r="AB18" s="142" t="str">
        <f t="shared" si="12"/>
        <v/>
      </c>
      <c r="AC18" s="142" t="str">
        <f t="shared" si="13"/>
        <v/>
      </c>
      <c r="AD18" s="142" t="str">
        <f t="shared" si="14"/>
        <v/>
      </c>
      <c r="AE18" s="216" t="str">
        <f t="shared" si="15"/>
        <v/>
      </c>
      <c r="AF18" s="217"/>
      <c r="AG18" s="142"/>
    </row>
    <row r="19" spans="1:33" x14ac:dyDescent="0.2">
      <c r="A19" s="70">
        <f>VLOOKUP(B19,Annuaire_roster!B:F,5,0)</f>
        <v>971</v>
      </c>
      <c r="B19" s="165" t="s">
        <v>83</v>
      </c>
      <c r="C19" s="61">
        <f>IFERROR(IF(COUNTIFS(Connexions!$K:$K,$Q19,Connexions!$E:$E,VLOOKUP($B19,Mapping_Noms!$A:$B,2,0))=0,"",_xlfn.MINIFS(Connexions!$M:$M,Connexions!$K:$K,$Q19,Connexions!$E:$E,VLOOKUP($B19,Mapping_Noms!$A:$B,2,0))-TIME(1,0,0)),"")</f>
        <v>0.41721064814814812</v>
      </c>
      <c r="D19" s="61">
        <f t="array" ref="D19">IFERROR(INDEX(Planning2[],MATCH(1,(Planning2[Nom]=B19)*(Planning2[Date]=Q19),0),3),"-")</f>
        <v>0.41666666666666669</v>
      </c>
      <c r="E19" s="38">
        <f>IFERROR(IF(COUNTIFS(Connexions!$K:$K,$Q19,Connexions!$E:$E,VLOOKUP($B19,Mapping_Noms!$A:$B,2,0))=0,"",_xlfn.MAXIFS(Connexions!$O:$O,Connexions!$K:$K,$Q19,Connexions!$E:$E,VLOOKUP($B19,Mapping_Noms!$A:$B,2,0))-TIME(1,0,0)),"")</f>
        <v>0.83344907407407409</v>
      </c>
      <c r="F19" s="38">
        <f t="array" ref="F19">IFERROR(INDEX(Planning2[],MATCH(1,(Planning2[Nom]=B19)*(Planning2[Date]=Q19),0),4),"-")</f>
        <v>0.83333333333333337</v>
      </c>
      <c r="G19" s="88"/>
      <c r="H19" s="88"/>
      <c r="I19" s="235" t="str">
        <f t="shared" si="0"/>
        <v/>
      </c>
      <c r="J19" s="88"/>
      <c r="K19" s="89">
        <f t="shared" si="1"/>
        <v>0</v>
      </c>
      <c r="L19" s="88">
        <f t="shared" si="2"/>
        <v>0</v>
      </c>
      <c r="M19" s="62">
        <f t="shared" si="3"/>
        <v>0</v>
      </c>
      <c r="N19" s="102">
        <f t="shared" si="4"/>
        <v>0.375</v>
      </c>
      <c r="O19" s="90">
        <f t="shared" si="5"/>
        <v>0.375</v>
      </c>
      <c r="P19" s="91" t="str">
        <f>IFERROR(VLOOKUP($B19,Annuaire_roster!$B:$G,MATCH(P$1,Annuaire_roster!$B$1:$G$1,0),0),"-")</f>
        <v>Google Leads</v>
      </c>
      <c r="Q19" s="100">
        <v>44761</v>
      </c>
      <c r="R19" s="10">
        <f t="shared" si="6"/>
        <v>0</v>
      </c>
      <c r="S19" s="10">
        <f t="shared" si="7"/>
        <v>0</v>
      </c>
      <c r="T19" s="16" t="str">
        <f t="shared" si="8"/>
        <v>Sem - 30</v>
      </c>
      <c r="U19" s="16" t="str">
        <f t="shared" si="9"/>
        <v>Juillet</v>
      </c>
      <c r="V19" s="11" t="str">
        <f t="shared" si="10"/>
        <v>2026</v>
      </c>
      <c r="W19" s="9"/>
      <c r="X19" s="5">
        <f t="shared" si="11"/>
        <v>0</v>
      </c>
      <c r="Y19" s="12" t="str">
        <f>IFERROR(VLOOKUP(B19,Annuaire_roster!B:E,4,0),"-")</f>
        <v>CHOUIFI Mustapha</v>
      </c>
      <c r="Z19" s="12" t="str">
        <f>IFERROR(VLOOKUP(B19,Annuaire_roster!B:F,3,0),"-")</f>
        <v>Google Leads</v>
      </c>
      <c r="AA19" s="12" t="str">
        <f>IFERROR(VLOOKUP(B19,Annuaire_roster!B:I,6,0),"-")</f>
        <v>Forfaitaire</v>
      </c>
      <c r="AB19" s="142" t="str">
        <f t="shared" si="12"/>
        <v/>
      </c>
      <c r="AC19" s="142" t="str">
        <f t="shared" si="13"/>
        <v/>
      </c>
      <c r="AD19" s="142" t="str">
        <f t="shared" si="14"/>
        <v/>
      </c>
      <c r="AE19" s="143" t="str">
        <f t="shared" si="15"/>
        <v/>
      </c>
      <c r="AF19" s="63"/>
      <c r="AG19" s="10"/>
    </row>
    <row r="20" spans="1:33" x14ac:dyDescent="0.2">
      <c r="A20" s="70">
        <f>VLOOKUP(B20,Annuaire_roster!B:F,5,0)</f>
        <v>397</v>
      </c>
      <c r="B20" s="165" t="s">
        <v>215</v>
      </c>
      <c r="C20" s="61">
        <f>IFERROR(IF(COUNTIFS(Connexions!$K:$K,$Q20,Connexions!$E:$E,VLOOKUP($B20,Mapping_Noms!$A:$B,2,0))=0,"",_xlfn.MINIFS(Connexions!$M:$M,Connexions!$K:$K,$Q20,Connexions!$E:$E,VLOOKUP($B20,Mapping_Noms!$A:$B,2,0))-TIME(1,0,0)),"")</f>
        <v>0.42952546296296296</v>
      </c>
      <c r="D20" s="61">
        <f t="array" ref="D20">IFERROR(INDEX(Planning2[],MATCH(1,(Planning2[Nom]=B20)*(Planning2[Date]=Q20),0),3),"-")</f>
        <v>0.41666666666666669</v>
      </c>
      <c r="E20" s="38">
        <f>IFERROR(IF(COUNTIFS(Connexions!$K:$K,$Q20,Connexions!$E:$E,VLOOKUP($B20,Mapping_Noms!$A:$B,2,0))=0,"",_xlfn.MAXIFS(Connexions!$O:$O,Connexions!$K:$K,$Q20,Connexions!$E:$E,VLOOKUP($B20,Mapping_Noms!$A:$B,2,0))-TIME(1,0,0)),"")</f>
        <v>0.83364583333333342</v>
      </c>
      <c r="F20" s="38">
        <f t="array" ref="F20">IFERROR(INDEX(Planning2[],MATCH(1,(Planning2[Nom]=B20)*(Planning2[Date]=Q20),0),4),"-")</f>
        <v>0.83333333333333337</v>
      </c>
      <c r="G20" s="88"/>
      <c r="H20" s="88"/>
      <c r="I20" s="236">
        <f t="shared" si="0"/>
        <v>1.2858796296296271E-2</v>
      </c>
      <c r="J20" s="88"/>
      <c r="K20" s="89">
        <f t="shared" si="1"/>
        <v>1.2858796296296271E-2</v>
      </c>
      <c r="L20" s="88">
        <f t="shared" si="2"/>
        <v>0</v>
      </c>
      <c r="M20" s="62">
        <f t="shared" si="3"/>
        <v>0</v>
      </c>
      <c r="N20" s="102">
        <f t="shared" si="4"/>
        <v>0.36214120370370373</v>
      </c>
      <c r="O20" s="90">
        <f t="shared" si="5"/>
        <v>0.375</v>
      </c>
      <c r="P20" s="91" t="str">
        <f>IFERROR(VLOOKUP($B20,Annuaire_roster!$B:$G,MATCH(P$1,Annuaire_roster!$B$1:$G$1,0),0),"-")</f>
        <v>Google Leads</v>
      </c>
      <c r="Q20" s="100">
        <v>44761</v>
      </c>
      <c r="R20" s="10">
        <f t="shared" si="6"/>
        <v>0</v>
      </c>
      <c r="S20" s="10">
        <f t="shared" si="7"/>
        <v>1.2858796296296271E-2</v>
      </c>
      <c r="T20" s="16" t="str">
        <f t="shared" si="8"/>
        <v>Sem - 30</v>
      </c>
      <c r="U20" s="16" t="str">
        <f t="shared" si="9"/>
        <v>Juillet</v>
      </c>
      <c r="V20" s="11" t="str">
        <f t="shared" si="10"/>
        <v>2026</v>
      </c>
      <c r="W20" s="9"/>
      <c r="X20" s="5">
        <f t="shared" si="11"/>
        <v>0</v>
      </c>
      <c r="Y20" s="12" t="str">
        <f>IFERROR(VLOOKUP(B20,Annuaire_roster!B:E,4,0),"-")</f>
        <v>OUAQERROUCH Nour-El Houda</v>
      </c>
      <c r="Z20" s="12" t="str">
        <f>IFERROR(VLOOKUP(B20,Annuaire_roster!B:F,3,0),"-")</f>
        <v>Google Leads</v>
      </c>
      <c r="AA20" s="12" t="str">
        <f>IFERROR(VLOOKUP(B20,Annuaire_roster!B:I,6,0),"-")</f>
        <v>Forfaitaire</v>
      </c>
      <c r="AB20" s="142" t="str">
        <f t="shared" si="12"/>
        <v/>
      </c>
      <c r="AC20" s="142" t="str">
        <f t="shared" si="13"/>
        <v/>
      </c>
      <c r="AD20" s="142" t="str">
        <f t="shared" si="14"/>
        <v/>
      </c>
      <c r="AE20" s="143" t="str">
        <f t="shared" si="15"/>
        <v/>
      </c>
      <c r="AF20" s="63"/>
      <c r="AG20" s="10"/>
    </row>
    <row r="21" spans="1:33" x14ac:dyDescent="0.2">
      <c r="A21" s="210">
        <f>VLOOKUP(B21,Annuaire_roster!B:F,5,0)</f>
        <v>0</v>
      </c>
      <c r="B21" s="165" t="s">
        <v>219</v>
      </c>
      <c r="C21" s="61">
        <f>IFERROR(IF(COUNTIFS(Connexions!$K:$K,$Q21,Connexions!$E:$E,VLOOKUP($B21,Mapping_Noms!$A:$B,2,0))=0,"",_xlfn.MINIFS(Connexions!$M:$M,Connexions!$K:$K,$Q21,Connexions!$E:$E,VLOOKUP($B21,Mapping_Noms!$A:$B,2,0))-TIME(1,0,0)),"")</f>
        <v>0.41606481481481478</v>
      </c>
      <c r="D21" s="61">
        <f t="array" ref="D21">IFERROR(INDEX(Planning2[],MATCH(1,(Planning2[Nom]=B21)*(Planning2[Date]=Q21),0),3),"-")</f>
        <v>0.41666666666666669</v>
      </c>
      <c r="E21" s="38">
        <f>IFERROR(IF(COUNTIFS(Connexions!$K:$K,$Q21,Connexions!$E:$E,VLOOKUP($B21,Mapping_Noms!$A:$B,2,0))=0,"",_xlfn.MAXIFS(Connexions!$O:$O,Connexions!$K:$K,$Q21,Connexions!$E:$E,VLOOKUP($B21,Mapping_Noms!$A:$B,2,0))-TIME(1,0,0)),"")</f>
        <v>0.83553240740740742</v>
      </c>
      <c r="F21" s="38">
        <f t="array" ref="F21">IFERROR(INDEX(Planning2[],MATCH(1,(Planning2[Nom]=B21)*(Planning2[Date]=Q21),0),4),"-")</f>
        <v>0.83333333333333337</v>
      </c>
      <c r="G21" s="88"/>
      <c r="H21" s="88"/>
      <c r="I21" s="235" t="str">
        <f t="shared" si="0"/>
        <v/>
      </c>
      <c r="J21" s="88"/>
      <c r="K21" s="89">
        <f t="shared" si="1"/>
        <v>0</v>
      </c>
      <c r="L21" s="88">
        <f t="shared" si="2"/>
        <v>0</v>
      </c>
      <c r="M21" s="62">
        <f t="shared" si="3"/>
        <v>0</v>
      </c>
      <c r="N21" s="211">
        <f t="shared" si="4"/>
        <v>0.375</v>
      </c>
      <c r="O21" s="90">
        <f t="shared" si="5"/>
        <v>0.375</v>
      </c>
      <c r="P21" s="91" t="str">
        <f>IFERROR(VLOOKUP($B21,Annuaire_roster!$B:$G,MATCH(P$1,Annuaire_roster!$B$1:$G$1,0),0),"-")</f>
        <v>Google Leads</v>
      </c>
      <c r="Q21" s="212">
        <v>44761</v>
      </c>
      <c r="R21" s="142">
        <f t="shared" si="6"/>
        <v>0</v>
      </c>
      <c r="S21" s="142">
        <f t="shared" si="7"/>
        <v>0</v>
      </c>
      <c r="T21" s="16" t="str">
        <f t="shared" si="8"/>
        <v>Sem - 30</v>
      </c>
      <c r="U21" s="16" t="str">
        <f t="shared" si="9"/>
        <v>Juillet</v>
      </c>
      <c r="V21" s="213" t="str">
        <f t="shared" si="10"/>
        <v>2026</v>
      </c>
      <c r="W21" s="211"/>
      <c r="X21" s="214">
        <f t="shared" si="11"/>
        <v>2.8009259259259567E-3</v>
      </c>
      <c r="Y21" s="215">
        <f>IFERROR(VLOOKUP(B21,Annuaire_roster!B:E,4,0),"-")</f>
        <v>0</v>
      </c>
      <c r="Z21" s="215" t="str">
        <f>IFERROR(VLOOKUP(B21,Annuaire_roster!B:F,3,0),"-")</f>
        <v>Google Leads</v>
      </c>
      <c r="AA21" s="215">
        <f>IFERROR(VLOOKUP(B21,Annuaire_roster!B:I,6,0),"-")</f>
        <v>0</v>
      </c>
      <c r="AB21" s="142" t="str">
        <f t="shared" si="12"/>
        <v/>
      </c>
      <c r="AC21" s="142" t="str">
        <f t="shared" si="13"/>
        <v/>
      </c>
      <c r="AD21" s="142" t="str">
        <f t="shared" si="14"/>
        <v/>
      </c>
      <c r="AE21" s="216" t="str">
        <f t="shared" si="15"/>
        <v/>
      </c>
      <c r="AF21" s="63"/>
      <c r="AG21" s="142"/>
    </row>
    <row r="22" spans="1:33" x14ac:dyDescent="0.2">
      <c r="A22" s="70">
        <f>VLOOKUP(B22,Annuaire_roster!B:F,5,0)</f>
        <v>0</v>
      </c>
      <c r="B22" s="165" t="s">
        <v>221</v>
      </c>
      <c r="C22" s="61">
        <f>IFERROR(IF(COUNTIFS(Connexions!$K:$K,$Q22,Connexions!$E:$E,VLOOKUP($B22,Mapping_Noms!$A:$B,2,0))=0,"",_xlfn.MINIFS(Connexions!$M:$M,Connexions!$K:$K,$Q22,Connexions!$E:$E,VLOOKUP($B22,Mapping_Noms!$A:$B,2,0))-TIME(1,0,0)),"")</f>
        <v>0.41662037037037036</v>
      </c>
      <c r="D22" s="61">
        <f t="array" ref="D22">IFERROR(INDEX(Planning2[],MATCH(1,(Planning2[Nom]=B22)*(Planning2[Date]=Q22),0),3),"-")</f>
        <v>0.41666666666666669</v>
      </c>
      <c r="E22" s="38">
        <f>IFERROR(IF(COUNTIFS(Connexions!$K:$K,$Q22,Connexions!$E:$E,VLOOKUP($B22,Mapping_Noms!$A:$B,2,0))=0,"",_xlfn.MAXIFS(Connexions!$O:$O,Connexions!$K:$K,$Q22,Connexions!$E:$E,VLOOKUP($B22,Mapping_Noms!$A:$B,2,0))-TIME(1,0,0)),"")</f>
        <v>0.83337962962962964</v>
      </c>
      <c r="F22" s="38">
        <f t="array" ref="F22">IFERROR(INDEX(Planning2[],MATCH(1,(Planning2[Nom]=B22)*(Planning2[Date]=Q22),0),4),"-")</f>
        <v>0.83333333333333337</v>
      </c>
      <c r="G22" s="88"/>
      <c r="H22" s="88"/>
      <c r="I22" s="235" t="str">
        <f t="shared" si="0"/>
        <v/>
      </c>
      <c r="J22" s="88"/>
      <c r="K22" s="89">
        <f t="shared" si="1"/>
        <v>0</v>
      </c>
      <c r="L22" s="88">
        <f t="shared" si="2"/>
        <v>0</v>
      </c>
      <c r="M22" s="62">
        <f t="shared" si="3"/>
        <v>0</v>
      </c>
      <c r="N22" s="102">
        <f t="shared" si="4"/>
        <v>0.375</v>
      </c>
      <c r="O22" s="90">
        <f t="shared" si="5"/>
        <v>0.375</v>
      </c>
      <c r="P22" s="91" t="str">
        <f>IFERROR(VLOOKUP($B22,Annuaire_roster!$B:$G,MATCH(P$1,Annuaire_roster!$B$1:$G$1,0),0),"-")</f>
        <v>Google Leads</v>
      </c>
      <c r="Q22" s="100">
        <v>44761</v>
      </c>
      <c r="R22" s="10">
        <f t="shared" si="6"/>
        <v>0</v>
      </c>
      <c r="S22" s="10">
        <f t="shared" si="7"/>
        <v>0</v>
      </c>
      <c r="T22" s="16" t="str">
        <f t="shared" si="8"/>
        <v>Sem - 30</v>
      </c>
      <c r="U22" s="16" t="str">
        <f t="shared" si="9"/>
        <v>Juillet</v>
      </c>
      <c r="V22" s="11" t="str">
        <f t="shared" si="10"/>
        <v>2026</v>
      </c>
      <c r="W22" s="9"/>
      <c r="X22" s="5">
        <f t="shared" si="11"/>
        <v>0</v>
      </c>
      <c r="Y22" s="12">
        <f>IFERROR(VLOOKUP(B22,Annuaire_roster!B:E,4,0),"-")</f>
        <v>0</v>
      </c>
      <c r="Z22" s="12" t="str">
        <f>IFERROR(VLOOKUP(B22,Annuaire_roster!B:F,3,0),"-")</f>
        <v>Google Leads</v>
      </c>
      <c r="AA22" s="12">
        <f>IFERROR(VLOOKUP(B22,Annuaire_roster!B:I,6,0),"-")</f>
        <v>0</v>
      </c>
      <c r="AB22" s="142" t="str">
        <f t="shared" si="12"/>
        <v/>
      </c>
      <c r="AC22" s="142" t="str">
        <f t="shared" si="13"/>
        <v/>
      </c>
      <c r="AD22" s="142" t="str">
        <f t="shared" si="14"/>
        <v/>
      </c>
      <c r="AE22" s="143" t="str">
        <f t="shared" si="15"/>
        <v/>
      </c>
      <c r="AF22" s="63"/>
      <c r="AG22" s="10"/>
    </row>
    <row r="23" spans="1:33" x14ac:dyDescent="0.2">
      <c r="A23" s="210">
        <f>VLOOKUP(B23,Annuaire_roster!B:F,5,0)</f>
        <v>1165</v>
      </c>
      <c r="B23" s="165" t="s">
        <v>120</v>
      </c>
      <c r="C23" s="61">
        <f>IFERROR(IF(COUNTIFS(Connexions!$K:$K,$Q23,Connexions!$E:$E,VLOOKUP($B23,Mapping_Noms!$A:$B,2,0))=0,"",_xlfn.MINIFS(Connexions!$M:$M,Connexions!$K:$K,$Q23,Connexions!$E:$E,VLOOKUP($B23,Mapping_Noms!$A:$B,2,0))-TIME(1,0,0)),"")</f>
        <v>0.29289351851851853</v>
      </c>
      <c r="D23" s="61">
        <v>0.29166666666666669</v>
      </c>
      <c r="E23" s="38">
        <f>IFERROR(IF(COUNTIFS(Connexions!$K:$K,$Q23,Connexions!$E:$E,VLOOKUP($B23,Mapping_Noms!$A:$B,2,0))=0,"",_xlfn.MAXIFS(Connexions!$O:$O,Connexions!$K:$K,$Q23,Connexions!$E:$E,VLOOKUP($B23,Mapping_Noms!$A:$B,2,0))-TIME(1,0,0)),"")</f>
        <v>0.70835648148148156</v>
      </c>
      <c r="F23" s="38">
        <f t="array" ref="F23">IFERROR(INDEX(Planning2[],MATCH(1,(Planning2[Nom]=B23)*(Planning2[Date]=Q23),0),4),"-")</f>
        <v>0.70833333333333337</v>
      </c>
      <c r="G23" s="88"/>
      <c r="H23" s="88"/>
      <c r="I23" s="235">
        <f t="shared" si="0"/>
        <v>1.2268518518518401E-3</v>
      </c>
      <c r="J23" s="88"/>
      <c r="K23" s="89">
        <f t="shared" si="1"/>
        <v>1.2268518518518401E-3</v>
      </c>
      <c r="L23" s="88">
        <f t="shared" si="2"/>
        <v>0</v>
      </c>
      <c r="M23" s="62">
        <f t="shared" si="3"/>
        <v>0</v>
      </c>
      <c r="N23" s="211">
        <f t="shared" si="4"/>
        <v>0.37377314814814816</v>
      </c>
      <c r="O23" s="90">
        <f t="shared" si="5"/>
        <v>0.375</v>
      </c>
      <c r="P23" s="91" t="str">
        <f>IFERROR(VLOOKUP($B23,Annuaire_roster!$B:$G,MATCH(P$1,Annuaire_roster!$B$1:$G$1,0),0),"-")</f>
        <v>Google Leads</v>
      </c>
      <c r="Q23" s="212">
        <v>44761</v>
      </c>
      <c r="R23" s="142">
        <f t="shared" si="6"/>
        <v>0</v>
      </c>
      <c r="S23" s="142">
        <f t="shared" si="7"/>
        <v>1.2268518518518401E-3</v>
      </c>
      <c r="T23" s="16" t="str">
        <f t="shared" si="8"/>
        <v>Sem - 30</v>
      </c>
      <c r="U23" s="16" t="str">
        <f t="shared" si="9"/>
        <v>Juillet</v>
      </c>
      <c r="V23" s="213" t="str">
        <f t="shared" si="10"/>
        <v>2026</v>
      </c>
      <c r="W23" s="211"/>
      <c r="X23" s="214">
        <f t="shared" si="11"/>
        <v>0</v>
      </c>
      <c r="Y23" s="215" t="str">
        <f>IFERROR(VLOOKUP(B23,Annuaire_roster!B:E,4,0),"-")</f>
        <v>OUAQERROUCH Nour-El Houda</v>
      </c>
      <c r="Z23" s="215" t="str">
        <f>IFERROR(VLOOKUP(B23,Annuaire_roster!B:F,3,0),"-")</f>
        <v>Google Leads</v>
      </c>
      <c r="AA23" s="215" t="str">
        <f>IFERROR(VLOOKUP(B23,Annuaire_roster!B:I,6,0),"-")</f>
        <v>Forfaitaire</v>
      </c>
      <c r="AB23" s="142" t="str">
        <f t="shared" si="12"/>
        <v/>
      </c>
      <c r="AC23" s="142" t="str">
        <f t="shared" si="13"/>
        <v/>
      </c>
      <c r="AD23" s="142" t="str">
        <f t="shared" si="14"/>
        <v/>
      </c>
      <c r="AE23" s="216" t="str">
        <f t="shared" si="15"/>
        <v/>
      </c>
      <c r="AF23" s="217"/>
      <c r="AG23" s="142"/>
    </row>
    <row r="24" spans="1:33" x14ac:dyDescent="0.2">
      <c r="A24" s="70">
        <f>VLOOKUP(B24,Annuaire_roster!B:F,5,0)</f>
        <v>1274</v>
      </c>
      <c r="B24" s="165" t="s">
        <v>141</v>
      </c>
      <c r="C24" s="61">
        <f>IFERROR(IF(COUNTIFS(Connexions!$K:$K,$Q24,Connexions!$E:$E,VLOOKUP($B24,Mapping_Noms!$A:$B,2,0))=0,"",_xlfn.MINIFS(Connexions!$M:$M,Connexions!$K:$K,$Q24,Connexions!$E:$E,VLOOKUP($B24,Mapping_Noms!$A:$B,2,0))-TIME(1,0,0)),"")</f>
        <v>0.2907986111111111</v>
      </c>
      <c r="D24" s="61">
        <v>0.29166666666666669</v>
      </c>
      <c r="E24" s="38">
        <f>IFERROR(IF(COUNTIFS(Connexions!$K:$K,$Q24,Connexions!$E:$E,VLOOKUP($B24,Mapping_Noms!$A:$B,2,0))=0,"",_xlfn.MAXIFS(Connexions!$O:$O,Connexions!$K:$K,$Q24,Connexions!$E:$E,VLOOKUP($B24,Mapping_Noms!$A:$B,2,0))-TIME(1,0,0)),"")</f>
        <v>0.7083680555555556</v>
      </c>
      <c r="F24" s="38">
        <f t="array" ref="F24">IFERROR(INDEX(Planning2[],MATCH(1,(Planning2[Nom]=B24)*(Planning2[Date]=Q24),0),4),"-")</f>
        <v>0.70833333333333337</v>
      </c>
      <c r="G24" s="88"/>
      <c r="H24" s="88"/>
      <c r="I24" s="235" t="str">
        <f t="shared" si="0"/>
        <v/>
      </c>
      <c r="J24" s="88"/>
      <c r="K24" s="89">
        <f t="shared" si="1"/>
        <v>0</v>
      </c>
      <c r="L24" s="88">
        <f t="shared" si="2"/>
        <v>0</v>
      </c>
      <c r="M24" s="62">
        <f t="shared" si="3"/>
        <v>0</v>
      </c>
      <c r="N24" s="102">
        <f t="shared" si="4"/>
        <v>0.375</v>
      </c>
      <c r="O24" s="90">
        <f t="shared" si="5"/>
        <v>0.375</v>
      </c>
      <c r="P24" s="91" t="str">
        <f>IFERROR(VLOOKUP($B24,Annuaire_roster!$B:$G,MATCH(P$1,Annuaire_roster!$B$1:$G$1,0),0),"-")</f>
        <v>Google Leads</v>
      </c>
      <c r="Q24" s="100">
        <v>44761</v>
      </c>
      <c r="R24" s="10">
        <f t="shared" si="6"/>
        <v>0</v>
      </c>
      <c r="S24" s="10">
        <f t="shared" si="7"/>
        <v>0</v>
      </c>
      <c r="T24" s="16" t="str">
        <f t="shared" si="8"/>
        <v>Sem - 30</v>
      </c>
      <c r="U24" s="16" t="str">
        <f t="shared" si="9"/>
        <v>Juillet</v>
      </c>
      <c r="V24" s="11" t="str">
        <f t="shared" si="10"/>
        <v>2026</v>
      </c>
      <c r="W24" s="9"/>
      <c r="X24" s="5">
        <f t="shared" si="11"/>
        <v>9.0277777777780788E-4</v>
      </c>
      <c r="Y24" s="12" t="str">
        <f>IFERROR(VLOOKUP(B24,Annuaire_roster!B:E,4,0),"-")</f>
        <v>OUAQERROUCH Nour-El Houda</v>
      </c>
      <c r="Z24" s="12" t="str">
        <f>IFERROR(VLOOKUP(B24,Annuaire_roster!B:F,3,0),"-")</f>
        <v>Google Leads</v>
      </c>
      <c r="AA24" s="12" t="str">
        <f>IFERROR(VLOOKUP(B24,Annuaire_roster!B:I,6,0),"-")</f>
        <v>Forfaitaire</v>
      </c>
      <c r="AB24" s="142" t="str">
        <f t="shared" si="12"/>
        <v/>
      </c>
      <c r="AC24" s="142" t="str">
        <f t="shared" si="13"/>
        <v/>
      </c>
      <c r="AD24" s="142" t="str">
        <f t="shared" si="14"/>
        <v/>
      </c>
      <c r="AE24" s="143" t="str">
        <f t="shared" si="15"/>
        <v/>
      </c>
      <c r="AF24" s="63"/>
      <c r="AG24" s="10"/>
    </row>
    <row r="25" spans="1:33" x14ac:dyDescent="0.2">
      <c r="A25" s="70">
        <f>VLOOKUP(B25,Annuaire_roster!B:F,5,0)</f>
        <v>1132</v>
      </c>
      <c r="B25" s="165" t="s">
        <v>88</v>
      </c>
      <c r="C25" s="61">
        <f>IFERROR(IF(COUNTIFS(Connexions!$K:$K,$Q25,Connexions!$E:$E,VLOOKUP($B25,Mapping_Noms!$A:$B,2,0))=0,"",_xlfn.MINIFS(Connexions!$M:$M,Connexions!$K:$K,$Q25,Connexions!$E:$E,VLOOKUP($B25,Mapping_Noms!$A:$B,2,0))-TIME(1,0,0)),"")</f>
        <v>0.29194444444444445</v>
      </c>
      <c r="D25" s="61">
        <v>0.29166666666666669</v>
      </c>
      <c r="E25" s="38">
        <f>IFERROR(IF(COUNTIFS(Connexions!$K:$K,$Q25,Connexions!$E:$E,VLOOKUP($B25,Mapping_Noms!$A:$B,2,0))=0,"",_xlfn.MAXIFS(Connexions!$O:$O,Connexions!$K:$K,$Q25,Connexions!$E:$E,VLOOKUP($B25,Mapping_Noms!$A:$B,2,0))-TIME(1,0,0)),"")</f>
        <v>0.70846064814814813</v>
      </c>
      <c r="F25" s="38">
        <f t="array" ref="F25">IFERROR(INDEX(Planning2[],MATCH(1,(Planning2[Nom]=B25)*(Planning2[Date]=Q25),0),4),"-")</f>
        <v>0.70833333333333337</v>
      </c>
      <c r="G25" s="88"/>
      <c r="H25" s="88"/>
      <c r="I25" s="235" t="str">
        <f t="shared" si="0"/>
        <v/>
      </c>
      <c r="J25" s="88"/>
      <c r="K25" s="89">
        <f t="shared" si="1"/>
        <v>0</v>
      </c>
      <c r="L25" s="88">
        <f t="shared" si="2"/>
        <v>0</v>
      </c>
      <c r="M25" s="62">
        <f t="shared" si="3"/>
        <v>0</v>
      </c>
      <c r="N25" s="102">
        <f t="shared" si="4"/>
        <v>0.375</v>
      </c>
      <c r="O25" s="90">
        <f t="shared" si="5"/>
        <v>0.375</v>
      </c>
      <c r="P25" s="91" t="str">
        <f>IFERROR(VLOOKUP($B25,Annuaire_roster!$B:$G,MATCH(P$1,Annuaire_roster!$B$1:$G$1,0),0),"-")</f>
        <v>Google Leads</v>
      </c>
      <c r="Q25" s="100">
        <v>44761</v>
      </c>
      <c r="R25" s="10">
        <f t="shared" si="6"/>
        <v>0</v>
      </c>
      <c r="S25" s="10">
        <f t="shared" si="7"/>
        <v>0</v>
      </c>
      <c r="T25" s="16" t="str">
        <f t="shared" si="8"/>
        <v>Sem - 30</v>
      </c>
      <c r="U25" s="16" t="str">
        <f t="shared" si="9"/>
        <v>Juillet</v>
      </c>
      <c r="V25" s="11" t="str">
        <f t="shared" si="10"/>
        <v>2026</v>
      </c>
      <c r="W25" s="9"/>
      <c r="X25" s="5">
        <f t="shared" si="11"/>
        <v>0</v>
      </c>
      <c r="Y25" s="12" t="str">
        <f>IFERROR(VLOOKUP(B25,Annuaire_roster!B:E,4,0),"-")</f>
        <v>CHOUIFI Mustapha</v>
      </c>
      <c r="Z25" s="12" t="str">
        <f>IFERROR(VLOOKUP(B25,Annuaire_roster!B:F,3,0),"-")</f>
        <v>Google Leads</v>
      </c>
      <c r="AA25" s="12" t="str">
        <f>IFERROR(VLOOKUP(B25,Annuaire_roster!B:I,6,0),"-")</f>
        <v>Forfaitaire</v>
      </c>
      <c r="AB25" s="142" t="str">
        <f t="shared" si="12"/>
        <v/>
      </c>
      <c r="AC25" s="142" t="str">
        <f t="shared" si="13"/>
        <v/>
      </c>
      <c r="AD25" s="142" t="str">
        <f t="shared" si="14"/>
        <v/>
      </c>
      <c r="AE25" s="143" t="str">
        <f t="shared" si="15"/>
        <v/>
      </c>
      <c r="AF25" s="63"/>
      <c r="AG25" s="10"/>
    </row>
    <row r="26" spans="1:33" x14ac:dyDescent="0.2">
      <c r="A26" s="70">
        <f>VLOOKUP(B26,Annuaire_roster!B:F,5,0)</f>
        <v>0</v>
      </c>
      <c r="B26" s="165" t="s">
        <v>198</v>
      </c>
      <c r="C26" s="61" t="str">
        <f>IFERROR(IF(COUNTIFS(Connexions!$K:$K,$Q26,Connexions!$E:$E,VLOOKUP($B26,Mapping_Noms!$A:$B,2,0))=0,"",_xlfn.MINIFS(Connexions!$M:$M,Connexions!$K:$K,$Q26,Connexions!$E:$E,VLOOKUP($B26,Mapping_Noms!$A:$B,2,0))-TIME(1,0,0)),"")</f>
        <v/>
      </c>
      <c r="D26" s="61" t="str">
        <f t="array" ref="D26">IFERROR(INDEX(Planning2[],MATCH(1,(Planning2[Nom]=B26)*(Planning2[Date]=Q26),0),3),"-")</f>
        <v>Congé</v>
      </c>
      <c r="E26" s="38" t="str">
        <f>IFERROR(IF(COUNTIFS(Connexions!$K:$K,$Q26,Connexions!$E:$E,VLOOKUP($B26,Mapping_Noms!$A:$B,2,0))=0,"",_xlfn.MAXIFS(Connexions!$O:$O,Connexions!$K:$K,$Q26,Connexions!$E:$E,VLOOKUP($B26,Mapping_Noms!$A:$B,2,0))-TIME(1,0,0)),"")</f>
        <v/>
      </c>
      <c r="F26" s="38" t="str">
        <f t="array" ref="F26">IFERROR(INDEX(Planning2[],MATCH(1,(Planning2[Nom]=B26)*(Planning2[Date]=Q26),0),4),"-")</f>
        <v>Congé</v>
      </c>
      <c r="G26" s="88"/>
      <c r="H26" s="88"/>
      <c r="I26" s="235" t="str">
        <f t="shared" si="0"/>
        <v/>
      </c>
      <c r="J26" s="88"/>
      <c r="K26" s="89">
        <f t="shared" si="1"/>
        <v>0</v>
      </c>
      <c r="L26" s="88">
        <f t="shared" si="2"/>
        <v>0</v>
      </c>
      <c r="M26" s="62">
        <f t="shared" si="3"/>
        <v>0</v>
      </c>
      <c r="N26" s="102" t="str">
        <f t="shared" si="4"/>
        <v/>
      </c>
      <c r="O26" s="90">
        <f t="shared" si="5"/>
        <v>0</v>
      </c>
      <c r="P26" s="91" t="str">
        <f>IFERROR(VLOOKUP($B26,Annuaire_roster!$B:$G,MATCH(P$1,Annuaire_roster!$B$1:$G$1,0),0),"-")</f>
        <v>Google Leads</v>
      </c>
      <c r="Q26" s="100">
        <v>44761</v>
      </c>
      <c r="R26" s="10">
        <f t="shared" si="6"/>
        <v>0</v>
      </c>
      <c r="S26" s="10">
        <f t="shared" si="7"/>
        <v>0</v>
      </c>
      <c r="T26" s="16" t="str">
        <f t="shared" si="8"/>
        <v>Sem - 30</v>
      </c>
      <c r="U26" s="16" t="str">
        <f t="shared" si="9"/>
        <v>Juillet</v>
      </c>
      <c r="V26" s="11" t="str">
        <f t="shared" si="10"/>
        <v>2026</v>
      </c>
      <c r="W26" s="9"/>
      <c r="X26" s="5">
        <f t="shared" si="11"/>
        <v>0</v>
      </c>
      <c r="Y26" s="12">
        <f>IFERROR(VLOOKUP(B26,Annuaire_roster!B:E,4,0),"-")</f>
        <v>0</v>
      </c>
      <c r="Z26" s="12" t="str">
        <f>IFERROR(VLOOKUP(B26,Annuaire_roster!B:F,3,0),"-")</f>
        <v>Google Leads</v>
      </c>
      <c r="AA26" s="12">
        <f>IFERROR(VLOOKUP(B26,Annuaire_roster!B:I,6,0),"-")</f>
        <v>0</v>
      </c>
      <c r="AB26" s="142">
        <f t="shared" si="12"/>
        <v>0.33333333333333298</v>
      </c>
      <c r="AC26" s="142" t="str">
        <f t="shared" si="13"/>
        <v/>
      </c>
      <c r="AD26" s="142" t="str">
        <f t="shared" si="14"/>
        <v/>
      </c>
      <c r="AE26" s="143" t="str">
        <f t="shared" si="15"/>
        <v/>
      </c>
      <c r="AF26" s="63"/>
      <c r="AG26" s="142"/>
    </row>
    <row r="27" spans="1:33" x14ac:dyDescent="0.2">
      <c r="A27" s="210">
        <f>VLOOKUP(B27,Annuaire_roster!B:F,5,0)</f>
        <v>0</v>
      </c>
      <c r="B27" s="165" t="s">
        <v>144</v>
      </c>
      <c r="C27" s="61" t="str">
        <f>IFERROR(IF(COUNTIFS(Connexions!$K:$K,$Q27,Connexions!$E:$E,VLOOKUP($B27,Mapping_Noms!$A:$B,2,0))=0,"",_xlfn.MINIFS(Connexions!$M:$M,Connexions!$K:$K,$Q27,Connexions!$E:$E,VLOOKUP($B27,Mapping_Noms!$A:$B,2,0))-TIME(1,0,0)),"")</f>
        <v/>
      </c>
      <c r="D27" s="61" t="str">
        <f t="array" ref="D27">IFERROR(INDEX(Planning2[],MATCH(1,(Planning2[Nom]=B27)*(Planning2[Date]=Q27),0),3),"-")</f>
        <v>Congé</v>
      </c>
      <c r="E27" s="38" t="str">
        <f>IFERROR(IF(COUNTIFS(Connexions!$K:$K,$Q27,Connexions!$E:$E,VLOOKUP($B27,Mapping_Noms!$A:$B,2,0))=0,"",_xlfn.MAXIFS(Connexions!$O:$O,Connexions!$K:$K,$Q27,Connexions!$E:$E,VLOOKUP($B27,Mapping_Noms!$A:$B,2,0))-TIME(1,0,0)),"")</f>
        <v/>
      </c>
      <c r="F27" s="38" t="str">
        <f t="array" ref="F27">IFERROR(INDEX(Planning2[],MATCH(1,(Planning2[Nom]=B27)*(Planning2[Date]=Q27),0),4),"-")</f>
        <v>Congé</v>
      </c>
      <c r="G27" s="88"/>
      <c r="H27" s="88"/>
      <c r="I27" s="235" t="str">
        <f t="shared" si="0"/>
        <v/>
      </c>
      <c r="J27" s="88"/>
      <c r="K27" s="89">
        <f t="shared" si="1"/>
        <v>0</v>
      </c>
      <c r="L27" s="88">
        <f t="shared" si="2"/>
        <v>0</v>
      </c>
      <c r="M27" s="62">
        <f t="shared" si="3"/>
        <v>0</v>
      </c>
      <c r="N27" s="211" t="str">
        <f t="shared" si="4"/>
        <v/>
      </c>
      <c r="O27" s="90">
        <f t="shared" si="5"/>
        <v>0</v>
      </c>
      <c r="P27" s="91" t="str">
        <f>IFERROR(VLOOKUP($B27,Annuaire_roster!$B:$G,MATCH(P$1,Annuaire_roster!$B$1:$G$1,0),0),"-")</f>
        <v>Google Leads</v>
      </c>
      <c r="Q27" s="212">
        <v>44761</v>
      </c>
      <c r="R27" s="142">
        <f t="shared" si="6"/>
        <v>0</v>
      </c>
      <c r="S27" s="142">
        <f t="shared" si="7"/>
        <v>0</v>
      </c>
      <c r="T27" s="16" t="str">
        <f t="shared" si="8"/>
        <v>Sem - 30</v>
      </c>
      <c r="U27" s="16" t="str">
        <f t="shared" si="9"/>
        <v>Juillet</v>
      </c>
      <c r="V27" s="213" t="str">
        <f t="shared" si="10"/>
        <v>2026</v>
      </c>
      <c r="W27" s="211"/>
      <c r="X27" s="214">
        <f t="shared" si="11"/>
        <v>0</v>
      </c>
      <c r="Y27" s="215" t="str">
        <f>IFERROR(VLOOKUP(B27,Annuaire_roster!B:E,4,0),"-")</f>
        <v>CHOUIFI Mustapha</v>
      </c>
      <c r="Z27" s="215" t="str">
        <f>IFERROR(VLOOKUP(B27,Annuaire_roster!B:F,3,0),"-")</f>
        <v>Google Leads</v>
      </c>
      <c r="AA27" s="215" t="str">
        <f>IFERROR(VLOOKUP(B27,Annuaire_roster!B:I,6,0),"-")</f>
        <v>Forfaitaire</v>
      </c>
      <c r="AB27" s="142">
        <f t="shared" si="12"/>
        <v>0.33333333333333298</v>
      </c>
      <c r="AC27" s="142" t="str">
        <f t="shared" si="13"/>
        <v/>
      </c>
      <c r="AD27" s="142" t="str">
        <f t="shared" si="14"/>
        <v/>
      </c>
      <c r="AE27" s="216" t="str">
        <f t="shared" si="15"/>
        <v/>
      </c>
      <c r="AF27" s="63"/>
      <c r="AG27" s="142"/>
    </row>
    <row r="28" spans="1:33" x14ac:dyDescent="0.2">
      <c r="A28" s="70">
        <f>VLOOKUP(B28,Annuaire_roster!B:F,5,0)</f>
        <v>894</v>
      </c>
      <c r="B28" s="165" t="s">
        <v>80</v>
      </c>
      <c r="C28" s="61" t="str">
        <f>IFERROR(IF(COUNTIFS(Connexions!$K:$K,$Q28,Connexions!$E:$E,VLOOKUP($B28,Mapping_Noms!$A:$B,2,0))=0,"",_xlfn.MINIFS(Connexions!$M:$M,Connexions!$K:$K,$Q28,Connexions!$E:$E,VLOOKUP($B28,Mapping_Noms!$A:$B,2,0))-TIME(1,0,0)),"")</f>
        <v/>
      </c>
      <c r="D28" s="61" t="s">
        <v>31</v>
      </c>
      <c r="E28" s="38" t="str">
        <f>IFERROR(IF(COUNTIFS(Connexions!$K:$K,$Q28,Connexions!$E:$E,VLOOKUP($B28,Mapping_Noms!$A:$B,2,0))=0,"",_xlfn.MAXIFS(Connexions!$O:$O,Connexions!$K:$K,$Q28,Connexions!$E:$E,VLOOKUP($B28,Mapping_Noms!$A:$B,2,0))-TIME(1,0,0)),"")</f>
        <v/>
      </c>
      <c r="F28" s="38" t="s">
        <v>31</v>
      </c>
      <c r="G28" s="88"/>
      <c r="H28" s="88"/>
      <c r="I28" s="235" t="str">
        <f t="shared" si="0"/>
        <v/>
      </c>
      <c r="J28" s="88"/>
      <c r="K28" s="89">
        <f t="shared" si="1"/>
        <v>0</v>
      </c>
      <c r="L28" s="88">
        <f t="shared" si="2"/>
        <v>0</v>
      </c>
      <c r="M28" s="62">
        <f t="shared" si="3"/>
        <v>0</v>
      </c>
      <c r="N28" s="102" t="str">
        <f t="shared" si="4"/>
        <v/>
      </c>
      <c r="O28" s="90">
        <f t="shared" si="5"/>
        <v>0</v>
      </c>
      <c r="P28" s="91" t="str">
        <f>IFERROR(VLOOKUP($B28,Annuaire_roster!$B:$G,MATCH(P$1,Annuaire_roster!$B$1:$G$1,0),0),"-")</f>
        <v>Google Leads</v>
      </c>
      <c r="Q28" s="100">
        <v>44761</v>
      </c>
      <c r="R28" s="10">
        <f t="shared" si="6"/>
        <v>0</v>
      </c>
      <c r="S28" s="10">
        <f t="shared" si="7"/>
        <v>0</v>
      </c>
      <c r="T28" s="16" t="str">
        <f t="shared" si="8"/>
        <v>Sem - 30</v>
      </c>
      <c r="U28" s="16" t="str">
        <f t="shared" si="9"/>
        <v>Juillet</v>
      </c>
      <c r="V28" s="11" t="str">
        <f t="shared" si="10"/>
        <v>2026</v>
      </c>
      <c r="W28" s="9"/>
      <c r="X28" s="5">
        <f t="shared" si="11"/>
        <v>0</v>
      </c>
      <c r="Y28" s="12" t="str">
        <f>IFERROR(VLOOKUP(B28,Annuaire_roster!B:E,4,0),"-")</f>
        <v>OUAQERROUCH Nour-El Houda</v>
      </c>
      <c r="Z28" s="12" t="str">
        <f>IFERROR(VLOOKUP(B28,Annuaire_roster!B:F,3,0),"-")</f>
        <v>Google Leads</v>
      </c>
      <c r="AA28" s="12" t="str">
        <f>IFERROR(VLOOKUP(B28,Annuaire_roster!B:I,6,0),"-")</f>
        <v>Forfaitaire</v>
      </c>
      <c r="AB28" s="142" t="str">
        <f t="shared" si="12"/>
        <v/>
      </c>
      <c r="AC28" s="142" t="str">
        <f t="shared" si="13"/>
        <v/>
      </c>
      <c r="AD28" s="142" t="str">
        <f t="shared" si="14"/>
        <v/>
      </c>
      <c r="AE28" s="143" t="str">
        <f t="shared" si="15"/>
        <v/>
      </c>
      <c r="AF28" s="63"/>
      <c r="AG28" s="10"/>
    </row>
    <row r="29" spans="1:33" x14ac:dyDescent="0.2">
      <c r="A29" s="210">
        <f>VLOOKUP(B29,Annuaire_roster!B:F,5,0)</f>
        <v>364</v>
      </c>
      <c r="B29" s="165" t="s">
        <v>213</v>
      </c>
      <c r="C29" s="61" t="str">
        <f>IFERROR(IF(COUNTIFS(Connexions!$K:$K,$Q29,Connexions!$E:$E,VLOOKUP($B29,Mapping_Noms!$A:$B,2,0))=0,"",_xlfn.MINIFS(Connexions!$M:$M,Connexions!$K:$K,$Q29,Connexions!$E:$E,VLOOKUP($B29,Mapping_Noms!$A:$B,2,0))-TIME(1,0,0)),"")</f>
        <v/>
      </c>
      <c r="D29" s="61" t="str">
        <f t="array" ref="D29">IFERROR(INDEX(Planning2[],MATCH(1,(Planning2[Nom]=B29)*(Planning2[Date]=Q29),0),3),"-")</f>
        <v>OFF</v>
      </c>
      <c r="E29" s="38" t="str">
        <f>IFERROR(IF(COUNTIFS(Connexions!$K:$K,$Q29,Connexions!$E:$E,VLOOKUP($B29,Mapping_Noms!$A:$B,2,0))=0,"",_xlfn.MAXIFS(Connexions!$O:$O,Connexions!$K:$K,$Q29,Connexions!$E:$E,VLOOKUP($B29,Mapping_Noms!$A:$B,2,0))-TIME(1,0,0)),"")</f>
        <v/>
      </c>
      <c r="F29" s="38" t="str">
        <f t="array" ref="F29">IFERROR(INDEX(Planning2[],MATCH(1,(Planning2[Nom]=B29)*(Planning2[Date]=Q29),0),4),"-")</f>
        <v>OFF</v>
      </c>
      <c r="G29" s="88"/>
      <c r="H29" s="88"/>
      <c r="I29" s="235" t="str">
        <f t="shared" si="0"/>
        <v/>
      </c>
      <c r="J29" s="88"/>
      <c r="K29" s="89">
        <f t="shared" si="1"/>
        <v>0</v>
      </c>
      <c r="L29" s="88">
        <f t="shared" si="2"/>
        <v>0</v>
      </c>
      <c r="M29" s="62">
        <f t="shared" si="3"/>
        <v>0</v>
      </c>
      <c r="N29" s="211" t="str">
        <f t="shared" si="4"/>
        <v/>
      </c>
      <c r="O29" s="90">
        <f t="shared" si="5"/>
        <v>0</v>
      </c>
      <c r="P29" s="91" t="str">
        <f>IFERROR(VLOOKUP($B29,Annuaire_roster!$B:$G,MATCH(P$1,Annuaire_roster!$B$1:$G$1,0),0),"-")</f>
        <v>Google Leads</v>
      </c>
      <c r="Q29" s="212">
        <v>44761</v>
      </c>
      <c r="R29" s="142">
        <f t="shared" si="6"/>
        <v>0</v>
      </c>
      <c r="S29" s="142">
        <f t="shared" si="7"/>
        <v>0</v>
      </c>
      <c r="T29" s="16" t="str">
        <f t="shared" si="8"/>
        <v>Sem - 30</v>
      </c>
      <c r="U29" s="16" t="str">
        <f t="shared" si="9"/>
        <v>Juillet</v>
      </c>
      <c r="V29" s="213" t="str">
        <f t="shared" si="10"/>
        <v>2026</v>
      </c>
      <c r="W29" s="211"/>
      <c r="X29" s="214">
        <f t="shared" si="11"/>
        <v>0</v>
      </c>
      <c r="Y29" s="215" t="str">
        <f>IFERROR(VLOOKUP(B29,Annuaire_roster!B:E,4,0),"-")</f>
        <v>OUAQERROUCH Nour-El Houda</v>
      </c>
      <c r="Z29" s="215" t="str">
        <f>IFERROR(VLOOKUP(B29,Annuaire_roster!B:F,3,0),"-")</f>
        <v>Google Leads</v>
      </c>
      <c r="AA29" s="215" t="str">
        <f>IFERROR(VLOOKUP(B29,Annuaire_roster!B:I,6,0),"-")</f>
        <v>Forfaitaire</v>
      </c>
      <c r="AB29" s="142" t="str">
        <f t="shared" si="12"/>
        <v/>
      </c>
      <c r="AC29" s="142" t="str">
        <f t="shared" si="13"/>
        <v/>
      </c>
      <c r="AD29" s="142" t="str">
        <f t="shared" si="14"/>
        <v/>
      </c>
      <c r="AE29" s="216" t="str">
        <f t="shared" si="15"/>
        <v/>
      </c>
      <c r="AF29" s="217"/>
      <c r="AG29" s="142"/>
    </row>
    <row r="30" spans="1:33" x14ac:dyDescent="0.2">
      <c r="A30" s="210">
        <f>VLOOKUP(B30,Annuaire_roster!B:F,5,0)</f>
        <v>1009</v>
      </c>
      <c r="B30" s="165" t="s">
        <v>91</v>
      </c>
      <c r="C30" s="61" t="str">
        <f>IFERROR(IF(COUNTIFS(Connexions!$K:$K,$Q30,Connexions!$E:$E,VLOOKUP($B30,Mapping_Noms!$A:$B,2,0))=0,"",_xlfn.MINIFS(Connexions!$M:$M,Connexions!$K:$K,$Q30,Connexions!$E:$E,VLOOKUP($B30,Mapping_Noms!$A:$B,2,0))-TIME(1,0,0)),"")</f>
        <v/>
      </c>
      <c r="D30" s="61" t="str">
        <f t="array" ref="D30">IFERROR(INDEX(Planning2[],MATCH(1,(Planning2[Nom]=B30)*(Planning2[Date]=Q30),0),3),"-")</f>
        <v>OFF</v>
      </c>
      <c r="E30" s="38" t="str">
        <f>IFERROR(IF(COUNTIFS(Connexions!$K:$K,$Q30,Connexions!$E:$E,VLOOKUP($B30,Mapping_Noms!$A:$B,2,0))=0,"",_xlfn.MAXIFS(Connexions!$O:$O,Connexions!$K:$K,$Q30,Connexions!$E:$E,VLOOKUP($B30,Mapping_Noms!$A:$B,2,0))-TIME(1,0,0)),"")</f>
        <v/>
      </c>
      <c r="F30" s="38" t="str">
        <f t="array" ref="F30">IFERROR(INDEX(Planning2[],MATCH(1,(Planning2[Nom]=B30)*(Planning2[Date]=Q30),0),4),"-")</f>
        <v>OFF</v>
      </c>
      <c r="G30" s="88"/>
      <c r="H30" s="88"/>
      <c r="I30" s="235" t="str">
        <f t="shared" si="0"/>
        <v/>
      </c>
      <c r="J30" s="88"/>
      <c r="K30" s="89">
        <f t="shared" si="1"/>
        <v>0</v>
      </c>
      <c r="L30" s="88">
        <f t="shared" si="2"/>
        <v>0</v>
      </c>
      <c r="M30" s="62">
        <f t="shared" si="3"/>
        <v>0</v>
      </c>
      <c r="N30" s="211" t="str">
        <f t="shared" si="4"/>
        <v/>
      </c>
      <c r="O30" s="90">
        <f t="shared" si="5"/>
        <v>0</v>
      </c>
      <c r="P30" s="91" t="str">
        <f>IFERROR(VLOOKUP($B30,Annuaire_roster!$B:$G,MATCH(P$1,Annuaire_roster!$B$1:$G$1,0),0),"-")</f>
        <v>Google Leads</v>
      </c>
      <c r="Q30" s="212">
        <v>44761</v>
      </c>
      <c r="R30" s="142">
        <f t="shared" si="6"/>
        <v>0</v>
      </c>
      <c r="S30" s="142">
        <f t="shared" si="7"/>
        <v>0</v>
      </c>
      <c r="T30" s="16" t="str">
        <f t="shared" si="8"/>
        <v>Sem - 30</v>
      </c>
      <c r="U30" s="16" t="str">
        <f t="shared" si="9"/>
        <v>Juillet</v>
      </c>
      <c r="V30" s="213" t="str">
        <f t="shared" si="10"/>
        <v>2026</v>
      </c>
      <c r="W30" s="211"/>
      <c r="X30" s="214">
        <f t="shared" si="11"/>
        <v>0</v>
      </c>
      <c r="Y30" s="215" t="str">
        <f>IFERROR(VLOOKUP(B30,Annuaire_roster!B:E,4,0),"-")</f>
        <v>OUAQERROUCH Nour-El Houda</v>
      </c>
      <c r="Z30" s="215" t="str">
        <f>IFERROR(VLOOKUP(B30,Annuaire_roster!B:F,3,0),"-")</f>
        <v>Google Leads</v>
      </c>
      <c r="AA30" s="215" t="str">
        <f>IFERROR(VLOOKUP(B30,Annuaire_roster!B:I,6,0),"-")</f>
        <v>Forfaitaire</v>
      </c>
      <c r="AB30" s="142" t="str">
        <f t="shared" si="12"/>
        <v/>
      </c>
      <c r="AC30" s="142" t="str">
        <f t="shared" si="13"/>
        <v/>
      </c>
      <c r="AD30" s="142" t="str">
        <f t="shared" si="14"/>
        <v/>
      </c>
      <c r="AE30" s="216" t="str">
        <f t="shared" si="15"/>
        <v/>
      </c>
      <c r="AF30" s="217"/>
      <c r="AG30" s="142"/>
    </row>
    <row r="31" spans="1:33" x14ac:dyDescent="0.2">
      <c r="A31" s="70">
        <f>VLOOKUP(B31,Annuaire_roster!B:F,5,0)</f>
        <v>0</v>
      </c>
      <c r="B31" s="165" t="s">
        <v>209</v>
      </c>
      <c r="C31" s="61" t="str">
        <f>IFERROR(IF(COUNTIFS(Connexions!$K:$K,$Q31,Connexions!$E:$E,VLOOKUP($B31,Mapping_Noms!$A:$B,2,0))=0,"",_xlfn.MINIFS(Connexions!$M:$M,Connexions!$K:$K,$Q31,Connexions!$E:$E,VLOOKUP($B31,Mapping_Noms!$A:$B,2,0))-TIME(1,0,0)),"")</f>
        <v/>
      </c>
      <c r="D31" s="61" t="str">
        <f t="array" ref="D31">IFERROR(INDEX(Planning2[],MATCH(1,(Planning2[Nom]=B31)*(Planning2[Date]=Q31),0),3),"-")</f>
        <v>OFF</v>
      </c>
      <c r="E31" s="38" t="str">
        <f>IFERROR(IF(COUNTIFS(Connexions!$K:$K,$Q31,Connexions!$E:$E,VLOOKUP($B31,Mapping_Noms!$A:$B,2,0))=0,"",_xlfn.MAXIFS(Connexions!$O:$O,Connexions!$K:$K,$Q31,Connexions!$E:$E,VLOOKUP($B31,Mapping_Noms!$A:$B,2,0))-TIME(1,0,0)),"")</f>
        <v/>
      </c>
      <c r="F31" s="38" t="str">
        <f t="array" ref="F31">IFERROR(INDEX(Planning2[],MATCH(1,(Planning2[Nom]=B31)*(Planning2[Date]=Q31),0),4),"-")</f>
        <v>OFF</v>
      </c>
      <c r="G31" s="88"/>
      <c r="H31" s="88"/>
      <c r="I31" s="235" t="str">
        <f t="shared" si="0"/>
        <v/>
      </c>
      <c r="J31" s="88"/>
      <c r="K31" s="89">
        <f t="shared" si="1"/>
        <v>0</v>
      </c>
      <c r="L31" s="88">
        <f t="shared" si="2"/>
        <v>0</v>
      </c>
      <c r="M31" s="62">
        <f t="shared" si="3"/>
        <v>0</v>
      </c>
      <c r="N31" s="102" t="str">
        <f t="shared" si="4"/>
        <v/>
      </c>
      <c r="O31" s="90">
        <f t="shared" si="5"/>
        <v>0</v>
      </c>
      <c r="P31" s="91" t="str">
        <f>IFERROR(VLOOKUP($B31,Annuaire_roster!$B:$G,MATCH(P$1,Annuaire_roster!$B$1:$G$1,0),0),"-")</f>
        <v>Google Leads</v>
      </c>
      <c r="Q31" s="100">
        <v>44761</v>
      </c>
      <c r="R31" s="10">
        <f t="shared" si="6"/>
        <v>0</v>
      </c>
      <c r="S31" s="10">
        <f t="shared" si="7"/>
        <v>0</v>
      </c>
      <c r="T31" s="16" t="str">
        <f t="shared" si="8"/>
        <v>Sem - 30</v>
      </c>
      <c r="U31" s="16" t="str">
        <f t="shared" si="9"/>
        <v>Juillet</v>
      </c>
      <c r="V31" s="11" t="str">
        <f t="shared" si="10"/>
        <v>2026</v>
      </c>
      <c r="W31" s="9"/>
      <c r="X31" s="5">
        <f t="shared" si="11"/>
        <v>0</v>
      </c>
      <c r="Y31" s="12">
        <f>IFERROR(VLOOKUP(B31,Annuaire_roster!B:E,4,0),"-")</f>
        <v>0</v>
      </c>
      <c r="Z31" s="12" t="str">
        <f>IFERROR(VLOOKUP(B31,Annuaire_roster!B:F,3,0),"-")</f>
        <v>Google Leads</v>
      </c>
      <c r="AA31" s="12">
        <f>IFERROR(VLOOKUP(B31,Annuaire_roster!B:I,6,0),"-")</f>
        <v>0</v>
      </c>
      <c r="AB31" s="142" t="str">
        <f t="shared" si="12"/>
        <v/>
      </c>
      <c r="AC31" s="142" t="str">
        <f t="shared" si="13"/>
        <v/>
      </c>
      <c r="AD31" s="142" t="str">
        <f t="shared" si="14"/>
        <v/>
      </c>
      <c r="AE31" s="143" t="str">
        <f t="shared" si="15"/>
        <v/>
      </c>
      <c r="AF31" s="63"/>
      <c r="AG31" s="142"/>
    </row>
    <row r="32" spans="1:33" x14ac:dyDescent="0.2">
      <c r="A32" s="70">
        <f>VLOOKUP(B32,Annuaire_roster!B:F,5,0)</f>
        <v>1154</v>
      </c>
      <c r="B32" s="165" t="s">
        <v>110</v>
      </c>
      <c r="C32" s="61" t="str">
        <f>IFERROR(IF(COUNTIFS(Connexions!$K:$K,$Q32,Connexions!$E:$E,VLOOKUP($B32,Mapping_Noms!$A:$B,2,0))=0,"",_xlfn.MINIFS(Connexions!$M:$M,Connexions!$K:$K,$Q32,Connexions!$E:$E,VLOOKUP($B32,Mapping_Noms!$A:$B,2,0))-TIME(1,0,0)),"")</f>
        <v/>
      </c>
      <c r="D32" s="61" t="str">
        <f t="array" ref="D32">IFERROR(INDEX(Planning2[],MATCH(1,(Planning2[Nom]=B32)*(Planning2[Date]=Q32),0),3),"-")</f>
        <v>OFF</v>
      </c>
      <c r="E32" s="38" t="str">
        <f>IFERROR(IF(COUNTIFS(Connexions!$K:$K,$Q32,Connexions!$E:$E,VLOOKUP($B32,Mapping_Noms!$A:$B,2,0))=0,"",_xlfn.MAXIFS(Connexions!$O:$O,Connexions!$K:$K,$Q32,Connexions!$E:$E,VLOOKUP($B32,Mapping_Noms!$A:$B,2,0))-TIME(1,0,0)),"")</f>
        <v/>
      </c>
      <c r="F32" s="38" t="str">
        <f t="array" ref="F32">IFERROR(INDEX(Planning2[],MATCH(1,(Planning2[Nom]=B32)*(Planning2[Date]=Q32),0),4),"-")</f>
        <v>OFF</v>
      </c>
      <c r="G32" s="88"/>
      <c r="H32" s="88"/>
      <c r="I32" s="235" t="str">
        <f t="shared" si="0"/>
        <v/>
      </c>
      <c r="J32" s="88"/>
      <c r="K32" s="89">
        <f t="shared" si="1"/>
        <v>0</v>
      </c>
      <c r="L32" s="88">
        <f t="shared" si="2"/>
        <v>0</v>
      </c>
      <c r="M32" s="62">
        <f t="shared" si="3"/>
        <v>0</v>
      </c>
      <c r="N32" s="102" t="str">
        <f t="shared" si="4"/>
        <v/>
      </c>
      <c r="O32" s="90">
        <f t="shared" si="5"/>
        <v>0</v>
      </c>
      <c r="P32" s="91" t="str">
        <f>IFERROR(VLOOKUP($B32,Annuaire_roster!$B:$G,MATCH(P$1,Annuaire_roster!$B$1:$G$1,0),0),"-")</f>
        <v>Google Leads</v>
      </c>
      <c r="Q32" s="100">
        <v>44761</v>
      </c>
      <c r="R32" s="10">
        <f t="shared" si="6"/>
        <v>0</v>
      </c>
      <c r="S32" s="10">
        <f t="shared" si="7"/>
        <v>0</v>
      </c>
      <c r="T32" s="16" t="str">
        <f t="shared" si="8"/>
        <v>Sem - 30</v>
      </c>
      <c r="U32" s="16" t="str">
        <f t="shared" si="9"/>
        <v>Juillet</v>
      </c>
      <c r="V32" s="11" t="str">
        <f t="shared" si="10"/>
        <v>2026</v>
      </c>
      <c r="W32" s="9"/>
      <c r="X32" s="5">
        <f t="shared" si="11"/>
        <v>0</v>
      </c>
      <c r="Y32" s="12" t="str">
        <f>IFERROR(VLOOKUP(B32,Annuaire_roster!B:E,4,0),"-")</f>
        <v>CHOUIFI Mustapha</v>
      </c>
      <c r="Z32" s="12" t="str">
        <f>IFERROR(VLOOKUP(B32,Annuaire_roster!B:F,3,0),"-")</f>
        <v>Google Leads</v>
      </c>
      <c r="AA32" s="12" t="str">
        <f>IFERROR(VLOOKUP(B32,Annuaire_roster!B:I,6,0),"-")</f>
        <v>Forfaitaire</v>
      </c>
      <c r="AB32" s="142" t="str">
        <f t="shared" si="12"/>
        <v/>
      </c>
      <c r="AC32" s="142" t="str">
        <f t="shared" si="13"/>
        <v/>
      </c>
      <c r="AD32" s="142" t="str">
        <f t="shared" si="14"/>
        <v/>
      </c>
      <c r="AE32" s="143" t="str">
        <f t="shared" si="15"/>
        <v/>
      </c>
      <c r="AF32" s="63"/>
      <c r="AG32" s="10"/>
    </row>
    <row r="33" spans="1:33" x14ac:dyDescent="0.2">
      <c r="A33" s="70">
        <f>VLOOKUP(B33,Annuaire_roster!B:F,5,0)</f>
        <v>1167</v>
      </c>
      <c r="B33" s="165" t="s">
        <v>126</v>
      </c>
      <c r="C33" s="61" t="str">
        <f>IFERROR(IF(COUNTIFS(Connexions!$K:$K,$Q33,Connexions!$E:$E,VLOOKUP($B33,Mapping_Noms!$A:$B,2,0))=0,"",_xlfn.MINIFS(Connexions!$M:$M,Connexions!$K:$K,$Q33,Connexions!$E:$E,VLOOKUP($B33,Mapping_Noms!$A:$B,2,0))-TIME(1,0,0)),"")</f>
        <v/>
      </c>
      <c r="D33" s="61" t="str">
        <f t="array" ref="D33">IFERROR(INDEX(Planning2[],MATCH(1,(Planning2[Nom]=B33)*(Planning2[Date]=Q33),0),3),"-")</f>
        <v>OFF</v>
      </c>
      <c r="E33" s="38" t="str">
        <f>IFERROR(IF(COUNTIFS(Connexions!$K:$K,$Q33,Connexions!$E:$E,VLOOKUP($B33,Mapping_Noms!$A:$B,2,0))=0,"",_xlfn.MAXIFS(Connexions!$O:$O,Connexions!$K:$K,$Q33,Connexions!$E:$E,VLOOKUP($B33,Mapping_Noms!$A:$B,2,0))-TIME(1,0,0)),"")</f>
        <v/>
      </c>
      <c r="F33" s="38" t="str">
        <f t="array" ref="F33">IFERROR(INDEX(Planning2[],MATCH(1,(Planning2[Nom]=B33)*(Planning2[Date]=Q33),0),4),"-")</f>
        <v>OFF</v>
      </c>
      <c r="G33" s="88"/>
      <c r="H33" s="88"/>
      <c r="I33" s="235" t="str">
        <f t="shared" si="0"/>
        <v/>
      </c>
      <c r="J33" s="88"/>
      <c r="K33" s="89">
        <f t="shared" si="1"/>
        <v>0</v>
      </c>
      <c r="L33" s="88">
        <f t="shared" si="2"/>
        <v>0</v>
      </c>
      <c r="M33" s="62">
        <f t="shared" si="3"/>
        <v>0</v>
      </c>
      <c r="N33" s="102" t="str">
        <f t="shared" si="4"/>
        <v/>
      </c>
      <c r="O33" s="90">
        <f t="shared" si="5"/>
        <v>0</v>
      </c>
      <c r="P33" s="91" t="str">
        <f>IFERROR(VLOOKUP($B33,Annuaire_roster!$B:$G,MATCH(P$1,Annuaire_roster!$B$1:$G$1,0),0),"-")</f>
        <v>Google Leads</v>
      </c>
      <c r="Q33" s="100">
        <v>44761</v>
      </c>
      <c r="R33" s="10">
        <f t="shared" si="6"/>
        <v>0</v>
      </c>
      <c r="S33" s="10">
        <f t="shared" si="7"/>
        <v>0</v>
      </c>
      <c r="T33" s="16" t="str">
        <f t="shared" si="8"/>
        <v>Sem - 30</v>
      </c>
      <c r="U33" s="16" t="str">
        <f t="shared" si="9"/>
        <v>Juillet</v>
      </c>
      <c r="V33" s="11" t="str">
        <f t="shared" si="10"/>
        <v>2026</v>
      </c>
      <c r="W33" s="9"/>
      <c r="X33" s="5">
        <f t="shared" si="11"/>
        <v>0</v>
      </c>
      <c r="Y33" s="12" t="str">
        <f>IFERROR(VLOOKUP(B33,Annuaire_roster!B:E,4,0),"-")</f>
        <v>OUAQERROUCH Nour-El Houda</v>
      </c>
      <c r="Z33" s="12" t="str">
        <f>IFERROR(VLOOKUP(B33,Annuaire_roster!B:F,3,0),"-")</f>
        <v>Google Leads</v>
      </c>
      <c r="AA33" s="12" t="str">
        <f>IFERROR(VLOOKUP(B33,Annuaire_roster!B:I,6,0),"-")</f>
        <v>Forfaitaire</v>
      </c>
      <c r="AB33" s="142" t="str">
        <f t="shared" si="12"/>
        <v/>
      </c>
      <c r="AC33" s="142" t="str">
        <f t="shared" si="13"/>
        <v/>
      </c>
      <c r="AD33" s="142" t="str">
        <f t="shared" si="14"/>
        <v/>
      </c>
      <c r="AE33" s="143" t="str">
        <f t="shared" si="15"/>
        <v/>
      </c>
      <c r="AF33" s="63"/>
      <c r="AG33" s="142"/>
    </row>
    <row r="34" spans="1:33" hidden="1" x14ac:dyDescent="0.2">
      <c r="A34" s="210">
        <f>VLOOKUP(B34,Annuaire_roster!B:F,5,0)</f>
        <v>1274</v>
      </c>
      <c r="B34" s="165" t="s">
        <v>141</v>
      </c>
      <c r="C34" s="61" t="str">
        <f>IFERROR(IF(COUNTIFS(Connexions!$K:$K,$Q34,Connexions!$E:$E,VLOOKUP($B34,Mapping_Noms!$A:$B,2,0))=0,"",_xlfn.MINIFS(Connexions!$M:$M,Connexions!$K:$K,$Q34,Connexions!$E:$E,VLOOKUP($B34,Mapping_Noms!$A:$B,2,0))-TIME(1,0,0)),"")</f>
        <v/>
      </c>
      <c r="D34" s="61">
        <f t="array" ref="D34">IFERROR(INDEX(Planning2[],MATCH(1,(Planning2[Nom]=B34)*(Planning2[Date]=Q34),0),3),"-")</f>
        <v>0.29166666666666669</v>
      </c>
      <c r="E34" s="38" t="str">
        <f>IFERROR(IF(COUNTIFS(Connexions!$K:$K,$Q34,Connexions!$E:$E,VLOOKUP($B34,Mapping_Noms!$A:$B,2,0))=0,"",_xlfn.MAXIFS(Connexions!$O:$O,Connexions!$K:$K,$Q34,Connexions!$E:$E,VLOOKUP($B34,Mapping_Noms!$A:$B,2,0))-TIME(1,0,0)),"")</f>
        <v/>
      </c>
      <c r="F34" s="38">
        <f t="array" ref="F34">IFERROR(INDEX(Planning2[],MATCH(1,(Planning2[Nom]=B34)*(Planning2[Date]=Q34),0),4),"-")</f>
        <v>0.70833333333333337</v>
      </c>
      <c r="G34" s="88"/>
      <c r="H34" s="88"/>
      <c r="I34" s="235" t="str">
        <f t="shared" ref="I34:I65" si="16">IF(IF(OR(C34="",D34="Congé",D34="OFF",D34="Congé spécial"),"",IF(D34&gt;F34,D34-C34,IF(C34-D34&lt;0,0,C34-D34)))&lt;0.00068287037037037,"",IF(OR(D34="Congé",D34="OFF",C34="",D34="Congé spécial"),"",IF(D34&gt;F34,D34-C34,IF(C34-D34&lt;0,0,C34-D34))))</f>
        <v/>
      </c>
      <c r="J34" s="88"/>
      <c r="K34" s="89">
        <f t="shared" ref="K34:K39" si="17">IF(SUM(H34:J34)&lt;0.00068287037037037,0,SUM(H34:J34))</f>
        <v>0</v>
      </c>
      <c r="L34" s="88">
        <f t="shared" ref="L34:L65" si="18">IF(OR(F34="Congé",F34="OFF",M34="Abs",F34="Congé sans solde",F34="Férié",F34="Congé spécial",D34="Congé spécial"),0,IF(F34-E34&lt;0,0,IF(F34-E34&lt;=0.00068287037037037,0,F34-E34)))</f>
        <v>0</v>
      </c>
      <c r="M34" s="62" t="str">
        <f t="shared" ref="M34:M65" si="19">IF(AND(O34&lt;&gt;0,C34=""),"Abs",0)</f>
        <v>Abs</v>
      </c>
      <c r="N34" s="211" t="str">
        <f t="shared" ref="N34:N65" si="20">IFERROR(IF(OR(D34="OFF",D34="Congé",M34="Abs",D34="Congé sans solde",D34="Férié"),"",IF(O34-K34-L34&gt;O34,O34,IF(O34-K34-L34&lt;0,"",O34-K34-L34))),"")</f>
        <v/>
      </c>
      <c r="O34" s="90">
        <f t="shared" ref="O34:O43" si="21">IF(AG34="2H Pause déjeuner",IF(F34-D34-0.0833333333333333&lt;0,F34-D34-0.0833333333333333+1,F34-D34-0.0833333333333333),IF(OR(AND(F34="OFF",D34="OFF"),AND(F34="Congé",D34="Congé"),AND(F34="Congé sans solde",D34="Congé sans solde"),AND(F34="Congé spécial",D34="Congé spécial"),AND(F34="Férié",D34="Férié"),AND(F34="OFF",D34="Congé"),AND(F34="OFF",D34="Congé sans solde"),AND(F34="OFF",D34="Congé spécial"),AND(F34="OFF",D34="Férié"),AND(F34="Congé",D34="OFF"),AND(F34="Congé",D34="Congé sans solde"),AND(F34="Congé",D34="Congé spécial"),AND(F34="Congé",D34="Férié"),AND(F34="Congé sans solde",D34="OFF"),AND(F34="Congé sans solde",D34="Congé"),AND(F34="Congé sans solde",D34="Congé spécial"),AND(F34="Congé sans solde",D34="Férié"),AND(F34="Congé spécial",D34="OFF"),AND(F34="Congé spécial",D34="Congé"),AND(F34="Congé spécial",D34="Congé sans solde"),AND(F34="Congé spécial",D34="Férié"),AND(F34="Férié",D34="OFF"),AND(F34="Férié",D34="Congé"),AND(F34="Férié",D34="Congé sans solde"),AND(F34="Férié",D34="Congé spécial")),0,IF(OR(F34="OFF",F34="Congé",F34="Congé spécial",F34="Congé sans solde",D34="OFF",D34="Congé",D34="Congé spécial",D34="Congé sans solde"),0.208333333333334,IF(AND(AG34="",F34-D34&lt;0),("24:00:00"-D34)+("00:00:00"+F34)-0.0416666666666667,IF(AND(OR(AG34="Allaitement",AG34="Sans déjeuner"),F34-D34&lt;0),("24:00:00"-D34)+("00:00:00"+F34),IF(AND(AG34="",F34-D34&gt;0.166666666666667),F34-D34-0.0416666666666667,IF(AND(OR(AG34="Allaitement",AG34="Sans déjeuner"),F34-D34&gt;0.166666666666667),F34-D34,F34-D34)))))))</f>
        <v>0.375</v>
      </c>
      <c r="P34" s="91" t="str">
        <f>IFERROR(VLOOKUP($B34,Annuaire_roster!$B:$G,MATCH(P$1,Annuaire_roster!$B$1:$G$1,0),0),"-")</f>
        <v>Google Leads</v>
      </c>
      <c r="Q34" s="212">
        <v>44762</v>
      </c>
      <c r="R34" s="142">
        <f t="shared" ref="R34:R65" si="22">IF(M34="Abs",O34,0)</f>
        <v>0.375</v>
      </c>
      <c r="S34" s="142">
        <f t="shared" ref="S34:S65" si="23">SUM(R34,L34,I34,J34,W34,H34)</f>
        <v>0.375</v>
      </c>
      <c r="T34" s="16" t="str">
        <f t="shared" ref="T34:T65" si="24">"Sem - "&amp;WEEKNUM(Q34,21)</f>
        <v>Sem - 30</v>
      </c>
      <c r="U34" s="16" t="str">
        <f t="shared" ref="U34:U65" si="25">PROPER(TEXT(Q34,"mmmm"))</f>
        <v>Juillet</v>
      </c>
      <c r="V34" s="213" t="str">
        <f t="shared" ref="V34:V65" si="26">+TEXT(Q34,"aaa")</f>
        <v>2026</v>
      </c>
      <c r="W34" s="211"/>
      <c r="X34" s="214">
        <f t="shared" ref="X34:X65" si="27">IFERROR(IF(M34="Abs",0,IF((D34-C34+E34-F34)&lt;0.000694444444444444,0,(D34-C34+E34-F34))),0)</f>
        <v>0</v>
      </c>
      <c r="Y34" s="215" t="str">
        <f>IFERROR(VLOOKUP(B34,Annuaire_roster!B:E,4,0),"-")</f>
        <v>OUAQERROUCH Nour-El Houda</v>
      </c>
      <c r="Z34" s="215" t="str">
        <f>IFERROR(VLOOKUP(B34,Annuaire_roster!B:F,3,0),"-")</f>
        <v>Google Leads</v>
      </c>
      <c r="AA34" s="215" t="str">
        <f>IFERROR(VLOOKUP(B34,Annuaire_roster!B:I,6,0),"-")</f>
        <v>Forfaitaire</v>
      </c>
      <c r="AB34" s="142" t="str">
        <f t="shared" ref="AB34:AB65" si="28">IF(AND(D34="Congé",F34="Congé"),0.333333333333333,IF(OR(AND(D34="Congé",F34&lt;&gt;"Congé"),(AND(F34="Congé",D34&lt;&gt;"Congé"))),0.166666666666667,""))</f>
        <v/>
      </c>
      <c r="AC34" s="142" t="str">
        <f t="shared" ref="AC34:AC65" si="29">IF(AND(D34="Congé sans solde",F34="Congé sans solde"),0.333333333333333,IF(OR(AND(D34="Congé sans solde",F34&lt;&gt;"Congé sans solde"),(AND(F34="Congé sans solde",D34&lt;&gt;"Congé sans solde"))),0.166666666666667,""))</f>
        <v/>
      </c>
      <c r="AD34" s="142" t="str">
        <f t="shared" ref="AD34:AD65" si="30">IF(AND(D34="Congé spécial",F34="Congé spécial"),0.333333333333333,IF(OR(AND(D34="Congé spécial",F34&lt;&gt;"Congé décès"),(AND(F34="Congé spécial",D34&lt;&gt;"Congé spécial"))),0.166666666666667,""))</f>
        <v/>
      </c>
      <c r="AE34" s="216" t="str">
        <f t="shared" ref="AE34:AE65" si="31">IF(AND(D34="Férié",F34="Férié"),0.333333333333333,IF(OR(AND(D34="Férié",F34&lt;&gt;"Férié"),(AND(F34="Férié",D34&lt;&gt;"Férié"))),0.166666666666667,""))</f>
        <v/>
      </c>
      <c r="AF34" s="217"/>
      <c r="AG34" s="142"/>
    </row>
    <row r="35" spans="1:33" hidden="1" x14ac:dyDescent="0.2">
      <c r="A35" s="210">
        <f>VLOOKUP(B35,Annuaire_roster!B:F,5,0)</f>
        <v>0</v>
      </c>
      <c r="B35" s="165" t="s">
        <v>209</v>
      </c>
      <c r="C35" s="61" t="str">
        <f>IFERROR(IF(COUNTIFS(Connexions!$K:$K,$Q35,Connexions!$E:$E,VLOOKUP($B35,Mapping_Noms!$A:$B,2,0))=0,"",_xlfn.MINIFS(Connexions!$M:$M,Connexions!$K:$K,$Q35,Connexions!$E:$E,VLOOKUP($B35,Mapping_Noms!$A:$B,2,0))-TIME(1,0,0)),"")</f>
        <v/>
      </c>
      <c r="D35" s="61">
        <f t="array" ref="D35">IFERROR(INDEX(Planning2[],MATCH(1,(Planning2[Nom]=B35)*(Planning2[Date]=Q35),0),3),"-")</f>
        <v>0.29166666666666669</v>
      </c>
      <c r="E35" s="38" t="str">
        <f>IFERROR(IF(COUNTIFS(Connexions!$K:$K,$Q35,Connexions!$E:$E,VLOOKUP($B35,Mapping_Noms!$A:$B,2,0))=0,"",_xlfn.MAXIFS(Connexions!$O:$O,Connexions!$K:$K,$Q35,Connexions!$E:$E,VLOOKUP($B35,Mapping_Noms!$A:$B,2,0))-TIME(1,0,0)),"")</f>
        <v/>
      </c>
      <c r="F35" s="38">
        <f t="array" ref="F35">IFERROR(INDEX(Planning2[],MATCH(1,(Planning2[Nom]=B35)*(Planning2[Date]=Q35),0),4),"-")</f>
        <v>0.70833333333333337</v>
      </c>
      <c r="G35" s="88"/>
      <c r="H35" s="88"/>
      <c r="I35" s="235" t="str">
        <f t="shared" si="16"/>
        <v/>
      </c>
      <c r="J35" s="88"/>
      <c r="K35" s="89">
        <f t="shared" si="17"/>
        <v>0</v>
      </c>
      <c r="L35" s="88">
        <f t="shared" si="18"/>
        <v>0</v>
      </c>
      <c r="M35" s="62" t="str">
        <f t="shared" si="19"/>
        <v>Abs</v>
      </c>
      <c r="N35" s="211" t="str">
        <f t="shared" si="20"/>
        <v/>
      </c>
      <c r="O35" s="90">
        <f t="shared" si="21"/>
        <v>0.375</v>
      </c>
      <c r="P35" s="91" t="str">
        <f>IFERROR(VLOOKUP($B35,Annuaire_roster!$B:$G,MATCH(P$1,Annuaire_roster!$B$1:$G$1,0),0),"-")</f>
        <v>Google Leads</v>
      </c>
      <c r="Q35" s="212">
        <v>44762</v>
      </c>
      <c r="R35" s="142">
        <f t="shared" si="22"/>
        <v>0.375</v>
      </c>
      <c r="S35" s="142">
        <f t="shared" si="23"/>
        <v>0.375</v>
      </c>
      <c r="T35" s="16" t="str">
        <f t="shared" si="24"/>
        <v>Sem - 30</v>
      </c>
      <c r="U35" s="16" t="str">
        <f t="shared" si="25"/>
        <v>Juillet</v>
      </c>
      <c r="V35" s="213" t="str">
        <f t="shared" si="26"/>
        <v>2026</v>
      </c>
      <c r="W35" s="211"/>
      <c r="X35" s="214">
        <f t="shared" si="27"/>
        <v>0</v>
      </c>
      <c r="Y35" s="215">
        <f>IFERROR(VLOOKUP(B35,Annuaire_roster!B:E,4,0),"-")</f>
        <v>0</v>
      </c>
      <c r="Z35" s="215" t="str">
        <f>IFERROR(VLOOKUP(B35,Annuaire_roster!B:F,3,0),"-")</f>
        <v>Google Leads</v>
      </c>
      <c r="AA35" s="215">
        <f>IFERROR(VLOOKUP(B35,Annuaire_roster!B:I,6,0),"-")</f>
        <v>0</v>
      </c>
      <c r="AB35" s="142" t="str">
        <f t="shared" si="28"/>
        <v/>
      </c>
      <c r="AC35" s="142" t="str">
        <f t="shared" si="29"/>
        <v/>
      </c>
      <c r="AD35" s="142" t="str">
        <f t="shared" si="30"/>
        <v/>
      </c>
      <c r="AE35" s="216" t="str">
        <f t="shared" si="31"/>
        <v/>
      </c>
      <c r="AF35" s="217"/>
      <c r="AG35" s="142"/>
    </row>
    <row r="36" spans="1:33" hidden="1" x14ac:dyDescent="0.2">
      <c r="A36" s="70">
        <f>VLOOKUP(B36,Annuaire_roster!B:F,5,0)</f>
        <v>1132</v>
      </c>
      <c r="B36" s="165" t="s">
        <v>88</v>
      </c>
      <c r="C36" s="61" t="str">
        <f>IFERROR(IF(COUNTIFS(Connexions!$K:$K,$Q36,Connexions!$E:$E,VLOOKUP($B36,Mapping_Noms!$A:$B,2,0))=0,"",_xlfn.MINIFS(Connexions!$M:$M,Connexions!$K:$K,$Q36,Connexions!$E:$E,VLOOKUP($B36,Mapping_Noms!$A:$B,2,0))-TIME(1,0,0)),"")</f>
        <v/>
      </c>
      <c r="D36" s="61">
        <f t="array" ref="D36">IFERROR(INDEX(Planning2[],MATCH(1,(Planning2[Nom]=B36)*(Planning2[Date]=Q36),0),3),"-")</f>
        <v>0.29166666666666669</v>
      </c>
      <c r="E36" s="38" t="str">
        <f>IFERROR(IF(COUNTIFS(Connexions!$K:$K,$Q36,Connexions!$E:$E,VLOOKUP($B36,Mapping_Noms!$A:$B,2,0))=0,"",_xlfn.MAXIFS(Connexions!$O:$O,Connexions!$K:$K,$Q36,Connexions!$E:$E,VLOOKUP($B36,Mapping_Noms!$A:$B,2,0))-TIME(1,0,0)),"")</f>
        <v/>
      </c>
      <c r="F36" s="38">
        <f t="array" ref="F36">IFERROR(INDEX(Planning2[],MATCH(1,(Planning2[Nom]=B36)*(Planning2[Date]=Q36),0),4),"-")</f>
        <v>0.70833333333333337</v>
      </c>
      <c r="G36" s="88"/>
      <c r="H36" s="88"/>
      <c r="I36" s="235" t="str">
        <f t="shared" si="16"/>
        <v/>
      </c>
      <c r="J36" s="88"/>
      <c r="K36" s="89">
        <f t="shared" si="17"/>
        <v>0</v>
      </c>
      <c r="L36" s="88">
        <f t="shared" si="18"/>
        <v>0</v>
      </c>
      <c r="M36" s="62" t="str">
        <f t="shared" si="19"/>
        <v>Abs</v>
      </c>
      <c r="N36" s="102" t="str">
        <f t="shared" si="20"/>
        <v/>
      </c>
      <c r="O36" s="90">
        <f t="shared" si="21"/>
        <v>0.375</v>
      </c>
      <c r="P36" s="91" t="str">
        <f>IFERROR(VLOOKUP($B36,Annuaire_roster!$B:$G,MATCH(P$1,Annuaire_roster!$B$1:$G$1,0),0),"-")</f>
        <v>Google Leads</v>
      </c>
      <c r="Q36" s="100">
        <v>44762</v>
      </c>
      <c r="R36" s="10">
        <f t="shared" si="22"/>
        <v>0.375</v>
      </c>
      <c r="S36" s="10">
        <f t="shared" si="23"/>
        <v>0.375</v>
      </c>
      <c r="T36" s="16" t="str">
        <f t="shared" si="24"/>
        <v>Sem - 30</v>
      </c>
      <c r="U36" s="16" t="str">
        <f t="shared" si="25"/>
        <v>Juillet</v>
      </c>
      <c r="V36" s="11" t="str">
        <f t="shared" si="26"/>
        <v>2026</v>
      </c>
      <c r="W36" s="9"/>
      <c r="X36" s="5">
        <f t="shared" si="27"/>
        <v>0</v>
      </c>
      <c r="Y36" s="12" t="str">
        <f>IFERROR(VLOOKUP(B36,Annuaire_roster!B:E,4,0),"-")</f>
        <v>CHOUIFI Mustapha</v>
      </c>
      <c r="Z36" s="12" t="str">
        <f>IFERROR(VLOOKUP(B36,Annuaire_roster!B:F,3,0),"-")</f>
        <v>Google Leads</v>
      </c>
      <c r="AA36" s="12" t="str">
        <f>IFERROR(VLOOKUP(B36,Annuaire_roster!B:I,6,0),"-")</f>
        <v>Forfaitaire</v>
      </c>
      <c r="AB36" s="142" t="str">
        <f t="shared" si="28"/>
        <v/>
      </c>
      <c r="AC36" s="142" t="str">
        <f t="shared" si="29"/>
        <v/>
      </c>
      <c r="AD36" s="142" t="str">
        <f t="shared" si="30"/>
        <v/>
      </c>
      <c r="AE36" s="143" t="str">
        <f t="shared" si="31"/>
        <v/>
      </c>
      <c r="AF36" s="63"/>
      <c r="AG36" s="10"/>
    </row>
    <row r="37" spans="1:33" hidden="1" x14ac:dyDescent="0.2">
      <c r="A37" s="210">
        <f>VLOOKUP(B37,Annuaire_roster!B:F,5,0)</f>
        <v>742</v>
      </c>
      <c r="B37" s="165" t="s">
        <v>76</v>
      </c>
      <c r="C37" s="61" t="str">
        <f>IFERROR(IF(COUNTIFS(Connexions!$K:$K,$Q37,Connexions!$E:$E,VLOOKUP($B37,Mapping_Noms!$A:$B,2,0))=0,"",_xlfn.MINIFS(Connexions!$M:$M,Connexions!$K:$K,$Q37,Connexions!$E:$E,VLOOKUP($B37,Mapping_Noms!$A:$B,2,0))-TIME(1,0,0)),"")</f>
        <v/>
      </c>
      <c r="D37" s="61">
        <f t="array" ref="D37">IFERROR(INDEX(Planning2[],MATCH(1,(Planning2[Nom]=B37)*(Planning2[Date]=Q37),0),3),"-")</f>
        <v>0.29166666666666669</v>
      </c>
      <c r="E37" s="38" t="str">
        <f>IFERROR(IF(COUNTIFS(Connexions!$K:$K,$Q37,Connexions!$E:$E,VLOOKUP($B37,Mapping_Noms!$A:$B,2,0))=0,"",_xlfn.MAXIFS(Connexions!$O:$O,Connexions!$K:$K,$Q37,Connexions!$E:$E,VLOOKUP($B37,Mapping_Noms!$A:$B,2,0))-TIME(1,0,0)),"")</f>
        <v/>
      </c>
      <c r="F37" s="38">
        <f t="array" ref="F37">IFERROR(INDEX(Planning2[],MATCH(1,(Planning2[Nom]=B37)*(Planning2[Date]=Q37),0),4),"-")</f>
        <v>0.70833333333333337</v>
      </c>
      <c r="G37" s="88"/>
      <c r="H37" s="88"/>
      <c r="I37" s="235" t="str">
        <f t="shared" si="16"/>
        <v/>
      </c>
      <c r="J37" s="88"/>
      <c r="K37" s="89">
        <f t="shared" si="17"/>
        <v>0</v>
      </c>
      <c r="L37" s="88">
        <f t="shared" si="18"/>
        <v>0</v>
      </c>
      <c r="M37" s="62" t="str">
        <f t="shared" si="19"/>
        <v>Abs</v>
      </c>
      <c r="N37" s="211" t="str">
        <f t="shared" si="20"/>
        <v/>
      </c>
      <c r="O37" s="90">
        <f t="shared" si="21"/>
        <v>0.375</v>
      </c>
      <c r="P37" s="91" t="str">
        <f>IFERROR(VLOOKUP($B37,Annuaire_roster!$B:$G,MATCH(P$1,Annuaire_roster!$B$1:$G$1,0),0),"-")</f>
        <v>Google Leads</v>
      </c>
      <c r="Q37" s="212">
        <v>44762</v>
      </c>
      <c r="R37" s="142">
        <f t="shared" si="22"/>
        <v>0.375</v>
      </c>
      <c r="S37" s="142">
        <f t="shared" si="23"/>
        <v>0.375</v>
      </c>
      <c r="T37" s="16" t="str">
        <f t="shared" si="24"/>
        <v>Sem - 30</v>
      </c>
      <c r="U37" s="16" t="str">
        <f t="shared" si="25"/>
        <v>Juillet</v>
      </c>
      <c r="V37" s="213" t="str">
        <f t="shared" si="26"/>
        <v>2026</v>
      </c>
      <c r="W37" s="211"/>
      <c r="X37" s="214">
        <f t="shared" si="27"/>
        <v>0</v>
      </c>
      <c r="Y37" s="215" t="str">
        <f>IFERROR(VLOOKUP(B37,Annuaire_roster!B:E,4,0),"-")</f>
        <v>OUAQERROUCH Nour-El Houda</v>
      </c>
      <c r="Z37" s="215" t="str">
        <f>IFERROR(VLOOKUP(B37,Annuaire_roster!B:F,3,0),"-")</f>
        <v>Google Leads</v>
      </c>
      <c r="AA37" s="215" t="str">
        <f>IFERROR(VLOOKUP(B37,Annuaire_roster!B:I,6,0),"-")</f>
        <v>Forfaitaire</v>
      </c>
      <c r="AB37" s="142" t="str">
        <f t="shared" si="28"/>
        <v/>
      </c>
      <c r="AC37" s="142" t="str">
        <f t="shared" si="29"/>
        <v/>
      </c>
      <c r="AD37" s="142" t="str">
        <f t="shared" si="30"/>
        <v/>
      </c>
      <c r="AE37" s="216" t="str">
        <f t="shared" si="31"/>
        <v/>
      </c>
      <c r="AF37" s="217"/>
      <c r="AG37" s="142"/>
    </row>
    <row r="38" spans="1:33" hidden="1" x14ac:dyDescent="0.2">
      <c r="A38" s="210">
        <f>VLOOKUP(B38,Annuaire_roster!B:F,5,0)</f>
        <v>0</v>
      </c>
      <c r="B38" s="165" t="s">
        <v>196</v>
      </c>
      <c r="C38" s="61" t="str">
        <f>IFERROR(IF(COUNTIFS(Connexions!$K:$K,$Q38,Connexions!$E:$E,VLOOKUP($B38,Mapping_Noms!$A:$B,2,0))=0,"",_xlfn.MINIFS(Connexions!$M:$M,Connexions!$K:$K,$Q38,Connexions!$E:$E,VLOOKUP($B38,Mapping_Noms!$A:$B,2,0))-TIME(1,0,0)),"")</f>
        <v/>
      </c>
      <c r="D38" s="61">
        <f t="array" ref="D38">IFERROR(INDEX(Planning2[],MATCH(1,(Planning2[Nom]=B38)*(Planning2[Date]=Q38),0),3),"-")</f>
        <v>0.29166666666666669</v>
      </c>
      <c r="E38" s="38" t="str">
        <f>IFERROR(IF(COUNTIFS(Connexions!$K:$K,$Q38,Connexions!$E:$E,VLOOKUP($B38,Mapping_Noms!$A:$B,2,0))=0,"",_xlfn.MAXIFS(Connexions!$O:$O,Connexions!$K:$K,$Q38,Connexions!$E:$E,VLOOKUP($B38,Mapping_Noms!$A:$B,2,0))-TIME(1,0,0)),"")</f>
        <v/>
      </c>
      <c r="F38" s="38">
        <f t="array" ref="F38">IFERROR(INDEX(Planning2[],MATCH(1,(Planning2[Nom]=B38)*(Planning2[Date]=Q38),0),4),"-")</f>
        <v>0.70833333333333337</v>
      </c>
      <c r="G38" s="88"/>
      <c r="H38" s="88"/>
      <c r="I38" s="235" t="str">
        <f t="shared" si="16"/>
        <v/>
      </c>
      <c r="J38" s="88"/>
      <c r="K38" s="89">
        <f t="shared" si="17"/>
        <v>0</v>
      </c>
      <c r="L38" s="88">
        <f t="shared" si="18"/>
        <v>0</v>
      </c>
      <c r="M38" s="62" t="str">
        <f t="shared" si="19"/>
        <v>Abs</v>
      </c>
      <c r="N38" s="211" t="str">
        <f t="shared" si="20"/>
        <v/>
      </c>
      <c r="O38" s="90">
        <f t="shared" si="21"/>
        <v>0.375</v>
      </c>
      <c r="P38" s="91" t="str">
        <f>IFERROR(VLOOKUP($B38,Annuaire_roster!$B:$G,MATCH(P$1,Annuaire_roster!$B$1:$G$1,0),0),"-")</f>
        <v>Google Leads</v>
      </c>
      <c r="Q38" s="212">
        <v>44762</v>
      </c>
      <c r="R38" s="142">
        <f t="shared" si="22"/>
        <v>0.375</v>
      </c>
      <c r="S38" s="142">
        <f t="shared" si="23"/>
        <v>0.375</v>
      </c>
      <c r="T38" s="16" t="str">
        <f t="shared" si="24"/>
        <v>Sem - 30</v>
      </c>
      <c r="U38" s="16" t="str">
        <f t="shared" si="25"/>
        <v>Juillet</v>
      </c>
      <c r="V38" s="213" t="str">
        <f t="shared" si="26"/>
        <v>2026</v>
      </c>
      <c r="W38" s="211"/>
      <c r="X38" s="214">
        <f t="shared" si="27"/>
        <v>0</v>
      </c>
      <c r="Y38" s="215">
        <f>IFERROR(VLOOKUP(B38,Annuaire_roster!B:E,4,0),"-")</f>
        <v>0</v>
      </c>
      <c r="Z38" s="215" t="str">
        <f>IFERROR(VLOOKUP(B38,Annuaire_roster!B:F,3,0),"-")</f>
        <v>Google Leads</v>
      </c>
      <c r="AA38" s="215">
        <f>IFERROR(VLOOKUP(B38,Annuaire_roster!B:I,6,0),"-")</f>
        <v>0</v>
      </c>
      <c r="AB38" s="142" t="str">
        <f t="shared" si="28"/>
        <v/>
      </c>
      <c r="AC38" s="142" t="str">
        <f t="shared" si="29"/>
        <v/>
      </c>
      <c r="AD38" s="142" t="str">
        <f t="shared" si="30"/>
        <v/>
      </c>
      <c r="AE38" s="216" t="str">
        <f t="shared" si="31"/>
        <v/>
      </c>
      <c r="AF38" s="217"/>
      <c r="AG38" s="142"/>
    </row>
    <row r="39" spans="1:33" hidden="1" x14ac:dyDescent="0.2">
      <c r="A39" s="70">
        <f>VLOOKUP(B39,Annuaire_roster!B:F,5,0)</f>
        <v>669</v>
      </c>
      <c r="B39" s="165" t="s">
        <v>45</v>
      </c>
      <c r="C39" s="61" t="str">
        <f>IFERROR(IF(COUNTIFS(Connexions!$K:$K,$Q39,Connexions!$E:$E,VLOOKUP($B39,Mapping_Noms!$A:$B,2,0))=0,"",_xlfn.MINIFS(Connexions!$M:$M,Connexions!$K:$K,$Q39,Connexions!$E:$E,VLOOKUP($B39,Mapping_Noms!$A:$B,2,0))-TIME(1,0,0)),"")</f>
        <v/>
      </c>
      <c r="D39" s="61">
        <f t="array" ref="D39">IFERROR(INDEX(Planning2[],MATCH(1,(Planning2[Nom]=B39)*(Planning2[Date]=Q39),0),3),"-")</f>
        <v>0.29166666666666669</v>
      </c>
      <c r="E39" s="38" t="str">
        <f>IFERROR(IF(COUNTIFS(Connexions!$K:$K,$Q39,Connexions!$E:$E,VLOOKUP($B39,Mapping_Noms!$A:$B,2,0))=0,"",_xlfn.MAXIFS(Connexions!$O:$O,Connexions!$K:$K,$Q39,Connexions!$E:$E,VLOOKUP($B39,Mapping_Noms!$A:$B,2,0))-TIME(1,0,0)),"")</f>
        <v/>
      </c>
      <c r="F39" s="38">
        <f t="array" ref="F39">IFERROR(INDEX(Planning2[],MATCH(1,(Planning2[Nom]=B39)*(Planning2[Date]=Q39),0),4),"-")</f>
        <v>0.70833333333333337</v>
      </c>
      <c r="G39" s="88"/>
      <c r="H39" s="88"/>
      <c r="I39" s="235" t="str">
        <f t="shared" si="16"/>
        <v/>
      </c>
      <c r="J39" s="88"/>
      <c r="K39" s="89">
        <f t="shared" si="17"/>
        <v>0</v>
      </c>
      <c r="L39" s="88">
        <f t="shared" si="18"/>
        <v>0</v>
      </c>
      <c r="M39" s="62" t="str">
        <f t="shared" si="19"/>
        <v>Abs</v>
      </c>
      <c r="N39" s="102" t="str">
        <f t="shared" si="20"/>
        <v/>
      </c>
      <c r="O39" s="90">
        <f t="shared" si="21"/>
        <v>0.375</v>
      </c>
      <c r="P39" s="91" t="str">
        <f>IFERROR(VLOOKUP($B39,Annuaire_roster!$B:$G,MATCH(P$1,Annuaire_roster!$B$1:$G$1,0),0),"-")</f>
        <v>Google Leads</v>
      </c>
      <c r="Q39" s="100">
        <v>44762</v>
      </c>
      <c r="R39" s="10">
        <f t="shared" si="22"/>
        <v>0.375</v>
      </c>
      <c r="S39" s="10">
        <f t="shared" si="23"/>
        <v>0.375</v>
      </c>
      <c r="T39" s="16" t="str">
        <f t="shared" si="24"/>
        <v>Sem - 30</v>
      </c>
      <c r="U39" s="16" t="str">
        <f t="shared" si="25"/>
        <v>Juillet</v>
      </c>
      <c r="V39" s="11" t="str">
        <f t="shared" si="26"/>
        <v>2026</v>
      </c>
      <c r="W39" s="9"/>
      <c r="X39" s="5">
        <f t="shared" si="27"/>
        <v>0</v>
      </c>
      <c r="Y39" s="12" t="str">
        <f>IFERROR(VLOOKUP(B39,Annuaire_roster!B:E,4,0),"-")</f>
        <v>CHOUIFI Mustapha</v>
      </c>
      <c r="Z39" s="12" t="str">
        <f>IFERROR(VLOOKUP(B39,Annuaire_roster!B:F,3,0),"-")</f>
        <v>Google Leads</v>
      </c>
      <c r="AA39" s="12" t="str">
        <f>IFERROR(VLOOKUP(B39,Annuaire_roster!B:I,6,0),"-")</f>
        <v>Forfaitaire</v>
      </c>
      <c r="AB39" s="142" t="str">
        <f t="shared" si="28"/>
        <v/>
      </c>
      <c r="AC39" s="142" t="str">
        <f t="shared" si="29"/>
        <v/>
      </c>
      <c r="AD39" s="142" t="str">
        <f t="shared" si="30"/>
        <v/>
      </c>
      <c r="AE39" s="143" t="str">
        <f t="shared" si="31"/>
        <v/>
      </c>
      <c r="AF39" s="63"/>
      <c r="AG39" s="10"/>
    </row>
    <row r="40" spans="1:33" hidden="1" x14ac:dyDescent="0.2">
      <c r="A40" s="210">
        <f>VLOOKUP(B40,Annuaire_roster!B:F,5,0)</f>
        <v>0</v>
      </c>
      <c r="B40" s="165" t="s">
        <v>197</v>
      </c>
      <c r="C40" s="61" t="str">
        <f>IFERROR(IF(COUNTIFS(Connexions!$K:$K,$Q40,Connexions!$E:$E,VLOOKUP($B40,Mapping_Noms!$A:$B,2,0))=0,"",_xlfn.MINIFS(Connexions!$M:$M,Connexions!$K:$K,$Q40,Connexions!$E:$E,VLOOKUP($B40,Mapping_Noms!$A:$B,2,0))-TIME(1,0,0)),"")</f>
        <v/>
      </c>
      <c r="D40" s="61">
        <f t="array" ref="D40">IFERROR(INDEX(Planning2[],MATCH(1,(Planning2[Nom]=B40)*(Planning2[Date]=Q40),0),3),"-")</f>
        <v>0.29166666666666669</v>
      </c>
      <c r="E40" s="38" t="str">
        <f>IFERROR(IF(COUNTIFS(Connexions!$K:$K,$Q40,Connexions!$E:$E,VLOOKUP($B40,Mapping_Noms!$A:$B,2,0))=0,"",_xlfn.MAXIFS(Connexions!$O:$O,Connexions!$K:$K,$Q40,Connexions!$E:$E,VLOOKUP($B40,Mapping_Noms!$A:$B,2,0))-TIME(1,0,0)),"")</f>
        <v/>
      </c>
      <c r="F40" s="38">
        <f t="array" ref="F40">IFERROR(INDEX(Planning2[],MATCH(1,(Planning2[Nom]=B40)*(Planning2[Date]=Q40),0),4),"-")</f>
        <v>0.70833333333333337</v>
      </c>
      <c r="G40" s="88"/>
      <c r="H40" s="88"/>
      <c r="I40" s="235" t="str">
        <f t="shared" si="16"/>
        <v/>
      </c>
      <c r="J40" s="88"/>
      <c r="K40" s="89"/>
      <c r="L40" s="88">
        <f t="shared" si="18"/>
        <v>0</v>
      </c>
      <c r="M40" s="62" t="str">
        <f t="shared" si="19"/>
        <v>Abs</v>
      </c>
      <c r="N40" s="211" t="str">
        <f t="shared" si="20"/>
        <v/>
      </c>
      <c r="O40" s="90">
        <f t="shared" si="21"/>
        <v>0.375</v>
      </c>
      <c r="P40" s="91" t="str">
        <f>IFERROR(VLOOKUP($B40,Annuaire_roster!$B:$G,MATCH(P$1,Annuaire_roster!$B$1:$G$1,0),0),"-")</f>
        <v>Google Leads</v>
      </c>
      <c r="Q40" s="212">
        <v>44762</v>
      </c>
      <c r="R40" s="142">
        <f t="shared" si="22"/>
        <v>0.375</v>
      </c>
      <c r="S40" s="142">
        <f t="shared" si="23"/>
        <v>0.375</v>
      </c>
      <c r="T40" s="16" t="str">
        <f t="shared" si="24"/>
        <v>Sem - 30</v>
      </c>
      <c r="U40" s="16" t="str">
        <f t="shared" si="25"/>
        <v>Juillet</v>
      </c>
      <c r="V40" s="213" t="str">
        <f t="shared" si="26"/>
        <v>2026</v>
      </c>
      <c r="W40" s="211"/>
      <c r="X40" s="214">
        <f t="shared" si="27"/>
        <v>0</v>
      </c>
      <c r="Y40" s="215">
        <f>IFERROR(VLOOKUP(B40,Annuaire_roster!B:E,4,0),"-")</f>
        <v>0</v>
      </c>
      <c r="Z40" s="215" t="str">
        <f>IFERROR(VLOOKUP(B40,Annuaire_roster!B:F,3,0),"-")</f>
        <v>Google Leads</v>
      </c>
      <c r="AA40" s="215">
        <f>IFERROR(VLOOKUP(B40,Annuaire_roster!B:I,6,0),"-")</f>
        <v>0</v>
      </c>
      <c r="AB40" s="142" t="str">
        <f t="shared" si="28"/>
        <v/>
      </c>
      <c r="AC40" s="142" t="str">
        <f t="shared" si="29"/>
        <v/>
      </c>
      <c r="AD40" s="142" t="str">
        <f t="shared" si="30"/>
        <v/>
      </c>
      <c r="AE40" s="216" t="str">
        <f t="shared" si="31"/>
        <v/>
      </c>
      <c r="AF40" s="63"/>
      <c r="AG40" s="142"/>
    </row>
    <row r="41" spans="1:33" hidden="1" x14ac:dyDescent="0.2">
      <c r="A41" s="70">
        <f>VLOOKUP(B41,Annuaire_roster!B:F,5,0)</f>
        <v>1007</v>
      </c>
      <c r="B41" s="165" t="s">
        <v>89</v>
      </c>
      <c r="C41" s="61" t="str">
        <f>IFERROR(IF(COUNTIFS(Connexions!$K:$K,$Q41,Connexions!$E:$E,VLOOKUP($B41,Mapping_Noms!$A:$B,2,0))=0,"",_xlfn.MINIFS(Connexions!$M:$M,Connexions!$K:$K,$Q41,Connexions!$E:$E,VLOOKUP($B41,Mapping_Noms!$A:$B,2,0))-TIME(1,0,0)),"")</f>
        <v/>
      </c>
      <c r="D41" s="61">
        <f t="array" ref="D41">IFERROR(INDEX(Planning2[],MATCH(1,(Planning2[Nom]=B41)*(Planning2[Date]=Q41),0),3),"-")</f>
        <v>0.29166666666666669</v>
      </c>
      <c r="E41" s="38" t="str">
        <f>IFERROR(IF(COUNTIFS(Connexions!$K:$K,$Q41,Connexions!$E:$E,VLOOKUP($B41,Mapping_Noms!$A:$B,2,0))=0,"",_xlfn.MAXIFS(Connexions!$O:$O,Connexions!$K:$K,$Q41,Connexions!$E:$E,VLOOKUP($B41,Mapping_Noms!$A:$B,2,0))-TIME(1,0,0)),"")</f>
        <v/>
      </c>
      <c r="F41" s="38">
        <f t="array" ref="F41">IFERROR(INDEX(Planning2[],MATCH(1,(Planning2[Nom]=B41)*(Planning2[Date]=Q41),0),4),"-")</f>
        <v>0.70833333333333337</v>
      </c>
      <c r="G41" s="88"/>
      <c r="H41" s="88"/>
      <c r="I41" s="235" t="str">
        <f t="shared" si="16"/>
        <v/>
      </c>
      <c r="J41" s="88"/>
      <c r="K41" s="89">
        <f t="shared" ref="K41:K65" si="32">IF(SUM(H41:J41)&lt;0.00068287037037037,0,SUM(H41:J41))</f>
        <v>0</v>
      </c>
      <c r="L41" s="88">
        <f t="shared" si="18"/>
        <v>0</v>
      </c>
      <c r="M41" s="62" t="str">
        <f t="shared" si="19"/>
        <v>Abs</v>
      </c>
      <c r="N41" s="102" t="str">
        <f t="shared" si="20"/>
        <v/>
      </c>
      <c r="O41" s="90">
        <f t="shared" si="21"/>
        <v>0.375</v>
      </c>
      <c r="P41" s="91" t="str">
        <f>IFERROR(VLOOKUP($B41,Annuaire_roster!$B:$G,MATCH(P$1,Annuaire_roster!$B$1:$G$1,0),0),"-")</f>
        <v>Google Leads</v>
      </c>
      <c r="Q41" s="100">
        <v>44762</v>
      </c>
      <c r="R41" s="10">
        <f t="shared" si="22"/>
        <v>0.375</v>
      </c>
      <c r="S41" s="10">
        <f t="shared" si="23"/>
        <v>0.375</v>
      </c>
      <c r="T41" s="16" t="str">
        <f t="shared" si="24"/>
        <v>Sem - 30</v>
      </c>
      <c r="U41" s="16" t="str">
        <f t="shared" si="25"/>
        <v>Juillet</v>
      </c>
      <c r="V41" s="11" t="str">
        <f t="shared" si="26"/>
        <v>2026</v>
      </c>
      <c r="W41" s="9"/>
      <c r="X41" s="5">
        <f t="shared" si="27"/>
        <v>0</v>
      </c>
      <c r="Y41" s="12" t="str">
        <f>IFERROR(VLOOKUP(B41,Annuaire_roster!B:E,4,0),"-")</f>
        <v>OUAQERROUCH Nour-El Houda</v>
      </c>
      <c r="Z41" s="12" t="str">
        <f>IFERROR(VLOOKUP(B41,Annuaire_roster!B:F,3,0),"-")</f>
        <v>Google Leads</v>
      </c>
      <c r="AA41" s="12" t="str">
        <f>IFERROR(VLOOKUP(B41,Annuaire_roster!B:I,6,0),"-")</f>
        <v>Forfaitaire</v>
      </c>
      <c r="AB41" s="142" t="str">
        <f t="shared" si="28"/>
        <v/>
      </c>
      <c r="AC41" s="142" t="str">
        <f t="shared" si="29"/>
        <v/>
      </c>
      <c r="AD41" s="142" t="str">
        <f t="shared" si="30"/>
        <v/>
      </c>
      <c r="AE41" s="143" t="str">
        <f t="shared" si="31"/>
        <v/>
      </c>
      <c r="AF41" s="63"/>
      <c r="AG41" s="10"/>
    </row>
    <row r="42" spans="1:33" hidden="1" x14ac:dyDescent="0.2">
      <c r="A42" s="210">
        <f>VLOOKUP(B42,Annuaire_roster!B:F,5,0)</f>
        <v>1145</v>
      </c>
      <c r="B42" s="165" t="s">
        <v>102</v>
      </c>
      <c r="C42" s="61" t="str">
        <f>IFERROR(IF(COUNTIFS(Connexions!$K:$K,$Q42,Connexions!$E:$E,VLOOKUP($B42,Mapping_Noms!$A:$B,2,0))=0,"",_xlfn.MINIFS(Connexions!$M:$M,Connexions!$K:$K,$Q42,Connexions!$E:$E,VLOOKUP($B42,Mapping_Noms!$A:$B,2,0))-TIME(1,0,0)),"")</f>
        <v/>
      </c>
      <c r="D42" s="61">
        <f t="array" ref="D42">IFERROR(INDEX(Planning2[],MATCH(1,(Planning2[Nom]=B42)*(Planning2[Date]=Q42),0),3),"-")</f>
        <v>0.29166666666666669</v>
      </c>
      <c r="E42" s="38" t="str">
        <f>IFERROR(IF(COUNTIFS(Connexions!$K:$K,$Q42,Connexions!$E:$E,VLOOKUP($B42,Mapping_Noms!$A:$B,2,0))=0,"",_xlfn.MAXIFS(Connexions!$O:$O,Connexions!$K:$K,$Q42,Connexions!$E:$E,VLOOKUP($B42,Mapping_Noms!$A:$B,2,0))-TIME(1,0,0)),"")</f>
        <v/>
      </c>
      <c r="F42" s="38">
        <f t="array" ref="F42">IFERROR(INDEX(Planning2[],MATCH(1,(Planning2[Nom]=B42)*(Planning2[Date]=Q42),0),4),"-")</f>
        <v>0.70833333333333337</v>
      </c>
      <c r="G42" s="88"/>
      <c r="H42" s="88"/>
      <c r="I42" s="235" t="str">
        <f t="shared" si="16"/>
        <v/>
      </c>
      <c r="J42" s="88"/>
      <c r="K42" s="89">
        <f t="shared" si="32"/>
        <v>0</v>
      </c>
      <c r="L42" s="88">
        <f t="shared" si="18"/>
        <v>0</v>
      </c>
      <c r="M42" s="62" t="str">
        <f t="shared" si="19"/>
        <v>Abs</v>
      </c>
      <c r="N42" s="211" t="str">
        <f t="shared" si="20"/>
        <v/>
      </c>
      <c r="O42" s="90">
        <f t="shared" si="21"/>
        <v>0.375</v>
      </c>
      <c r="P42" s="91" t="str">
        <f>IFERROR(VLOOKUP($B42,Annuaire_roster!$B:$G,MATCH(P$1,Annuaire_roster!$B$1:$G$1,0),0),"-")</f>
        <v>Google Leads</v>
      </c>
      <c r="Q42" s="212">
        <v>44762</v>
      </c>
      <c r="R42" s="142">
        <f t="shared" si="22"/>
        <v>0.375</v>
      </c>
      <c r="S42" s="142">
        <f t="shared" si="23"/>
        <v>0.375</v>
      </c>
      <c r="T42" s="16" t="str">
        <f t="shared" si="24"/>
        <v>Sem - 30</v>
      </c>
      <c r="U42" s="16" t="str">
        <f t="shared" si="25"/>
        <v>Juillet</v>
      </c>
      <c r="V42" s="213" t="str">
        <f t="shared" si="26"/>
        <v>2026</v>
      </c>
      <c r="W42" s="211"/>
      <c r="X42" s="214">
        <f t="shared" si="27"/>
        <v>0</v>
      </c>
      <c r="Y42" s="215" t="str">
        <f>IFERROR(VLOOKUP(B42,Annuaire_roster!B:E,4,0),"-")</f>
        <v>CHOUIFI Mustapha</v>
      </c>
      <c r="Z42" s="215" t="str">
        <f>IFERROR(VLOOKUP(B42,Annuaire_roster!B:F,3,0),"-")</f>
        <v>Google Leads</v>
      </c>
      <c r="AA42" s="215" t="str">
        <f>IFERROR(VLOOKUP(B42,Annuaire_roster!B:I,6,0),"-")</f>
        <v>Forfaitaire</v>
      </c>
      <c r="AB42" s="142" t="str">
        <f t="shared" si="28"/>
        <v/>
      </c>
      <c r="AC42" s="142" t="str">
        <f t="shared" si="29"/>
        <v/>
      </c>
      <c r="AD42" s="142" t="str">
        <f t="shared" si="30"/>
        <v/>
      </c>
      <c r="AE42" s="216" t="str">
        <f t="shared" si="31"/>
        <v/>
      </c>
      <c r="AF42" s="63"/>
      <c r="AG42" s="142"/>
    </row>
    <row r="43" spans="1:33" hidden="1" x14ac:dyDescent="0.2">
      <c r="A43" s="70">
        <f>VLOOKUP(B43,Annuaire_roster!B:F,5,0)</f>
        <v>0</v>
      </c>
      <c r="B43" s="165" t="s">
        <v>210</v>
      </c>
      <c r="C43" s="61" t="str">
        <f>IFERROR(IF(COUNTIFS(Connexions!$K:$K,$Q43,Connexions!$E:$E,VLOOKUP($B43,Mapping_Noms!$A:$B,2,0))=0,"",_xlfn.MINIFS(Connexions!$M:$M,Connexions!$K:$K,$Q43,Connexions!$E:$E,VLOOKUP($B43,Mapping_Noms!$A:$B,2,0))-TIME(1,0,0)),"")</f>
        <v/>
      </c>
      <c r="D43" s="61">
        <f t="array" ref="D43">IFERROR(INDEX(Planning2[],MATCH(1,(Planning2[Nom]=B43)*(Planning2[Date]=Q43),0),3),"-")</f>
        <v>0.29166666666666669</v>
      </c>
      <c r="E43" s="38" t="str">
        <f>IFERROR(IF(COUNTIFS(Connexions!$K:$K,$Q43,Connexions!$E:$E,VLOOKUP($B43,Mapping_Noms!$A:$B,2,0))=0,"",_xlfn.MAXIFS(Connexions!$O:$O,Connexions!$K:$K,$Q43,Connexions!$E:$E,VLOOKUP($B43,Mapping_Noms!$A:$B,2,0))-TIME(1,0,0)),"")</f>
        <v/>
      </c>
      <c r="F43" s="38">
        <f t="array" ref="F43">IFERROR(INDEX(Planning2[],MATCH(1,(Planning2[Nom]=B43)*(Planning2[Date]=Q43),0),4),"-")</f>
        <v>0.70833333333333337</v>
      </c>
      <c r="G43" s="88"/>
      <c r="H43" s="88"/>
      <c r="I43" s="235" t="str">
        <f t="shared" si="16"/>
        <v/>
      </c>
      <c r="J43" s="88"/>
      <c r="K43" s="89">
        <f t="shared" si="32"/>
        <v>0</v>
      </c>
      <c r="L43" s="88">
        <f t="shared" si="18"/>
        <v>0</v>
      </c>
      <c r="M43" s="62" t="str">
        <f t="shared" si="19"/>
        <v>Abs</v>
      </c>
      <c r="N43" s="102" t="str">
        <f t="shared" si="20"/>
        <v/>
      </c>
      <c r="O43" s="90">
        <f t="shared" si="21"/>
        <v>0.375</v>
      </c>
      <c r="P43" s="91" t="str">
        <f>IFERROR(VLOOKUP($B43,Annuaire_roster!$B:$G,MATCH(P$1,Annuaire_roster!$B$1:$G$1,0),0),"-")</f>
        <v>Google Leads</v>
      </c>
      <c r="Q43" s="100">
        <v>44762</v>
      </c>
      <c r="R43" s="10">
        <f t="shared" si="22"/>
        <v>0.375</v>
      </c>
      <c r="S43" s="10">
        <f t="shared" si="23"/>
        <v>0.375</v>
      </c>
      <c r="T43" s="16" t="str">
        <f t="shared" si="24"/>
        <v>Sem - 30</v>
      </c>
      <c r="U43" s="16" t="str">
        <f t="shared" si="25"/>
        <v>Juillet</v>
      </c>
      <c r="V43" s="11" t="str">
        <f t="shared" si="26"/>
        <v>2026</v>
      </c>
      <c r="W43" s="9"/>
      <c r="X43" s="5">
        <f t="shared" si="27"/>
        <v>0</v>
      </c>
      <c r="Y43" s="12">
        <f>IFERROR(VLOOKUP(B43,Annuaire_roster!B:E,4,0),"-")</f>
        <v>0</v>
      </c>
      <c r="Z43" s="12" t="str">
        <f>IFERROR(VLOOKUP(B43,Annuaire_roster!B:F,3,0),"-")</f>
        <v>Google Leads</v>
      </c>
      <c r="AA43" s="12">
        <f>IFERROR(VLOOKUP(B43,Annuaire_roster!B:I,6,0),"-")</f>
        <v>0</v>
      </c>
      <c r="AB43" s="142" t="str">
        <f t="shared" si="28"/>
        <v/>
      </c>
      <c r="AC43" s="142" t="str">
        <f t="shared" si="29"/>
        <v/>
      </c>
      <c r="AD43" s="142" t="str">
        <f t="shared" si="30"/>
        <v/>
      </c>
      <c r="AE43" s="143" t="str">
        <f t="shared" si="31"/>
        <v/>
      </c>
      <c r="AF43" s="63"/>
      <c r="AG43" s="10"/>
    </row>
    <row r="44" spans="1:33" hidden="1" x14ac:dyDescent="0.2">
      <c r="A44" s="70">
        <f>VLOOKUP(B44,Annuaire_roster!B:F,5,0)</f>
        <v>0</v>
      </c>
      <c r="B44" s="165" t="s">
        <v>216</v>
      </c>
      <c r="C44" s="61" t="str">
        <f>IFERROR(IF(COUNTIFS(Connexions!$K:$K,$Q44,Connexions!$E:$E,VLOOKUP($B44,Mapping_Noms!$A:$B,2,0))=0,"",_xlfn.MINIFS(Connexions!$M:$M,Connexions!$K:$K,$Q44,Connexions!$E:$E,VLOOKUP($B44,Mapping_Noms!$A:$B,2,0))-TIME(1,0,0)),"")</f>
        <v/>
      </c>
      <c r="D44" s="61">
        <f t="array" ref="D44">IFERROR(INDEX(Planning2[],MATCH(1,(Planning2[Nom]=B44)*(Planning2[Date]=Q44),0),3),"-")</f>
        <v>0.29166666666666669</v>
      </c>
      <c r="E44" s="38" t="str">
        <f>IFERROR(IF(COUNTIFS(Connexions!$K:$K,$Q44,Connexions!$E:$E,VLOOKUP($B44,Mapping_Noms!$A:$B,2,0))=0,"",_xlfn.MAXIFS(Connexions!$O:$O,Connexions!$K:$K,$Q44,Connexions!$E:$E,VLOOKUP($B44,Mapping_Noms!$A:$B,2,0))-TIME(1,0,0)),"")</f>
        <v/>
      </c>
      <c r="F44" s="38">
        <f t="array" ref="F44">IFERROR(INDEX(Planning2[],MATCH(1,(Planning2[Nom]=B44)*(Planning2[Date]=Q44),0),4),"-")</f>
        <v>0.70833333333333337</v>
      </c>
      <c r="G44" s="88"/>
      <c r="H44" s="88"/>
      <c r="I44" s="235" t="str">
        <f t="shared" si="16"/>
        <v/>
      </c>
      <c r="J44" s="88"/>
      <c r="K44" s="89">
        <f t="shared" si="32"/>
        <v>0</v>
      </c>
      <c r="L44" s="88">
        <f t="shared" si="18"/>
        <v>0</v>
      </c>
      <c r="M44" s="62" t="str">
        <f t="shared" si="19"/>
        <v>Abs</v>
      </c>
      <c r="N44" s="102" t="str">
        <f t="shared" si="20"/>
        <v/>
      </c>
      <c r="O44" s="90">
        <f t="shared" ref="O44:O65" si="33">IF(AG44="2H Pause déjeuner",IF(F44-D44-0.0833333333333333&lt;0,F44-D44-0.0833333333333333+1,F44-D44-0.0833333333333333),IF(OR(AND(F44="OFF",D44="OFF"),AND(F44="Congé",D44="Congé"),AND(F44="Congé sans solde",D44="Congé sans solde"),AND(F44="Congé spécial",D44="Congé spécial"),AND(F44="Férié",D44="Férié"),AND(F44="OFF",D44="Congé"),AND(F44="OFF",D44="Congé sans solde"),AND(F44="OFF",D44="Congé spécial"),AND(F44="OFF",D44="Férié"),AND(F44="Congé",D44="OFF"),AND(F44="Congé",D44="Congé sans solde"),AND(F44="Congé",D44="Congé spécial"),AND(F44="Congé",D44="Férié"),AND(F44="Congé sans solde",D44="OFF"),AND(F44="Congé sans solde",D44="Congé"),AND(F44="Congé sans solde",D44="Congé spécial"),AND(F44="Congé sans solde",D44="Férié"),AND(F44="Congé spécial",D44="OFF"),AND(F44="Congé spécial",D44="Congé"),AND(F44="Congé spécial",D44="Congé sans solde"),AND(F44="Congé spécial",D44="Férié"),AND(F44="Férié",D44="OFF"),AND(F44="Férié",D44="Congé"),AND(F44="Férié",D44="Congé sans solde"),AND(F44="Férié",D44="Congé spécial")),0,IF(OR(F44="OFF",F44="Congé",F44="Congé spécial",F44="Congé sans solde",D44="OFF",D44="Congé",D44="Congé spécial",D44="Congé sans solde"),0.208333333333334,IF(AND(AG44="",F44-D44&lt;0),("24:00:00"-D44)+("00:00:00"+F44)-0.0416666666666667,IF(AND(OR(AG44="Allaitement",AG44="Sans déjeuner"),F44-D44&lt;0),("24:00:00"-D44)+("00:00:00"+F44),IF(AND(AG44="",F44-D44&gt;0.166666666666667),F44-D44-0.0416666666666667,IF(AND(OR(AG44="Allaitement",AG44="Sans déjeuner"),F44-D44&gt;0.166666666666667),F44-D44,F44-D44)))))))</f>
        <v>0.375</v>
      </c>
      <c r="P44" s="91" t="str">
        <f>IFERROR(VLOOKUP($B44,Annuaire_roster!$B:$G,MATCH(P$1,Annuaire_roster!$B$1:$G$1,0),0),"-")</f>
        <v>Google Leads</v>
      </c>
      <c r="Q44" s="100">
        <v>44762</v>
      </c>
      <c r="R44" s="10">
        <f t="shared" si="22"/>
        <v>0.375</v>
      </c>
      <c r="S44" s="10">
        <f t="shared" si="23"/>
        <v>0.375</v>
      </c>
      <c r="T44" s="16" t="str">
        <f t="shared" si="24"/>
        <v>Sem - 30</v>
      </c>
      <c r="U44" s="16" t="str">
        <f t="shared" si="25"/>
        <v>Juillet</v>
      </c>
      <c r="V44" s="11" t="str">
        <f t="shared" si="26"/>
        <v>2026</v>
      </c>
      <c r="W44" s="9"/>
      <c r="X44" s="5">
        <f t="shared" si="27"/>
        <v>0</v>
      </c>
      <c r="Y44" s="12">
        <f>IFERROR(VLOOKUP(B44,Annuaire_roster!B:E,4,0),"-")</f>
        <v>0</v>
      </c>
      <c r="Z44" s="12" t="str">
        <f>IFERROR(VLOOKUP(B44,Annuaire_roster!B:F,3,0),"-")</f>
        <v>Google Leads</v>
      </c>
      <c r="AA44" s="12">
        <f>IFERROR(VLOOKUP(B44,Annuaire_roster!B:I,6,0),"-")</f>
        <v>0</v>
      </c>
      <c r="AB44" s="142" t="str">
        <f t="shared" si="28"/>
        <v/>
      </c>
      <c r="AC44" s="142" t="str">
        <f t="shared" si="29"/>
        <v/>
      </c>
      <c r="AD44" s="142" t="str">
        <f t="shared" si="30"/>
        <v/>
      </c>
      <c r="AE44" s="143" t="str">
        <f t="shared" si="31"/>
        <v/>
      </c>
      <c r="AF44" s="63"/>
      <c r="AG44" s="10"/>
    </row>
    <row r="45" spans="1:33" hidden="1" x14ac:dyDescent="0.2">
      <c r="A45" s="70">
        <f>VLOOKUP(B45,Annuaire_roster!B:F,5,0)</f>
        <v>1131</v>
      </c>
      <c r="B45" s="165" t="s">
        <v>214</v>
      </c>
      <c r="C45" s="61" t="str">
        <f>IFERROR(IF(COUNTIFS(Connexions!$K:$K,$Q45,Connexions!$E:$E,VLOOKUP($B45,Mapping_Noms!$A:$B,2,0))=0,"",_xlfn.MINIFS(Connexions!$M:$M,Connexions!$K:$K,$Q45,Connexions!$E:$E,VLOOKUP($B45,Mapping_Noms!$A:$B,2,0))-TIME(1,0,0)),"")</f>
        <v/>
      </c>
      <c r="D45" s="61">
        <f t="array" ref="D45">IFERROR(INDEX(Planning2[],MATCH(1,(Planning2[Nom]=B45)*(Planning2[Date]=Q45),0),3),"-")</f>
        <v>0.29166666666666669</v>
      </c>
      <c r="E45" s="38" t="str">
        <f>IFERROR(IF(COUNTIFS(Connexions!$K:$K,$Q45,Connexions!$E:$E,VLOOKUP($B45,Mapping_Noms!$A:$B,2,0))=0,"",_xlfn.MAXIFS(Connexions!$O:$O,Connexions!$K:$K,$Q45,Connexions!$E:$E,VLOOKUP($B45,Mapping_Noms!$A:$B,2,0))-TIME(1,0,0)),"")</f>
        <v/>
      </c>
      <c r="F45" s="38">
        <f t="array" ref="F45">IFERROR(INDEX(Planning2[],MATCH(1,(Planning2[Nom]=B45)*(Planning2[Date]=Q45),0),4),"-")</f>
        <v>0.70833333333333337</v>
      </c>
      <c r="G45" s="88"/>
      <c r="H45" s="88"/>
      <c r="I45" s="235" t="str">
        <f t="shared" si="16"/>
        <v/>
      </c>
      <c r="J45" s="88"/>
      <c r="K45" s="89">
        <f t="shared" si="32"/>
        <v>0</v>
      </c>
      <c r="L45" s="88">
        <f t="shared" si="18"/>
        <v>0</v>
      </c>
      <c r="M45" s="62" t="str">
        <f t="shared" si="19"/>
        <v>Abs</v>
      </c>
      <c r="N45" s="102" t="str">
        <f t="shared" si="20"/>
        <v/>
      </c>
      <c r="O45" s="90">
        <f t="shared" si="33"/>
        <v>0.375</v>
      </c>
      <c r="P45" s="91" t="str">
        <f>IFERROR(VLOOKUP($B45,Annuaire_roster!$B:$G,MATCH(P$1,Annuaire_roster!$B$1:$G$1,0),0),"-")</f>
        <v>Google Leads</v>
      </c>
      <c r="Q45" s="100">
        <v>44762</v>
      </c>
      <c r="R45" s="10">
        <f t="shared" si="22"/>
        <v>0.375</v>
      </c>
      <c r="S45" s="10">
        <f t="shared" si="23"/>
        <v>0.375</v>
      </c>
      <c r="T45" s="16" t="str">
        <f t="shared" si="24"/>
        <v>Sem - 30</v>
      </c>
      <c r="U45" s="16" t="str">
        <f t="shared" si="25"/>
        <v>Juillet</v>
      </c>
      <c r="V45" s="11" t="str">
        <f t="shared" si="26"/>
        <v>2026</v>
      </c>
      <c r="W45" s="9"/>
      <c r="X45" s="5">
        <f t="shared" si="27"/>
        <v>0</v>
      </c>
      <c r="Y45" s="12" t="str">
        <f>IFERROR(VLOOKUP(B45,Annuaire_roster!B:E,4,0),"-")</f>
        <v>CHOUIFI Mustapha</v>
      </c>
      <c r="Z45" s="12" t="str">
        <f>IFERROR(VLOOKUP(B45,Annuaire_roster!B:F,3,0),"-")</f>
        <v>Google Leads</v>
      </c>
      <c r="AA45" s="12" t="str">
        <f>IFERROR(VLOOKUP(B45,Annuaire_roster!B:I,6,0),"-")</f>
        <v>Forfaitaire</v>
      </c>
      <c r="AB45" s="142" t="str">
        <f t="shared" si="28"/>
        <v/>
      </c>
      <c r="AC45" s="142" t="str">
        <f t="shared" si="29"/>
        <v/>
      </c>
      <c r="AD45" s="142" t="str">
        <f t="shared" si="30"/>
        <v/>
      </c>
      <c r="AE45" s="143" t="str">
        <f t="shared" si="31"/>
        <v/>
      </c>
      <c r="AF45" s="63"/>
      <c r="AG45" s="10"/>
    </row>
    <row r="46" spans="1:33" hidden="1" x14ac:dyDescent="0.2">
      <c r="A46" s="210">
        <f>VLOOKUP(B46,Annuaire_roster!B:F,5,0)</f>
        <v>0</v>
      </c>
      <c r="B46" s="165" t="s">
        <v>223</v>
      </c>
      <c r="C46" s="61" t="str">
        <f>IFERROR(IF(COUNTIFS(Connexions!$K:$K,$Q46,Connexions!$E:$E,VLOOKUP($B46,Mapping_Noms!$A:$B,2,0))=0,"",_xlfn.MINIFS(Connexions!$M:$M,Connexions!$K:$K,$Q46,Connexions!$E:$E,VLOOKUP($B46,Mapping_Noms!$A:$B,2,0))-TIME(1,0,0)),"")</f>
        <v/>
      </c>
      <c r="D46" s="61">
        <f t="array" ref="D46">IFERROR(INDEX(Planning2[],MATCH(1,(Planning2[Nom]=B46)*(Planning2[Date]=Q46),0),3),"-")</f>
        <v>0.29166666666666669</v>
      </c>
      <c r="E46" s="38" t="str">
        <f>IFERROR(IF(COUNTIFS(Connexions!$K:$K,$Q46,Connexions!$E:$E,VLOOKUP($B46,Mapping_Noms!$A:$B,2,0))=0,"",_xlfn.MAXIFS(Connexions!$O:$O,Connexions!$K:$K,$Q46,Connexions!$E:$E,VLOOKUP($B46,Mapping_Noms!$A:$B,2,0))-TIME(1,0,0)),"")</f>
        <v/>
      </c>
      <c r="F46" s="38">
        <f t="array" ref="F46">IFERROR(INDEX(Planning2[],MATCH(1,(Planning2[Nom]=B46)*(Planning2[Date]=Q46),0),4),"-")</f>
        <v>0.70833333333333337</v>
      </c>
      <c r="G46" s="88"/>
      <c r="H46" s="88"/>
      <c r="I46" s="235" t="str">
        <f t="shared" si="16"/>
        <v/>
      </c>
      <c r="J46" s="88"/>
      <c r="K46" s="89">
        <f t="shared" si="32"/>
        <v>0</v>
      </c>
      <c r="L46" s="88">
        <f t="shared" si="18"/>
        <v>0</v>
      </c>
      <c r="M46" s="62" t="str">
        <f t="shared" si="19"/>
        <v>Abs</v>
      </c>
      <c r="N46" s="211" t="str">
        <f t="shared" si="20"/>
        <v/>
      </c>
      <c r="O46" s="90">
        <f t="shared" si="33"/>
        <v>0.375</v>
      </c>
      <c r="P46" s="91" t="str">
        <f>IFERROR(VLOOKUP($B46,Annuaire_roster!$B:$G,MATCH(P$1,Annuaire_roster!$B$1:$G$1,0),0),"-")</f>
        <v>Google Leads</v>
      </c>
      <c r="Q46" s="212">
        <v>44762</v>
      </c>
      <c r="R46" s="142">
        <f t="shared" si="22"/>
        <v>0.375</v>
      </c>
      <c r="S46" s="142">
        <f t="shared" si="23"/>
        <v>0.375</v>
      </c>
      <c r="T46" s="16" t="str">
        <f t="shared" si="24"/>
        <v>Sem - 30</v>
      </c>
      <c r="U46" s="16" t="str">
        <f t="shared" si="25"/>
        <v>Juillet</v>
      </c>
      <c r="V46" s="213" t="str">
        <f t="shared" si="26"/>
        <v>2026</v>
      </c>
      <c r="W46" s="211"/>
      <c r="X46" s="214">
        <f t="shared" si="27"/>
        <v>0</v>
      </c>
      <c r="Y46" s="215">
        <f>IFERROR(VLOOKUP(B46,Annuaire_roster!B:E,4,0),"-")</f>
        <v>0</v>
      </c>
      <c r="Z46" s="215" t="str">
        <f>IFERROR(VLOOKUP(B46,Annuaire_roster!B:F,3,0),"-")</f>
        <v>Google Leads</v>
      </c>
      <c r="AA46" s="215">
        <f>IFERROR(VLOOKUP(B46,Annuaire_roster!B:I,6,0),"-")</f>
        <v>0</v>
      </c>
      <c r="AB46" s="142" t="str">
        <f t="shared" si="28"/>
        <v/>
      </c>
      <c r="AC46" s="142" t="str">
        <f t="shared" si="29"/>
        <v/>
      </c>
      <c r="AD46" s="142" t="str">
        <f t="shared" si="30"/>
        <v/>
      </c>
      <c r="AE46" s="216" t="str">
        <f t="shared" si="31"/>
        <v/>
      </c>
      <c r="AF46" s="217"/>
      <c r="AG46" s="142"/>
    </row>
    <row r="47" spans="1:33" hidden="1" x14ac:dyDescent="0.2">
      <c r="A47" s="70">
        <f>VLOOKUP(B47,Annuaire_roster!B:F,5,0)</f>
        <v>1170</v>
      </c>
      <c r="B47" s="165" t="s">
        <v>106</v>
      </c>
      <c r="C47" s="61" t="str">
        <f>IFERROR(IF(COUNTIFS(Connexions!$K:$K,$Q47,Connexions!$E:$E,VLOOKUP($B47,Mapping_Noms!$A:$B,2,0))=0,"",_xlfn.MINIFS(Connexions!$M:$M,Connexions!$K:$K,$Q47,Connexions!$E:$E,VLOOKUP($B47,Mapping_Noms!$A:$B,2,0))-TIME(1,0,0)),"")</f>
        <v/>
      </c>
      <c r="D47" s="61">
        <f t="array" ref="D47">IFERROR(INDEX(Planning2[],MATCH(1,(Planning2[Nom]=B47)*(Planning2[Date]=Q47),0),3),"-")</f>
        <v>0.375</v>
      </c>
      <c r="E47" s="38" t="str">
        <f>IFERROR(IF(COUNTIFS(Connexions!$K:$K,$Q47,Connexions!$E:$E,VLOOKUP($B47,Mapping_Noms!$A:$B,2,0))=0,"",_xlfn.MAXIFS(Connexions!$O:$O,Connexions!$K:$K,$Q47,Connexions!$E:$E,VLOOKUP($B47,Mapping_Noms!$A:$B,2,0))-TIME(1,0,0)),"")</f>
        <v/>
      </c>
      <c r="F47" s="38">
        <f t="array" ref="F47">IFERROR(INDEX(Planning2[],MATCH(1,(Planning2[Nom]=B47)*(Planning2[Date]=Q47),0),4),"-")</f>
        <v>0.75</v>
      </c>
      <c r="G47" s="88"/>
      <c r="H47" s="88"/>
      <c r="I47" s="235" t="str">
        <f t="shared" si="16"/>
        <v/>
      </c>
      <c r="J47" s="88"/>
      <c r="K47" s="89">
        <f t="shared" si="32"/>
        <v>0</v>
      </c>
      <c r="L47" s="88">
        <f t="shared" si="18"/>
        <v>0</v>
      </c>
      <c r="M47" s="62" t="str">
        <f t="shared" si="19"/>
        <v>Abs</v>
      </c>
      <c r="N47" s="102" t="str">
        <f t="shared" si="20"/>
        <v/>
      </c>
      <c r="O47" s="90">
        <f t="shared" si="33"/>
        <v>0.33333333333333331</v>
      </c>
      <c r="P47" s="91" t="str">
        <f>IFERROR(VLOOKUP($B47,Annuaire_roster!$B:$G,MATCH(P$1,Annuaire_roster!$B$1:$G$1,0),0),"-")</f>
        <v>Google Leads</v>
      </c>
      <c r="Q47" s="100">
        <v>44762</v>
      </c>
      <c r="R47" s="10">
        <f t="shared" si="22"/>
        <v>0.33333333333333331</v>
      </c>
      <c r="S47" s="10">
        <f t="shared" si="23"/>
        <v>0.33333333333333331</v>
      </c>
      <c r="T47" s="16" t="str">
        <f t="shared" si="24"/>
        <v>Sem - 30</v>
      </c>
      <c r="U47" s="16" t="str">
        <f t="shared" si="25"/>
        <v>Juillet</v>
      </c>
      <c r="V47" s="11" t="str">
        <f t="shared" si="26"/>
        <v>2026</v>
      </c>
      <c r="W47" s="9"/>
      <c r="X47" s="5">
        <f t="shared" si="27"/>
        <v>0</v>
      </c>
      <c r="Y47" s="12" t="str">
        <f>IFERROR(VLOOKUP(B47,Annuaire_roster!B:E,4,0),"-")</f>
        <v>CHOUIFI Mustapha</v>
      </c>
      <c r="Z47" s="12" t="str">
        <f>IFERROR(VLOOKUP(B47,Annuaire_roster!B:F,3,0),"-")</f>
        <v>Google Leads</v>
      </c>
      <c r="AA47" s="12" t="str">
        <f>IFERROR(VLOOKUP(B47,Annuaire_roster!B:I,6,0),"-")</f>
        <v>Forfaitaire</v>
      </c>
      <c r="AB47" s="142" t="str">
        <f t="shared" si="28"/>
        <v/>
      </c>
      <c r="AC47" s="142" t="str">
        <f t="shared" si="29"/>
        <v/>
      </c>
      <c r="AD47" s="142" t="str">
        <f t="shared" si="30"/>
        <v/>
      </c>
      <c r="AE47" s="143" t="str">
        <f t="shared" si="31"/>
        <v/>
      </c>
      <c r="AF47" s="63"/>
      <c r="AG47" s="10"/>
    </row>
    <row r="48" spans="1:33" hidden="1" x14ac:dyDescent="0.2">
      <c r="A48" s="70">
        <f>VLOOKUP(B48,Annuaire_roster!B:F,5,0)</f>
        <v>0</v>
      </c>
      <c r="B48" s="165" t="s">
        <v>212</v>
      </c>
      <c r="C48" s="61" t="str">
        <f>IFERROR(IF(COUNTIFS(Connexions!$K:$K,$Q48,Connexions!$E:$E,VLOOKUP($B48,Mapping_Noms!$A:$B,2,0))=0,"",_xlfn.MINIFS(Connexions!$M:$M,Connexions!$K:$K,$Q48,Connexions!$E:$E,VLOOKUP($B48,Mapping_Noms!$A:$B,2,0))-TIME(1,0,0)),"")</f>
        <v/>
      </c>
      <c r="D48" s="61">
        <f t="array" ref="D48">IFERROR(INDEX(Planning2[],MATCH(1,(Planning2[Nom]=B48)*(Planning2[Date]=Q48),0),3),"-")</f>
        <v>0.375</v>
      </c>
      <c r="E48" s="38" t="str">
        <f>IFERROR(IF(COUNTIFS(Connexions!$K:$K,$Q48,Connexions!$E:$E,VLOOKUP($B48,Mapping_Noms!$A:$B,2,0))=0,"",_xlfn.MAXIFS(Connexions!$O:$O,Connexions!$K:$K,$Q48,Connexions!$E:$E,VLOOKUP($B48,Mapping_Noms!$A:$B,2,0))-TIME(1,0,0)),"")</f>
        <v/>
      </c>
      <c r="F48" s="38">
        <f t="array" ref="F48">IFERROR(INDEX(Planning2[],MATCH(1,(Planning2[Nom]=B48)*(Planning2[Date]=Q48),0),4),"-")</f>
        <v>0.75</v>
      </c>
      <c r="G48" s="88"/>
      <c r="H48" s="88"/>
      <c r="I48" s="235" t="str">
        <f t="shared" si="16"/>
        <v/>
      </c>
      <c r="J48" s="88"/>
      <c r="K48" s="89">
        <f t="shared" si="32"/>
        <v>0</v>
      </c>
      <c r="L48" s="88">
        <f t="shared" si="18"/>
        <v>0</v>
      </c>
      <c r="M48" s="62" t="str">
        <f t="shared" si="19"/>
        <v>Abs</v>
      </c>
      <c r="N48" s="102" t="str">
        <f t="shared" si="20"/>
        <v/>
      </c>
      <c r="O48" s="90">
        <f t="shared" si="33"/>
        <v>0.33333333333333331</v>
      </c>
      <c r="P48" s="91" t="str">
        <f>IFERROR(VLOOKUP($B48,Annuaire_roster!$B:$G,MATCH(P$1,Annuaire_roster!$B$1:$G$1,0),0),"-")</f>
        <v>Google Leads</v>
      </c>
      <c r="Q48" s="100">
        <v>44762</v>
      </c>
      <c r="R48" s="10">
        <f t="shared" si="22"/>
        <v>0.33333333333333331</v>
      </c>
      <c r="S48" s="10">
        <f t="shared" si="23"/>
        <v>0.33333333333333331</v>
      </c>
      <c r="T48" s="16" t="str">
        <f t="shared" si="24"/>
        <v>Sem - 30</v>
      </c>
      <c r="U48" s="16" t="str">
        <f t="shared" si="25"/>
        <v>Juillet</v>
      </c>
      <c r="V48" s="11" t="str">
        <f t="shared" si="26"/>
        <v>2026</v>
      </c>
      <c r="W48" s="9"/>
      <c r="X48" s="5">
        <f t="shared" si="27"/>
        <v>0</v>
      </c>
      <c r="Y48" s="12">
        <f>IFERROR(VLOOKUP(B48,Annuaire_roster!B:E,4,0),"-")</f>
        <v>0</v>
      </c>
      <c r="Z48" s="12" t="str">
        <f>IFERROR(VLOOKUP(B48,Annuaire_roster!B:F,3,0),"-")</f>
        <v>Google Leads</v>
      </c>
      <c r="AA48" s="12">
        <f>IFERROR(VLOOKUP(B48,Annuaire_roster!B:I,6,0),"-")</f>
        <v>0</v>
      </c>
      <c r="AB48" s="142" t="str">
        <f t="shared" si="28"/>
        <v/>
      </c>
      <c r="AC48" s="142" t="str">
        <f t="shared" si="29"/>
        <v/>
      </c>
      <c r="AD48" s="142" t="str">
        <f t="shared" si="30"/>
        <v/>
      </c>
      <c r="AE48" s="143" t="str">
        <f t="shared" si="31"/>
        <v/>
      </c>
      <c r="AF48" s="63"/>
      <c r="AG48" s="10"/>
    </row>
    <row r="49" spans="1:33" hidden="1" x14ac:dyDescent="0.2">
      <c r="A49" s="70">
        <f>VLOOKUP(B49,Annuaire_roster!B:F,5,0)</f>
        <v>0</v>
      </c>
      <c r="B49" s="165" t="s">
        <v>220</v>
      </c>
      <c r="C49" s="61" t="str">
        <f>IFERROR(IF(COUNTIFS(Connexions!$K:$K,$Q49,Connexions!$E:$E,VLOOKUP($B49,Mapping_Noms!$A:$B,2,0))=0,"",_xlfn.MINIFS(Connexions!$M:$M,Connexions!$K:$K,$Q49,Connexions!$E:$E,VLOOKUP($B49,Mapping_Noms!$A:$B,2,0))-TIME(1,0,0)),"")</f>
        <v/>
      </c>
      <c r="D49" s="61">
        <f t="array" ref="D49">IFERROR(INDEX(Planning2[],MATCH(1,(Planning2[Nom]=B49)*(Planning2[Date]=Q49),0),3),"-")</f>
        <v>0.41666666666666669</v>
      </c>
      <c r="E49" s="38" t="str">
        <f>IFERROR(IF(COUNTIFS(Connexions!$K:$K,$Q49,Connexions!$E:$E,VLOOKUP($B49,Mapping_Noms!$A:$B,2,0))=0,"",_xlfn.MAXIFS(Connexions!$O:$O,Connexions!$K:$K,$Q49,Connexions!$E:$E,VLOOKUP($B49,Mapping_Noms!$A:$B,2,0))-TIME(1,0,0)),"")</f>
        <v/>
      </c>
      <c r="F49" s="38">
        <f t="array" ref="F49">IFERROR(INDEX(Planning2[],MATCH(1,(Planning2[Nom]=B49)*(Planning2[Date]=Q49),0),4),"-")</f>
        <v>0.83333333333333337</v>
      </c>
      <c r="G49" s="88"/>
      <c r="H49" s="88"/>
      <c r="I49" s="235" t="str">
        <f t="shared" si="16"/>
        <v/>
      </c>
      <c r="J49" s="88"/>
      <c r="K49" s="89">
        <f t="shared" si="32"/>
        <v>0</v>
      </c>
      <c r="L49" s="88">
        <f t="shared" si="18"/>
        <v>0</v>
      </c>
      <c r="M49" s="62" t="str">
        <f t="shared" si="19"/>
        <v>Abs</v>
      </c>
      <c r="N49" s="102" t="str">
        <f t="shared" si="20"/>
        <v/>
      </c>
      <c r="O49" s="90">
        <f t="shared" si="33"/>
        <v>0.375</v>
      </c>
      <c r="P49" s="91" t="str">
        <f>IFERROR(VLOOKUP($B49,Annuaire_roster!$B:$G,MATCH(P$1,Annuaire_roster!$B$1:$G$1,0),0),"-")</f>
        <v>Google Leads</v>
      </c>
      <c r="Q49" s="100">
        <v>44762</v>
      </c>
      <c r="R49" s="10">
        <f t="shared" si="22"/>
        <v>0.375</v>
      </c>
      <c r="S49" s="10">
        <f t="shared" si="23"/>
        <v>0.375</v>
      </c>
      <c r="T49" s="16" t="str">
        <f t="shared" si="24"/>
        <v>Sem - 30</v>
      </c>
      <c r="U49" s="16" t="str">
        <f t="shared" si="25"/>
        <v>Juillet</v>
      </c>
      <c r="V49" s="11" t="str">
        <f t="shared" si="26"/>
        <v>2026</v>
      </c>
      <c r="W49" s="9"/>
      <c r="X49" s="5">
        <f t="shared" si="27"/>
        <v>0</v>
      </c>
      <c r="Y49" s="12">
        <f>IFERROR(VLOOKUP(B49,Annuaire_roster!B:E,4,0),"-")</f>
        <v>0</v>
      </c>
      <c r="Z49" s="12" t="str">
        <f>IFERROR(VLOOKUP(B49,Annuaire_roster!B:F,3,0),"-")</f>
        <v>Google Leads</v>
      </c>
      <c r="AA49" s="12">
        <f>IFERROR(VLOOKUP(B49,Annuaire_roster!B:I,6,0),"-")</f>
        <v>0</v>
      </c>
      <c r="AB49" s="142" t="str">
        <f t="shared" si="28"/>
        <v/>
      </c>
      <c r="AC49" s="142" t="str">
        <f t="shared" si="29"/>
        <v/>
      </c>
      <c r="AD49" s="142" t="str">
        <f t="shared" si="30"/>
        <v/>
      </c>
      <c r="AE49" s="143" t="str">
        <f t="shared" si="31"/>
        <v/>
      </c>
      <c r="AF49" s="217"/>
      <c r="AG49" s="10"/>
    </row>
    <row r="50" spans="1:33" hidden="1" x14ac:dyDescent="0.2">
      <c r="A50" s="70">
        <f>VLOOKUP(B50,Annuaire_roster!B:F,5,0)</f>
        <v>949</v>
      </c>
      <c r="B50" s="165" t="s">
        <v>85</v>
      </c>
      <c r="C50" s="61" t="str">
        <f>IFERROR(IF(COUNTIFS(Connexions!$K:$K,$Q50,Connexions!$E:$E,VLOOKUP($B50,Mapping_Noms!$A:$B,2,0))=0,"",_xlfn.MINIFS(Connexions!$M:$M,Connexions!$K:$K,$Q50,Connexions!$E:$E,VLOOKUP($B50,Mapping_Noms!$A:$B,2,0))-TIME(1,0,0)),"")</f>
        <v/>
      </c>
      <c r="D50" s="61">
        <f t="array" ref="D50">IFERROR(INDEX(Planning2[],MATCH(1,(Planning2[Nom]=B50)*(Planning2[Date]=Q50),0),3),"-")</f>
        <v>0.41666666666666669</v>
      </c>
      <c r="E50" s="38" t="str">
        <f>IFERROR(IF(COUNTIFS(Connexions!$K:$K,$Q50,Connexions!$E:$E,VLOOKUP($B50,Mapping_Noms!$A:$B,2,0))=0,"",_xlfn.MAXIFS(Connexions!$O:$O,Connexions!$K:$K,$Q50,Connexions!$E:$E,VLOOKUP($B50,Mapping_Noms!$A:$B,2,0))-TIME(1,0,0)),"")</f>
        <v/>
      </c>
      <c r="F50" s="38">
        <f t="array" ref="F50">IFERROR(INDEX(Planning2[],MATCH(1,(Planning2[Nom]=B50)*(Planning2[Date]=Q50),0),4),"-")</f>
        <v>0.83333333333333337</v>
      </c>
      <c r="G50" s="88"/>
      <c r="H50" s="88"/>
      <c r="I50" s="235" t="str">
        <f t="shared" si="16"/>
        <v/>
      </c>
      <c r="J50" s="88"/>
      <c r="K50" s="89">
        <f t="shared" si="32"/>
        <v>0</v>
      </c>
      <c r="L50" s="88">
        <f t="shared" si="18"/>
        <v>0</v>
      </c>
      <c r="M50" s="62" t="str">
        <f t="shared" si="19"/>
        <v>Abs</v>
      </c>
      <c r="N50" s="102" t="str">
        <f t="shared" si="20"/>
        <v/>
      </c>
      <c r="O50" s="90">
        <f t="shared" si="33"/>
        <v>0.375</v>
      </c>
      <c r="P50" s="91" t="str">
        <f>IFERROR(VLOOKUP($B50,Annuaire_roster!$B:$G,MATCH(P$1,Annuaire_roster!$B$1:$G$1,0),0),"-")</f>
        <v>Google Leads</v>
      </c>
      <c r="Q50" s="100">
        <v>44762</v>
      </c>
      <c r="R50" s="10">
        <f t="shared" si="22"/>
        <v>0.375</v>
      </c>
      <c r="S50" s="10">
        <f t="shared" si="23"/>
        <v>0.375</v>
      </c>
      <c r="T50" s="16" t="str">
        <f t="shared" si="24"/>
        <v>Sem - 30</v>
      </c>
      <c r="U50" s="16" t="str">
        <f t="shared" si="25"/>
        <v>Juillet</v>
      </c>
      <c r="V50" s="11" t="str">
        <f t="shared" si="26"/>
        <v>2026</v>
      </c>
      <c r="W50" s="9"/>
      <c r="X50" s="5">
        <f t="shared" si="27"/>
        <v>0</v>
      </c>
      <c r="Y50" s="12" t="str">
        <f>IFERROR(VLOOKUP(B50,Annuaire_roster!B:E,4,0),"-")</f>
        <v>CHOUIFI Mustapha</v>
      </c>
      <c r="Z50" s="12" t="str">
        <f>IFERROR(VLOOKUP(B50,Annuaire_roster!B:F,3,0),"-")</f>
        <v>Google Leads</v>
      </c>
      <c r="AA50" s="12" t="str">
        <f>IFERROR(VLOOKUP(B50,Annuaire_roster!B:I,6,0),"-")</f>
        <v>Forfaitaire</v>
      </c>
      <c r="AB50" s="142" t="str">
        <f t="shared" si="28"/>
        <v/>
      </c>
      <c r="AC50" s="142" t="str">
        <f t="shared" si="29"/>
        <v/>
      </c>
      <c r="AD50" s="142" t="str">
        <f t="shared" si="30"/>
        <v/>
      </c>
      <c r="AE50" s="143" t="str">
        <f t="shared" si="31"/>
        <v/>
      </c>
      <c r="AF50" s="63"/>
      <c r="AG50" s="10"/>
    </row>
    <row r="51" spans="1:33" hidden="1" x14ac:dyDescent="0.2">
      <c r="A51" s="70">
        <f>VLOOKUP(B51,Annuaire_roster!B:F,5,0)</f>
        <v>952</v>
      </c>
      <c r="B51" s="165" t="s">
        <v>87</v>
      </c>
      <c r="C51" s="61" t="str">
        <f>IFERROR(IF(COUNTIFS(Connexions!$K:$K,$Q51,Connexions!$E:$E,VLOOKUP($B51,Mapping_Noms!$A:$B,2,0))=0,"",_xlfn.MINIFS(Connexions!$M:$M,Connexions!$K:$K,$Q51,Connexions!$E:$E,VLOOKUP($B51,Mapping_Noms!$A:$B,2,0))-TIME(1,0,0)),"")</f>
        <v/>
      </c>
      <c r="D51" s="61">
        <f t="array" ref="D51">IFERROR(INDEX(Planning2[],MATCH(1,(Planning2[Nom]=B51)*(Planning2[Date]=Q51),0),3),"-")</f>
        <v>0.41666666666666669</v>
      </c>
      <c r="E51" s="38" t="str">
        <f>IFERROR(IF(COUNTIFS(Connexions!$K:$K,$Q51,Connexions!$E:$E,VLOOKUP($B51,Mapping_Noms!$A:$B,2,0))=0,"",_xlfn.MAXIFS(Connexions!$O:$O,Connexions!$K:$K,$Q51,Connexions!$E:$E,VLOOKUP($B51,Mapping_Noms!$A:$B,2,0))-TIME(1,0,0)),"")</f>
        <v/>
      </c>
      <c r="F51" s="38">
        <f t="array" ref="F51">IFERROR(INDEX(Planning2[],MATCH(1,(Planning2[Nom]=B51)*(Planning2[Date]=Q51),0),4),"-")</f>
        <v>0.83333333333333337</v>
      </c>
      <c r="G51" s="88"/>
      <c r="H51" s="88"/>
      <c r="I51" s="235" t="str">
        <f t="shared" si="16"/>
        <v/>
      </c>
      <c r="J51" s="88"/>
      <c r="K51" s="89">
        <f t="shared" si="32"/>
        <v>0</v>
      </c>
      <c r="L51" s="88">
        <f t="shared" si="18"/>
        <v>0</v>
      </c>
      <c r="M51" s="62" t="str">
        <f t="shared" si="19"/>
        <v>Abs</v>
      </c>
      <c r="N51" s="102" t="str">
        <f t="shared" si="20"/>
        <v/>
      </c>
      <c r="O51" s="90">
        <f t="shared" si="33"/>
        <v>0.375</v>
      </c>
      <c r="P51" s="91" t="str">
        <f>IFERROR(VLOOKUP($B51,Annuaire_roster!$B:$G,MATCH(P$1,Annuaire_roster!$B$1:$G$1,0),0),"-")</f>
        <v>Google Leads</v>
      </c>
      <c r="Q51" s="100">
        <v>44762</v>
      </c>
      <c r="R51" s="10">
        <f t="shared" si="22"/>
        <v>0.375</v>
      </c>
      <c r="S51" s="10">
        <f t="shared" si="23"/>
        <v>0.375</v>
      </c>
      <c r="T51" s="16" t="str">
        <f t="shared" si="24"/>
        <v>Sem - 30</v>
      </c>
      <c r="U51" s="16" t="str">
        <f t="shared" si="25"/>
        <v>Juillet</v>
      </c>
      <c r="V51" s="11" t="str">
        <f t="shared" si="26"/>
        <v>2026</v>
      </c>
      <c r="W51" s="9"/>
      <c r="X51" s="5">
        <f t="shared" si="27"/>
        <v>0</v>
      </c>
      <c r="Y51" s="12" t="str">
        <f>IFERROR(VLOOKUP(B51,Annuaire_roster!B:E,4,0),"-")</f>
        <v>OUAQERROUCH Nour-El Houda</v>
      </c>
      <c r="Z51" s="12" t="str">
        <f>IFERROR(VLOOKUP(B51,Annuaire_roster!B:F,3,0),"-")</f>
        <v>Google Leads</v>
      </c>
      <c r="AA51" s="12" t="str">
        <f>IFERROR(VLOOKUP(B51,Annuaire_roster!B:I,6,0),"-")</f>
        <v>Forfaitaire</v>
      </c>
      <c r="AB51" s="142" t="str">
        <f t="shared" si="28"/>
        <v/>
      </c>
      <c r="AC51" s="142" t="str">
        <f t="shared" si="29"/>
        <v/>
      </c>
      <c r="AD51" s="142" t="str">
        <f t="shared" si="30"/>
        <v/>
      </c>
      <c r="AE51" s="143" t="str">
        <f t="shared" si="31"/>
        <v/>
      </c>
      <c r="AF51" s="63"/>
      <c r="AG51" s="10"/>
    </row>
    <row r="52" spans="1:33" hidden="1" x14ac:dyDescent="0.2">
      <c r="A52" s="210">
        <f>VLOOKUP(B52,Annuaire_roster!B:F,5,0)</f>
        <v>0</v>
      </c>
      <c r="B52" s="165" t="s">
        <v>217</v>
      </c>
      <c r="C52" s="61" t="str">
        <f>IFERROR(IF(COUNTIFS(Connexions!$K:$K,$Q52,Connexions!$E:$E,VLOOKUP($B52,Mapping_Noms!$A:$B,2,0))=0,"",_xlfn.MINIFS(Connexions!$M:$M,Connexions!$K:$K,$Q52,Connexions!$E:$E,VLOOKUP($B52,Mapping_Noms!$A:$B,2,0))-TIME(1,0,0)),"")</f>
        <v/>
      </c>
      <c r="D52" s="61">
        <f t="array" ref="D52">IFERROR(INDEX(Planning2[],MATCH(1,(Planning2[Nom]=B52)*(Planning2[Date]=Q52),0),3),"-")</f>
        <v>0.41666666666666669</v>
      </c>
      <c r="E52" s="38" t="str">
        <f>IFERROR(IF(COUNTIFS(Connexions!$K:$K,$Q52,Connexions!$E:$E,VLOOKUP($B52,Mapping_Noms!$A:$B,2,0))=0,"",_xlfn.MAXIFS(Connexions!$O:$O,Connexions!$K:$K,$Q52,Connexions!$E:$E,VLOOKUP($B52,Mapping_Noms!$A:$B,2,0))-TIME(1,0,0)),"")</f>
        <v/>
      </c>
      <c r="F52" s="38">
        <f t="array" ref="F52">IFERROR(INDEX(Planning2[],MATCH(1,(Planning2[Nom]=B52)*(Planning2[Date]=Q52),0),4),"-")</f>
        <v>0.83333333333333337</v>
      </c>
      <c r="G52" s="88"/>
      <c r="H52" s="88"/>
      <c r="I52" s="235" t="str">
        <f t="shared" si="16"/>
        <v/>
      </c>
      <c r="J52" s="88"/>
      <c r="K52" s="89">
        <f t="shared" si="32"/>
        <v>0</v>
      </c>
      <c r="L52" s="88">
        <f t="shared" si="18"/>
        <v>0</v>
      </c>
      <c r="M52" s="62" t="str">
        <f t="shared" si="19"/>
        <v>Abs</v>
      </c>
      <c r="N52" s="211" t="str">
        <f t="shared" si="20"/>
        <v/>
      </c>
      <c r="O52" s="90">
        <f t="shared" si="33"/>
        <v>0.375</v>
      </c>
      <c r="P52" s="91" t="str">
        <f>IFERROR(VLOOKUP($B52,Annuaire_roster!$B:$G,MATCH(P$1,Annuaire_roster!$B$1:$G$1,0),0),"-")</f>
        <v>Google Leads</v>
      </c>
      <c r="Q52" s="212">
        <v>44762</v>
      </c>
      <c r="R52" s="142">
        <f t="shared" si="22"/>
        <v>0.375</v>
      </c>
      <c r="S52" s="142">
        <f t="shared" si="23"/>
        <v>0.375</v>
      </c>
      <c r="T52" s="16" t="str">
        <f t="shared" si="24"/>
        <v>Sem - 30</v>
      </c>
      <c r="U52" s="16" t="str">
        <f t="shared" si="25"/>
        <v>Juillet</v>
      </c>
      <c r="V52" s="213" t="str">
        <f t="shared" si="26"/>
        <v>2026</v>
      </c>
      <c r="W52" s="211"/>
      <c r="X52" s="214">
        <f t="shared" si="27"/>
        <v>0</v>
      </c>
      <c r="Y52" s="215">
        <f>IFERROR(VLOOKUP(B52,Annuaire_roster!B:E,4,0),"-")</f>
        <v>0</v>
      </c>
      <c r="Z52" s="215" t="str">
        <f>IFERROR(VLOOKUP(B52,Annuaire_roster!B:F,3,0),"-")</f>
        <v>Google Leads</v>
      </c>
      <c r="AA52" s="215">
        <f>IFERROR(VLOOKUP(B52,Annuaire_roster!B:I,6,0),"-")</f>
        <v>0</v>
      </c>
      <c r="AB52" s="142" t="str">
        <f t="shared" si="28"/>
        <v/>
      </c>
      <c r="AC52" s="142" t="str">
        <f t="shared" si="29"/>
        <v/>
      </c>
      <c r="AD52" s="142" t="str">
        <f t="shared" si="30"/>
        <v/>
      </c>
      <c r="AE52" s="216" t="str">
        <f t="shared" si="31"/>
        <v/>
      </c>
      <c r="AF52" s="217"/>
      <c r="AG52" s="142"/>
    </row>
    <row r="53" spans="1:33" hidden="1" x14ac:dyDescent="0.2">
      <c r="A53" s="210">
        <f>VLOOKUP(B53,Annuaire_roster!B:F,5,0)</f>
        <v>971</v>
      </c>
      <c r="B53" s="165" t="s">
        <v>83</v>
      </c>
      <c r="C53" s="61" t="str">
        <f>IFERROR(IF(COUNTIFS(Connexions!$K:$K,$Q53,Connexions!$E:$E,VLOOKUP($B53,Mapping_Noms!$A:$B,2,0))=0,"",_xlfn.MINIFS(Connexions!$M:$M,Connexions!$K:$K,$Q53,Connexions!$E:$E,VLOOKUP($B53,Mapping_Noms!$A:$B,2,0))-TIME(1,0,0)),"")</f>
        <v/>
      </c>
      <c r="D53" s="61">
        <f t="array" ref="D53">IFERROR(INDEX(Planning2[],MATCH(1,(Planning2[Nom]=B53)*(Planning2[Date]=Q53),0),3),"-")</f>
        <v>0.41666666666666669</v>
      </c>
      <c r="E53" s="38" t="str">
        <f>IFERROR(IF(COUNTIFS(Connexions!$K:$K,$Q53,Connexions!$E:$E,VLOOKUP($B53,Mapping_Noms!$A:$B,2,0))=0,"",_xlfn.MAXIFS(Connexions!$O:$O,Connexions!$K:$K,$Q53,Connexions!$E:$E,VLOOKUP($B53,Mapping_Noms!$A:$B,2,0))-TIME(1,0,0)),"")</f>
        <v/>
      </c>
      <c r="F53" s="38">
        <f t="array" ref="F53">IFERROR(INDEX(Planning2[],MATCH(1,(Planning2[Nom]=B53)*(Planning2[Date]=Q53),0),4),"-")</f>
        <v>0.83333333333333337</v>
      </c>
      <c r="G53" s="88"/>
      <c r="H53" s="88"/>
      <c r="I53" s="235" t="str">
        <f t="shared" si="16"/>
        <v/>
      </c>
      <c r="J53" s="88"/>
      <c r="K53" s="89">
        <f t="shared" si="32"/>
        <v>0</v>
      </c>
      <c r="L53" s="88">
        <f t="shared" si="18"/>
        <v>0</v>
      </c>
      <c r="M53" s="62" t="str">
        <f t="shared" si="19"/>
        <v>Abs</v>
      </c>
      <c r="N53" s="211" t="str">
        <f t="shared" si="20"/>
        <v/>
      </c>
      <c r="O53" s="90">
        <f t="shared" si="33"/>
        <v>0.375</v>
      </c>
      <c r="P53" s="91" t="str">
        <f>IFERROR(VLOOKUP($B53,Annuaire_roster!$B:$G,MATCH(P$1,Annuaire_roster!$B$1:$G$1,0),0),"-")</f>
        <v>Google Leads</v>
      </c>
      <c r="Q53" s="212">
        <v>44762</v>
      </c>
      <c r="R53" s="142">
        <f t="shared" si="22"/>
        <v>0.375</v>
      </c>
      <c r="S53" s="142">
        <f t="shared" si="23"/>
        <v>0.375</v>
      </c>
      <c r="T53" s="16" t="str">
        <f t="shared" si="24"/>
        <v>Sem - 30</v>
      </c>
      <c r="U53" s="16" t="str">
        <f t="shared" si="25"/>
        <v>Juillet</v>
      </c>
      <c r="V53" s="213" t="str">
        <f t="shared" si="26"/>
        <v>2026</v>
      </c>
      <c r="W53" s="211"/>
      <c r="X53" s="214">
        <f t="shared" si="27"/>
        <v>0</v>
      </c>
      <c r="Y53" s="215" t="str">
        <f>IFERROR(VLOOKUP(B53,Annuaire_roster!B:E,4,0),"-")</f>
        <v>CHOUIFI Mustapha</v>
      </c>
      <c r="Z53" s="215" t="str">
        <f>IFERROR(VLOOKUP(B53,Annuaire_roster!B:F,3,0),"-")</f>
        <v>Google Leads</v>
      </c>
      <c r="AA53" s="215" t="str">
        <f>IFERROR(VLOOKUP(B53,Annuaire_roster!B:I,6,0),"-")</f>
        <v>Forfaitaire</v>
      </c>
      <c r="AB53" s="142" t="str">
        <f t="shared" si="28"/>
        <v/>
      </c>
      <c r="AC53" s="142" t="str">
        <f t="shared" si="29"/>
        <v/>
      </c>
      <c r="AD53" s="142" t="str">
        <f t="shared" si="30"/>
        <v/>
      </c>
      <c r="AE53" s="216" t="str">
        <f t="shared" si="31"/>
        <v/>
      </c>
      <c r="AF53" s="217"/>
      <c r="AG53" s="142"/>
    </row>
    <row r="54" spans="1:33" hidden="1" x14ac:dyDescent="0.2">
      <c r="A54" s="210">
        <f>VLOOKUP(B54,Annuaire_roster!B:F,5,0)</f>
        <v>397</v>
      </c>
      <c r="B54" s="165" t="s">
        <v>215</v>
      </c>
      <c r="C54" s="61" t="str">
        <f>IFERROR(IF(COUNTIFS(Connexions!$K:$K,$Q54,Connexions!$E:$E,VLOOKUP($B54,Mapping_Noms!$A:$B,2,0))=0,"",_xlfn.MINIFS(Connexions!$M:$M,Connexions!$K:$K,$Q54,Connexions!$E:$E,VLOOKUP($B54,Mapping_Noms!$A:$B,2,0))-TIME(1,0,0)),"")</f>
        <v/>
      </c>
      <c r="D54" s="61">
        <f t="array" ref="D54">IFERROR(INDEX(Planning2[],MATCH(1,(Planning2[Nom]=B54)*(Planning2[Date]=Q54),0),3),"-")</f>
        <v>0.41666666666666669</v>
      </c>
      <c r="E54" s="38" t="str">
        <f>IFERROR(IF(COUNTIFS(Connexions!$K:$K,$Q54,Connexions!$E:$E,VLOOKUP($B54,Mapping_Noms!$A:$B,2,0))=0,"",_xlfn.MAXIFS(Connexions!$O:$O,Connexions!$K:$K,$Q54,Connexions!$E:$E,VLOOKUP($B54,Mapping_Noms!$A:$B,2,0))-TIME(1,0,0)),"")</f>
        <v/>
      </c>
      <c r="F54" s="38">
        <f t="array" ref="F54">IFERROR(INDEX(Planning2[],MATCH(1,(Planning2[Nom]=B54)*(Planning2[Date]=Q54),0),4),"-")</f>
        <v>0.83333333333333337</v>
      </c>
      <c r="G54" s="88"/>
      <c r="H54" s="88"/>
      <c r="I54" s="235" t="str">
        <f t="shared" si="16"/>
        <v/>
      </c>
      <c r="J54" s="88"/>
      <c r="K54" s="89">
        <f t="shared" si="32"/>
        <v>0</v>
      </c>
      <c r="L54" s="88">
        <f t="shared" si="18"/>
        <v>0</v>
      </c>
      <c r="M54" s="62" t="str">
        <f t="shared" si="19"/>
        <v>Abs</v>
      </c>
      <c r="N54" s="211" t="str">
        <f t="shared" si="20"/>
        <v/>
      </c>
      <c r="O54" s="90">
        <f t="shared" si="33"/>
        <v>0.375</v>
      </c>
      <c r="P54" s="91" t="str">
        <f>IFERROR(VLOOKUP($B54,Annuaire_roster!$B:$G,MATCH(P$1,Annuaire_roster!$B$1:$G$1,0),0),"-")</f>
        <v>Google Leads</v>
      </c>
      <c r="Q54" s="212">
        <v>44762</v>
      </c>
      <c r="R54" s="142">
        <f t="shared" si="22"/>
        <v>0.375</v>
      </c>
      <c r="S54" s="142">
        <f t="shared" si="23"/>
        <v>0.375</v>
      </c>
      <c r="T54" s="16" t="str">
        <f t="shared" si="24"/>
        <v>Sem - 30</v>
      </c>
      <c r="U54" s="16" t="str">
        <f t="shared" si="25"/>
        <v>Juillet</v>
      </c>
      <c r="V54" s="213" t="str">
        <f t="shared" si="26"/>
        <v>2026</v>
      </c>
      <c r="W54" s="211"/>
      <c r="X54" s="214">
        <f t="shared" si="27"/>
        <v>0</v>
      </c>
      <c r="Y54" s="215" t="str">
        <f>IFERROR(VLOOKUP(B54,Annuaire_roster!B:E,4,0),"-")</f>
        <v>OUAQERROUCH Nour-El Houda</v>
      </c>
      <c r="Z54" s="215" t="str">
        <f>IFERROR(VLOOKUP(B54,Annuaire_roster!B:F,3,0),"-")</f>
        <v>Google Leads</v>
      </c>
      <c r="AA54" s="215" t="str">
        <f>IFERROR(VLOOKUP(B54,Annuaire_roster!B:I,6,0),"-")</f>
        <v>Forfaitaire</v>
      </c>
      <c r="AB54" s="142" t="str">
        <f t="shared" si="28"/>
        <v/>
      </c>
      <c r="AC54" s="142" t="str">
        <f t="shared" si="29"/>
        <v/>
      </c>
      <c r="AD54" s="142" t="str">
        <f t="shared" si="30"/>
        <v/>
      </c>
      <c r="AE54" s="216" t="str">
        <f t="shared" si="31"/>
        <v/>
      </c>
      <c r="AF54" s="217"/>
      <c r="AG54" s="142"/>
    </row>
    <row r="55" spans="1:33" hidden="1" x14ac:dyDescent="0.2">
      <c r="A55" s="70">
        <f>VLOOKUP(B55,Annuaire_roster!B:F,5,0)</f>
        <v>1008</v>
      </c>
      <c r="B55" s="165" t="s">
        <v>94</v>
      </c>
      <c r="C55" s="61" t="str">
        <f>IFERROR(IF(COUNTIFS(Connexions!$K:$K,$Q55,Connexions!$E:$E,VLOOKUP($B55,Mapping_Noms!$A:$B,2,0))=0,"",_xlfn.MINIFS(Connexions!$M:$M,Connexions!$K:$K,$Q55,Connexions!$E:$E,VLOOKUP($B55,Mapping_Noms!$A:$B,2,0))-TIME(1,0,0)),"")</f>
        <v/>
      </c>
      <c r="D55" s="61">
        <f t="array" ref="D55">IFERROR(INDEX(Planning2[],MATCH(1,(Planning2[Nom]=B55)*(Planning2[Date]=Q55),0),3),"-")</f>
        <v>0.41666666666666669</v>
      </c>
      <c r="E55" s="38" t="str">
        <f>IFERROR(IF(COUNTIFS(Connexions!$K:$K,$Q55,Connexions!$E:$E,VLOOKUP($B55,Mapping_Noms!$A:$B,2,0))=0,"",_xlfn.MAXIFS(Connexions!$O:$O,Connexions!$K:$K,$Q55,Connexions!$E:$E,VLOOKUP($B55,Mapping_Noms!$A:$B,2,0))-TIME(1,0,0)),"")</f>
        <v/>
      </c>
      <c r="F55" s="38">
        <f t="array" ref="F55">IFERROR(INDEX(Planning2[],MATCH(1,(Planning2[Nom]=B55)*(Planning2[Date]=Q55),0),4),"-")</f>
        <v>0.83333333333333337</v>
      </c>
      <c r="G55" s="88"/>
      <c r="H55" s="88"/>
      <c r="I55" s="235" t="str">
        <f t="shared" si="16"/>
        <v/>
      </c>
      <c r="J55" s="88"/>
      <c r="K55" s="89">
        <f t="shared" si="32"/>
        <v>0</v>
      </c>
      <c r="L55" s="88">
        <f t="shared" si="18"/>
        <v>0</v>
      </c>
      <c r="M55" s="62" t="str">
        <f t="shared" si="19"/>
        <v>Abs</v>
      </c>
      <c r="N55" s="102" t="str">
        <f t="shared" si="20"/>
        <v/>
      </c>
      <c r="O55" s="90">
        <f t="shared" si="33"/>
        <v>0.375</v>
      </c>
      <c r="P55" s="91" t="str">
        <f>IFERROR(VLOOKUP($B55,Annuaire_roster!$B:$G,MATCH(P$1,Annuaire_roster!$B$1:$G$1,0),0),"-")</f>
        <v>Google Leads</v>
      </c>
      <c r="Q55" s="100">
        <v>44762</v>
      </c>
      <c r="R55" s="10">
        <f t="shared" si="22"/>
        <v>0.375</v>
      </c>
      <c r="S55" s="10">
        <f t="shared" si="23"/>
        <v>0.375</v>
      </c>
      <c r="T55" s="16" t="str">
        <f t="shared" si="24"/>
        <v>Sem - 30</v>
      </c>
      <c r="U55" s="16" t="str">
        <f t="shared" si="25"/>
        <v>Juillet</v>
      </c>
      <c r="V55" s="11" t="str">
        <f t="shared" si="26"/>
        <v>2026</v>
      </c>
      <c r="W55" s="9"/>
      <c r="X55" s="5">
        <f t="shared" si="27"/>
        <v>0</v>
      </c>
      <c r="Y55" s="12" t="str">
        <f>IFERROR(VLOOKUP(B55,Annuaire_roster!B:E,4,0),"-")</f>
        <v>CHOUIFI Mustapha</v>
      </c>
      <c r="Z55" s="12" t="str">
        <f>IFERROR(VLOOKUP(B55,Annuaire_roster!B:F,3,0),"-")</f>
        <v>Google Leads</v>
      </c>
      <c r="AA55" s="12" t="str">
        <f>IFERROR(VLOOKUP(B55,Annuaire_roster!B:I,6,0),"-")</f>
        <v>Forfaitaire</v>
      </c>
      <c r="AB55" s="142" t="str">
        <f t="shared" si="28"/>
        <v/>
      </c>
      <c r="AC55" s="142" t="str">
        <f t="shared" si="29"/>
        <v/>
      </c>
      <c r="AD55" s="142" t="str">
        <f t="shared" si="30"/>
        <v/>
      </c>
      <c r="AE55" s="143" t="str">
        <f t="shared" si="31"/>
        <v/>
      </c>
      <c r="AF55" s="217"/>
      <c r="AG55" s="10"/>
    </row>
    <row r="56" spans="1:33" hidden="1" x14ac:dyDescent="0.2">
      <c r="A56" s="70">
        <f>VLOOKUP(B56,Annuaire_roster!B:F,5,0)</f>
        <v>0</v>
      </c>
      <c r="B56" s="165" t="s">
        <v>221</v>
      </c>
      <c r="C56" s="61" t="str">
        <f>IFERROR(IF(COUNTIFS(Connexions!$K:$K,$Q56,Connexions!$E:$E,VLOOKUP($B56,Mapping_Noms!$A:$B,2,0))=0,"",_xlfn.MINIFS(Connexions!$M:$M,Connexions!$K:$K,$Q56,Connexions!$E:$E,VLOOKUP($B56,Mapping_Noms!$A:$B,2,0))-TIME(1,0,0)),"")</f>
        <v/>
      </c>
      <c r="D56" s="61">
        <f t="array" ref="D56">IFERROR(INDEX(Planning2[],MATCH(1,(Planning2[Nom]=B56)*(Planning2[Date]=Q56),0),3),"-")</f>
        <v>0.41666666666666669</v>
      </c>
      <c r="E56" s="38" t="str">
        <f>IFERROR(IF(COUNTIFS(Connexions!$K:$K,$Q56,Connexions!$E:$E,VLOOKUP($B56,Mapping_Noms!$A:$B,2,0))=0,"",_xlfn.MAXIFS(Connexions!$O:$O,Connexions!$K:$K,$Q56,Connexions!$E:$E,VLOOKUP($B56,Mapping_Noms!$A:$B,2,0))-TIME(1,0,0)),"")</f>
        <v/>
      </c>
      <c r="F56" s="38">
        <f t="array" ref="F56">IFERROR(INDEX(Planning2[],MATCH(1,(Planning2[Nom]=B56)*(Planning2[Date]=Q56),0),4),"-")</f>
        <v>0.83333333333333337</v>
      </c>
      <c r="G56" s="88"/>
      <c r="H56" s="88"/>
      <c r="I56" s="235" t="str">
        <f t="shared" si="16"/>
        <v/>
      </c>
      <c r="J56" s="88"/>
      <c r="K56" s="89">
        <f t="shared" si="32"/>
        <v>0</v>
      </c>
      <c r="L56" s="88">
        <f t="shared" si="18"/>
        <v>0</v>
      </c>
      <c r="M56" s="62" t="str">
        <f t="shared" si="19"/>
        <v>Abs</v>
      </c>
      <c r="N56" s="102" t="str">
        <f t="shared" si="20"/>
        <v/>
      </c>
      <c r="O56" s="90">
        <f t="shared" si="33"/>
        <v>0.375</v>
      </c>
      <c r="P56" s="91" t="str">
        <f>IFERROR(VLOOKUP($B56,Annuaire_roster!$B:$G,MATCH(P$1,Annuaire_roster!$B$1:$G$1,0),0),"-")</f>
        <v>Google Leads</v>
      </c>
      <c r="Q56" s="100">
        <v>44762</v>
      </c>
      <c r="R56" s="10">
        <f t="shared" si="22"/>
        <v>0.375</v>
      </c>
      <c r="S56" s="10">
        <f t="shared" si="23"/>
        <v>0.375</v>
      </c>
      <c r="T56" s="16" t="str">
        <f t="shared" si="24"/>
        <v>Sem - 30</v>
      </c>
      <c r="U56" s="16" t="str">
        <f t="shared" si="25"/>
        <v>Juillet</v>
      </c>
      <c r="V56" s="11" t="str">
        <f t="shared" si="26"/>
        <v>2026</v>
      </c>
      <c r="W56" s="9"/>
      <c r="X56" s="5">
        <f t="shared" si="27"/>
        <v>0</v>
      </c>
      <c r="Y56" s="12">
        <f>IFERROR(VLOOKUP(B56,Annuaire_roster!B:E,4,0),"-")</f>
        <v>0</v>
      </c>
      <c r="Z56" s="12" t="str">
        <f>IFERROR(VLOOKUP(B56,Annuaire_roster!B:F,3,0),"-")</f>
        <v>Google Leads</v>
      </c>
      <c r="AA56" s="12">
        <f>IFERROR(VLOOKUP(B56,Annuaire_roster!B:I,6,0),"-")</f>
        <v>0</v>
      </c>
      <c r="AB56" s="142" t="str">
        <f t="shared" si="28"/>
        <v/>
      </c>
      <c r="AC56" s="142" t="str">
        <f t="shared" si="29"/>
        <v/>
      </c>
      <c r="AD56" s="142" t="str">
        <f t="shared" si="30"/>
        <v/>
      </c>
      <c r="AE56" s="143" t="str">
        <f t="shared" si="31"/>
        <v/>
      </c>
      <c r="AF56" s="63"/>
      <c r="AG56" s="10"/>
    </row>
    <row r="57" spans="1:33" hidden="1" x14ac:dyDescent="0.2">
      <c r="A57" s="70">
        <f>VLOOKUP(B57,Annuaire_roster!B:F,5,0)</f>
        <v>1165</v>
      </c>
      <c r="B57" s="165" t="s">
        <v>120</v>
      </c>
      <c r="C57" s="61" t="str">
        <f>IFERROR(IF(COUNTIFS(Connexions!$K:$K,$Q57,Connexions!$E:$E,VLOOKUP($B57,Mapping_Noms!$A:$B,2,0))=0,"",_xlfn.MINIFS(Connexions!$M:$M,Connexions!$K:$K,$Q57,Connexions!$E:$E,VLOOKUP($B57,Mapping_Noms!$A:$B,2,0))-TIME(1,0,0)),"")</f>
        <v/>
      </c>
      <c r="D57" s="61">
        <v>0.29166666666666669</v>
      </c>
      <c r="E57" s="38" t="str">
        <f>IFERROR(IF(COUNTIFS(Connexions!$K:$K,$Q57,Connexions!$E:$E,VLOOKUP($B57,Mapping_Noms!$A:$B,2,0))=0,"",_xlfn.MAXIFS(Connexions!$O:$O,Connexions!$K:$K,$Q57,Connexions!$E:$E,VLOOKUP($B57,Mapping_Noms!$A:$B,2,0))-TIME(1,0,0)),"")</f>
        <v/>
      </c>
      <c r="F57" s="38">
        <f t="array" ref="F57">IFERROR(INDEX(Planning2[],MATCH(1,(Planning2[Nom]=B57)*(Planning2[Date]=Q57),0),4),"-")</f>
        <v>0.70833333333333337</v>
      </c>
      <c r="G57" s="88"/>
      <c r="H57" s="88"/>
      <c r="I57" s="235" t="str">
        <f t="shared" si="16"/>
        <v/>
      </c>
      <c r="J57" s="88"/>
      <c r="K57" s="89">
        <f t="shared" si="32"/>
        <v>0</v>
      </c>
      <c r="L57" s="88">
        <f t="shared" si="18"/>
        <v>0</v>
      </c>
      <c r="M57" s="62" t="str">
        <f t="shared" si="19"/>
        <v>Abs</v>
      </c>
      <c r="N57" s="102" t="str">
        <f t="shared" si="20"/>
        <v/>
      </c>
      <c r="O57" s="90">
        <f t="shared" si="33"/>
        <v>0.375</v>
      </c>
      <c r="P57" s="91" t="str">
        <f>IFERROR(VLOOKUP($B57,Annuaire_roster!$B:$G,MATCH(P$1,Annuaire_roster!$B$1:$G$1,0),0),"-")</f>
        <v>Google Leads</v>
      </c>
      <c r="Q57" s="100">
        <v>44762</v>
      </c>
      <c r="R57" s="10">
        <f t="shared" si="22"/>
        <v>0.375</v>
      </c>
      <c r="S57" s="10">
        <f t="shared" si="23"/>
        <v>0.375</v>
      </c>
      <c r="T57" s="16" t="str">
        <f t="shared" si="24"/>
        <v>Sem - 30</v>
      </c>
      <c r="U57" s="16" t="str">
        <f t="shared" si="25"/>
        <v>Juillet</v>
      </c>
      <c r="V57" s="11" t="str">
        <f t="shared" si="26"/>
        <v>2026</v>
      </c>
      <c r="W57" s="9"/>
      <c r="X57" s="5">
        <f t="shared" si="27"/>
        <v>0</v>
      </c>
      <c r="Y57" s="12" t="str">
        <f>IFERROR(VLOOKUP(B57,Annuaire_roster!B:E,4,0),"-")</f>
        <v>OUAQERROUCH Nour-El Houda</v>
      </c>
      <c r="Z57" s="12" t="str">
        <f>IFERROR(VLOOKUP(B57,Annuaire_roster!B:F,3,0),"-")</f>
        <v>Google Leads</v>
      </c>
      <c r="AA57" s="12" t="str">
        <f>IFERROR(VLOOKUP(B57,Annuaire_roster!B:I,6,0),"-")</f>
        <v>Forfaitaire</v>
      </c>
      <c r="AB57" s="142" t="str">
        <f t="shared" si="28"/>
        <v/>
      </c>
      <c r="AC57" s="142" t="str">
        <f t="shared" si="29"/>
        <v/>
      </c>
      <c r="AD57" s="142" t="str">
        <f t="shared" si="30"/>
        <v/>
      </c>
      <c r="AE57" s="143" t="str">
        <f t="shared" si="31"/>
        <v/>
      </c>
      <c r="AF57" s="217"/>
      <c r="AG57" s="10"/>
    </row>
    <row r="58" spans="1:33" hidden="1" x14ac:dyDescent="0.2">
      <c r="A58" s="70">
        <f>VLOOKUP(B58,Annuaire_roster!B:F,5,0)</f>
        <v>0</v>
      </c>
      <c r="B58" s="165" t="s">
        <v>198</v>
      </c>
      <c r="C58" s="61" t="str">
        <f>IFERROR(IF(COUNTIFS(Connexions!$K:$K,$Q58,Connexions!$E:$E,VLOOKUP($B58,Mapping_Noms!$A:$B,2,0))=0,"",_xlfn.MINIFS(Connexions!$M:$M,Connexions!$K:$K,$Q58,Connexions!$E:$E,VLOOKUP($B58,Mapping_Noms!$A:$B,2,0))-TIME(1,0,0)),"")</f>
        <v/>
      </c>
      <c r="D58" s="61" t="str">
        <f t="array" ref="D58">IFERROR(INDEX(Planning2[],MATCH(1,(Planning2[Nom]=B58)*(Planning2[Date]=Q58),0),3),"-")</f>
        <v>Congé</v>
      </c>
      <c r="E58" s="38" t="str">
        <f>IFERROR(IF(COUNTIFS(Connexions!$K:$K,$Q58,Connexions!$E:$E,VLOOKUP($B58,Mapping_Noms!$A:$B,2,0))=0,"",_xlfn.MAXIFS(Connexions!$O:$O,Connexions!$K:$K,$Q58,Connexions!$E:$E,VLOOKUP($B58,Mapping_Noms!$A:$B,2,0))-TIME(1,0,0)),"")</f>
        <v/>
      </c>
      <c r="F58" s="38" t="str">
        <f t="array" ref="F58">IFERROR(INDEX(Planning2[],MATCH(1,(Planning2[Nom]=B58)*(Planning2[Date]=Q58),0),4),"-")</f>
        <v>Congé</v>
      </c>
      <c r="G58" s="88"/>
      <c r="H58" s="88"/>
      <c r="I58" s="235" t="str">
        <f t="shared" si="16"/>
        <v/>
      </c>
      <c r="J58" s="88"/>
      <c r="K58" s="89">
        <f t="shared" si="32"/>
        <v>0</v>
      </c>
      <c r="L58" s="88">
        <f t="shared" si="18"/>
        <v>0</v>
      </c>
      <c r="M58" s="62">
        <f t="shared" si="19"/>
        <v>0</v>
      </c>
      <c r="N58" s="102" t="str">
        <f t="shared" si="20"/>
        <v/>
      </c>
      <c r="O58" s="90">
        <f t="shared" si="33"/>
        <v>0</v>
      </c>
      <c r="P58" s="91" t="str">
        <f>IFERROR(VLOOKUP($B58,Annuaire_roster!$B:$G,MATCH(P$1,Annuaire_roster!$B$1:$G$1,0),0),"-")</f>
        <v>Google Leads</v>
      </c>
      <c r="Q58" s="100">
        <v>44762</v>
      </c>
      <c r="R58" s="10">
        <f t="shared" si="22"/>
        <v>0</v>
      </c>
      <c r="S58" s="10">
        <f t="shared" si="23"/>
        <v>0</v>
      </c>
      <c r="T58" s="16" t="str">
        <f t="shared" si="24"/>
        <v>Sem - 30</v>
      </c>
      <c r="U58" s="16" t="str">
        <f t="shared" si="25"/>
        <v>Juillet</v>
      </c>
      <c r="V58" s="11" t="str">
        <f t="shared" si="26"/>
        <v>2026</v>
      </c>
      <c r="W58" s="9"/>
      <c r="X58" s="5">
        <f t="shared" si="27"/>
        <v>0</v>
      </c>
      <c r="Y58" s="12">
        <f>IFERROR(VLOOKUP(B58,Annuaire_roster!B:E,4,0),"-")</f>
        <v>0</v>
      </c>
      <c r="Z58" s="12" t="str">
        <f>IFERROR(VLOOKUP(B58,Annuaire_roster!B:F,3,0),"-")</f>
        <v>Google Leads</v>
      </c>
      <c r="AA58" s="12">
        <f>IFERROR(VLOOKUP(B58,Annuaire_roster!B:I,6,0),"-")</f>
        <v>0</v>
      </c>
      <c r="AB58" s="142">
        <f t="shared" si="28"/>
        <v>0.33333333333333298</v>
      </c>
      <c r="AC58" s="142" t="str">
        <f t="shared" si="29"/>
        <v/>
      </c>
      <c r="AD58" s="142" t="str">
        <f t="shared" si="30"/>
        <v/>
      </c>
      <c r="AE58" s="143" t="str">
        <f t="shared" si="31"/>
        <v/>
      </c>
      <c r="AF58" s="63"/>
      <c r="AG58" s="10"/>
    </row>
    <row r="59" spans="1:33" hidden="1" x14ac:dyDescent="0.2">
      <c r="A59" s="210">
        <f>VLOOKUP(B59,Annuaire_roster!B:F,5,0)</f>
        <v>0</v>
      </c>
      <c r="B59" s="165" t="s">
        <v>144</v>
      </c>
      <c r="C59" s="61" t="str">
        <f>IFERROR(IF(COUNTIFS(Connexions!$K:$K,$Q59,Connexions!$E:$E,VLOOKUP($B59,Mapping_Noms!$A:$B,2,0))=0,"",_xlfn.MINIFS(Connexions!$M:$M,Connexions!$K:$K,$Q59,Connexions!$E:$E,VLOOKUP($B59,Mapping_Noms!$A:$B,2,0))-TIME(1,0,0)),"")</f>
        <v/>
      </c>
      <c r="D59" s="61" t="str">
        <f t="array" ref="D59">IFERROR(INDEX(Planning2[],MATCH(1,(Planning2[Nom]=B59)*(Planning2[Date]=Q59),0),3),"-")</f>
        <v>Congé</v>
      </c>
      <c r="E59" s="38" t="str">
        <f>IFERROR(IF(COUNTIFS(Connexions!$K:$K,$Q59,Connexions!$E:$E,VLOOKUP($B59,Mapping_Noms!$A:$B,2,0))=0,"",_xlfn.MAXIFS(Connexions!$O:$O,Connexions!$K:$K,$Q59,Connexions!$E:$E,VLOOKUP($B59,Mapping_Noms!$A:$B,2,0))-TIME(1,0,0)),"")</f>
        <v/>
      </c>
      <c r="F59" s="38" t="str">
        <f t="array" ref="F59">IFERROR(INDEX(Planning2[],MATCH(1,(Planning2[Nom]=B59)*(Planning2[Date]=Q59),0),4),"-")</f>
        <v>Congé</v>
      </c>
      <c r="G59" s="88"/>
      <c r="H59" s="88"/>
      <c r="I59" s="235" t="str">
        <f t="shared" si="16"/>
        <v/>
      </c>
      <c r="J59" s="88"/>
      <c r="K59" s="89">
        <f t="shared" si="32"/>
        <v>0</v>
      </c>
      <c r="L59" s="88">
        <f t="shared" si="18"/>
        <v>0</v>
      </c>
      <c r="M59" s="62">
        <f t="shared" si="19"/>
        <v>0</v>
      </c>
      <c r="N59" s="211" t="str">
        <f t="shared" si="20"/>
        <v/>
      </c>
      <c r="O59" s="90">
        <f t="shared" si="33"/>
        <v>0</v>
      </c>
      <c r="P59" s="91" t="str">
        <f>IFERROR(VLOOKUP($B59,Annuaire_roster!$B:$G,MATCH(P$1,Annuaire_roster!$B$1:$G$1,0),0),"-")</f>
        <v>Google Leads</v>
      </c>
      <c r="Q59" s="212">
        <v>44762</v>
      </c>
      <c r="R59" s="142">
        <f t="shared" si="22"/>
        <v>0</v>
      </c>
      <c r="S59" s="142">
        <f t="shared" si="23"/>
        <v>0</v>
      </c>
      <c r="T59" s="16" t="str">
        <f t="shared" si="24"/>
        <v>Sem - 30</v>
      </c>
      <c r="U59" s="16" t="str">
        <f t="shared" si="25"/>
        <v>Juillet</v>
      </c>
      <c r="V59" s="213" t="str">
        <f t="shared" si="26"/>
        <v>2026</v>
      </c>
      <c r="W59" s="211"/>
      <c r="X59" s="214">
        <f t="shared" si="27"/>
        <v>0</v>
      </c>
      <c r="Y59" s="215" t="str">
        <f>IFERROR(VLOOKUP(B59,Annuaire_roster!B:E,4,0),"-")</f>
        <v>CHOUIFI Mustapha</v>
      </c>
      <c r="Z59" s="215" t="str">
        <f>IFERROR(VLOOKUP(B59,Annuaire_roster!B:F,3,0),"-")</f>
        <v>Google Leads</v>
      </c>
      <c r="AA59" s="215" t="str">
        <f>IFERROR(VLOOKUP(B59,Annuaire_roster!B:I,6,0),"-")</f>
        <v>Forfaitaire</v>
      </c>
      <c r="AB59" s="142">
        <f t="shared" si="28"/>
        <v>0.33333333333333298</v>
      </c>
      <c r="AC59" s="142" t="str">
        <f t="shared" si="29"/>
        <v/>
      </c>
      <c r="AD59" s="142" t="str">
        <f t="shared" si="30"/>
        <v/>
      </c>
      <c r="AE59" s="216" t="str">
        <f t="shared" si="31"/>
        <v/>
      </c>
      <c r="AF59" s="217"/>
      <c r="AG59" s="142"/>
    </row>
    <row r="60" spans="1:33" hidden="1" x14ac:dyDescent="0.2">
      <c r="A60" s="70">
        <f>VLOOKUP(B60,Annuaire_roster!B:F,5,0)</f>
        <v>894</v>
      </c>
      <c r="B60" s="165" t="s">
        <v>80</v>
      </c>
      <c r="C60" s="61" t="str">
        <f>IFERROR(IF(COUNTIFS(Connexions!$K:$K,$Q60,Connexions!$E:$E,VLOOKUP($B60,Mapping_Noms!$A:$B,2,0))=0,"",_xlfn.MINIFS(Connexions!$M:$M,Connexions!$K:$K,$Q60,Connexions!$E:$E,VLOOKUP($B60,Mapping_Noms!$A:$B,2,0))-TIME(1,0,0)),"")</f>
        <v/>
      </c>
      <c r="D60" s="61">
        <v>0.33333333333333331</v>
      </c>
      <c r="E60" s="38" t="str">
        <f>IFERROR(IF(COUNTIFS(Connexions!$K:$K,$Q60,Connexions!$E:$E,VLOOKUP($B60,Mapping_Noms!$A:$B,2,0))=0,"",_xlfn.MAXIFS(Connexions!$O:$O,Connexions!$K:$K,$Q60,Connexions!$E:$E,VLOOKUP($B60,Mapping_Noms!$A:$B,2,0))-TIME(1,0,0)),"")</f>
        <v/>
      </c>
      <c r="F60" s="38">
        <v>0.75</v>
      </c>
      <c r="G60" s="88"/>
      <c r="H60" s="88"/>
      <c r="I60" s="235" t="str">
        <f t="shared" si="16"/>
        <v/>
      </c>
      <c r="J60" s="88"/>
      <c r="K60" s="89">
        <f t="shared" si="32"/>
        <v>0</v>
      </c>
      <c r="L60" s="88">
        <f t="shared" si="18"/>
        <v>0</v>
      </c>
      <c r="M60" s="62" t="str">
        <f t="shared" si="19"/>
        <v>Abs</v>
      </c>
      <c r="N60" s="102" t="str">
        <f t="shared" si="20"/>
        <v/>
      </c>
      <c r="O60" s="90">
        <f t="shared" si="33"/>
        <v>0.375</v>
      </c>
      <c r="P60" s="91" t="str">
        <f>IFERROR(VLOOKUP($B60,Annuaire_roster!$B:$G,MATCH(P$1,Annuaire_roster!$B$1:$G$1,0),0),"-")</f>
        <v>Google Leads</v>
      </c>
      <c r="Q60" s="100">
        <v>44762</v>
      </c>
      <c r="R60" s="10">
        <f t="shared" si="22"/>
        <v>0.375</v>
      </c>
      <c r="S60" s="10">
        <f t="shared" si="23"/>
        <v>0.375</v>
      </c>
      <c r="T60" s="16" t="str">
        <f t="shared" si="24"/>
        <v>Sem - 30</v>
      </c>
      <c r="U60" s="16" t="str">
        <f t="shared" si="25"/>
        <v>Juillet</v>
      </c>
      <c r="V60" s="11" t="str">
        <f t="shared" si="26"/>
        <v>2026</v>
      </c>
      <c r="W60" s="9"/>
      <c r="X60" s="5">
        <f t="shared" si="27"/>
        <v>0</v>
      </c>
      <c r="Y60" s="12" t="str">
        <f>IFERROR(VLOOKUP(B60,Annuaire_roster!B:E,4,0),"-")</f>
        <v>OUAQERROUCH Nour-El Houda</v>
      </c>
      <c r="Z60" s="12" t="str">
        <f>IFERROR(VLOOKUP(B60,Annuaire_roster!B:F,3,0),"-")</f>
        <v>Google Leads</v>
      </c>
      <c r="AA60" s="12" t="str">
        <f>IFERROR(VLOOKUP(B60,Annuaire_roster!B:I,6,0),"-")</f>
        <v>Forfaitaire</v>
      </c>
      <c r="AB60" s="142" t="str">
        <f t="shared" si="28"/>
        <v/>
      </c>
      <c r="AC60" s="142" t="str">
        <f t="shared" si="29"/>
        <v/>
      </c>
      <c r="AD60" s="142" t="str">
        <f t="shared" si="30"/>
        <v/>
      </c>
      <c r="AE60" s="143" t="str">
        <f t="shared" si="31"/>
        <v/>
      </c>
      <c r="AF60" s="217"/>
      <c r="AG60" s="10"/>
    </row>
    <row r="61" spans="1:33" hidden="1" x14ac:dyDescent="0.2">
      <c r="A61" s="70">
        <f>VLOOKUP(B61,Annuaire_roster!B:F,5,0)</f>
        <v>364</v>
      </c>
      <c r="B61" s="165" t="s">
        <v>213</v>
      </c>
      <c r="C61" s="61" t="str">
        <f>IFERROR(IF(COUNTIFS(Connexions!$K:$K,$Q61,Connexions!$E:$E,VLOOKUP($B61,Mapping_Noms!$A:$B,2,0))=0,"",_xlfn.MINIFS(Connexions!$M:$M,Connexions!$K:$K,$Q61,Connexions!$E:$E,VLOOKUP($B61,Mapping_Noms!$A:$B,2,0))-TIME(1,0,0)),"")</f>
        <v/>
      </c>
      <c r="D61" s="61" t="str">
        <f t="array" ref="D61">IFERROR(INDEX(Planning2[],MATCH(1,(Planning2[Nom]=B61)*(Planning2[Date]=Q61),0),3),"-")</f>
        <v>OFF</v>
      </c>
      <c r="E61" s="38" t="str">
        <f>IFERROR(IF(COUNTIFS(Connexions!$K:$K,$Q61,Connexions!$E:$E,VLOOKUP($B61,Mapping_Noms!$A:$B,2,0))=0,"",_xlfn.MAXIFS(Connexions!$O:$O,Connexions!$K:$K,$Q61,Connexions!$E:$E,VLOOKUP($B61,Mapping_Noms!$A:$B,2,0))-TIME(1,0,0)),"")</f>
        <v/>
      </c>
      <c r="F61" s="38" t="str">
        <f t="array" ref="F61">IFERROR(INDEX(Planning2[],MATCH(1,(Planning2[Nom]=B61)*(Planning2[Date]=Q61),0),4),"-")</f>
        <v>OFF</v>
      </c>
      <c r="G61" s="88"/>
      <c r="H61" s="88"/>
      <c r="I61" s="235" t="str">
        <f t="shared" si="16"/>
        <v/>
      </c>
      <c r="J61" s="88"/>
      <c r="K61" s="89">
        <f t="shared" si="32"/>
        <v>0</v>
      </c>
      <c r="L61" s="88">
        <f t="shared" si="18"/>
        <v>0</v>
      </c>
      <c r="M61" s="62">
        <f t="shared" si="19"/>
        <v>0</v>
      </c>
      <c r="N61" s="102" t="str">
        <f t="shared" si="20"/>
        <v/>
      </c>
      <c r="O61" s="90">
        <f t="shared" si="33"/>
        <v>0</v>
      </c>
      <c r="P61" s="91" t="str">
        <f>IFERROR(VLOOKUP($B61,Annuaire_roster!$B:$G,MATCH(P$1,Annuaire_roster!$B$1:$G$1,0),0),"-")</f>
        <v>Google Leads</v>
      </c>
      <c r="Q61" s="100">
        <v>44762</v>
      </c>
      <c r="R61" s="10">
        <f t="shared" si="22"/>
        <v>0</v>
      </c>
      <c r="S61" s="10">
        <f t="shared" si="23"/>
        <v>0</v>
      </c>
      <c r="T61" s="16" t="str">
        <f t="shared" si="24"/>
        <v>Sem - 30</v>
      </c>
      <c r="U61" s="16" t="str">
        <f t="shared" si="25"/>
        <v>Juillet</v>
      </c>
      <c r="V61" s="11" t="str">
        <f t="shared" si="26"/>
        <v>2026</v>
      </c>
      <c r="W61" s="9"/>
      <c r="X61" s="5">
        <f t="shared" si="27"/>
        <v>0</v>
      </c>
      <c r="Y61" s="12" t="str">
        <f>IFERROR(VLOOKUP(B61,Annuaire_roster!B:E,4,0),"-")</f>
        <v>OUAQERROUCH Nour-El Houda</v>
      </c>
      <c r="Z61" s="12" t="str">
        <f>IFERROR(VLOOKUP(B61,Annuaire_roster!B:F,3,0),"-")</f>
        <v>Google Leads</v>
      </c>
      <c r="AA61" s="12" t="str">
        <f>IFERROR(VLOOKUP(B61,Annuaire_roster!B:I,6,0),"-")</f>
        <v>Forfaitaire</v>
      </c>
      <c r="AB61" s="142" t="str">
        <f t="shared" si="28"/>
        <v/>
      </c>
      <c r="AC61" s="142" t="str">
        <f t="shared" si="29"/>
        <v/>
      </c>
      <c r="AD61" s="142" t="str">
        <f t="shared" si="30"/>
        <v/>
      </c>
      <c r="AE61" s="143" t="str">
        <f t="shared" si="31"/>
        <v/>
      </c>
      <c r="AF61" s="63"/>
      <c r="AG61" s="10"/>
    </row>
    <row r="62" spans="1:33" hidden="1" x14ac:dyDescent="0.2">
      <c r="A62" s="210">
        <f>VLOOKUP(B62,Annuaire_roster!B:F,5,0)</f>
        <v>1009</v>
      </c>
      <c r="B62" s="165" t="s">
        <v>91</v>
      </c>
      <c r="C62" s="61" t="str">
        <f>IFERROR(IF(COUNTIFS(Connexions!$K:$K,$Q62,Connexions!$E:$E,VLOOKUP($B62,Mapping_Noms!$A:$B,2,0))=0,"",_xlfn.MINIFS(Connexions!$M:$M,Connexions!$K:$K,$Q62,Connexions!$E:$E,VLOOKUP($B62,Mapping_Noms!$A:$B,2,0))-TIME(1,0,0)),"")</f>
        <v/>
      </c>
      <c r="D62" s="61" t="str">
        <f t="array" ref="D62">IFERROR(INDEX(Planning2[],MATCH(1,(Planning2[Nom]=B62)*(Planning2[Date]=Q62),0),3),"-")</f>
        <v>OFF</v>
      </c>
      <c r="E62" s="38" t="str">
        <f>IFERROR(IF(COUNTIFS(Connexions!$K:$K,$Q62,Connexions!$E:$E,VLOOKUP($B62,Mapping_Noms!$A:$B,2,0))=0,"",_xlfn.MAXIFS(Connexions!$O:$O,Connexions!$K:$K,$Q62,Connexions!$E:$E,VLOOKUP($B62,Mapping_Noms!$A:$B,2,0))-TIME(1,0,0)),"")</f>
        <v/>
      </c>
      <c r="F62" s="38" t="str">
        <f t="array" ref="F62">IFERROR(INDEX(Planning2[],MATCH(1,(Planning2[Nom]=B62)*(Planning2[Date]=Q62),0),4),"-")</f>
        <v>OFF</v>
      </c>
      <c r="G62" s="88"/>
      <c r="H62" s="88"/>
      <c r="I62" s="235" t="str">
        <f t="shared" si="16"/>
        <v/>
      </c>
      <c r="J62" s="88"/>
      <c r="K62" s="89">
        <f t="shared" si="32"/>
        <v>0</v>
      </c>
      <c r="L62" s="88">
        <f t="shared" si="18"/>
        <v>0</v>
      </c>
      <c r="M62" s="62">
        <f t="shared" si="19"/>
        <v>0</v>
      </c>
      <c r="N62" s="211" t="str">
        <f t="shared" si="20"/>
        <v/>
      </c>
      <c r="O62" s="90">
        <f t="shared" si="33"/>
        <v>0</v>
      </c>
      <c r="P62" s="91" t="str">
        <f>IFERROR(VLOOKUP($B62,Annuaire_roster!$B:$G,MATCH(P$1,Annuaire_roster!$B$1:$G$1,0),0),"-")</f>
        <v>Google Leads</v>
      </c>
      <c r="Q62" s="212">
        <v>44762</v>
      </c>
      <c r="R62" s="142">
        <f t="shared" si="22"/>
        <v>0</v>
      </c>
      <c r="S62" s="142">
        <f t="shared" si="23"/>
        <v>0</v>
      </c>
      <c r="T62" s="16" t="str">
        <f t="shared" si="24"/>
        <v>Sem - 30</v>
      </c>
      <c r="U62" s="16" t="str">
        <f t="shared" si="25"/>
        <v>Juillet</v>
      </c>
      <c r="V62" s="213" t="str">
        <f t="shared" si="26"/>
        <v>2026</v>
      </c>
      <c r="W62" s="211"/>
      <c r="X62" s="214">
        <f t="shared" si="27"/>
        <v>0</v>
      </c>
      <c r="Y62" s="215" t="str">
        <f>IFERROR(VLOOKUP(B62,Annuaire_roster!B:E,4,0),"-")</f>
        <v>OUAQERROUCH Nour-El Houda</v>
      </c>
      <c r="Z62" s="215" t="str">
        <f>IFERROR(VLOOKUP(B62,Annuaire_roster!B:F,3,0),"-")</f>
        <v>Google Leads</v>
      </c>
      <c r="AA62" s="215" t="str">
        <f>IFERROR(VLOOKUP(B62,Annuaire_roster!B:I,6,0),"-")</f>
        <v>Forfaitaire</v>
      </c>
      <c r="AB62" s="142" t="str">
        <f t="shared" si="28"/>
        <v/>
      </c>
      <c r="AC62" s="142" t="str">
        <f t="shared" si="29"/>
        <v/>
      </c>
      <c r="AD62" s="142" t="str">
        <f t="shared" si="30"/>
        <v/>
      </c>
      <c r="AE62" s="216" t="str">
        <f t="shared" si="31"/>
        <v/>
      </c>
      <c r="AF62" s="63"/>
      <c r="AG62" s="142"/>
    </row>
    <row r="63" spans="1:33" hidden="1" x14ac:dyDescent="0.2">
      <c r="A63" s="70">
        <f>VLOOKUP(B63,Annuaire_roster!B:F,5,0)</f>
        <v>1154</v>
      </c>
      <c r="B63" s="165" t="s">
        <v>110</v>
      </c>
      <c r="C63" s="61" t="str">
        <f>IFERROR(IF(COUNTIFS(Connexions!$K:$K,$Q63,Connexions!$E:$E,VLOOKUP($B63,Mapping_Noms!$A:$B,2,0))=0,"",_xlfn.MINIFS(Connexions!$M:$M,Connexions!$K:$K,$Q63,Connexions!$E:$E,VLOOKUP($B63,Mapping_Noms!$A:$B,2,0))-TIME(1,0,0)),"")</f>
        <v/>
      </c>
      <c r="D63" s="61" t="str">
        <f t="array" ref="D63">IFERROR(INDEX(Planning2[],MATCH(1,(Planning2[Nom]=B63)*(Planning2[Date]=Q63),0),3),"-")</f>
        <v>OFF</v>
      </c>
      <c r="E63" s="38" t="str">
        <f>IFERROR(IF(COUNTIFS(Connexions!$K:$K,$Q63,Connexions!$E:$E,VLOOKUP($B63,Mapping_Noms!$A:$B,2,0))=0,"",_xlfn.MAXIFS(Connexions!$O:$O,Connexions!$K:$K,$Q63,Connexions!$E:$E,VLOOKUP($B63,Mapping_Noms!$A:$B,2,0))-TIME(1,0,0)),"")</f>
        <v/>
      </c>
      <c r="F63" s="38" t="str">
        <f t="array" ref="F63">IFERROR(INDEX(Planning2[],MATCH(1,(Planning2[Nom]=B63)*(Planning2[Date]=Q63),0),4),"-")</f>
        <v>OFF</v>
      </c>
      <c r="G63" s="88"/>
      <c r="H63" s="88"/>
      <c r="I63" s="235" t="str">
        <f t="shared" si="16"/>
        <v/>
      </c>
      <c r="J63" s="88"/>
      <c r="K63" s="89">
        <f t="shared" si="32"/>
        <v>0</v>
      </c>
      <c r="L63" s="88">
        <f t="shared" si="18"/>
        <v>0</v>
      </c>
      <c r="M63" s="62">
        <f t="shared" si="19"/>
        <v>0</v>
      </c>
      <c r="N63" s="102" t="str">
        <f t="shared" si="20"/>
        <v/>
      </c>
      <c r="O63" s="90">
        <f t="shared" si="33"/>
        <v>0</v>
      </c>
      <c r="P63" s="91" t="str">
        <f>IFERROR(VLOOKUP($B63,Annuaire_roster!$B:$G,MATCH(P$1,Annuaire_roster!$B$1:$G$1,0),0),"-")</f>
        <v>Google Leads</v>
      </c>
      <c r="Q63" s="100">
        <v>44762</v>
      </c>
      <c r="R63" s="10">
        <f t="shared" si="22"/>
        <v>0</v>
      </c>
      <c r="S63" s="10">
        <f t="shared" si="23"/>
        <v>0</v>
      </c>
      <c r="T63" s="16" t="str">
        <f t="shared" si="24"/>
        <v>Sem - 30</v>
      </c>
      <c r="U63" s="16" t="str">
        <f t="shared" si="25"/>
        <v>Juillet</v>
      </c>
      <c r="V63" s="11" t="str">
        <f t="shared" si="26"/>
        <v>2026</v>
      </c>
      <c r="W63" s="9"/>
      <c r="X63" s="5">
        <f t="shared" si="27"/>
        <v>0</v>
      </c>
      <c r="Y63" s="12" t="str">
        <f>IFERROR(VLOOKUP(B63,Annuaire_roster!B:E,4,0),"-")</f>
        <v>CHOUIFI Mustapha</v>
      </c>
      <c r="Z63" s="12" t="str">
        <f>IFERROR(VLOOKUP(B63,Annuaire_roster!B:F,3,0),"-")</f>
        <v>Google Leads</v>
      </c>
      <c r="AA63" s="12" t="str">
        <f>IFERROR(VLOOKUP(B63,Annuaire_roster!B:I,6,0),"-")</f>
        <v>Forfaitaire</v>
      </c>
      <c r="AB63" s="142" t="str">
        <f t="shared" si="28"/>
        <v/>
      </c>
      <c r="AC63" s="142" t="str">
        <f t="shared" si="29"/>
        <v/>
      </c>
      <c r="AD63" s="142" t="str">
        <f t="shared" si="30"/>
        <v/>
      </c>
      <c r="AE63" s="143" t="str">
        <f t="shared" si="31"/>
        <v/>
      </c>
      <c r="AF63" s="217"/>
      <c r="AG63" s="10"/>
    </row>
    <row r="64" spans="1:33" hidden="1" x14ac:dyDescent="0.2">
      <c r="A64" s="210">
        <f>VLOOKUP(B64,Annuaire_roster!B:F,5,0)</f>
        <v>1167</v>
      </c>
      <c r="B64" s="165" t="s">
        <v>126</v>
      </c>
      <c r="C64" s="61" t="str">
        <f>IFERROR(IF(COUNTIFS(Connexions!$K:$K,$Q64,Connexions!$E:$E,VLOOKUP($B64,Mapping_Noms!$A:$B,2,0))=0,"",_xlfn.MINIFS(Connexions!$M:$M,Connexions!$K:$K,$Q64,Connexions!$E:$E,VLOOKUP($B64,Mapping_Noms!$A:$B,2,0))-TIME(1,0,0)),"")</f>
        <v/>
      </c>
      <c r="D64" s="61" t="str">
        <f t="array" ref="D64">IFERROR(INDEX(Planning2[],MATCH(1,(Planning2[Nom]=B64)*(Planning2[Date]=Q64),0),3),"-")</f>
        <v>OFF</v>
      </c>
      <c r="E64" s="38" t="str">
        <f>IFERROR(IF(COUNTIFS(Connexions!$K:$K,$Q64,Connexions!$E:$E,VLOOKUP($B64,Mapping_Noms!$A:$B,2,0))=0,"",_xlfn.MAXIFS(Connexions!$O:$O,Connexions!$K:$K,$Q64,Connexions!$E:$E,VLOOKUP($B64,Mapping_Noms!$A:$B,2,0))-TIME(1,0,0)),"")</f>
        <v/>
      </c>
      <c r="F64" s="38" t="str">
        <f t="array" ref="F64">IFERROR(INDEX(Planning2[],MATCH(1,(Planning2[Nom]=B64)*(Planning2[Date]=Q64),0),4),"-")</f>
        <v>OFF</v>
      </c>
      <c r="G64" s="88"/>
      <c r="H64" s="88"/>
      <c r="I64" s="235" t="str">
        <f t="shared" si="16"/>
        <v/>
      </c>
      <c r="J64" s="88"/>
      <c r="K64" s="89">
        <f t="shared" si="32"/>
        <v>0</v>
      </c>
      <c r="L64" s="88">
        <f t="shared" si="18"/>
        <v>0</v>
      </c>
      <c r="M64" s="62">
        <f t="shared" si="19"/>
        <v>0</v>
      </c>
      <c r="N64" s="211" t="str">
        <f t="shared" si="20"/>
        <v/>
      </c>
      <c r="O64" s="90">
        <f t="shared" si="33"/>
        <v>0</v>
      </c>
      <c r="P64" s="91" t="str">
        <f>IFERROR(VLOOKUP($B64,Annuaire_roster!$B:$G,MATCH(P$1,Annuaire_roster!$B$1:$G$1,0),0),"-")</f>
        <v>Google Leads</v>
      </c>
      <c r="Q64" s="212">
        <v>44762</v>
      </c>
      <c r="R64" s="142">
        <f t="shared" si="22"/>
        <v>0</v>
      </c>
      <c r="S64" s="142">
        <f t="shared" si="23"/>
        <v>0</v>
      </c>
      <c r="T64" s="16" t="str">
        <f t="shared" si="24"/>
        <v>Sem - 30</v>
      </c>
      <c r="U64" s="16" t="str">
        <f t="shared" si="25"/>
        <v>Juillet</v>
      </c>
      <c r="V64" s="213" t="str">
        <f t="shared" si="26"/>
        <v>2026</v>
      </c>
      <c r="W64" s="211"/>
      <c r="X64" s="214">
        <f t="shared" si="27"/>
        <v>0</v>
      </c>
      <c r="Y64" s="215" t="str">
        <f>IFERROR(VLOOKUP(B64,Annuaire_roster!B:E,4,0),"-")</f>
        <v>OUAQERROUCH Nour-El Houda</v>
      </c>
      <c r="Z64" s="215" t="str">
        <f>IFERROR(VLOOKUP(B64,Annuaire_roster!B:F,3,0),"-")</f>
        <v>Google Leads</v>
      </c>
      <c r="AA64" s="215" t="str">
        <f>IFERROR(VLOOKUP(B64,Annuaire_roster!B:I,6,0),"-")</f>
        <v>Forfaitaire</v>
      </c>
      <c r="AB64" s="142" t="str">
        <f t="shared" si="28"/>
        <v/>
      </c>
      <c r="AC64" s="142" t="str">
        <f t="shared" si="29"/>
        <v/>
      </c>
      <c r="AD64" s="142" t="str">
        <f t="shared" si="30"/>
        <v/>
      </c>
      <c r="AE64" s="216" t="str">
        <f t="shared" si="31"/>
        <v/>
      </c>
      <c r="AF64" s="63"/>
      <c r="AG64" s="142"/>
    </row>
    <row r="65" spans="1:33" hidden="1" x14ac:dyDescent="0.2">
      <c r="A65" s="210">
        <f>VLOOKUP(B65,Annuaire_roster!B:F,5,0)</f>
        <v>0</v>
      </c>
      <c r="B65" s="165" t="s">
        <v>219</v>
      </c>
      <c r="C65" s="61" t="str">
        <f>IFERROR(IF(COUNTIFS(Connexions!$K:$K,$Q65,Connexions!$E:$E,VLOOKUP($B65,Mapping_Noms!$A:$B,2,0))=0,"",_xlfn.MINIFS(Connexions!$M:$M,Connexions!$K:$K,$Q65,Connexions!$E:$E,VLOOKUP($B65,Mapping_Noms!$A:$B,2,0))-TIME(1,0,0)),"")</f>
        <v/>
      </c>
      <c r="D65" s="61" t="str">
        <f t="array" ref="D65">IFERROR(INDEX(Planning2[],MATCH(1,(Planning2[Nom]=B65)*(Planning2[Date]=Q65),0),3),"-")</f>
        <v>OFF</v>
      </c>
      <c r="E65" s="38" t="str">
        <f>IFERROR(IF(COUNTIFS(Connexions!$K:$K,$Q65,Connexions!$E:$E,VLOOKUP($B65,Mapping_Noms!$A:$B,2,0))=0,"",_xlfn.MAXIFS(Connexions!$O:$O,Connexions!$K:$K,$Q65,Connexions!$E:$E,VLOOKUP($B65,Mapping_Noms!$A:$B,2,0))-TIME(1,0,0)),"")</f>
        <v/>
      </c>
      <c r="F65" s="38" t="str">
        <f t="array" ref="F65">IFERROR(INDEX(Planning2[],MATCH(1,(Planning2[Nom]=B65)*(Planning2[Date]=Q65),0),4),"-")</f>
        <v>OFF</v>
      </c>
      <c r="G65" s="88"/>
      <c r="H65" s="88"/>
      <c r="I65" s="235" t="str">
        <f t="shared" si="16"/>
        <v/>
      </c>
      <c r="J65" s="88"/>
      <c r="K65" s="89">
        <f t="shared" si="32"/>
        <v>0</v>
      </c>
      <c r="L65" s="88">
        <f t="shared" si="18"/>
        <v>0</v>
      </c>
      <c r="M65" s="62">
        <f t="shared" si="19"/>
        <v>0</v>
      </c>
      <c r="N65" s="211" t="str">
        <f t="shared" si="20"/>
        <v/>
      </c>
      <c r="O65" s="90">
        <f t="shared" si="33"/>
        <v>0</v>
      </c>
      <c r="P65" s="91" t="str">
        <f>IFERROR(VLOOKUP($B65,Annuaire_roster!$B:$G,MATCH(P$1,Annuaire_roster!$B$1:$G$1,0),0),"-")</f>
        <v>Google Leads</v>
      </c>
      <c r="Q65" s="212">
        <v>44762</v>
      </c>
      <c r="R65" s="142">
        <f t="shared" si="22"/>
        <v>0</v>
      </c>
      <c r="S65" s="142">
        <f t="shared" si="23"/>
        <v>0</v>
      </c>
      <c r="T65" s="16" t="str">
        <f t="shared" si="24"/>
        <v>Sem - 30</v>
      </c>
      <c r="U65" s="16" t="str">
        <f t="shared" si="25"/>
        <v>Juillet</v>
      </c>
      <c r="V65" s="213" t="str">
        <f t="shared" si="26"/>
        <v>2026</v>
      </c>
      <c r="W65" s="211"/>
      <c r="X65" s="214">
        <f t="shared" si="27"/>
        <v>0</v>
      </c>
      <c r="Y65" s="215">
        <f>IFERROR(VLOOKUP(B65,Annuaire_roster!B:E,4,0),"-")</f>
        <v>0</v>
      </c>
      <c r="Z65" s="215" t="str">
        <f>IFERROR(VLOOKUP(B65,Annuaire_roster!B:F,3,0),"-")</f>
        <v>Google Leads</v>
      </c>
      <c r="AA65" s="215">
        <f>IFERROR(VLOOKUP(B65,Annuaire_roster!B:I,6,0),"-")</f>
        <v>0</v>
      </c>
      <c r="AB65" s="142" t="str">
        <f t="shared" si="28"/>
        <v/>
      </c>
      <c r="AC65" s="142" t="str">
        <f t="shared" si="29"/>
        <v/>
      </c>
      <c r="AD65" s="142" t="str">
        <f t="shared" si="30"/>
        <v/>
      </c>
      <c r="AE65" s="216" t="str">
        <f t="shared" si="31"/>
        <v/>
      </c>
      <c r="AF65" s="217"/>
      <c r="AG65" s="142"/>
    </row>
    <row r="66" spans="1:33" hidden="1" x14ac:dyDescent="0.2">
      <c r="A66" s="70">
        <f>VLOOKUP(B66,Annuaire_roster!B:F,5,0)</f>
        <v>1007</v>
      </c>
      <c r="B66" s="165" t="s">
        <v>89</v>
      </c>
      <c r="C66" s="61" t="str">
        <f>IFERROR(IF(COUNTIFS(Connexions!$K:$K,$Q66,Connexions!$E:$E,VLOOKUP($B66,Mapping_Noms!$A:$B,2,0))=0,"",_xlfn.MINIFS(Connexions!$M:$M,Connexions!$K:$K,$Q66,Connexions!$E:$E,VLOOKUP($B66,Mapping_Noms!$A:$B,2,0))-TIME(1,0,0)),"")</f>
        <v/>
      </c>
      <c r="D66" s="61">
        <f t="array" ref="D66">IFERROR(INDEX(Planning2[],MATCH(1,(Planning2[Nom]=B66)*(Planning2[Date]=Q66),0),3),"-")</f>
        <v>0.29166666666666669</v>
      </c>
      <c r="E66" s="38" t="str">
        <f>IFERROR(IF(COUNTIFS(Connexions!$K:$K,$Q66,Connexions!$E:$E,VLOOKUP($B66,Mapping_Noms!$A:$B,2,0))=0,"",_xlfn.MAXIFS(Connexions!$O:$O,Connexions!$K:$K,$Q66,Connexions!$E:$E,VLOOKUP($B66,Mapping_Noms!$A:$B,2,0))-TIME(1,0,0)),"")</f>
        <v/>
      </c>
      <c r="F66" s="38">
        <f t="array" ref="F66">IFERROR(INDEX(Planning2[],MATCH(1,(Planning2[Nom]=B66)*(Planning2[Date]=Q66),0),4),"-")</f>
        <v>0.70833333333333337</v>
      </c>
      <c r="G66" s="88"/>
      <c r="H66" s="88"/>
      <c r="I66" s="235" t="str">
        <f t="shared" ref="I66:I75" si="34">IF(IF(OR(C66="",D66="Congé",D66="OFF",D66="Congé spécial"),"",IF(D66&gt;F66,D66-C66,IF(C66-D66&lt;0,0,C66-D66)))&lt;0.00068287037037037,"",IF(OR(D66="Congé",D66="OFF",C66="",D66="Congé spécial"),"",IF(D66&gt;F66,D66-C66,IF(C66-D66&lt;0,0,C66-D66))))</f>
        <v/>
      </c>
      <c r="J66" s="88"/>
      <c r="K66" s="89">
        <f t="shared" ref="K66:K97" si="35">IF(SUM(H66:J66)&lt;0.00068287037037037,0,SUM(H66:J66))</f>
        <v>0</v>
      </c>
      <c r="L66" s="88">
        <f t="shared" ref="L66:L97" si="36">IF(OR(F66="Congé",F66="OFF",M66="Abs",F66="Congé sans solde",F66="Férié",F66="Congé spécial",D66="Congé spécial"),0,IF(F66-E66&lt;0,0,IF(F66-E66&lt;=0.00068287037037037,0,F66-E66)))</f>
        <v>0</v>
      </c>
      <c r="M66" s="62" t="str">
        <f t="shared" ref="M66:M97" si="37">IF(AND(O66&lt;&gt;0,C66=""),"Abs",0)</f>
        <v>Abs</v>
      </c>
      <c r="N66" s="102" t="str">
        <f t="shared" ref="N66:N97" si="38">IFERROR(IF(OR(D66="OFF",D66="Congé",M66="Abs",D66="Congé sans solde",D66="Férié"),"",IF(O66-K66-L66&gt;O66,O66,IF(O66-K66-L66&lt;0,"",O66-K66-L66))),"")</f>
        <v/>
      </c>
      <c r="O66" s="90">
        <f t="shared" ref="O66:O97" si="39">IF(AG66="2H Pause déjeuner",IF(F66-D66-0.0833333333333333&lt;0,F66-D66-0.0833333333333333+1,F66-D66-0.0833333333333333),IF(OR(AND(F66="OFF",D66="OFF"),AND(F66="Congé",D66="Congé"),AND(F66="Congé sans solde",D66="Congé sans solde"),AND(F66="Congé spécial",D66="Congé spécial"),AND(F66="Férié",D66="Férié"),AND(F66="OFF",D66="Congé"),AND(F66="OFF",D66="Congé sans solde"),AND(F66="OFF",D66="Congé spécial"),AND(F66="OFF",D66="Férié"),AND(F66="Congé",D66="OFF"),AND(F66="Congé",D66="Congé sans solde"),AND(F66="Congé",D66="Congé spécial"),AND(F66="Congé",D66="Férié"),AND(F66="Congé sans solde",D66="OFF"),AND(F66="Congé sans solde",D66="Congé"),AND(F66="Congé sans solde",D66="Congé spécial"),AND(F66="Congé sans solde",D66="Férié"),AND(F66="Congé spécial",D66="OFF"),AND(F66="Congé spécial",D66="Congé"),AND(F66="Congé spécial",D66="Congé sans solde"),AND(F66="Congé spécial",D66="Férié"),AND(F66="Férié",D66="OFF"),AND(F66="Férié",D66="Congé"),AND(F66="Férié",D66="Congé sans solde"),AND(F66="Férié",D66="Congé spécial")),0,IF(OR(F66="OFF",F66="Congé",F66="Congé spécial",F66="Congé sans solde",D66="OFF",D66="Congé",D66="Congé spécial",D66="Congé sans solde"),0.208333333333334,IF(AND(AG66="",F66-D66&lt;0),("24:00:00"-D66)+("00:00:00"+F66)-0.0416666666666667,IF(AND(OR(AG66="Allaitement",AG66="Sans déjeuner"),F66-D66&lt;0),("24:00:00"-D66)+("00:00:00"+F66),IF(AND(AG66="",F66-D66&gt;0.166666666666667),F66-D66-0.0416666666666667,IF(AND(OR(AG66="Allaitement",AG66="Sans déjeuner"),F66-D66&gt;0.166666666666667),F66-D66,F66-D66)))))))</f>
        <v>0.375</v>
      </c>
      <c r="P66" s="91" t="str">
        <f>IFERROR(VLOOKUP($B66,Annuaire_roster!$B:$G,MATCH(P$1,Annuaire_roster!$B$1:$G$1,0),0),"-")</f>
        <v>Google Leads</v>
      </c>
      <c r="Q66" s="100">
        <v>44763</v>
      </c>
      <c r="R66" s="10">
        <f t="shared" ref="R66:R97" si="40">IF(M66="Abs",O66,0)</f>
        <v>0.375</v>
      </c>
      <c r="S66" s="10">
        <f t="shared" ref="S66:S97" si="41">SUM(R66,L66,I66,J66,W66,H66)</f>
        <v>0.375</v>
      </c>
      <c r="T66" s="16" t="str">
        <f t="shared" ref="T66:T97" si="42">"Sem - "&amp;WEEKNUM(Q66,21)</f>
        <v>Sem - 30</v>
      </c>
      <c r="U66" s="16" t="str">
        <f t="shared" ref="U66:U97" si="43">PROPER(TEXT(Q66,"mmmm"))</f>
        <v>Juillet</v>
      </c>
      <c r="V66" s="11" t="str">
        <f t="shared" ref="V66:V97" si="44">+TEXT(Q66,"aaa")</f>
        <v>2026</v>
      </c>
      <c r="W66" s="9"/>
      <c r="X66" s="5">
        <f t="shared" ref="X66:X97" si="45">IFERROR(IF(M66="Abs",0,IF((D66-C66+E66-F66)&lt;0.000694444444444444,0,(D66-C66+E66-F66))),0)</f>
        <v>0</v>
      </c>
      <c r="Y66" s="12" t="str">
        <f>IFERROR(VLOOKUP(B66,Annuaire_roster!B:E,4,0),"-")</f>
        <v>OUAQERROUCH Nour-El Houda</v>
      </c>
      <c r="Z66" s="12" t="str">
        <f>IFERROR(VLOOKUP(B66,Annuaire_roster!B:F,3,0),"-")</f>
        <v>Google Leads</v>
      </c>
      <c r="AA66" s="12" t="str">
        <f>IFERROR(VLOOKUP(B66,Annuaire_roster!B:I,6,0),"-")</f>
        <v>Forfaitaire</v>
      </c>
      <c r="AB66" s="142" t="str">
        <f t="shared" ref="AB66:AB97" si="46">IF(AND(D66="Congé",F66="Congé"),0.333333333333333,IF(OR(AND(D66="Congé",F66&lt;&gt;"Congé"),(AND(F66="Congé",D66&lt;&gt;"Congé"))),0.166666666666667,""))</f>
        <v/>
      </c>
      <c r="AC66" s="142" t="str">
        <f t="shared" ref="AC66:AC97" si="47">IF(AND(D66="Congé sans solde",F66="Congé sans solde"),0.333333333333333,IF(OR(AND(D66="Congé sans solde",F66&lt;&gt;"Congé sans solde"),(AND(F66="Congé sans solde",D66&lt;&gt;"Congé sans solde"))),0.166666666666667,""))</f>
        <v/>
      </c>
      <c r="AD66" s="142" t="str">
        <f t="shared" ref="AD66:AD97" si="48">IF(AND(D66="Congé spécial",F66="Congé spécial"),0.333333333333333,IF(OR(AND(D66="Congé spécial",F66&lt;&gt;"Congé décès"),(AND(F66="Congé spécial",D66&lt;&gt;"Congé spécial"))),0.166666666666667,""))</f>
        <v/>
      </c>
      <c r="AE66" s="143" t="str">
        <f t="shared" ref="AE66:AE97" si="49">IF(AND(D66="Férié",F66="Férié"),0.333333333333333,IF(OR(AND(D66="Férié",F66&lt;&gt;"Férié"),(AND(F66="Férié",D66&lt;&gt;"Férié"))),0.166666666666667,""))</f>
        <v/>
      </c>
      <c r="AF66" s="217"/>
      <c r="AG66" s="10"/>
    </row>
    <row r="67" spans="1:33" hidden="1" x14ac:dyDescent="0.2">
      <c r="A67" s="70">
        <f>VLOOKUP(B67,Annuaire_roster!B:F,5,0)</f>
        <v>0</v>
      </c>
      <c r="B67" s="165" t="s">
        <v>209</v>
      </c>
      <c r="C67" s="61" t="str">
        <f>IFERROR(IF(COUNTIFS(Connexions!$K:$K,$Q67,Connexions!$E:$E,VLOOKUP($B67,Mapping_Noms!$A:$B,2,0))=0,"",_xlfn.MINIFS(Connexions!$M:$M,Connexions!$K:$K,$Q67,Connexions!$E:$E,VLOOKUP($B67,Mapping_Noms!$A:$B,2,0))-TIME(1,0,0)),"")</f>
        <v/>
      </c>
      <c r="D67" s="61">
        <f t="array" ref="D67">IFERROR(INDEX(Planning2[],MATCH(1,(Planning2[Nom]=B67)*(Planning2[Date]=Q67),0),3),"-")</f>
        <v>0.29166666666666669</v>
      </c>
      <c r="E67" s="38" t="str">
        <f>IFERROR(IF(COUNTIFS(Connexions!$K:$K,$Q67,Connexions!$E:$E,VLOOKUP($B67,Mapping_Noms!$A:$B,2,0))=0,"",_xlfn.MAXIFS(Connexions!$O:$O,Connexions!$K:$K,$Q67,Connexions!$E:$E,VLOOKUP($B67,Mapping_Noms!$A:$B,2,0))-TIME(1,0,0)),"")</f>
        <v/>
      </c>
      <c r="F67" s="38">
        <f t="array" ref="F67">IFERROR(INDEX(Planning2[],MATCH(1,(Planning2[Nom]=B67)*(Planning2[Date]=Q67),0),4),"-")</f>
        <v>0.70833333333333337</v>
      </c>
      <c r="G67" s="88"/>
      <c r="H67" s="88"/>
      <c r="I67" s="235" t="str">
        <f t="shared" si="34"/>
        <v/>
      </c>
      <c r="J67" s="88"/>
      <c r="K67" s="89">
        <f t="shared" si="35"/>
        <v>0</v>
      </c>
      <c r="L67" s="88">
        <f t="shared" si="36"/>
        <v>0</v>
      </c>
      <c r="M67" s="62" t="str">
        <f t="shared" si="37"/>
        <v>Abs</v>
      </c>
      <c r="N67" s="102" t="str">
        <f t="shared" si="38"/>
        <v/>
      </c>
      <c r="O67" s="90">
        <f t="shared" si="39"/>
        <v>0.375</v>
      </c>
      <c r="P67" s="91" t="str">
        <f>IFERROR(VLOOKUP($B67,Annuaire_roster!$B:$G,MATCH(P$1,Annuaire_roster!$B$1:$G$1,0),0),"-")</f>
        <v>Google Leads</v>
      </c>
      <c r="Q67" s="100">
        <v>44763</v>
      </c>
      <c r="R67" s="10">
        <f t="shared" si="40"/>
        <v>0.375</v>
      </c>
      <c r="S67" s="10">
        <f t="shared" si="41"/>
        <v>0.375</v>
      </c>
      <c r="T67" s="16" t="str">
        <f t="shared" si="42"/>
        <v>Sem - 30</v>
      </c>
      <c r="U67" s="16" t="str">
        <f t="shared" si="43"/>
        <v>Juillet</v>
      </c>
      <c r="V67" s="11" t="str">
        <f t="shared" si="44"/>
        <v>2026</v>
      </c>
      <c r="W67" s="9"/>
      <c r="X67" s="5">
        <f t="shared" si="45"/>
        <v>0</v>
      </c>
      <c r="Y67" s="12">
        <f>IFERROR(VLOOKUP(B67,Annuaire_roster!B:E,4,0),"-")</f>
        <v>0</v>
      </c>
      <c r="Z67" s="12" t="str">
        <f>IFERROR(VLOOKUP(B67,Annuaire_roster!B:F,3,0),"-")</f>
        <v>Google Leads</v>
      </c>
      <c r="AA67" s="12">
        <f>IFERROR(VLOOKUP(B67,Annuaire_roster!B:I,6,0),"-")</f>
        <v>0</v>
      </c>
      <c r="AB67" s="142" t="str">
        <f t="shared" si="46"/>
        <v/>
      </c>
      <c r="AC67" s="142" t="str">
        <f t="shared" si="47"/>
        <v/>
      </c>
      <c r="AD67" s="142" t="str">
        <f t="shared" si="48"/>
        <v/>
      </c>
      <c r="AE67" s="143" t="str">
        <f t="shared" si="49"/>
        <v/>
      </c>
      <c r="AF67" s="217"/>
      <c r="AG67" s="10"/>
    </row>
    <row r="68" spans="1:33" hidden="1" x14ac:dyDescent="0.2">
      <c r="A68" s="70">
        <f>VLOOKUP(B68,Annuaire_roster!B:F,5,0)</f>
        <v>0</v>
      </c>
      <c r="B68" s="165" t="s">
        <v>210</v>
      </c>
      <c r="C68" s="61" t="str">
        <f>IFERROR(IF(COUNTIFS(Connexions!$K:$K,$Q68,Connexions!$E:$E,VLOOKUP($B68,Mapping_Noms!$A:$B,2,0))=0,"",_xlfn.MINIFS(Connexions!$M:$M,Connexions!$K:$K,$Q68,Connexions!$E:$E,VLOOKUP($B68,Mapping_Noms!$A:$B,2,0))-TIME(1,0,0)),"")</f>
        <v/>
      </c>
      <c r="D68" s="61">
        <f t="array" ref="D68">IFERROR(INDEX(Planning2[],MATCH(1,(Planning2[Nom]=B68)*(Planning2[Date]=Q68),0),3),"-")</f>
        <v>0.29166666666666669</v>
      </c>
      <c r="E68" s="38" t="str">
        <f>IFERROR(IF(COUNTIFS(Connexions!$K:$K,$Q68,Connexions!$E:$E,VLOOKUP($B68,Mapping_Noms!$A:$B,2,0))=0,"",_xlfn.MAXIFS(Connexions!$O:$O,Connexions!$K:$K,$Q68,Connexions!$E:$E,VLOOKUP($B68,Mapping_Noms!$A:$B,2,0))-TIME(1,0,0)),"")</f>
        <v/>
      </c>
      <c r="F68" s="38">
        <f t="array" ref="F68">IFERROR(INDEX(Planning2[],MATCH(1,(Planning2[Nom]=B68)*(Planning2[Date]=Q68),0),4),"-")</f>
        <v>0.66666666666666663</v>
      </c>
      <c r="G68" s="88"/>
      <c r="H68" s="88"/>
      <c r="I68" s="235" t="str">
        <f t="shared" si="34"/>
        <v/>
      </c>
      <c r="J68" s="88"/>
      <c r="K68" s="89">
        <f t="shared" si="35"/>
        <v>0</v>
      </c>
      <c r="L68" s="88">
        <f t="shared" si="36"/>
        <v>0</v>
      </c>
      <c r="M68" s="62" t="str">
        <f t="shared" si="37"/>
        <v>Abs</v>
      </c>
      <c r="N68" s="102" t="str">
        <f t="shared" si="38"/>
        <v/>
      </c>
      <c r="O68" s="90">
        <f t="shared" si="39"/>
        <v>0.33333333333333326</v>
      </c>
      <c r="P68" s="91" t="str">
        <f>IFERROR(VLOOKUP($B68,Annuaire_roster!$B:$G,MATCH(P$1,Annuaire_roster!$B$1:$G$1,0),0),"-")</f>
        <v>Google Leads</v>
      </c>
      <c r="Q68" s="100">
        <v>44763</v>
      </c>
      <c r="R68" s="10">
        <f t="shared" si="40"/>
        <v>0.33333333333333326</v>
      </c>
      <c r="S68" s="10">
        <f t="shared" si="41"/>
        <v>0.33333333333333326</v>
      </c>
      <c r="T68" s="16" t="str">
        <f t="shared" si="42"/>
        <v>Sem - 30</v>
      </c>
      <c r="U68" s="16" t="str">
        <f t="shared" si="43"/>
        <v>Juillet</v>
      </c>
      <c r="V68" s="11" t="str">
        <f t="shared" si="44"/>
        <v>2026</v>
      </c>
      <c r="W68" s="9"/>
      <c r="X68" s="5">
        <f t="shared" si="45"/>
        <v>0</v>
      </c>
      <c r="Y68" s="12">
        <f>IFERROR(VLOOKUP(B68,Annuaire_roster!B:E,4,0),"-")</f>
        <v>0</v>
      </c>
      <c r="Z68" s="12" t="str">
        <f>IFERROR(VLOOKUP(B68,Annuaire_roster!B:F,3,0),"-")</f>
        <v>Google Leads</v>
      </c>
      <c r="AA68" s="12">
        <f>IFERROR(VLOOKUP(B68,Annuaire_roster!B:I,6,0),"-")</f>
        <v>0</v>
      </c>
      <c r="AB68" s="142" t="str">
        <f t="shared" si="46"/>
        <v/>
      </c>
      <c r="AC68" s="142" t="str">
        <f t="shared" si="47"/>
        <v/>
      </c>
      <c r="AD68" s="142" t="str">
        <f t="shared" si="48"/>
        <v/>
      </c>
      <c r="AE68" s="143" t="str">
        <f t="shared" si="49"/>
        <v/>
      </c>
      <c r="AF68" s="63"/>
      <c r="AG68" s="10"/>
    </row>
    <row r="69" spans="1:33" hidden="1" x14ac:dyDescent="0.2">
      <c r="A69" s="70">
        <f>VLOOKUP(B69,Annuaire_roster!B:F,5,0)</f>
        <v>1274</v>
      </c>
      <c r="B69" s="165" t="s">
        <v>141</v>
      </c>
      <c r="C69" s="61" t="str">
        <f>IFERROR(IF(COUNTIFS(Connexions!$K:$K,$Q69,Connexions!$E:$E,VLOOKUP($B69,Mapping_Noms!$A:$B,2,0))=0,"",_xlfn.MINIFS(Connexions!$M:$M,Connexions!$K:$K,$Q69,Connexions!$E:$E,VLOOKUP($B69,Mapping_Noms!$A:$B,2,0))-TIME(1,0,0)),"")</f>
        <v/>
      </c>
      <c r="D69" s="61" t="str">
        <f t="array" ref="D69">IFERROR(INDEX(Planning2[],MATCH(1,(Planning2[Nom]=B69)*(Planning2[Date]=Q69),0),3),"-")</f>
        <v>OFF</v>
      </c>
      <c r="E69" s="38" t="str">
        <f>IFERROR(IF(COUNTIFS(Connexions!$K:$K,$Q69,Connexions!$E:$E,VLOOKUP($B69,Mapping_Noms!$A:$B,2,0))=0,"",_xlfn.MAXIFS(Connexions!$O:$O,Connexions!$K:$K,$Q69,Connexions!$E:$E,VLOOKUP($B69,Mapping_Noms!$A:$B,2,0))-TIME(1,0,0)),"")</f>
        <v/>
      </c>
      <c r="F69" s="38" t="str">
        <f t="array" ref="F69">IFERROR(INDEX(Planning2[],MATCH(1,(Planning2[Nom]=B69)*(Planning2[Date]=Q69),0),4),"-")</f>
        <v>OFF</v>
      </c>
      <c r="G69" s="88"/>
      <c r="H69" s="88"/>
      <c r="I69" s="235" t="str">
        <f t="shared" si="34"/>
        <v/>
      </c>
      <c r="J69" s="88"/>
      <c r="K69" s="89">
        <f t="shared" si="35"/>
        <v>0</v>
      </c>
      <c r="L69" s="88">
        <f t="shared" si="36"/>
        <v>0</v>
      </c>
      <c r="M69" s="62">
        <f t="shared" si="37"/>
        <v>0</v>
      </c>
      <c r="N69" s="102" t="str">
        <f t="shared" si="38"/>
        <v/>
      </c>
      <c r="O69" s="90">
        <f t="shared" si="39"/>
        <v>0</v>
      </c>
      <c r="P69" s="91" t="str">
        <f>IFERROR(VLOOKUP($B69,Annuaire_roster!$B:$G,MATCH(P$1,Annuaire_roster!$B$1:$G$1,0),0),"-")</f>
        <v>Google Leads</v>
      </c>
      <c r="Q69" s="100">
        <v>44763</v>
      </c>
      <c r="R69" s="10">
        <f t="shared" si="40"/>
        <v>0</v>
      </c>
      <c r="S69" s="10">
        <f t="shared" si="41"/>
        <v>0</v>
      </c>
      <c r="T69" s="16" t="str">
        <f t="shared" si="42"/>
        <v>Sem - 30</v>
      </c>
      <c r="U69" s="16" t="str">
        <f t="shared" si="43"/>
        <v>Juillet</v>
      </c>
      <c r="V69" s="11" t="str">
        <f t="shared" si="44"/>
        <v>2026</v>
      </c>
      <c r="W69" s="9"/>
      <c r="X69" s="5">
        <f t="shared" si="45"/>
        <v>0</v>
      </c>
      <c r="Y69" s="12" t="str">
        <f>IFERROR(VLOOKUP(B69,Annuaire_roster!B:E,4,0),"-")</f>
        <v>OUAQERROUCH Nour-El Houda</v>
      </c>
      <c r="Z69" s="12" t="str">
        <f>IFERROR(VLOOKUP(B69,Annuaire_roster!B:F,3,0),"-")</f>
        <v>Google Leads</v>
      </c>
      <c r="AA69" s="12" t="str">
        <f>IFERROR(VLOOKUP(B69,Annuaire_roster!B:I,6,0),"-")</f>
        <v>Forfaitaire</v>
      </c>
      <c r="AB69" s="142" t="str">
        <f t="shared" si="46"/>
        <v/>
      </c>
      <c r="AC69" s="142" t="str">
        <f t="shared" si="47"/>
        <v/>
      </c>
      <c r="AD69" s="142" t="str">
        <f t="shared" si="48"/>
        <v/>
      </c>
      <c r="AE69" s="143" t="str">
        <f t="shared" si="49"/>
        <v/>
      </c>
      <c r="AF69" s="63"/>
      <c r="AG69" s="10"/>
    </row>
    <row r="70" spans="1:33" s="209" customFormat="1" hidden="1" x14ac:dyDescent="0.2">
      <c r="A70" s="70">
        <f>VLOOKUP(B70,Annuaire_roster!B:F,5,0)</f>
        <v>952</v>
      </c>
      <c r="B70" s="165" t="s">
        <v>87</v>
      </c>
      <c r="C70" s="61" t="str">
        <f>IFERROR(IF(COUNTIFS(Connexions!$K:$K,$Q70,Connexions!$E:$E,VLOOKUP($B70,Mapping_Noms!$A:$B,2,0))=0,"",_xlfn.MINIFS(Connexions!$M:$M,Connexions!$K:$K,$Q70,Connexions!$E:$E,VLOOKUP($B70,Mapping_Noms!$A:$B,2,0))-TIME(1,0,0)),"")</f>
        <v/>
      </c>
      <c r="D70" s="61">
        <f t="array" ref="D70">IFERROR(INDEX(Planning2[],MATCH(1,(Planning2[Nom]=B70)*(Planning2[Date]=Q70),0),3),"-")</f>
        <v>0.41666666666666669</v>
      </c>
      <c r="E70" s="38" t="str">
        <f>IFERROR(IF(COUNTIFS(Connexions!$K:$K,$Q70,Connexions!$E:$E,VLOOKUP($B70,Mapping_Noms!$A:$B,2,0))=0,"",_xlfn.MAXIFS(Connexions!$O:$O,Connexions!$K:$K,$Q70,Connexions!$E:$E,VLOOKUP($B70,Mapping_Noms!$A:$B,2,0))-TIME(1,0,0)),"")</f>
        <v/>
      </c>
      <c r="F70" s="38">
        <f t="array" ref="F70">IFERROR(INDEX(Planning2[],MATCH(1,(Planning2[Nom]=B70)*(Planning2[Date]=Q70),0),4),"-")</f>
        <v>0.83333333333333337</v>
      </c>
      <c r="G70" s="88"/>
      <c r="H70" s="88"/>
      <c r="I70" s="235" t="str">
        <f t="shared" si="34"/>
        <v/>
      </c>
      <c r="J70" s="88"/>
      <c r="K70" s="89">
        <f t="shared" si="35"/>
        <v>0</v>
      </c>
      <c r="L70" s="88">
        <f t="shared" si="36"/>
        <v>0</v>
      </c>
      <c r="M70" s="62" t="str">
        <f t="shared" si="37"/>
        <v>Abs</v>
      </c>
      <c r="N70" s="102" t="str">
        <f t="shared" si="38"/>
        <v/>
      </c>
      <c r="O70" s="90">
        <f t="shared" si="39"/>
        <v>0.375</v>
      </c>
      <c r="P70" s="91" t="str">
        <f>IFERROR(VLOOKUP($B70,Annuaire_roster!$B:$G,MATCH(P$1,Annuaire_roster!$B$1:$G$1,0),0),"-")</f>
        <v>Google Leads</v>
      </c>
      <c r="Q70" s="100">
        <v>44763</v>
      </c>
      <c r="R70" s="10">
        <f t="shared" si="40"/>
        <v>0.375</v>
      </c>
      <c r="S70" s="10">
        <f t="shared" si="41"/>
        <v>0.375</v>
      </c>
      <c r="T70" s="16" t="str">
        <f t="shared" si="42"/>
        <v>Sem - 30</v>
      </c>
      <c r="U70" s="16" t="str">
        <f t="shared" si="43"/>
        <v>Juillet</v>
      </c>
      <c r="V70" s="11" t="str">
        <f t="shared" si="44"/>
        <v>2026</v>
      </c>
      <c r="W70" s="9"/>
      <c r="X70" s="5">
        <f t="shared" si="45"/>
        <v>0</v>
      </c>
      <c r="Y70" s="12" t="str">
        <f>IFERROR(VLOOKUP(B70,Annuaire_roster!B:E,4,0),"-")</f>
        <v>OUAQERROUCH Nour-El Houda</v>
      </c>
      <c r="Z70" s="12" t="str">
        <f>IFERROR(VLOOKUP(B70,Annuaire_roster!B:F,3,0),"-")</f>
        <v>Google Leads</v>
      </c>
      <c r="AA70" s="12" t="str">
        <f>IFERROR(VLOOKUP(B70,Annuaire_roster!B:I,6,0),"-")</f>
        <v>Forfaitaire</v>
      </c>
      <c r="AB70" s="142" t="str">
        <f t="shared" si="46"/>
        <v/>
      </c>
      <c r="AC70" s="142" t="str">
        <f t="shared" si="47"/>
        <v/>
      </c>
      <c r="AD70" s="142" t="str">
        <f t="shared" si="48"/>
        <v/>
      </c>
      <c r="AE70" s="143" t="str">
        <f t="shared" si="49"/>
        <v/>
      </c>
      <c r="AF70" s="63"/>
      <c r="AG70" s="10"/>
    </row>
    <row r="71" spans="1:33" hidden="1" x14ac:dyDescent="0.2">
      <c r="A71" s="70">
        <f>VLOOKUP(B71,Annuaire_roster!B:F,5,0)</f>
        <v>1145</v>
      </c>
      <c r="B71" s="165" t="s">
        <v>102</v>
      </c>
      <c r="C71" s="61" t="str">
        <f>IFERROR(IF(COUNTIFS(Connexions!$K:$K,$Q71,Connexions!$E:$E,VLOOKUP($B71,Mapping_Noms!$A:$B,2,0))=0,"",_xlfn.MINIFS(Connexions!$M:$M,Connexions!$K:$K,$Q71,Connexions!$E:$E,VLOOKUP($B71,Mapping_Noms!$A:$B,2,0))-TIME(1,0,0)),"")</f>
        <v/>
      </c>
      <c r="D71" s="61">
        <f t="array" ref="D71">IFERROR(INDEX(Planning2[],MATCH(1,(Planning2[Nom]=B71)*(Planning2[Date]=Q71),0),3),"-")</f>
        <v>0.29166666666666669</v>
      </c>
      <c r="E71" s="38" t="str">
        <f>IFERROR(IF(COUNTIFS(Connexions!$K:$K,$Q71,Connexions!$E:$E,VLOOKUP($B71,Mapping_Noms!$A:$B,2,0))=0,"",_xlfn.MAXIFS(Connexions!$O:$O,Connexions!$K:$K,$Q71,Connexions!$E:$E,VLOOKUP($B71,Mapping_Noms!$A:$B,2,0))-TIME(1,0,0)),"")</f>
        <v/>
      </c>
      <c r="F71" s="38">
        <f t="array" ref="F71">IFERROR(INDEX(Planning2[],MATCH(1,(Planning2[Nom]=B71)*(Planning2[Date]=Q71),0),4),"-")</f>
        <v>0.70833333333333337</v>
      </c>
      <c r="G71" s="88"/>
      <c r="H71" s="88"/>
      <c r="I71" s="235" t="str">
        <f t="shared" si="34"/>
        <v/>
      </c>
      <c r="J71" s="88"/>
      <c r="K71" s="89">
        <f t="shared" si="35"/>
        <v>0</v>
      </c>
      <c r="L71" s="88">
        <f t="shared" si="36"/>
        <v>0</v>
      </c>
      <c r="M71" s="62" t="str">
        <f t="shared" si="37"/>
        <v>Abs</v>
      </c>
      <c r="N71" s="102" t="str">
        <f t="shared" si="38"/>
        <v/>
      </c>
      <c r="O71" s="90">
        <f t="shared" si="39"/>
        <v>0.375</v>
      </c>
      <c r="P71" s="91" t="str">
        <f>IFERROR(VLOOKUP($B71,Annuaire_roster!$B:$G,MATCH(P$1,Annuaire_roster!$B$1:$G$1,0),0),"-")</f>
        <v>Google Leads</v>
      </c>
      <c r="Q71" s="100">
        <v>44763</v>
      </c>
      <c r="R71" s="10">
        <f t="shared" si="40"/>
        <v>0.375</v>
      </c>
      <c r="S71" s="10">
        <f t="shared" si="41"/>
        <v>0.375</v>
      </c>
      <c r="T71" s="16" t="str">
        <f t="shared" si="42"/>
        <v>Sem - 30</v>
      </c>
      <c r="U71" s="16" t="str">
        <f t="shared" si="43"/>
        <v>Juillet</v>
      </c>
      <c r="V71" s="11" t="str">
        <f t="shared" si="44"/>
        <v>2026</v>
      </c>
      <c r="W71" s="9"/>
      <c r="X71" s="5">
        <f t="shared" si="45"/>
        <v>0</v>
      </c>
      <c r="Y71" s="12" t="str">
        <f>IFERROR(VLOOKUP(B71,Annuaire_roster!B:E,4,0),"-")</f>
        <v>CHOUIFI Mustapha</v>
      </c>
      <c r="Z71" s="12" t="str">
        <f>IFERROR(VLOOKUP(B71,Annuaire_roster!B:F,3,0),"-")</f>
        <v>Google Leads</v>
      </c>
      <c r="AA71" s="12" t="str">
        <f>IFERROR(VLOOKUP(B71,Annuaire_roster!B:I,6,0),"-")</f>
        <v>Forfaitaire</v>
      </c>
      <c r="AB71" s="142" t="str">
        <f t="shared" si="46"/>
        <v/>
      </c>
      <c r="AC71" s="142" t="str">
        <f t="shared" si="47"/>
        <v/>
      </c>
      <c r="AD71" s="142" t="str">
        <f t="shared" si="48"/>
        <v/>
      </c>
      <c r="AE71" s="143" t="str">
        <f t="shared" si="49"/>
        <v/>
      </c>
      <c r="AF71" s="63"/>
      <c r="AG71" s="10"/>
    </row>
    <row r="72" spans="1:33" hidden="1" x14ac:dyDescent="0.2">
      <c r="A72" s="70">
        <f>VLOOKUP(B72,Annuaire_roster!B:F,5,0)</f>
        <v>1008</v>
      </c>
      <c r="B72" s="165" t="s">
        <v>94</v>
      </c>
      <c r="C72" s="61" t="str">
        <f>IFERROR(IF(COUNTIFS(Connexions!$K:$K,$Q72,Connexions!$E:$E,VLOOKUP($B72,Mapping_Noms!$A:$B,2,0))=0,"",_xlfn.MINIFS(Connexions!$M:$M,Connexions!$K:$K,$Q72,Connexions!$E:$E,VLOOKUP($B72,Mapping_Noms!$A:$B,2,0))-TIME(1,0,0)),"")</f>
        <v/>
      </c>
      <c r="D72" s="61">
        <f t="array" ref="D72">IFERROR(INDEX(Planning2[],MATCH(1,(Planning2[Nom]=B72)*(Planning2[Date]=Q72),0),3),"-")</f>
        <v>0.41666666666666669</v>
      </c>
      <c r="E72" s="38" t="str">
        <f>IFERROR(IF(COUNTIFS(Connexions!$K:$K,$Q72,Connexions!$E:$E,VLOOKUP($B72,Mapping_Noms!$A:$B,2,0))=0,"",_xlfn.MAXIFS(Connexions!$O:$O,Connexions!$K:$K,$Q72,Connexions!$E:$E,VLOOKUP($B72,Mapping_Noms!$A:$B,2,0))-TIME(1,0,0)),"")</f>
        <v/>
      </c>
      <c r="F72" s="38">
        <f t="array" ref="F72">IFERROR(INDEX(Planning2[],MATCH(1,(Planning2[Nom]=B72)*(Planning2[Date]=Q72),0),4),"-")</f>
        <v>0.83333333333333337</v>
      </c>
      <c r="G72" s="88"/>
      <c r="H72" s="88"/>
      <c r="I72" s="235" t="str">
        <f t="shared" si="34"/>
        <v/>
      </c>
      <c r="J72" s="88"/>
      <c r="K72" s="89">
        <f t="shared" si="35"/>
        <v>0</v>
      </c>
      <c r="L72" s="88">
        <f t="shared" si="36"/>
        <v>0</v>
      </c>
      <c r="M72" s="62" t="str">
        <f t="shared" si="37"/>
        <v>Abs</v>
      </c>
      <c r="N72" s="102" t="str">
        <f t="shared" si="38"/>
        <v/>
      </c>
      <c r="O72" s="90">
        <f t="shared" si="39"/>
        <v>0.375</v>
      </c>
      <c r="P72" s="91" t="str">
        <f>IFERROR(VLOOKUP($B72,Annuaire_roster!$B:$G,MATCH(P$1,Annuaire_roster!$B$1:$G$1,0),0),"-")</f>
        <v>Google Leads</v>
      </c>
      <c r="Q72" s="100">
        <v>44763</v>
      </c>
      <c r="R72" s="10">
        <f t="shared" si="40"/>
        <v>0.375</v>
      </c>
      <c r="S72" s="10">
        <f t="shared" si="41"/>
        <v>0.375</v>
      </c>
      <c r="T72" s="16" t="str">
        <f t="shared" si="42"/>
        <v>Sem - 30</v>
      </c>
      <c r="U72" s="16" t="str">
        <f t="shared" si="43"/>
        <v>Juillet</v>
      </c>
      <c r="V72" s="11" t="str">
        <f t="shared" si="44"/>
        <v>2026</v>
      </c>
      <c r="W72" s="9"/>
      <c r="X72" s="5">
        <f t="shared" si="45"/>
        <v>0</v>
      </c>
      <c r="Y72" s="12" t="str">
        <f>IFERROR(VLOOKUP(B72,Annuaire_roster!B:E,4,0),"-")</f>
        <v>CHOUIFI Mustapha</v>
      </c>
      <c r="Z72" s="12" t="str">
        <f>IFERROR(VLOOKUP(B72,Annuaire_roster!B:F,3,0),"-")</f>
        <v>Google Leads</v>
      </c>
      <c r="AA72" s="12" t="str">
        <f>IFERROR(VLOOKUP(B72,Annuaire_roster!B:I,6,0),"-")</f>
        <v>Forfaitaire</v>
      </c>
      <c r="AB72" s="142" t="str">
        <f t="shared" si="46"/>
        <v/>
      </c>
      <c r="AC72" s="142" t="str">
        <f t="shared" si="47"/>
        <v/>
      </c>
      <c r="AD72" s="142" t="str">
        <f t="shared" si="48"/>
        <v/>
      </c>
      <c r="AE72" s="143" t="str">
        <f t="shared" si="49"/>
        <v/>
      </c>
      <c r="AF72" s="217"/>
      <c r="AG72" s="10"/>
    </row>
    <row r="73" spans="1:33" hidden="1" x14ac:dyDescent="0.2">
      <c r="A73" s="210">
        <f>VLOOKUP(B73,Annuaire_roster!B:F,5,0)</f>
        <v>1167</v>
      </c>
      <c r="B73" s="165" t="s">
        <v>126</v>
      </c>
      <c r="C73" s="61" t="str">
        <f>IFERROR(IF(COUNTIFS(Connexions!$K:$K,$Q73,Connexions!$E:$E,VLOOKUP($B73,Mapping_Noms!$A:$B,2,0))=0,"",_xlfn.MINIFS(Connexions!$M:$M,Connexions!$K:$K,$Q73,Connexions!$E:$E,VLOOKUP($B73,Mapping_Noms!$A:$B,2,0))-TIME(1,0,0)),"")</f>
        <v/>
      </c>
      <c r="D73" s="61">
        <f t="array" ref="D73">IFERROR(INDEX(Planning2[],MATCH(1,(Planning2[Nom]=B73)*(Planning2[Date]=Q73),0),3),"-")</f>
        <v>0.41666666666666669</v>
      </c>
      <c r="E73" s="38" t="str">
        <f>IFERROR(IF(COUNTIFS(Connexions!$K:$K,$Q73,Connexions!$E:$E,VLOOKUP($B73,Mapping_Noms!$A:$B,2,0))=0,"",_xlfn.MAXIFS(Connexions!$O:$O,Connexions!$K:$K,$Q73,Connexions!$E:$E,VLOOKUP($B73,Mapping_Noms!$A:$B,2,0))-TIME(1,0,0)),"")</f>
        <v/>
      </c>
      <c r="F73" s="38">
        <f t="array" ref="F73">IFERROR(INDEX(Planning2[],MATCH(1,(Planning2[Nom]=B73)*(Planning2[Date]=Q73),0),4),"-")</f>
        <v>0.83333333333333337</v>
      </c>
      <c r="G73" s="88"/>
      <c r="H73" s="88"/>
      <c r="I73" s="235" t="str">
        <f t="shared" si="34"/>
        <v/>
      </c>
      <c r="J73" s="88"/>
      <c r="K73" s="89">
        <f t="shared" si="35"/>
        <v>0</v>
      </c>
      <c r="L73" s="88">
        <f t="shared" si="36"/>
        <v>0</v>
      </c>
      <c r="M73" s="62" t="str">
        <f t="shared" si="37"/>
        <v>Abs</v>
      </c>
      <c r="N73" s="102" t="str">
        <f t="shared" si="38"/>
        <v/>
      </c>
      <c r="O73" s="90">
        <f t="shared" si="39"/>
        <v>0.375</v>
      </c>
      <c r="P73" s="91" t="str">
        <f>IFERROR(VLOOKUP($B73,Annuaire_roster!$B:$G,MATCH(P$1,Annuaire_roster!$B$1:$G$1,0),0),"-")</f>
        <v>Google Leads</v>
      </c>
      <c r="Q73" s="212">
        <v>44763</v>
      </c>
      <c r="R73" s="142">
        <f t="shared" si="40"/>
        <v>0.375</v>
      </c>
      <c r="S73" s="142">
        <f t="shared" si="41"/>
        <v>0.375</v>
      </c>
      <c r="T73" s="16" t="str">
        <f t="shared" si="42"/>
        <v>Sem - 30</v>
      </c>
      <c r="U73" s="16" t="str">
        <f t="shared" si="43"/>
        <v>Juillet</v>
      </c>
      <c r="V73" s="213" t="str">
        <f t="shared" si="44"/>
        <v>2026</v>
      </c>
      <c r="W73" s="211"/>
      <c r="X73" s="214">
        <f t="shared" si="45"/>
        <v>0</v>
      </c>
      <c r="Y73" s="215" t="str">
        <f>IFERROR(VLOOKUP(B73,Annuaire_roster!B:E,4,0),"-")</f>
        <v>OUAQERROUCH Nour-El Houda</v>
      </c>
      <c r="Z73" s="215" t="str">
        <f>IFERROR(VLOOKUP(B73,Annuaire_roster!B:F,3,0),"-")</f>
        <v>Google Leads</v>
      </c>
      <c r="AA73" s="215" t="str">
        <f>IFERROR(VLOOKUP(B73,Annuaire_roster!B:I,6,0),"-")</f>
        <v>Forfaitaire</v>
      </c>
      <c r="AB73" s="142" t="str">
        <f t="shared" si="46"/>
        <v/>
      </c>
      <c r="AC73" s="142" t="str">
        <f t="shared" si="47"/>
        <v/>
      </c>
      <c r="AD73" s="142" t="str">
        <f t="shared" si="48"/>
        <v/>
      </c>
      <c r="AE73" s="216" t="str">
        <f t="shared" si="49"/>
        <v/>
      </c>
      <c r="AF73" s="63"/>
      <c r="AG73" s="142"/>
    </row>
    <row r="74" spans="1:33" hidden="1" x14ac:dyDescent="0.2">
      <c r="A74" s="70">
        <f>VLOOKUP(B74,Annuaire_roster!B:F,5,0)</f>
        <v>0</v>
      </c>
      <c r="B74" s="165" t="s">
        <v>221</v>
      </c>
      <c r="C74" s="61" t="str">
        <f>IFERROR(IF(COUNTIFS(Connexions!$K:$K,$Q74,Connexions!$E:$E,VLOOKUP($B74,Mapping_Noms!$A:$B,2,0))=0,"",_xlfn.MINIFS(Connexions!$M:$M,Connexions!$K:$K,$Q74,Connexions!$E:$E,VLOOKUP($B74,Mapping_Noms!$A:$B,2,0))-TIME(1,0,0)),"")</f>
        <v/>
      </c>
      <c r="D74" s="61">
        <f t="array" ref="D74">IFERROR(INDEX(Planning2[],MATCH(1,(Planning2[Nom]=B74)*(Planning2[Date]=Q74),0),3),"-")</f>
        <v>0.41666666666666669</v>
      </c>
      <c r="E74" s="38" t="str">
        <f>IFERROR(IF(COUNTIFS(Connexions!$K:$K,$Q74,Connexions!$E:$E,VLOOKUP($B74,Mapping_Noms!$A:$B,2,0))=0,"",_xlfn.MAXIFS(Connexions!$O:$O,Connexions!$K:$K,$Q74,Connexions!$E:$E,VLOOKUP($B74,Mapping_Noms!$A:$B,2,0))-TIME(1,0,0)),"")</f>
        <v/>
      </c>
      <c r="F74" s="38">
        <f t="array" ref="F74">IFERROR(INDEX(Planning2[],MATCH(1,(Planning2[Nom]=B74)*(Planning2[Date]=Q74),0),4),"-")</f>
        <v>0.83333333333333337</v>
      </c>
      <c r="G74" s="88"/>
      <c r="H74" s="88"/>
      <c r="I74" s="235" t="str">
        <f t="shared" si="34"/>
        <v/>
      </c>
      <c r="J74" s="88"/>
      <c r="K74" s="89">
        <f t="shared" si="35"/>
        <v>0</v>
      </c>
      <c r="L74" s="88">
        <f t="shared" si="36"/>
        <v>0</v>
      </c>
      <c r="M74" s="62" t="str">
        <f t="shared" si="37"/>
        <v>Abs</v>
      </c>
      <c r="N74" s="102" t="str">
        <f t="shared" si="38"/>
        <v/>
      </c>
      <c r="O74" s="90">
        <f t="shared" si="39"/>
        <v>0.375</v>
      </c>
      <c r="P74" s="91" t="str">
        <f>IFERROR(VLOOKUP($B74,Annuaire_roster!$B:$G,MATCH(P$1,Annuaire_roster!$B$1:$G$1,0),0),"-")</f>
        <v>Google Leads</v>
      </c>
      <c r="Q74" s="100">
        <v>44763</v>
      </c>
      <c r="R74" s="10">
        <f t="shared" si="40"/>
        <v>0.375</v>
      </c>
      <c r="S74" s="10">
        <f t="shared" si="41"/>
        <v>0.375</v>
      </c>
      <c r="T74" s="16" t="str">
        <f t="shared" si="42"/>
        <v>Sem - 30</v>
      </c>
      <c r="U74" s="16" t="str">
        <f t="shared" si="43"/>
        <v>Juillet</v>
      </c>
      <c r="V74" s="11" t="str">
        <f t="shared" si="44"/>
        <v>2026</v>
      </c>
      <c r="W74" s="9"/>
      <c r="X74" s="5">
        <f t="shared" si="45"/>
        <v>0</v>
      </c>
      <c r="Y74" s="12">
        <f>IFERROR(VLOOKUP(B74,Annuaire_roster!B:E,4,0),"-")</f>
        <v>0</v>
      </c>
      <c r="Z74" s="12" t="str">
        <f>IFERROR(VLOOKUP(B74,Annuaire_roster!B:F,3,0),"-")</f>
        <v>Google Leads</v>
      </c>
      <c r="AA74" s="12">
        <f>IFERROR(VLOOKUP(B74,Annuaire_roster!B:I,6,0),"-")</f>
        <v>0</v>
      </c>
      <c r="AB74" s="142" t="str">
        <f t="shared" si="46"/>
        <v/>
      </c>
      <c r="AC74" s="142" t="str">
        <f t="shared" si="47"/>
        <v/>
      </c>
      <c r="AD74" s="142" t="str">
        <f t="shared" si="48"/>
        <v/>
      </c>
      <c r="AE74" s="143" t="str">
        <f t="shared" si="49"/>
        <v/>
      </c>
      <c r="AF74" s="63"/>
      <c r="AG74" s="10"/>
    </row>
    <row r="75" spans="1:33" hidden="1" x14ac:dyDescent="0.2">
      <c r="A75" s="70">
        <f>VLOOKUP(B75,Annuaire_roster!B:F,5,0)</f>
        <v>949</v>
      </c>
      <c r="B75" s="165" t="s">
        <v>85</v>
      </c>
      <c r="C75" s="61" t="str">
        <f>IFERROR(IF(COUNTIFS(Connexions!$K:$K,$Q75,Connexions!$E:$E,VLOOKUP($B75,Mapping_Noms!$A:$B,2,0))=0,"",_xlfn.MINIFS(Connexions!$M:$M,Connexions!$K:$K,$Q75,Connexions!$E:$E,VLOOKUP($B75,Mapping_Noms!$A:$B,2,0))-TIME(1,0,0)),"")</f>
        <v/>
      </c>
      <c r="D75" s="61">
        <f t="array" ref="D75">IFERROR(INDEX(Planning2[],MATCH(1,(Planning2[Nom]=B75)*(Planning2[Date]=Q75),0),3),"-")</f>
        <v>0.41666666666666669</v>
      </c>
      <c r="E75" s="38" t="str">
        <f>IFERROR(IF(COUNTIFS(Connexions!$K:$K,$Q75,Connexions!$E:$E,VLOOKUP($B75,Mapping_Noms!$A:$B,2,0))=0,"",_xlfn.MAXIFS(Connexions!$O:$O,Connexions!$K:$K,$Q75,Connexions!$E:$E,VLOOKUP($B75,Mapping_Noms!$A:$B,2,0))-TIME(1,0,0)),"")</f>
        <v/>
      </c>
      <c r="F75" s="38">
        <f t="array" ref="F75">IFERROR(INDEX(Planning2[],MATCH(1,(Planning2[Nom]=B75)*(Planning2[Date]=Q75),0),4),"-")</f>
        <v>0.83333333333333337</v>
      </c>
      <c r="G75" s="88"/>
      <c r="H75" s="88"/>
      <c r="I75" s="235" t="str">
        <f t="shared" si="34"/>
        <v/>
      </c>
      <c r="J75" s="88"/>
      <c r="K75" s="89">
        <f t="shared" si="35"/>
        <v>0</v>
      </c>
      <c r="L75" s="88">
        <f t="shared" si="36"/>
        <v>0</v>
      </c>
      <c r="M75" s="62" t="str">
        <f t="shared" si="37"/>
        <v>Abs</v>
      </c>
      <c r="N75" s="102" t="str">
        <f t="shared" si="38"/>
        <v/>
      </c>
      <c r="O75" s="90">
        <f t="shared" si="39"/>
        <v>0.375</v>
      </c>
      <c r="P75" s="91" t="str">
        <f>IFERROR(VLOOKUP($B75,Annuaire_roster!$B:$G,MATCH(P$1,Annuaire_roster!$B$1:$G$1,0),0),"-")</f>
        <v>Google Leads</v>
      </c>
      <c r="Q75" s="100">
        <v>44763</v>
      </c>
      <c r="R75" s="10">
        <f t="shared" si="40"/>
        <v>0.375</v>
      </c>
      <c r="S75" s="10">
        <f t="shared" si="41"/>
        <v>0.375</v>
      </c>
      <c r="T75" s="16" t="str">
        <f t="shared" si="42"/>
        <v>Sem - 30</v>
      </c>
      <c r="U75" s="16" t="str">
        <f t="shared" si="43"/>
        <v>Juillet</v>
      </c>
      <c r="V75" s="11" t="str">
        <f t="shared" si="44"/>
        <v>2026</v>
      </c>
      <c r="W75" s="9"/>
      <c r="X75" s="5">
        <f t="shared" si="45"/>
        <v>0</v>
      </c>
      <c r="Y75" s="12" t="str">
        <f>IFERROR(VLOOKUP(B75,Annuaire_roster!B:E,4,0),"-")</f>
        <v>CHOUIFI Mustapha</v>
      </c>
      <c r="Z75" s="12" t="str">
        <f>IFERROR(VLOOKUP(B75,Annuaire_roster!B:F,3,0),"-")</f>
        <v>Google Leads</v>
      </c>
      <c r="AA75" s="12" t="str">
        <f>IFERROR(VLOOKUP(B75,Annuaire_roster!B:I,6,0),"-")</f>
        <v>Forfaitaire</v>
      </c>
      <c r="AB75" s="142" t="str">
        <f t="shared" si="46"/>
        <v/>
      </c>
      <c r="AC75" s="142" t="str">
        <f t="shared" si="47"/>
        <v/>
      </c>
      <c r="AD75" s="142" t="str">
        <f t="shared" si="48"/>
        <v/>
      </c>
      <c r="AE75" s="143" t="str">
        <f t="shared" si="49"/>
        <v/>
      </c>
      <c r="AF75" s="63"/>
      <c r="AG75" s="10"/>
    </row>
    <row r="76" spans="1:33" hidden="1" x14ac:dyDescent="0.2">
      <c r="A76" s="70">
        <f>VLOOKUP(B76,Annuaire_roster!B:F,5,0)</f>
        <v>364</v>
      </c>
      <c r="B76" s="165" t="s">
        <v>213</v>
      </c>
      <c r="C76" s="61" t="str">
        <f>IFERROR(IF(COUNTIFS(Connexions!$K:$K,$Q76,Connexions!$E:$E,VLOOKUP($B76,Mapping_Noms!$A:$B,2,0))=0,"",_xlfn.MINIFS(Connexions!$M:$M,Connexions!$K:$K,$Q76,Connexions!$E:$E,VLOOKUP($B76,Mapping_Noms!$A:$B,2,0))-TIME(1,0,0)),"")</f>
        <v/>
      </c>
      <c r="D76" s="61">
        <f t="array" ref="D76">IFERROR(INDEX(Planning2[],MATCH(1,(Planning2[Nom]=B76)*(Planning2[Date]=Q76),0),3),"-")</f>
        <v>0.375</v>
      </c>
      <c r="E76" s="38" t="str">
        <f>IFERROR(IF(COUNTIFS(Connexions!$K:$K,$Q76,Connexions!$E:$E,VLOOKUP($B76,Mapping_Noms!$A:$B,2,0))=0,"",_xlfn.MAXIFS(Connexions!$O:$O,Connexions!$K:$K,$Q76,Connexions!$E:$E,VLOOKUP($B76,Mapping_Noms!$A:$B,2,0))-TIME(1,0,0)),"")</f>
        <v/>
      </c>
      <c r="F76" s="38">
        <f t="array" ref="F76">IFERROR(INDEX(Planning2[],MATCH(1,(Planning2[Nom]=B76)*(Planning2[Date]=Q76),0),4),"-")</f>
        <v>0.79166666666666663</v>
      </c>
      <c r="G76" s="88"/>
      <c r="H76" s="88"/>
      <c r="I76" s="235" t="str">
        <f t="shared" ref="I76:I97" si="50">IF(IF(OR(C76="",D76="Congé",D76="OFF",D76="Congé spécial"),"",IF(D76&gt;F76,D76-C76,IF(C76-D76&lt;0,0,C76-D76)))&lt;0.00068287037037037,"",IF(OR(D76="Congé",D76="OFF",C76="",D76="Congé spécial"),"",IF(D76&gt;F76,D76-C76,IF(C76-D76&lt;0,0,C76-D76))))</f>
        <v/>
      </c>
      <c r="J76" s="88"/>
      <c r="K76" s="89">
        <f t="shared" si="35"/>
        <v>0</v>
      </c>
      <c r="L76" s="88">
        <f t="shared" si="36"/>
        <v>0</v>
      </c>
      <c r="M76" s="62" t="str">
        <f t="shared" si="37"/>
        <v>Abs</v>
      </c>
      <c r="N76" s="102" t="str">
        <f t="shared" si="38"/>
        <v/>
      </c>
      <c r="O76" s="90">
        <f t="shared" si="39"/>
        <v>0.37499999999999994</v>
      </c>
      <c r="P76" s="91" t="str">
        <f>IFERROR(VLOOKUP($B76,Annuaire_roster!$B:$G,MATCH(P$1,Annuaire_roster!$B$1:$G$1,0),0),"-")</f>
        <v>Google Leads</v>
      </c>
      <c r="Q76" s="100">
        <v>44763</v>
      </c>
      <c r="R76" s="10">
        <f t="shared" si="40"/>
        <v>0.37499999999999994</v>
      </c>
      <c r="S76" s="10">
        <f t="shared" si="41"/>
        <v>0.37499999999999994</v>
      </c>
      <c r="T76" s="16" t="str">
        <f t="shared" si="42"/>
        <v>Sem - 30</v>
      </c>
      <c r="U76" s="16" t="str">
        <f t="shared" si="43"/>
        <v>Juillet</v>
      </c>
      <c r="V76" s="11" t="str">
        <f t="shared" si="44"/>
        <v>2026</v>
      </c>
      <c r="W76" s="9"/>
      <c r="X76" s="5">
        <f t="shared" si="45"/>
        <v>0</v>
      </c>
      <c r="Y76" s="12" t="str">
        <f>IFERROR(VLOOKUP(B76,Annuaire_roster!B:E,4,0),"-")</f>
        <v>OUAQERROUCH Nour-El Houda</v>
      </c>
      <c r="Z76" s="12" t="str">
        <f>IFERROR(VLOOKUP(B76,Annuaire_roster!B:F,3,0),"-")</f>
        <v>Google Leads</v>
      </c>
      <c r="AA76" s="12" t="str">
        <f>IFERROR(VLOOKUP(B76,Annuaire_roster!B:I,6,0),"-")</f>
        <v>Forfaitaire</v>
      </c>
      <c r="AB76" s="142" t="str">
        <f t="shared" si="46"/>
        <v/>
      </c>
      <c r="AC76" s="142" t="str">
        <f t="shared" si="47"/>
        <v/>
      </c>
      <c r="AD76" s="142" t="str">
        <f t="shared" si="48"/>
        <v/>
      </c>
      <c r="AE76" s="143" t="str">
        <f t="shared" si="49"/>
        <v/>
      </c>
      <c r="AF76" s="63"/>
      <c r="AG76" s="10"/>
    </row>
    <row r="77" spans="1:33" ht="13.5" hidden="1" customHeight="1" x14ac:dyDescent="0.2">
      <c r="A77" s="70">
        <f>VLOOKUP(B77,Annuaire_roster!B:F,5,0)</f>
        <v>1009</v>
      </c>
      <c r="B77" s="165" t="s">
        <v>91</v>
      </c>
      <c r="C77" s="61" t="str">
        <f>IFERROR(IF(COUNTIFS(Connexions!$K:$K,$Q77,Connexions!$E:$E,VLOOKUP($B77,Mapping_Noms!$A:$B,2,0))=0,"",_xlfn.MINIFS(Connexions!$M:$M,Connexions!$K:$K,$Q77,Connexions!$E:$E,VLOOKUP($B77,Mapping_Noms!$A:$B,2,0))-TIME(1,0,0)),"")</f>
        <v/>
      </c>
      <c r="D77" s="61">
        <f t="array" ref="D77">IFERROR(INDEX(Planning2[],MATCH(1,(Planning2[Nom]=B77)*(Planning2[Date]=Q77),0),3),"-")</f>
        <v>0.375</v>
      </c>
      <c r="E77" s="38" t="str">
        <f>IFERROR(IF(COUNTIFS(Connexions!$K:$K,$Q77,Connexions!$E:$E,VLOOKUP($B77,Mapping_Noms!$A:$B,2,0))=0,"",_xlfn.MAXIFS(Connexions!$O:$O,Connexions!$K:$K,$Q77,Connexions!$E:$E,VLOOKUP($B77,Mapping_Noms!$A:$B,2,0))-TIME(1,0,0)),"")</f>
        <v/>
      </c>
      <c r="F77" s="38">
        <f t="array" ref="F77">IFERROR(INDEX(Planning2[],MATCH(1,(Planning2[Nom]=B77)*(Planning2[Date]=Q77),0),4),"-")</f>
        <v>0.79166666666666663</v>
      </c>
      <c r="G77" s="88"/>
      <c r="H77" s="88"/>
      <c r="I77" s="235" t="str">
        <f t="shared" si="50"/>
        <v/>
      </c>
      <c r="J77" s="88"/>
      <c r="K77" s="89">
        <f t="shared" si="35"/>
        <v>0</v>
      </c>
      <c r="L77" s="88">
        <f t="shared" si="36"/>
        <v>0</v>
      </c>
      <c r="M77" s="62" t="str">
        <f t="shared" si="37"/>
        <v>Abs</v>
      </c>
      <c r="N77" s="102" t="str">
        <f t="shared" si="38"/>
        <v/>
      </c>
      <c r="O77" s="90">
        <f t="shared" si="39"/>
        <v>0.37499999999999994</v>
      </c>
      <c r="P77" s="91" t="str">
        <f>IFERROR(VLOOKUP($B77,Annuaire_roster!$B:$G,MATCH(P$1,Annuaire_roster!$B$1:$G$1,0),0),"-")</f>
        <v>Google Leads</v>
      </c>
      <c r="Q77" s="100">
        <v>44763</v>
      </c>
      <c r="R77" s="10">
        <f t="shared" si="40"/>
        <v>0.37499999999999994</v>
      </c>
      <c r="S77" s="10">
        <f t="shared" si="41"/>
        <v>0.37499999999999994</v>
      </c>
      <c r="T77" s="16" t="str">
        <f t="shared" si="42"/>
        <v>Sem - 30</v>
      </c>
      <c r="U77" s="16" t="str">
        <f t="shared" si="43"/>
        <v>Juillet</v>
      </c>
      <c r="V77" s="11" t="str">
        <f t="shared" si="44"/>
        <v>2026</v>
      </c>
      <c r="W77" s="9"/>
      <c r="X77" s="5">
        <f t="shared" si="45"/>
        <v>0</v>
      </c>
      <c r="Y77" s="12" t="str">
        <f>IFERROR(VLOOKUP(B77,Annuaire_roster!B:E,4,0),"-")</f>
        <v>OUAQERROUCH Nour-El Houda</v>
      </c>
      <c r="Z77" s="12" t="str">
        <f>IFERROR(VLOOKUP(B77,Annuaire_roster!B:F,3,0),"-")</f>
        <v>Google Leads</v>
      </c>
      <c r="AA77" s="12" t="str">
        <f>IFERROR(VLOOKUP(B77,Annuaire_roster!B:I,6,0),"-")</f>
        <v>Forfaitaire</v>
      </c>
      <c r="AB77" s="142" t="str">
        <f t="shared" si="46"/>
        <v/>
      </c>
      <c r="AC77" s="142" t="str">
        <f t="shared" si="47"/>
        <v/>
      </c>
      <c r="AD77" s="142" t="str">
        <f t="shared" si="48"/>
        <v/>
      </c>
      <c r="AE77" s="143" t="str">
        <f t="shared" si="49"/>
        <v/>
      </c>
      <c r="AF77" s="63"/>
      <c r="AG77" s="10"/>
    </row>
    <row r="78" spans="1:33" s="209" customFormat="1" hidden="1" x14ac:dyDescent="0.2">
      <c r="A78" s="210">
        <f>VLOOKUP(B78,Annuaire_roster!B:F,5,0)</f>
        <v>1154</v>
      </c>
      <c r="B78" s="165" t="s">
        <v>110</v>
      </c>
      <c r="C78" s="61" t="str">
        <f>IFERROR(IF(COUNTIFS(Connexions!$K:$K,$Q78,Connexions!$E:$E,VLOOKUP($B78,Mapping_Noms!$A:$B,2,0))=0,"",_xlfn.MINIFS(Connexions!$M:$M,Connexions!$K:$K,$Q78,Connexions!$E:$E,VLOOKUP($B78,Mapping_Noms!$A:$B,2,0))-TIME(1,0,0)),"")</f>
        <v/>
      </c>
      <c r="D78" s="61">
        <f t="array" ref="D78">IFERROR(INDEX(Planning2[],MATCH(1,(Planning2[Nom]=B78)*(Planning2[Date]=Q78),0),3),"-")</f>
        <v>0.375</v>
      </c>
      <c r="E78" s="38" t="str">
        <f>IFERROR(IF(COUNTIFS(Connexions!$K:$K,$Q78,Connexions!$E:$E,VLOOKUP($B78,Mapping_Noms!$A:$B,2,0))=0,"",_xlfn.MAXIFS(Connexions!$O:$O,Connexions!$K:$K,$Q78,Connexions!$E:$E,VLOOKUP($B78,Mapping_Noms!$A:$B,2,0))-TIME(1,0,0)),"")</f>
        <v/>
      </c>
      <c r="F78" s="38">
        <f t="array" ref="F78">IFERROR(INDEX(Planning2[],MATCH(1,(Planning2[Nom]=B78)*(Planning2[Date]=Q78),0),4),"-")</f>
        <v>0.79166666666666663</v>
      </c>
      <c r="G78" s="88"/>
      <c r="H78" s="88"/>
      <c r="I78" s="235" t="str">
        <f t="shared" si="50"/>
        <v/>
      </c>
      <c r="J78" s="88"/>
      <c r="K78" s="89">
        <f t="shared" si="35"/>
        <v>0</v>
      </c>
      <c r="L78" s="88">
        <f t="shared" si="36"/>
        <v>0</v>
      </c>
      <c r="M78" s="62" t="str">
        <f t="shared" si="37"/>
        <v>Abs</v>
      </c>
      <c r="N78" s="211" t="str">
        <f t="shared" si="38"/>
        <v/>
      </c>
      <c r="O78" s="90">
        <f t="shared" si="39"/>
        <v>0.37499999999999994</v>
      </c>
      <c r="P78" s="91" t="str">
        <f>IFERROR(VLOOKUP($B78,Annuaire_roster!$B:$G,MATCH(P$1,Annuaire_roster!$B$1:$G$1,0),0),"-")</f>
        <v>Google Leads</v>
      </c>
      <c r="Q78" s="212">
        <v>44763</v>
      </c>
      <c r="R78" s="142">
        <f t="shared" si="40"/>
        <v>0.37499999999999994</v>
      </c>
      <c r="S78" s="142">
        <f t="shared" si="41"/>
        <v>0.37499999999999994</v>
      </c>
      <c r="T78" s="16" t="str">
        <f t="shared" si="42"/>
        <v>Sem - 30</v>
      </c>
      <c r="U78" s="16" t="str">
        <f t="shared" si="43"/>
        <v>Juillet</v>
      </c>
      <c r="V78" s="213" t="str">
        <f t="shared" si="44"/>
        <v>2026</v>
      </c>
      <c r="W78" s="211"/>
      <c r="X78" s="214">
        <f t="shared" si="45"/>
        <v>0</v>
      </c>
      <c r="Y78" s="215" t="str">
        <f>IFERROR(VLOOKUP(B78,Annuaire_roster!B:E,4,0),"-")</f>
        <v>CHOUIFI Mustapha</v>
      </c>
      <c r="Z78" s="215" t="str">
        <f>IFERROR(VLOOKUP(B78,Annuaire_roster!B:F,3,0),"-")</f>
        <v>Google Leads</v>
      </c>
      <c r="AA78" s="215" t="str">
        <f>IFERROR(VLOOKUP(B78,Annuaire_roster!B:I,6,0),"-")</f>
        <v>Forfaitaire</v>
      </c>
      <c r="AB78" s="142" t="str">
        <f t="shared" si="46"/>
        <v/>
      </c>
      <c r="AC78" s="142" t="str">
        <f t="shared" si="47"/>
        <v/>
      </c>
      <c r="AD78" s="142" t="str">
        <f t="shared" si="48"/>
        <v/>
      </c>
      <c r="AE78" s="216" t="str">
        <f t="shared" si="49"/>
        <v/>
      </c>
      <c r="AF78" s="63"/>
      <c r="AG78" s="142"/>
    </row>
    <row r="79" spans="1:33" hidden="1" x14ac:dyDescent="0.2">
      <c r="A79" s="70">
        <f>VLOOKUP(B79,Annuaire_roster!B:F,5,0)</f>
        <v>1170</v>
      </c>
      <c r="B79" s="165" t="s">
        <v>106</v>
      </c>
      <c r="C79" s="61" t="str">
        <f>IFERROR(IF(COUNTIFS(Connexions!$K:$K,$Q79,Connexions!$E:$E,VLOOKUP($B79,Mapping_Noms!$A:$B,2,0))=0,"",_xlfn.MINIFS(Connexions!$M:$M,Connexions!$K:$K,$Q79,Connexions!$E:$E,VLOOKUP($B79,Mapping_Noms!$A:$B,2,0))-TIME(1,0,0)),"")</f>
        <v/>
      </c>
      <c r="D79" s="61">
        <f t="array" ref="D79">IFERROR(INDEX(Planning2[],MATCH(1,(Planning2[Nom]=B79)*(Planning2[Date]=Q79),0),3),"-")</f>
        <v>0.375</v>
      </c>
      <c r="E79" s="38" t="str">
        <f>IFERROR(IF(COUNTIFS(Connexions!$K:$K,$Q79,Connexions!$E:$E,VLOOKUP($B79,Mapping_Noms!$A:$B,2,0))=0,"",_xlfn.MAXIFS(Connexions!$O:$O,Connexions!$K:$K,$Q79,Connexions!$E:$E,VLOOKUP($B79,Mapping_Noms!$A:$B,2,0))-TIME(1,0,0)),"")</f>
        <v/>
      </c>
      <c r="F79" s="38">
        <f t="array" ref="F79">IFERROR(INDEX(Planning2[],MATCH(1,(Planning2[Nom]=B79)*(Planning2[Date]=Q79),0),4),"-")</f>
        <v>0.79166666666666663</v>
      </c>
      <c r="G79" s="88"/>
      <c r="H79" s="88"/>
      <c r="I79" s="235" t="str">
        <f t="shared" si="50"/>
        <v/>
      </c>
      <c r="J79" s="88"/>
      <c r="K79" s="89">
        <f t="shared" si="35"/>
        <v>0</v>
      </c>
      <c r="L79" s="88">
        <f t="shared" si="36"/>
        <v>0</v>
      </c>
      <c r="M79" s="62" t="str">
        <f t="shared" si="37"/>
        <v>Abs</v>
      </c>
      <c r="N79" s="102" t="str">
        <f t="shared" si="38"/>
        <v/>
      </c>
      <c r="O79" s="90">
        <f t="shared" si="39"/>
        <v>0.37499999999999994</v>
      </c>
      <c r="P79" s="91" t="str">
        <f>IFERROR(VLOOKUP($B79,Annuaire_roster!$B:$G,MATCH(P$1,Annuaire_roster!$B$1:$G$1,0),0),"-")</f>
        <v>Google Leads</v>
      </c>
      <c r="Q79" s="100">
        <v>44763</v>
      </c>
      <c r="R79" s="10">
        <f t="shared" si="40"/>
        <v>0.37499999999999994</v>
      </c>
      <c r="S79" s="10">
        <f t="shared" si="41"/>
        <v>0.37499999999999994</v>
      </c>
      <c r="T79" s="16" t="str">
        <f t="shared" si="42"/>
        <v>Sem - 30</v>
      </c>
      <c r="U79" s="16" t="str">
        <f t="shared" si="43"/>
        <v>Juillet</v>
      </c>
      <c r="V79" s="11" t="str">
        <f t="shared" si="44"/>
        <v>2026</v>
      </c>
      <c r="W79" s="9"/>
      <c r="X79" s="5">
        <f t="shared" si="45"/>
        <v>0</v>
      </c>
      <c r="Y79" s="12" t="str">
        <f>IFERROR(VLOOKUP(B79,Annuaire_roster!B:E,4,0),"-")</f>
        <v>CHOUIFI Mustapha</v>
      </c>
      <c r="Z79" s="12" t="str">
        <f>IFERROR(VLOOKUP(B79,Annuaire_roster!B:F,3,0),"-")</f>
        <v>Google Leads</v>
      </c>
      <c r="AA79" s="12" t="str">
        <f>IFERROR(VLOOKUP(B79,Annuaire_roster!B:I,6,0),"-")</f>
        <v>Forfaitaire</v>
      </c>
      <c r="AB79" s="142" t="str">
        <f t="shared" si="46"/>
        <v/>
      </c>
      <c r="AC79" s="142" t="str">
        <f t="shared" si="47"/>
        <v/>
      </c>
      <c r="AD79" s="142" t="str">
        <f t="shared" si="48"/>
        <v/>
      </c>
      <c r="AE79" s="143" t="str">
        <f t="shared" si="49"/>
        <v/>
      </c>
      <c r="AF79" s="63"/>
      <c r="AG79" s="10"/>
    </row>
    <row r="80" spans="1:33" hidden="1" x14ac:dyDescent="0.2">
      <c r="A80" s="70">
        <f>VLOOKUP(B80,Annuaire_roster!B:F,5,0)</f>
        <v>0</v>
      </c>
      <c r="B80" s="165" t="s">
        <v>197</v>
      </c>
      <c r="C80" s="61" t="str">
        <f>IFERROR(IF(COUNTIFS(Connexions!$K:$K,$Q80,Connexions!$E:$E,VLOOKUP($B80,Mapping_Noms!$A:$B,2,0))=0,"",_xlfn.MINIFS(Connexions!$M:$M,Connexions!$K:$K,$Q80,Connexions!$E:$E,VLOOKUP($B80,Mapping_Noms!$A:$B,2,0))-TIME(1,0,0)),"")</f>
        <v/>
      </c>
      <c r="D80" s="61" t="str">
        <f t="array" ref="D80">IFERROR(INDEX(Planning2[],MATCH(1,(Planning2[Nom]=B80)*(Planning2[Date]=Q80),0),3),"-")</f>
        <v>OFF</v>
      </c>
      <c r="E80" s="38" t="str">
        <f>IFERROR(IF(COUNTIFS(Connexions!$K:$K,$Q80,Connexions!$E:$E,VLOOKUP($B80,Mapping_Noms!$A:$B,2,0))=0,"",_xlfn.MAXIFS(Connexions!$O:$O,Connexions!$K:$K,$Q80,Connexions!$E:$E,VLOOKUP($B80,Mapping_Noms!$A:$B,2,0))-TIME(1,0,0)),"")</f>
        <v/>
      </c>
      <c r="F80" s="38" t="str">
        <f t="array" ref="F80">IFERROR(INDEX(Planning2[],MATCH(1,(Planning2[Nom]=B80)*(Planning2[Date]=Q80),0),4),"-")</f>
        <v>OFF</v>
      </c>
      <c r="G80" s="88"/>
      <c r="H80" s="88"/>
      <c r="I80" s="235" t="str">
        <f t="shared" si="50"/>
        <v/>
      </c>
      <c r="J80" s="88"/>
      <c r="K80" s="89">
        <f t="shared" si="35"/>
        <v>0</v>
      </c>
      <c r="L80" s="88">
        <f t="shared" si="36"/>
        <v>0</v>
      </c>
      <c r="M80" s="62">
        <f t="shared" si="37"/>
        <v>0</v>
      </c>
      <c r="N80" s="102" t="str">
        <f t="shared" si="38"/>
        <v/>
      </c>
      <c r="O80" s="90">
        <f t="shared" si="39"/>
        <v>0</v>
      </c>
      <c r="P80" s="91" t="str">
        <f>IFERROR(VLOOKUP($B80,Annuaire_roster!$B:$G,MATCH(P$1,Annuaire_roster!$B$1:$G$1,0),0),"-")</f>
        <v>Google Leads</v>
      </c>
      <c r="Q80" s="100">
        <v>44763</v>
      </c>
      <c r="R80" s="10">
        <f t="shared" si="40"/>
        <v>0</v>
      </c>
      <c r="S80" s="10">
        <f t="shared" si="41"/>
        <v>0</v>
      </c>
      <c r="T80" s="16" t="str">
        <f t="shared" si="42"/>
        <v>Sem - 30</v>
      </c>
      <c r="U80" s="16" t="str">
        <f t="shared" si="43"/>
        <v>Juillet</v>
      </c>
      <c r="V80" s="11" t="str">
        <f t="shared" si="44"/>
        <v>2026</v>
      </c>
      <c r="W80" s="9"/>
      <c r="X80" s="5">
        <f t="shared" si="45"/>
        <v>0</v>
      </c>
      <c r="Y80" s="12">
        <f>IFERROR(VLOOKUP(B80,Annuaire_roster!B:E,4,0),"-")</f>
        <v>0</v>
      </c>
      <c r="Z80" s="12" t="str">
        <f>IFERROR(VLOOKUP(B80,Annuaire_roster!B:F,3,0),"-")</f>
        <v>Google Leads</v>
      </c>
      <c r="AA80" s="12">
        <f>IFERROR(VLOOKUP(B80,Annuaire_roster!B:I,6,0),"-")</f>
        <v>0</v>
      </c>
      <c r="AB80" s="142" t="str">
        <f t="shared" si="46"/>
        <v/>
      </c>
      <c r="AC80" s="142" t="str">
        <f t="shared" si="47"/>
        <v/>
      </c>
      <c r="AD80" s="142" t="str">
        <f t="shared" si="48"/>
        <v/>
      </c>
      <c r="AE80" s="143" t="str">
        <f t="shared" si="49"/>
        <v/>
      </c>
      <c r="AF80" s="63"/>
      <c r="AG80" s="10"/>
    </row>
    <row r="81" spans="1:33" hidden="1" x14ac:dyDescent="0.2">
      <c r="A81" s="70">
        <f>VLOOKUP(B81,Annuaire_roster!B:F,5,0)</f>
        <v>0</v>
      </c>
      <c r="B81" s="165" t="s">
        <v>216</v>
      </c>
      <c r="C81" s="61" t="str">
        <f>IFERROR(IF(COUNTIFS(Connexions!$K:$K,$Q81,Connexions!$E:$E,VLOOKUP($B81,Mapping_Noms!$A:$B,2,0))=0,"",_xlfn.MINIFS(Connexions!$M:$M,Connexions!$K:$K,$Q81,Connexions!$E:$E,VLOOKUP($B81,Mapping_Noms!$A:$B,2,0))-TIME(1,0,0)),"")</f>
        <v/>
      </c>
      <c r="D81" s="61">
        <f t="array" ref="D81">IFERROR(INDEX(Planning2[],MATCH(1,(Planning2[Nom]=B81)*(Planning2[Date]=Q81),0),3),"-")</f>
        <v>0.29166666666666669</v>
      </c>
      <c r="E81" s="38" t="str">
        <f>IFERROR(IF(COUNTIFS(Connexions!$K:$K,$Q81,Connexions!$E:$E,VLOOKUP($B81,Mapping_Noms!$A:$B,2,0))=0,"",_xlfn.MAXIFS(Connexions!$O:$O,Connexions!$K:$K,$Q81,Connexions!$E:$E,VLOOKUP($B81,Mapping_Noms!$A:$B,2,0))-TIME(1,0,0)),"")</f>
        <v/>
      </c>
      <c r="F81" s="38">
        <f t="array" ref="F81">IFERROR(INDEX(Planning2[],MATCH(1,(Planning2[Nom]=B81)*(Planning2[Date]=Q81),0),4),"-")</f>
        <v>0.70833333333333337</v>
      </c>
      <c r="G81" s="88"/>
      <c r="H81" s="88"/>
      <c r="I81" s="235" t="str">
        <f t="shared" si="50"/>
        <v/>
      </c>
      <c r="J81" s="88"/>
      <c r="K81" s="89">
        <f t="shared" si="35"/>
        <v>0</v>
      </c>
      <c r="L81" s="88">
        <f t="shared" si="36"/>
        <v>0</v>
      </c>
      <c r="M81" s="62" t="str">
        <f t="shared" si="37"/>
        <v>Abs</v>
      </c>
      <c r="N81" s="102" t="str">
        <f t="shared" si="38"/>
        <v/>
      </c>
      <c r="O81" s="90">
        <f t="shared" si="39"/>
        <v>0.375</v>
      </c>
      <c r="P81" s="91" t="str">
        <f>IFERROR(VLOOKUP($B81,Annuaire_roster!$B:$G,MATCH(P$1,Annuaire_roster!$B$1:$G$1,0),0),"-")</f>
        <v>Google Leads</v>
      </c>
      <c r="Q81" s="100">
        <v>44763</v>
      </c>
      <c r="R81" s="10">
        <f t="shared" si="40"/>
        <v>0.375</v>
      </c>
      <c r="S81" s="10">
        <f t="shared" si="41"/>
        <v>0.375</v>
      </c>
      <c r="T81" s="16" t="str">
        <f t="shared" si="42"/>
        <v>Sem - 30</v>
      </c>
      <c r="U81" s="16" t="str">
        <f t="shared" si="43"/>
        <v>Juillet</v>
      </c>
      <c r="V81" s="11" t="str">
        <f t="shared" si="44"/>
        <v>2026</v>
      </c>
      <c r="W81" s="9"/>
      <c r="X81" s="5">
        <f t="shared" si="45"/>
        <v>0</v>
      </c>
      <c r="Y81" s="12">
        <f>IFERROR(VLOOKUP(B81,Annuaire_roster!B:E,4,0),"-")</f>
        <v>0</v>
      </c>
      <c r="Z81" s="12" t="str">
        <f>IFERROR(VLOOKUP(B81,Annuaire_roster!B:F,3,0),"-")</f>
        <v>Google Leads</v>
      </c>
      <c r="AA81" s="12">
        <f>IFERROR(VLOOKUP(B81,Annuaire_roster!B:I,6,0),"-")</f>
        <v>0</v>
      </c>
      <c r="AB81" s="142" t="str">
        <f t="shared" si="46"/>
        <v/>
      </c>
      <c r="AC81" s="142" t="str">
        <f t="shared" si="47"/>
        <v/>
      </c>
      <c r="AD81" s="142" t="str">
        <f t="shared" si="48"/>
        <v/>
      </c>
      <c r="AE81" s="143" t="str">
        <f t="shared" si="49"/>
        <v/>
      </c>
      <c r="AF81" s="63"/>
      <c r="AG81" s="10"/>
    </row>
    <row r="82" spans="1:33" hidden="1" x14ac:dyDescent="0.2">
      <c r="A82" s="70">
        <f>VLOOKUP(B82,Annuaire_roster!B:F,5,0)</f>
        <v>0</v>
      </c>
      <c r="B82" s="165" t="s">
        <v>219</v>
      </c>
      <c r="C82" s="61" t="str">
        <f>IFERROR(IF(COUNTIFS(Connexions!$K:$K,$Q82,Connexions!$E:$E,VLOOKUP($B82,Mapping_Noms!$A:$B,2,0))=0,"",_xlfn.MINIFS(Connexions!$M:$M,Connexions!$K:$K,$Q82,Connexions!$E:$E,VLOOKUP($B82,Mapping_Noms!$A:$B,2,0))-TIME(1,0,0)),"")</f>
        <v/>
      </c>
      <c r="D82" s="61">
        <f t="array" ref="D82">IFERROR(INDEX(Planning2[],MATCH(1,(Planning2[Nom]=B82)*(Planning2[Date]=Q82),0),3),"-")</f>
        <v>0.29166666666666669</v>
      </c>
      <c r="E82" s="38" t="str">
        <f>IFERROR(IF(COUNTIFS(Connexions!$K:$K,$Q82,Connexions!$E:$E,VLOOKUP($B82,Mapping_Noms!$A:$B,2,0))=0,"",_xlfn.MAXIFS(Connexions!$O:$O,Connexions!$K:$K,$Q82,Connexions!$E:$E,VLOOKUP($B82,Mapping_Noms!$A:$B,2,0))-TIME(1,0,0)),"")</f>
        <v/>
      </c>
      <c r="F82" s="38">
        <f t="array" ref="F82">IFERROR(INDEX(Planning2[],MATCH(1,(Planning2[Nom]=B82)*(Planning2[Date]=Q82),0),4),"-")</f>
        <v>0.70833333333333337</v>
      </c>
      <c r="G82" s="88"/>
      <c r="H82" s="88"/>
      <c r="I82" s="235" t="str">
        <f t="shared" si="50"/>
        <v/>
      </c>
      <c r="J82" s="88"/>
      <c r="K82" s="89">
        <f t="shared" si="35"/>
        <v>0</v>
      </c>
      <c r="L82" s="88">
        <f t="shared" si="36"/>
        <v>0</v>
      </c>
      <c r="M82" s="62" t="str">
        <f t="shared" si="37"/>
        <v>Abs</v>
      </c>
      <c r="N82" s="102" t="str">
        <f t="shared" si="38"/>
        <v/>
      </c>
      <c r="O82" s="90">
        <f t="shared" si="39"/>
        <v>0.375</v>
      </c>
      <c r="P82" s="91" t="str">
        <f>IFERROR(VLOOKUP($B82,Annuaire_roster!$B:$G,MATCH(P$1,Annuaire_roster!$B$1:$G$1,0),0),"-")</f>
        <v>Google Leads</v>
      </c>
      <c r="Q82" s="100">
        <v>44763</v>
      </c>
      <c r="R82" s="10">
        <f t="shared" si="40"/>
        <v>0.375</v>
      </c>
      <c r="S82" s="10">
        <f t="shared" si="41"/>
        <v>0.375</v>
      </c>
      <c r="T82" s="16" t="str">
        <f t="shared" si="42"/>
        <v>Sem - 30</v>
      </c>
      <c r="U82" s="16" t="str">
        <f t="shared" si="43"/>
        <v>Juillet</v>
      </c>
      <c r="V82" s="11" t="str">
        <f t="shared" si="44"/>
        <v>2026</v>
      </c>
      <c r="W82" s="9"/>
      <c r="X82" s="5">
        <f t="shared" si="45"/>
        <v>0</v>
      </c>
      <c r="Y82" s="12">
        <f>IFERROR(VLOOKUP(B82,Annuaire_roster!B:E,4,0),"-")</f>
        <v>0</v>
      </c>
      <c r="Z82" s="12" t="str">
        <f>IFERROR(VLOOKUP(B82,Annuaire_roster!B:F,3,0),"-")</f>
        <v>Google Leads</v>
      </c>
      <c r="AA82" s="12">
        <f>IFERROR(VLOOKUP(B82,Annuaire_roster!B:I,6,0),"-")</f>
        <v>0</v>
      </c>
      <c r="AB82" s="142" t="str">
        <f t="shared" si="46"/>
        <v/>
      </c>
      <c r="AC82" s="142" t="str">
        <f t="shared" si="47"/>
        <v/>
      </c>
      <c r="AD82" s="142" t="str">
        <f t="shared" si="48"/>
        <v/>
      </c>
      <c r="AE82" s="143" t="str">
        <f t="shared" si="49"/>
        <v/>
      </c>
      <c r="AF82" s="63"/>
      <c r="AG82" s="10"/>
    </row>
    <row r="83" spans="1:33" hidden="1" x14ac:dyDescent="0.2">
      <c r="A83" s="70">
        <f>VLOOKUP(B83,Annuaire_roster!B:F,5,0)</f>
        <v>1131</v>
      </c>
      <c r="B83" s="165" t="s">
        <v>214</v>
      </c>
      <c r="C83" s="61" t="str">
        <f>IFERROR(IF(COUNTIFS(Connexions!$K:$K,$Q83,Connexions!$E:$E,VLOOKUP($B83,Mapping_Noms!$A:$B,2,0))=0,"",_xlfn.MINIFS(Connexions!$M:$M,Connexions!$K:$K,$Q83,Connexions!$E:$E,VLOOKUP($B83,Mapping_Noms!$A:$B,2,0))-TIME(1,0,0)),"")</f>
        <v/>
      </c>
      <c r="D83" s="61" t="str">
        <f t="array" ref="D83">IFERROR(INDEX(Planning2[],MATCH(1,(Planning2[Nom]=B83)*(Planning2[Date]=Q83),0),3),"-")</f>
        <v>OFF</v>
      </c>
      <c r="E83" s="38" t="str">
        <f>IFERROR(IF(COUNTIFS(Connexions!$K:$K,$Q83,Connexions!$E:$E,VLOOKUP($B83,Mapping_Noms!$A:$B,2,0))=0,"",_xlfn.MAXIFS(Connexions!$O:$O,Connexions!$K:$K,$Q83,Connexions!$E:$E,VLOOKUP($B83,Mapping_Noms!$A:$B,2,0))-TIME(1,0,0)),"")</f>
        <v/>
      </c>
      <c r="F83" s="38" t="str">
        <f t="array" ref="F83">IFERROR(INDEX(Planning2[],MATCH(1,(Planning2[Nom]=B83)*(Planning2[Date]=Q83),0),4),"-")</f>
        <v>OFF</v>
      </c>
      <c r="G83" s="88"/>
      <c r="H83" s="88"/>
      <c r="I83" s="235" t="str">
        <f t="shared" si="50"/>
        <v/>
      </c>
      <c r="J83" s="88"/>
      <c r="K83" s="89">
        <f t="shared" si="35"/>
        <v>0</v>
      </c>
      <c r="L83" s="88">
        <f t="shared" si="36"/>
        <v>0</v>
      </c>
      <c r="M83" s="62">
        <f t="shared" si="37"/>
        <v>0</v>
      </c>
      <c r="N83" s="102" t="str">
        <f t="shared" si="38"/>
        <v/>
      </c>
      <c r="O83" s="90">
        <f t="shared" si="39"/>
        <v>0</v>
      </c>
      <c r="P83" s="91" t="str">
        <f>IFERROR(VLOOKUP($B83,Annuaire_roster!$B:$G,MATCH(P$1,Annuaire_roster!$B$1:$G$1,0),0),"-")</f>
        <v>Google Leads</v>
      </c>
      <c r="Q83" s="100">
        <v>44763</v>
      </c>
      <c r="R83" s="10">
        <f t="shared" si="40"/>
        <v>0</v>
      </c>
      <c r="S83" s="10">
        <f t="shared" si="41"/>
        <v>0</v>
      </c>
      <c r="T83" s="16" t="str">
        <f t="shared" si="42"/>
        <v>Sem - 30</v>
      </c>
      <c r="U83" s="16" t="str">
        <f t="shared" si="43"/>
        <v>Juillet</v>
      </c>
      <c r="V83" s="11" t="str">
        <f t="shared" si="44"/>
        <v>2026</v>
      </c>
      <c r="W83" s="9"/>
      <c r="X83" s="5">
        <f t="shared" si="45"/>
        <v>0</v>
      </c>
      <c r="Y83" s="12" t="str">
        <f>IFERROR(VLOOKUP(B83,Annuaire_roster!B:E,4,0),"-")</f>
        <v>CHOUIFI Mustapha</v>
      </c>
      <c r="Z83" s="12" t="str">
        <f>IFERROR(VLOOKUP(B83,Annuaire_roster!B:F,3,0),"-")</f>
        <v>Google Leads</v>
      </c>
      <c r="AA83" s="12" t="str">
        <f>IFERROR(VLOOKUP(B83,Annuaire_roster!B:I,6,0),"-")</f>
        <v>Forfaitaire</v>
      </c>
      <c r="AB83" s="142" t="str">
        <f t="shared" si="46"/>
        <v/>
      </c>
      <c r="AC83" s="142" t="str">
        <f t="shared" si="47"/>
        <v/>
      </c>
      <c r="AD83" s="142" t="str">
        <f t="shared" si="48"/>
        <v/>
      </c>
      <c r="AE83" s="143" t="str">
        <f t="shared" si="49"/>
        <v/>
      </c>
      <c r="AF83" s="63"/>
      <c r="AG83" s="10"/>
    </row>
    <row r="84" spans="1:33" hidden="1" x14ac:dyDescent="0.2">
      <c r="A84" s="70">
        <f>VLOOKUP(B84,Annuaire_roster!B:F,5,0)</f>
        <v>0</v>
      </c>
      <c r="B84" s="165" t="s">
        <v>217</v>
      </c>
      <c r="C84" s="61" t="str">
        <f>IFERROR(IF(COUNTIFS(Connexions!$K:$K,$Q84,Connexions!$E:$E,VLOOKUP($B84,Mapping_Noms!$A:$B,2,0))=0,"",_xlfn.MINIFS(Connexions!$M:$M,Connexions!$K:$K,$Q84,Connexions!$E:$E,VLOOKUP($B84,Mapping_Noms!$A:$B,2,0))-TIME(1,0,0)),"")</f>
        <v/>
      </c>
      <c r="D84" s="61">
        <f t="array" ref="D84">IFERROR(INDEX(Planning2[],MATCH(1,(Planning2[Nom]=B84)*(Planning2[Date]=Q84),0),3),"-")</f>
        <v>0.41666666666666669</v>
      </c>
      <c r="E84" s="38" t="str">
        <f>IFERROR(IF(COUNTIFS(Connexions!$K:$K,$Q84,Connexions!$E:$E,VLOOKUP($B84,Mapping_Noms!$A:$B,2,0))=0,"",_xlfn.MAXIFS(Connexions!$O:$O,Connexions!$K:$K,$Q84,Connexions!$E:$E,VLOOKUP($B84,Mapping_Noms!$A:$B,2,0))-TIME(1,0,0)),"")</f>
        <v/>
      </c>
      <c r="F84" s="38">
        <f t="array" ref="F84">IFERROR(INDEX(Planning2[],MATCH(1,(Planning2[Nom]=B84)*(Planning2[Date]=Q84),0),4),"-")</f>
        <v>0.83333333333333337</v>
      </c>
      <c r="G84" s="88"/>
      <c r="H84" s="88"/>
      <c r="I84" s="235" t="str">
        <f t="shared" si="50"/>
        <v/>
      </c>
      <c r="J84" s="88"/>
      <c r="K84" s="89">
        <f t="shared" si="35"/>
        <v>0</v>
      </c>
      <c r="L84" s="88">
        <f t="shared" si="36"/>
        <v>0</v>
      </c>
      <c r="M84" s="62" t="str">
        <f t="shared" si="37"/>
        <v>Abs</v>
      </c>
      <c r="N84" s="102" t="str">
        <f t="shared" si="38"/>
        <v/>
      </c>
      <c r="O84" s="90">
        <f t="shared" si="39"/>
        <v>0.375</v>
      </c>
      <c r="P84" s="91" t="str">
        <f>IFERROR(VLOOKUP($B84,Annuaire_roster!$B:$G,MATCH(P$1,Annuaire_roster!$B$1:$G$1,0),0),"-")</f>
        <v>Google Leads</v>
      </c>
      <c r="Q84" s="100">
        <v>44763</v>
      </c>
      <c r="R84" s="10">
        <f t="shared" si="40"/>
        <v>0.375</v>
      </c>
      <c r="S84" s="10">
        <f t="shared" si="41"/>
        <v>0.375</v>
      </c>
      <c r="T84" s="16" t="str">
        <f t="shared" si="42"/>
        <v>Sem - 30</v>
      </c>
      <c r="U84" s="16" t="str">
        <f t="shared" si="43"/>
        <v>Juillet</v>
      </c>
      <c r="V84" s="11" t="str">
        <f t="shared" si="44"/>
        <v>2026</v>
      </c>
      <c r="W84" s="9"/>
      <c r="X84" s="5">
        <f t="shared" si="45"/>
        <v>0</v>
      </c>
      <c r="Y84" s="12">
        <f>IFERROR(VLOOKUP(B84,Annuaire_roster!B:E,4,0),"-")</f>
        <v>0</v>
      </c>
      <c r="Z84" s="12" t="str">
        <f>IFERROR(VLOOKUP(B84,Annuaire_roster!B:F,3,0),"-")</f>
        <v>Google Leads</v>
      </c>
      <c r="AA84" s="12">
        <f>IFERROR(VLOOKUP(B84,Annuaire_roster!B:I,6,0),"-")</f>
        <v>0</v>
      </c>
      <c r="AB84" s="142" t="str">
        <f t="shared" si="46"/>
        <v/>
      </c>
      <c r="AC84" s="142" t="str">
        <f t="shared" si="47"/>
        <v/>
      </c>
      <c r="AD84" s="142" t="str">
        <f t="shared" si="48"/>
        <v/>
      </c>
      <c r="AE84" s="143" t="str">
        <f t="shared" si="49"/>
        <v/>
      </c>
      <c r="AF84" s="63"/>
      <c r="AG84" s="10"/>
    </row>
    <row r="85" spans="1:33" hidden="1" x14ac:dyDescent="0.2">
      <c r="A85" s="70">
        <f>VLOOKUP(B85,Annuaire_roster!B:F,5,0)</f>
        <v>0</v>
      </c>
      <c r="B85" s="165" t="s">
        <v>220</v>
      </c>
      <c r="C85" s="61" t="str">
        <f>IFERROR(IF(COUNTIFS(Connexions!$K:$K,$Q85,Connexions!$E:$E,VLOOKUP($B85,Mapping_Noms!$A:$B,2,0))=0,"",_xlfn.MINIFS(Connexions!$M:$M,Connexions!$K:$K,$Q85,Connexions!$E:$E,VLOOKUP($B85,Mapping_Noms!$A:$B,2,0))-TIME(1,0,0)),"")</f>
        <v/>
      </c>
      <c r="D85" s="61" t="str">
        <f t="array" ref="D85">IFERROR(INDEX(Planning2[],MATCH(1,(Planning2[Nom]=B85)*(Planning2[Date]=Q85),0),3),"-")</f>
        <v>OFF</v>
      </c>
      <c r="E85" s="38" t="str">
        <f>IFERROR(IF(COUNTIFS(Connexions!$K:$K,$Q85,Connexions!$E:$E,VLOOKUP($B85,Mapping_Noms!$A:$B,2,0))=0,"",_xlfn.MAXIFS(Connexions!$O:$O,Connexions!$K:$K,$Q85,Connexions!$E:$E,VLOOKUP($B85,Mapping_Noms!$A:$B,2,0))-TIME(1,0,0)),"")</f>
        <v/>
      </c>
      <c r="F85" s="38" t="str">
        <f t="array" ref="F85">IFERROR(INDEX(Planning2[],MATCH(1,(Planning2[Nom]=B85)*(Planning2[Date]=Q85),0),4),"-")</f>
        <v>OFF</v>
      </c>
      <c r="G85" s="88"/>
      <c r="H85" s="88"/>
      <c r="I85" s="235" t="str">
        <f t="shared" si="50"/>
        <v/>
      </c>
      <c r="J85" s="88"/>
      <c r="K85" s="89">
        <f t="shared" si="35"/>
        <v>0</v>
      </c>
      <c r="L85" s="88">
        <f t="shared" si="36"/>
        <v>0</v>
      </c>
      <c r="M85" s="62">
        <f t="shared" si="37"/>
        <v>0</v>
      </c>
      <c r="N85" s="102" t="str">
        <f t="shared" si="38"/>
        <v/>
      </c>
      <c r="O85" s="90">
        <f t="shared" si="39"/>
        <v>0</v>
      </c>
      <c r="P85" s="91" t="str">
        <f>IFERROR(VLOOKUP($B85,Annuaire_roster!$B:$G,MATCH(P$1,Annuaire_roster!$B$1:$G$1,0),0),"-")</f>
        <v>Google Leads</v>
      </c>
      <c r="Q85" s="100">
        <v>44763</v>
      </c>
      <c r="R85" s="10">
        <f t="shared" si="40"/>
        <v>0</v>
      </c>
      <c r="S85" s="10">
        <f t="shared" si="41"/>
        <v>0</v>
      </c>
      <c r="T85" s="16" t="str">
        <f t="shared" si="42"/>
        <v>Sem - 30</v>
      </c>
      <c r="U85" s="16" t="str">
        <f t="shared" si="43"/>
        <v>Juillet</v>
      </c>
      <c r="V85" s="11" t="str">
        <f t="shared" si="44"/>
        <v>2026</v>
      </c>
      <c r="W85" s="9"/>
      <c r="X85" s="5">
        <f t="shared" si="45"/>
        <v>0</v>
      </c>
      <c r="Y85" s="12">
        <f>IFERROR(VLOOKUP(B85,Annuaire_roster!B:E,4,0),"-")</f>
        <v>0</v>
      </c>
      <c r="Z85" s="12" t="str">
        <f>IFERROR(VLOOKUP(B85,Annuaire_roster!B:F,3,0),"-")</f>
        <v>Google Leads</v>
      </c>
      <c r="AA85" s="12">
        <f>IFERROR(VLOOKUP(B85,Annuaire_roster!B:I,6,0),"-")</f>
        <v>0</v>
      </c>
      <c r="AB85" s="142" t="str">
        <f t="shared" si="46"/>
        <v/>
      </c>
      <c r="AC85" s="142" t="str">
        <f t="shared" si="47"/>
        <v/>
      </c>
      <c r="AD85" s="142" t="str">
        <f t="shared" si="48"/>
        <v/>
      </c>
      <c r="AE85" s="143" t="str">
        <f t="shared" si="49"/>
        <v/>
      </c>
      <c r="AF85" s="63"/>
      <c r="AG85" s="10"/>
    </row>
    <row r="86" spans="1:33" hidden="1" x14ac:dyDescent="0.2">
      <c r="A86" s="70">
        <f>VLOOKUP(B86,Annuaire_roster!B:F,5,0)</f>
        <v>0</v>
      </c>
      <c r="B86" s="165" t="s">
        <v>223</v>
      </c>
      <c r="C86" s="61" t="str">
        <f>IFERROR(IF(COUNTIFS(Connexions!$K:$K,$Q86,Connexions!$E:$E,VLOOKUP($B86,Mapping_Noms!$A:$B,2,0))=0,"",_xlfn.MINIFS(Connexions!$M:$M,Connexions!$K:$K,$Q86,Connexions!$E:$E,VLOOKUP($B86,Mapping_Noms!$A:$B,2,0))-TIME(1,0,0)),"")</f>
        <v/>
      </c>
      <c r="D86" s="61" t="str">
        <f t="array" ref="D86">IFERROR(INDEX(Planning2[],MATCH(1,(Planning2[Nom]=B86)*(Planning2[Date]=Q86),0),3),"-")</f>
        <v>OFF</v>
      </c>
      <c r="E86" s="38" t="str">
        <f>IFERROR(IF(COUNTIFS(Connexions!$K:$K,$Q86,Connexions!$E:$E,VLOOKUP($B86,Mapping_Noms!$A:$B,2,0))=0,"",_xlfn.MAXIFS(Connexions!$O:$O,Connexions!$K:$K,$Q86,Connexions!$E:$E,VLOOKUP($B86,Mapping_Noms!$A:$B,2,0))-TIME(1,0,0)),"")</f>
        <v/>
      </c>
      <c r="F86" s="38" t="str">
        <f t="array" ref="F86">IFERROR(INDEX(Planning2[],MATCH(1,(Planning2[Nom]=B86)*(Planning2[Date]=Q86),0),4),"-")</f>
        <v>OFF</v>
      </c>
      <c r="G86" s="88"/>
      <c r="H86" s="88"/>
      <c r="I86" s="235" t="str">
        <f t="shared" si="50"/>
        <v/>
      </c>
      <c r="J86" s="88"/>
      <c r="K86" s="89">
        <f t="shared" si="35"/>
        <v>0</v>
      </c>
      <c r="L86" s="88">
        <f t="shared" si="36"/>
        <v>0</v>
      </c>
      <c r="M86" s="62">
        <f t="shared" si="37"/>
        <v>0</v>
      </c>
      <c r="N86" s="102" t="str">
        <f t="shared" si="38"/>
        <v/>
      </c>
      <c r="O86" s="90">
        <f t="shared" si="39"/>
        <v>0</v>
      </c>
      <c r="P86" s="91" t="str">
        <f>IFERROR(VLOOKUP($B86,Annuaire_roster!$B:$G,MATCH(P$1,Annuaire_roster!$B$1:$G$1,0),0),"-")</f>
        <v>Google Leads</v>
      </c>
      <c r="Q86" s="100">
        <v>44763</v>
      </c>
      <c r="R86" s="10">
        <f t="shared" si="40"/>
        <v>0</v>
      </c>
      <c r="S86" s="10">
        <f t="shared" si="41"/>
        <v>0</v>
      </c>
      <c r="T86" s="16" t="str">
        <f t="shared" si="42"/>
        <v>Sem - 30</v>
      </c>
      <c r="U86" s="16" t="str">
        <f t="shared" si="43"/>
        <v>Juillet</v>
      </c>
      <c r="V86" s="11" t="str">
        <f t="shared" si="44"/>
        <v>2026</v>
      </c>
      <c r="W86" s="9"/>
      <c r="X86" s="5">
        <f t="shared" si="45"/>
        <v>0</v>
      </c>
      <c r="Y86" s="12">
        <f>IFERROR(VLOOKUP(B86,Annuaire_roster!B:E,4,0),"-")</f>
        <v>0</v>
      </c>
      <c r="Z86" s="12" t="str">
        <f>IFERROR(VLOOKUP(B86,Annuaire_roster!B:F,3,0),"-")</f>
        <v>Google Leads</v>
      </c>
      <c r="AA86" s="12">
        <f>IFERROR(VLOOKUP(B86,Annuaire_roster!B:I,6,0),"-")</f>
        <v>0</v>
      </c>
      <c r="AB86" s="142" t="str">
        <f t="shared" si="46"/>
        <v/>
      </c>
      <c r="AC86" s="142" t="str">
        <f t="shared" si="47"/>
        <v/>
      </c>
      <c r="AD86" s="142" t="str">
        <f t="shared" si="48"/>
        <v/>
      </c>
      <c r="AE86" s="143" t="str">
        <f t="shared" si="49"/>
        <v/>
      </c>
      <c r="AF86" s="63"/>
      <c r="AG86" s="10"/>
    </row>
    <row r="87" spans="1:33" hidden="1" x14ac:dyDescent="0.2">
      <c r="A87" s="70">
        <f>VLOOKUP(B87,Annuaire_roster!B:F,5,0)</f>
        <v>669</v>
      </c>
      <c r="B87" s="165" t="s">
        <v>45</v>
      </c>
      <c r="C87" s="61" t="str">
        <f>IFERROR(IF(COUNTIFS(Connexions!$K:$K,$Q87,Connexions!$E:$E,VLOOKUP($B87,Mapping_Noms!$A:$B,2,0))=0,"",_xlfn.MINIFS(Connexions!$M:$M,Connexions!$K:$K,$Q87,Connexions!$E:$E,VLOOKUP($B87,Mapping_Noms!$A:$B,2,0))-TIME(1,0,0)),"")</f>
        <v/>
      </c>
      <c r="D87" s="61">
        <f t="array" ref="D87">IFERROR(INDEX(Planning2[],MATCH(1,(Planning2[Nom]=B87)*(Planning2[Date]=Q87),0),3),"-")</f>
        <v>0.29166666666666669</v>
      </c>
      <c r="E87" s="38" t="str">
        <f>IFERROR(IF(COUNTIFS(Connexions!$K:$K,$Q87,Connexions!$E:$E,VLOOKUP($B87,Mapping_Noms!$A:$B,2,0))=0,"",_xlfn.MAXIFS(Connexions!$O:$O,Connexions!$K:$K,$Q87,Connexions!$E:$E,VLOOKUP($B87,Mapping_Noms!$A:$B,2,0))-TIME(1,0,0)),"")</f>
        <v/>
      </c>
      <c r="F87" s="38">
        <f t="array" ref="F87">IFERROR(INDEX(Planning2[],MATCH(1,(Planning2[Nom]=B87)*(Planning2[Date]=Q87),0),4),"-")</f>
        <v>0.70833333333333337</v>
      </c>
      <c r="G87" s="88"/>
      <c r="H87" s="88"/>
      <c r="I87" s="235" t="str">
        <f t="shared" si="50"/>
        <v/>
      </c>
      <c r="J87" s="88"/>
      <c r="K87" s="89">
        <f t="shared" si="35"/>
        <v>0</v>
      </c>
      <c r="L87" s="88">
        <f t="shared" si="36"/>
        <v>0</v>
      </c>
      <c r="M87" s="62" t="str">
        <f t="shared" si="37"/>
        <v>Abs</v>
      </c>
      <c r="N87" s="102" t="str">
        <f t="shared" si="38"/>
        <v/>
      </c>
      <c r="O87" s="90">
        <f t="shared" si="39"/>
        <v>0.375</v>
      </c>
      <c r="P87" s="91" t="str">
        <f>IFERROR(VLOOKUP($B87,Annuaire_roster!$B:$G,MATCH(P$1,Annuaire_roster!$B$1:$G$1,0),0),"-")</f>
        <v>Google Leads</v>
      </c>
      <c r="Q87" s="100">
        <v>44763</v>
      </c>
      <c r="R87" s="10">
        <f t="shared" si="40"/>
        <v>0.375</v>
      </c>
      <c r="S87" s="10">
        <f t="shared" si="41"/>
        <v>0.375</v>
      </c>
      <c r="T87" s="16" t="str">
        <f t="shared" si="42"/>
        <v>Sem - 30</v>
      </c>
      <c r="U87" s="16" t="str">
        <f t="shared" si="43"/>
        <v>Juillet</v>
      </c>
      <c r="V87" s="11" t="str">
        <f t="shared" si="44"/>
        <v>2026</v>
      </c>
      <c r="W87" s="9"/>
      <c r="X87" s="5">
        <f t="shared" si="45"/>
        <v>0</v>
      </c>
      <c r="Y87" s="12" t="str">
        <f>IFERROR(VLOOKUP(B87,Annuaire_roster!B:E,4,0),"-")</f>
        <v>CHOUIFI Mustapha</v>
      </c>
      <c r="Z87" s="12" t="str">
        <f>IFERROR(VLOOKUP(B87,Annuaire_roster!B:F,3,0),"-")</f>
        <v>Google Leads</v>
      </c>
      <c r="AA87" s="12" t="str">
        <f>IFERROR(VLOOKUP(B87,Annuaire_roster!B:I,6,0),"-")</f>
        <v>Forfaitaire</v>
      </c>
      <c r="AB87" s="142" t="str">
        <f t="shared" si="46"/>
        <v/>
      </c>
      <c r="AC87" s="142" t="str">
        <f t="shared" si="47"/>
        <v/>
      </c>
      <c r="AD87" s="142" t="str">
        <f t="shared" si="48"/>
        <v/>
      </c>
      <c r="AE87" s="143" t="str">
        <f t="shared" si="49"/>
        <v/>
      </c>
      <c r="AF87" s="63"/>
      <c r="AG87" s="10"/>
    </row>
    <row r="88" spans="1:33" hidden="1" x14ac:dyDescent="0.2">
      <c r="A88" s="70">
        <f>VLOOKUP(B88,Annuaire_roster!B:F,5,0)</f>
        <v>0</v>
      </c>
      <c r="B88" s="165" t="s">
        <v>198</v>
      </c>
      <c r="C88" s="61" t="str">
        <f>IFERROR(IF(COUNTIFS(Connexions!$K:$K,$Q88,Connexions!$E:$E,VLOOKUP($B88,Mapping_Noms!$A:$B,2,0))=0,"",_xlfn.MINIFS(Connexions!$M:$M,Connexions!$K:$K,$Q88,Connexions!$E:$E,VLOOKUP($B88,Mapping_Noms!$A:$B,2,0))-TIME(1,0,0)),"")</f>
        <v/>
      </c>
      <c r="D88" s="61" t="str">
        <f t="array" ref="D88">IFERROR(INDEX(Planning2[],MATCH(1,(Planning2[Nom]=B88)*(Planning2[Date]=Q88),0),3),"-")</f>
        <v>Congé</v>
      </c>
      <c r="E88" s="38" t="str">
        <f>IFERROR(IF(COUNTIFS(Connexions!$K:$K,$Q88,Connexions!$E:$E,VLOOKUP($B88,Mapping_Noms!$A:$B,2,0))=0,"",_xlfn.MAXIFS(Connexions!$O:$O,Connexions!$K:$K,$Q88,Connexions!$E:$E,VLOOKUP($B88,Mapping_Noms!$A:$B,2,0))-TIME(1,0,0)),"")</f>
        <v/>
      </c>
      <c r="F88" s="38" t="str">
        <f t="array" ref="F88">IFERROR(INDEX(Planning2[],MATCH(1,(Planning2[Nom]=B88)*(Planning2[Date]=Q88),0),4),"-")</f>
        <v>Congé</v>
      </c>
      <c r="G88" s="88"/>
      <c r="H88" s="88"/>
      <c r="I88" s="235" t="str">
        <f t="shared" si="50"/>
        <v/>
      </c>
      <c r="J88" s="88"/>
      <c r="K88" s="89">
        <f t="shared" si="35"/>
        <v>0</v>
      </c>
      <c r="L88" s="88">
        <f t="shared" si="36"/>
        <v>0</v>
      </c>
      <c r="M88" s="62">
        <f t="shared" si="37"/>
        <v>0</v>
      </c>
      <c r="N88" s="102" t="str">
        <f t="shared" si="38"/>
        <v/>
      </c>
      <c r="O88" s="90">
        <f t="shared" si="39"/>
        <v>0</v>
      </c>
      <c r="P88" s="91" t="str">
        <f>IFERROR(VLOOKUP($B88,Annuaire_roster!$B:$G,MATCH(P$1,Annuaire_roster!$B$1:$G$1,0),0),"-")</f>
        <v>Google Leads</v>
      </c>
      <c r="Q88" s="100">
        <v>44763</v>
      </c>
      <c r="R88" s="10">
        <f t="shared" si="40"/>
        <v>0</v>
      </c>
      <c r="S88" s="10">
        <f t="shared" si="41"/>
        <v>0</v>
      </c>
      <c r="T88" s="16" t="str">
        <f t="shared" si="42"/>
        <v>Sem - 30</v>
      </c>
      <c r="U88" s="16" t="str">
        <f t="shared" si="43"/>
        <v>Juillet</v>
      </c>
      <c r="V88" s="11" t="str">
        <f t="shared" si="44"/>
        <v>2026</v>
      </c>
      <c r="W88" s="9"/>
      <c r="X88" s="5">
        <f t="shared" si="45"/>
        <v>0</v>
      </c>
      <c r="Y88" s="12">
        <f>IFERROR(VLOOKUP(B88,Annuaire_roster!B:E,4,0),"-")</f>
        <v>0</v>
      </c>
      <c r="Z88" s="12" t="str">
        <f>IFERROR(VLOOKUP(B88,Annuaire_roster!B:F,3,0),"-")</f>
        <v>Google Leads</v>
      </c>
      <c r="AA88" s="12">
        <f>IFERROR(VLOOKUP(B88,Annuaire_roster!B:I,6,0),"-")</f>
        <v>0</v>
      </c>
      <c r="AB88" s="142">
        <f t="shared" si="46"/>
        <v>0.33333333333333298</v>
      </c>
      <c r="AC88" s="142" t="str">
        <f t="shared" si="47"/>
        <v/>
      </c>
      <c r="AD88" s="142" t="str">
        <f t="shared" si="48"/>
        <v/>
      </c>
      <c r="AE88" s="143" t="str">
        <f t="shared" si="49"/>
        <v/>
      </c>
      <c r="AF88" s="63"/>
      <c r="AG88" s="10"/>
    </row>
    <row r="89" spans="1:33" hidden="1" x14ac:dyDescent="0.2">
      <c r="A89" s="210">
        <f>VLOOKUP(B89,Annuaire_roster!B:F,5,0)</f>
        <v>397</v>
      </c>
      <c r="B89" s="165" t="s">
        <v>215</v>
      </c>
      <c r="C89" s="61" t="str">
        <f>IFERROR(IF(COUNTIFS(Connexions!$K:$K,$Q89,Connexions!$E:$E,VLOOKUP($B89,Mapping_Noms!$A:$B,2,0))=0,"",_xlfn.MINIFS(Connexions!$M:$M,Connexions!$K:$K,$Q89,Connexions!$E:$E,VLOOKUP($B89,Mapping_Noms!$A:$B,2,0))-TIME(1,0,0)),"")</f>
        <v/>
      </c>
      <c r="D89" s="61">
        <f t="array" ref="D89">IFERROR(INDEX(Planning2[],MATCH(1,(Planning2[Nom]=B89)*(Planning2[Date]=Q89),0),3),"-")</f>
        <v>0.41666666666666669</v>
      </c>
      <c r="E89" s="38" t="str">
        <f>IFERROR(IF(COUNTIFS(Connexions!$K:$K,$Q89,Connexions!$E:$E,VLOOKUP($B89,Mapping_Noms!$A:$B,2,0))=0,"",_xlfn.MAXIFS(Connexions!$O:$O,Connexions!$K:$K,$Q89,Connexions!$E:$E,VLOOKUP($B89,Mapping_Noms!$A:$B,2,0))-TIME(1,0,0)),"")</f>
        <v/>
      </c>
      <c r="F89" s="38">
        <f t="array" ref="F89">IFERROR(INDEX(Planning2[],MATCH(1,(Planning2[Nom]=B89)*(Planning2[Date]=Q89),0),4),"-")</f>
        <v>0.83333333333333337</v>
      </c>
      <c r="G89" s="88"/>
      <c r="H89" s="88"/>
      <c r="I89" s="235" t="str">
        <f t="shared" si="50"/>
        <v/>
      </c>
      <c r="J89" s="88"/>
      <c r="K89" s="89">
        <f t="shared" si="35"/>
        <v>0</v>
      </c>
      <c r="L89" s="88">
        <f t="shared" si="36"/>
        <v>0</v>
      </c>
      <c r="M89" s="62" t="str">
        <f t="shared" si="37"/>
        <v>Abs</v>
      </c>
      <c r="N89" s="211" t="str">
        <f t="shared" si="38"/>
        <v/>
      </c>
      <c r="O89" s="90">
        <f t="shared" si="39"/>
        <v>0.375</v>
      </c>
      <c r="P89" s="91" t="str">
        <f>IFERROR(VLOOKUP($B89,Annuaire_roster!$B:$G,MATCH(P$1,Annuaire_roster!$B$1:$G$1,0),0),"-")</f>
        <v>Google Leads</v>
      </c>
      <c r="Q89" s="212">
        <v>44763</v>
      </c>
      <c r="R89" s="142">
        <f t="shared" si="40"/>
        <v>0.375</v>
      </c>
      <c r="S89" s="142">
        <f t="shared" si="41"/>
        <v>0.375</v>
      </c>
      <c r="T89" s="16" t="str">
        <f t="shared" si="42"/>
        <v>Sem - 30</v>
      </c>
      <c r="U89" s="16" t="str">
        <f t="shared" si="43"/>
        <v>Juillet</v>
      </c>
      <c r="V89" s="213" t="str">
        <f t="shared" si="44"/>
        <v>2026</v>
      </c>
      <c r="W89" s="211"/>
      <c r="X89" s="214">
        <f t="shared" si="45"/>
        <v>0</v>
      </c>
      <c r="Y89" s="215" t="str">
        <f>IFERROR(VLOOKUP(B89,Annuaire_roster!B:E,4,0),"-")</f>
        <v>OUAQERROUCH Nour-El Houda</v>
      </c>
      <c r="Z89" s="215" t="str">
        <f>IFERROR(VLOOKUP(B89,Annuaire_roster!B:F,3,0),"-")</f>
        <v>Google Leads</v>
      </c>
      <c r="AA89" s="215" t="str">
        <f>IFERROR(VLOOKUP(B89,Annuaire_roster!B:I,6,0),"-")</f>
        <v>Forfaitaire</v>
      </c>
      <c r="AB89" s="142" t="str">
        <f t="shared" si="46"/>
        <v/>
      </c>
      <c r="AC89" s="142" t="str">
        <f t="shared" si="47"/>
        <v/>
      </c>
      <c r="AD89" s="142" t="str">
        <f t="shared" si="48"/>
        <v/>
      </c>
      <c r="AE89" s="216" t="str">
        <f t="shared" si="49"/>
        <v/>
      </c>
      <c r="AF89" s="217"/>
      <c r="AG89" s="142"/>
    </row>
    <row r="90" spans="1:33" hidden="1" x14ac:dyDescent="0.2">
      <c r="A90" s="210">
        <f>VLOOKUP(B90,Annuaire_roster!B:F,5,0)</f>
        <v>894</v>
      </c>
      <c r="B90" s="165" t="s">
        <v>80</v>
      </c>
      <c r="C90" s="61" t="str">
        <f>IFERROR(IF(COUNTIFS(Connexions!$K:$K,$Q90,Connexions!$E:$E,VLOOKUP($B90,Mapping_Noms!$A:$B,2,0))=0,"",_xlfn.MINIFS(Connexions!$M:$M,Connexions!$K:$K,$Q90,Connexions!$E:$E,VLOOKUP($B90,Mapping_Noms!$A:$B,2,0))-TIME(1,0,0)),"")</f>
        <v/>
      </c>
      <c r="D90" s="61">
        <f t="array" ref="D90">IFERROR(INDEX(Planning2[],MATCH(1,(Planning2[Nom]=B90)*(Planning2[Date]=Q90),0),3),"-")</f>
        <v>0.79166666666666663</v>
      </c>
      <c r="E90" s="38" t="str">
        <f>IFERROR(IF(COUNTIFS(Connexions!$K:$K,$Q90,Connexions!$E:$E,VLOOKUP($B90,Mapping_Noms!$A:$B,2,0))=0,"",_xlfn.MAXIFS(Connexions!$O:$O,Connexions!$K:$K,$Q90,Connexions!$E:$E,VLOOKUP($B90,Mapping_Noms!$A:$B,2,0))-TIME(1,0,0)),"")</f>
        <v/>
      </c>
      <c r="F90" s="38" t="str">
        <f t="array" ref="F90">IFERROR(INDEX(Planning2[],MATCH(1,(Planning2[Nom]=B90)*(Planning2[Date]=Q90),0),4),"-")</f>
        <v>Missionnée</v>
      </c>
      <c r="G90" s="88"/>
      <c r="H90" s="88"/>
      <c r="I90" s="235" t="str">
        <f t="shared" si="50"/>
        <v/>
      </c>
      <c r="J90" s="88"/>
      <c r="K90" s="89">
        <f t="shared" si="35"/>
        <v>0</v>
      </c>
      <c r="L90" s="88" t="e">
        <f t="shared" si="36"/>
        <v>#VALUE!</v>
      </c>
      <c r="M90" s="62" t="e">
        <f t="shared" si="37"/>
        <v>#VALUE!</v>
      </c>
      <c r="N90" s="211" t="str">
        <f t="shared" si="38"/>
        <v/>
      </c>
      <c r="O90" s="90" t="e">
        <f t="shared" si="39"/>
        <v>#VALUE!</v>
      </c>
      <c r="P90" s="91" t="str">
        <f>IFERROR(VLOOKUP($B90,Annuaire_roster!$B:$G,MATCH(P$1,Annuaire_roster!$B$1:$G$1,0),0),"-")</f>
        <v>Google Leads</v>
      </c>
      <c r="Q90" s="212">
        <v>44763</v>
      </c>
      <c r="R90" s="142" t="e">
        <f t="shared" si="40"/>
        <v>#VALUE!</v>
      </c>
      <c r="S90" s="142" t="e">
        <f t="shared" si="41"/>
        <v>#VALUE!</v>
      </c>
      <c r="T90" s="16" t="str">
        <f t="shared" si="42"/>
        <v>Sem - 30</v>
      </c>
      <c r="U90" s="16" t="str">
        <f t="shared" si="43"/>
        <v>Juillet</v>
      </c>
      <c r="V90" s="213" t="str">
        <f t="shared" si="44"/>
        <v>2026</v>
      </c>
      <c r="W90" s="211"/>
      <c r="X90" s="214">
        <f t="shared" si="45"/>
        <v>0</v>
      </c>
      <c r="Y90" s="215" t="str">
        <f>IFERROR(VLOOKUP(B90,Annuaire_roster!B:E,4,0),"-")</f>
        <v>OUAQERROUCH Nour-El Houda</v>
      </c>
      <c r="Z90" s="215" t="str">
        <f>IFERROR(VLOOKUP(B90,Annuaire_roster!B:F,3,0),"-")</f>
        <v>Google Leads</v>
      </c>
      <c r="AA90" s="215" t="str">
        <f>IFERROR(VLOOKUP(B90,Annuaire_roster!B:I,6,0),"-")</f>
        <v>Forfaitaire</v>
      </c>
      <c r="AB90" s="142" t="str">
        <f t="shared" si="46"/>
        <v/>
      </c>
      <c r="AC90" s="142" t="str">
        <f t="shared" si="47"/>
        <v/>
      </c>
      <c r="AD90" s="142" t="str">
        <f t="shared" si="48"/>
        <v/>
      </c>
      <c r="AE90" s="216" t="str">
        <f t="shared" si="49"/>
        <v/>
      </c>
      <c r="AF90" s="217"/>
      <c r="AG90" s="142"/>
    </row>
    <row r="91" spans="1:33" hidden="1" x14ac:dyDescent="0.2">
      <c r="A91" s="70">
        <f>VLOOKUP(B91,Annuaire_roster!B:F,5,0)</f>
        <v>742</v>
      </c>
      <c r="B91" s="165" t="s">
        <v>76</v>
      </c>
      <c r="C91" s="61" t="str">
        <f>IFERROR(IF(COUNTIFS(Connexions!$K:$K,$Q91,Connexions!$E:$E,VLOOKUP($B91,Mapping_Noms!$A:$B,2,0))=0,"",_xlfn.MINIFS(Connexions!$M:$M,Connexions!$K:$K,$Q91,Connexions!$E:$E,VLOOKUP($B91,Mapping_Noms!$A:$B,2,0))-TIME(1,0,0)),"")</f>
        <v/>
      </c>
      <c r="D91" s="61">
        <f t="array" ref="D91">IFERROR(INDEX(Planning2[],MATCH(1,(Planning2[Nom]=B91)*(Planning2[Date]=Q91),0),3),"-")</f>
        <v>0.29166666666666669</v>
      </c>
      <c r="E91" s="38" t="str">
        <f>IFERROR(IF(COUNTIFS(Connexions!$K:$K,$Q91,Connexions!$E:$E,VLOOKUP($B91,Mapping_Noms!$A:$B,2,0))=0,"",_xlfn.MAXIFS(Connexions!$O:$O,Connexions!$K:$K,$Q91,Connexions!$E:$E,VLOOKUP($B91,Mapping_Noms!$A:$B,2,0))-TIME(1,0,0)),"")</f>
        <v/>
      </c>
      <c r="F91" s="38">
        <f t="array" ref="F91">IFERROR(INDEX(Planning2[],MATCH(1,(Planning2[Nom]=B91)*(Planning2[Date]=Q91),0),4),"-")</f>
        <v>0.70833333333333337</v>
      </c>
      <c r="G91" s="88"/>
      <c r="H91" s="88"/>
      <c r="I91" s="235" t="str">
        <f t="shared" si="50"/>
        <v/>
      </c>
      <c r="J91" s="88"/>
      <c r="K91" s="89">
        <f t="shared" si="35"/>
        <v>0</v>
      </c>
      <c r="L91" s="88">
        <f t="shared" si="36"/>
        <v>0</v>
      </c>
      <c r="M91" s="62" t="str">
        <f t="shared" si="37"/>
        <v>Abs</v>
      </c>
      <c r="N91" s="102" t="str">
        <f t="shared" si="38"/>
        <v/>
      </c>
      <c r="O91" s="90">
        <f t="shared" si="39"/>
        <v>0.375</v>
      </c>
      <c r="P91" s="91" t="str">
        <f>IFERROR(VLOOKUP($B91,Annuaire_roster!$B:$G,MATCH(P$1,Annuaire_roster!$B$1:$G$1,0),0),"-")</f>
        <v>Google Leads</v>
      </c>
      <c r="Q91" s="100">
        <v>44763</v>
      </c>
      <c r="R91" s="10">
        <f t="shared" si="40"/>
        <v>0.375</v>
      </c>
      <c r="S91" s="10">
        <f t="shared" si="41"/>
        <v>0.375</v>
      </c>
      <c r="T91" s="16" t="str">
        <f t="shared" si="42"/>
        <v>Sem - 30</v>
      </c>
      <c r="U91" s="16" t="str">
        <f t="shared" si="43"/>
        <v>Juillet</v>
      </c>
      <c r="V91" s="11" t="str">
        <f t="shared" si="44"/>
        <v>2026</v>
      </c>
      <c r="W91" s="9"/>
      <c r="X91" s="5">
        <f t="shared" si="45"/>
        <v>0</v>
      </c>
      <c r="Y91" s="12" t="str">
        <f>IFERROR(VLOOKUP(B91,Annuaire_roster!B:E,4,0),"-")</f>
        <v>OUAQERROUCH Nour-El Houda</v>
      </c>
      <c r="Z91" s="12" t="str">
        <f>IFERROR(VLOOKUP(B91,Annuaire_roster!B:F,3,0),"-")</f>
        <v>Google Leads</v>
      </c>
      <c r="AA91" s="12" t="str">
        <f>IFERROR(VLOOKUP(B91,Annuaire_roster!B:I,6,0),"-")</f>
        <v>Forfaitaire</v>
      </c>
      <c r="AB91" s="142" t="str">
        <f t="shared" si="46"/>
        <v/>
      </c>
      <c r="AC91" s="142" t="str">
        <f t="shared" si="47"/>
        <v/>
      </c>
      <c r="AD91" s="142" t="str">
        <f t="shared" si="48"/>
        <v/>
      </c>
      <c r="AE91" s="143" t="str">
        <f t="shared" si="49"/>
        <v/>
      </c>
      <c r="AF91" s="63"/>
      <c r="AG91" s="10"/>
    </row>
    <row r="92" spans="1:33" hidden="1" x14ac:dyDescent="0.2">
      <c r="A92" s="70">
        <f>VLOOKUP(B92,Annuaire_roster!B:F,5,0)</f>
        <v>1132</v>
      </c>
      <c r="B92" s="165" t="s">
        <v>88</v>
      </c>
      <c r="C92" s="61" t="str">
        <f>IFERROR(IF(COUNTIFS(Connexions!$K:$K,$Q92,Connexions!$E:$E,VLOOKUP($B92,Mapping_Noms!$A:$B,2,0))=0,"",_xlfn.MINIFS(Connexions!$M:$M,Connexions!$K:$K,$Q92,Connexions!$E:$E,VLOOKUP($B92,Mapping_Noms!$A:$B,2,0))-TIME(1,0,0)),"")</f>
        <v/>
      </c>
      <c r="D92" s="61">
        <f t="array" ref="D92">IFERROR(INDEX(Planning2[],MATCH(1,(Planning2[Nom]=B92)*(Planning2[Date]=Q92),0),3),"-")</f>
        <v>0.29166666666666669</v>
      </c>
      <c r="E92" s="38" t="str">
        <f>IFERROR(IF(COUNTIFS(Connexions!$K:$K,$Q92,Connexions!$E:$E,VLOOKUP($B92,Mapping_Noms!$A:$B,2,0))=0,"",_xlfn.MAXIFS(Connexions!$O:$O,Connexions!$K:$K,$Q92,Connexions!$E:$E,VLOOKUP($B92,Mapping_Noms!$A:$B,2,0))-TIME(1,0,0)),"")</f>
        <v/>
      </c>
      <c r="F92" s="38">
        <f t="array" ref="F92">IFERROR(INDEX(Planning2[],MATCH(1,(Planning2[Nom]=B92)*(Planning2[Date]=Q92),0),4),"-")</f>
        <v>0.66666666666666663</v>
      </c>
      <c r="G92" s="88"/>
      <c r="H92" s="88"/>
      <c r="I92" s="235" t="str">
        <f t="shared" si="50"/>
        <v/>
      </c>
      <c r="J92" s="88"/>
      <c r="K92" s="89">
        <f t="shared" si="35"/>
        <v>0</v>
      </c>
      <c r="L92" s="88">
        <f t="shared" si="36"/>
        <v>0</v>
      </c>
      <c r="M92" s="62" t="str">
        <f t="shared" si="37"/>
        <v>Abs</v>
      </c>
      <c r="N92" s="102" t="str">
        <f t="shared" si="38"/>
        <v/>
      </c>
      <c r="O92" s="90">
        <f t="shared" si="39"/>
        <v>0.33333333333333326</v>
      </c>
      <c r="P92" s="91" t="str">
        <f>IFERROR(VLOOKUP($B92,Annuaire_roster!$B:$G,MATCH(P$1,Annuaire_roster!$B$1:$G$1,0),0),"-")</f>
        <v>Google Leads</v>
      </c>
      <c r="Q92" s="100">
        <v>44763</v>
      </c>
      <c r="R92" s="10">
        <f t="shared" si="40"/>
        <v>0.33333333333333326</v>
      </c>
      <c r="S92" s="10">
        <f t="shared" si="41"/>
        <v>0.33333333333333326</v>
      </c>
      <c r="T92" s="16" t="str">
        <f t="shared" si="42"/>
        <v>Sem - 30</v>
      </c>
      <c r="U92" s="16" t="str">
        <f t="shared" si="43"/>
        <v>Juillet</v>
      </c>
      <c r="V92" s="11" t="str">
        <f t="shared" si="44"/>
        <v>2026</v>
      </c>
      <c r="W92" s="9"/>
      <c r="X92" s="5">
        <f t="shared" si="45"/>
        <v>0</v>
      </c>
      <c r="Y92" s="12" t="str">
        <f>IFERROR(VLOOKUP(B92,Annuaire_roster!B:E,4,0),"-")</f>
        <v>CHOUIFI Mustapha</v>
      </c>
      <c r="Z92" s="12" t="str">
        <f>IFERROR(VLOOKUP(B92,Annuaire_roster!B:F,3,0),"-")</f>
        <v>Google Leads</v>
      </c>
      <c r="AA92" s="12" t="str">
        <f>IFERROR(VLOOKUP(B92,Annuaire_roster!B:I,6,0),"-")</f>
        <v>Forfaitaire</v>
      </c>
      <c r="AB92" s="142" t="str">
        <f t="shared" si="46"/>
        <v/>
      </c>
      <c r="AC92" s="142" t="str">
        <f t="shared" si="47"/>
        <v/>
      </c>
      <c r="AD92" s="142" t="str">
        <f t="shared" si="48"/>
        <v/>
      </c>
      <c r="AE92" s="143" t="str">
        <f t="shared" si="49"/>
        <v/>
      </c>
      <c r="AF92" s="63"/>
      <c r="AG92" s="10"/>
    </row>
    <row r="93" spans="1:33" hidden="1" x14ac:dyDescent="0.2">
      <c r="A93" s="210">
        <f>VLOOKUP(B93,Annuaire_roster!B:F,5,0)</f>
        <v>0</v>
      </c>
      <c r="B93" s="165" t="s">
        <v>212</v>
      </c>
      <c r="C93" s="61" t="str">
        <f>IFERROR(IF(COUNTIFS(Connexions!$K:$K,$Q93,Connexions!$E:$E,VLOOKUP($B93,Mapping_Noms!$A:$B,2,0))=0,"",_xlfn.MINIFS(Connexions!$M:$M,Connexions!$K:$K,$Q93,Connexions!$E:$E,VLOOKUP($B93,Mapping_Noms!$A:$B,2,0))-TIME(1,0,0)),"")</f>
        <v/>
      </c>
      <c r="D93" s="61">
        <f t="array" ref="D93">IFERROR(INDEX(Planning2[],MATCH(1,(Planning2[Nom]=B93)*(Planning2[Date]=Q93),0),3),"-")</f>
        <v>0.375</v>
      </c>
      <c r="E93" s="38" t="str">
        <f>IFERROR(IF(COUNTIFS(Connexions!$K:$K,$Q93,Connexions!$E:$E,VLOOKUP($B93,Mapping_Noms!$A:$B,2,0))=0,"",_xlfn.MAXIFS(Connexions!$O:$O,Connexions!$K:$K,$Q93,Connexions!$E:$E,VLOOKUP($B93,Mapping_Noms!$A:$B,2,0))-TIME(1,0,0)),"")</f>
        <v/>
      </c>
      <c r="F93" s="38">
        <f t="array" ref="F93">IFERROR(INDEX(Planning2[],MATCH(1,(Planning2[Nom]=B93)*(Planning2[Date]=Q93),0),4),"-")</f>
        <v>0.79166666666666663</v>
      </c>
      <c r="G93" s="88"/>
      <c r="H93" s="88"/>
      <c r="I93" s="235" t="str">
        <f t="shared" si="50"/>
        <v/>
      </c>
      <c r="J93" s="88"/>
      <c r="K93" s="89">
        <f t="shared" si="35"/>
        <v>0</v>
      </c>
      <c r="L93" s="88">
        <f t="shared" si="36"/>
        <v>0</v>
      </c>
      <c r="M93" s="62" t="str">
        <f t="shared" si="37"/>
        <v>Abs</v>
      </c>
      <c r="N93" s="211" t="str">
        <f t="shared" si="38"/>
        <v/>
      </c>
      <c r="O93" s="90">
        <f t="shared" si="39"/>
        <v>0.37499999999999994</v>
      </c>
      <c r="P93" s="91" t="str">
        <f>IFERROR(VLOOKUP($B93,Annuaire_roster!$B:$G,MATCH(P$1,Annuaire_roster!$B$1:$G$1,0),0),"-")</f>
        <v>Google Leads</v>
      </c>
      <c r="Q93" s="212">
        <v>44763</v>
      </c>
      <c r="R93" s="142">
        <f t="shared" si="40"/>
        <v>0.37499999999999994</v>
      </c>
      <c r="S93" s="142">
        <f t="shared" si="41"/>
        <v>0.37499999999999994</v>
      </c>
      <c r="T93" s="16" t="str">
        <f t="shared" si="42"/>
        <v>Sem - 30</v>
      </c>
      <c r="U93" s="16" t="str">
        <f t="shared" si="43"/>
        <v>Juillet</v>
      </c>
      <c r="V93" s="213" t="str">
        <f t="shared" si="44"/>
        <v>2026</v>
      </c>
      <c r="W93" s="211"/>
      <c r="X93" s="214">
        <f t="shared" si="45"/>
        <v>0</v>
      </c>
      <c r="Y93" s="215">
        <f>IFERROR(VLOOKUP(B93,Annuaire_roster!B:E,4,0),"-")</f>
        <v>0</v>
      </c>
      <c r="Z93" s="215" t="str">
        <f>IFERROR(VLOOKUP(B93,Annuaire_roster!B:F,3,0),"-")</f>
        <v>Google Leads</v>
      </c>
      <c r="AA93" s="215">
        <f>IFERROR(VLOOKUP(B93,Annuaire_roster!B:I,6,0),"-")</f>
        <v>0</v>
      </c>
      <c r="AB93" s="142" t="str">
        <f t="shared" si="46"/>
        <v/>
      </c>
      <c r="AC93" s="142" t="str">
        <f t="shared" si="47"/>
        <v/>
      </c>
      <c r="AD93" s="142" t="str">
        <f t="shared" si="48"/>
        <v/>
      </c>
      <c r="AE93" s="216" t="str">
        <f t="shared" si="49"/>
        <v/>
      </c>
      <c r="AF93" s="217"/>
      <c r="AG93" s="142"/>
    </row>
    <row r="94" spans="1:33" hidden="1" x14ac:dyDescent="0.2">
      <c r="A94" s="70">
        <f>VLOOKUP(B94,Annuaire_roster!B:F,5,0)</f>
        <v>971</v>
      </c>
      <c r="B94" s="165" t="s">
        <v>83</v>
      </c>
      <c r="C94" s="61" t="str">
        <f>IFERROR(IF(COUNTIFS(Connexions!$K:$K,$Q94,Connexions!$E:$E,VLOOKUP($B94,Mapping_Noms!$A:$B,2,0))=0,"",_xlfn.MINIFS(Connexions!$M:$M,Connexions!$K:$K,$Q94,Connexions!$E:$E,VLOOKUP($B94,Mapping_Noms!$A:$B,2,0))-TIME(1,0,0)),"")</f>
        <v/>
      </c>
      <c r="D94" s="61">
        <f t="array" ref="D94">IFERROR(INDEX(Planning2[],MATCH(1,(Planning2[Nom]=B94)*(Planning2[Date]=Q94),0),3),"-")</f>
        <v>0.41666666666666669</v>
      </c>
      <c r="E94" s="38" t="str">
        <f>IFERROR(IF(COUNTIFS(Connexions!$K:$K,$Q94,Connexions!$E:$E,VLOOKUP($B94,Mapping_Noms!$A:$B,2,0))=0,"",_xlfn.MAXIFS(Connexions!$O:$O,Connexions!$K:$K,$Q94,Connexions!$E:$E,VLOOKUP($B94,Mapping_Noms!$A:$B,2,0))-TIME(1,0,0)),"")</f>
        <v/>
      </c>
      <c r="F94" s="38">
        <f t="array" ref="F94">IFERROR(INDEX(Planning2[],MATCH(1,(Planning2[Nom]=B94)*(Planning2[Date]=Q94),0),4),"-")</f>
        <v>0.83333333333333337</v>
      </c>
      <c r="G94" s="88"/>
      <c r="H94" s="88"/>
      <c r="I94" s="235" t="str">
        <f t="shared" si="50"/>
        <v/>
      </c>
      <c r="J94" s="88"/>
      <c r="K94" s="89">
        <f t="shared" si="35"/>
        <v>0</v>
      </c>
      <c r="L94" s="88">
        <f t="shared" si="36"/>
        <v>0</v>
      </c>
      <c r="M94" s="62" t="str">
        <f t="shared" si="37"/>
        <v>Abs</v>
      </c>
      <c r="N94" s="102" t="str">
        <f t="shared" si="38"/>
        <v/>
      </c>
      <c r="O94" s="90">
        <f t="shared" si="39"/>
        <v>0.375</v>
      </c>
      <c r="P94" s="91" t="str">
        <f>IFERROR(VLOOKUP($B94,Annuaire_roster!$B:$G,MATCH(P$1,Annuaire_roster!$B$1:$G$1,0),0),"-")</f>
        <v>Google Leads</v>
      </c>
      <c r="Q94" s="100">
        <v>44763</v>
      </c>
      <c r="R94" s="10">
        <f t="shared" si="40"/>
        <v>0.375</v>
      </c>
      <c r="S94" s="10">
        <f t="shared" si="41"/>
        <v>0.375</v>
      </c>
      <c r="T94" s="16" t="str">
        <f t="shared" si="42"/>
        <v>Sem - 30</v>
      </c>
      <c r="U94" s="16" t="str">
        <f t="shared" si="43"/>
        <v>Juillet</v>
      </c>
      <c r="V94" s="11" t="str">
        <f t="shared" si="44"/>
        <v>2026</v>
      </c>
      <c r="W94" s="9"/>
      <c r="X94" s="5">
        <f t="shared" si="45"/>
        <v>0</v>
      </c>
      <c r="Y94" s="12" t="str">
        <f>IFERROR(VLOOKUP(B94,Annuaire_roster!B:E,4,0),"-")</f>
        <v>CHOUIFI Mustapha</v>
      </c>
      <c r="Z94" s="12" t="str">
        <f>IFERROR(VLOOKUP(B94,Annuaire_roster!B:F,3,0),"-")</f>
        <v>Google Leads</v>
      </c>
      <c r="AA94" s="12" t="str">
        <f>IFERROR(VLOOKUP(B94,Annuaire_roster!B:I,6,0),"-")</f>
        <v>Forfaitaire</v>
      </c>
      <c r="AB94" s="142" t="str">
        <f t="shared" si="46"/>
        <v/>
      </c>
      <c r="AC94" s="142" t="str">
        <f t="shared" si="47"/>
        <v/>
      </c>
      <c r="AD94" s="142" t="str">
        <f t="shared" si="48"/>
        <v/>
      </c>
      <c r="AE94" s="143" t="str">
        <f t="shared" si="49"/>
        <v/>
      </c>
      <c r="AF94" s="63"/>
      <c r="AG94" s="10"/>
    </row>
    <row r="95" spans="1:33" hidden="1" x14ac:dyDescent="0.2">
      <c r="A95" s="70">
        <f>VLOOKUP(B95,Annuaire_roster!B:F,5,0)</f>
        <v>1165</v>
      </c>
      <c r="B95" s="165" t="s">
        <v>120</v>
      </c>
      <c r="C95" s="61" t="str">
        <f>IFERROR(IF(COUNTIFS(Connexions!$K:$K,$Q95,Connexions!$E:$E,VLOOKUP($B95,Mapping_Noms!$A:$B,2,0))=0,"",_xlfn.MINIFS(Connexions!$M:$M,Connexions!$K:$K,$Q95,Connexions!$E:$E,VLOOKUP($B95,Mapping_Noms!$A:$B,2,0))-TIME(1,0,0)),"")</f>
        <v/>
      </c>
      <c r="D95" s="61">
        <f t="array" ref="D95">IFERROR(INDEX(Planning2[],MATCH(1,(Planning2[Nom]=B95)*(Planning2[Date]=Q95),0),3),"-")</f>
        <v>0.29166666666666669</v>
      </c>
      <c r="E95" s="38" t="str">
        <f>IFERROR(IF(COUNTIFS(Connexions!$K:$K,$Q95,Connexions!$E:$E,VLOOKUP($B95,Mapping_Noms!$A:$B,2,0))=0,"",_xlfn.MAXIFS(Connexions!$O:$O,Connexions!$K:$K,$Q95,Connexions!$E:$E,VLOOKUP($B95,Mapping_Noms!$A:$B,2,0))-TIME(1,0,0)),"")</f>
        <v/>
      </c>
      <c r="F95" s="38">
        <f t="array" ref="F95">IFERROR(INDEX(Planning2[],MATCH(1,(Planning2[Nom]=B95)*(Planning2[Date]=Q95),0),4),"-")</f>
        <v>0.70833333333333337</v>
      </c>
      <c r="G95" s="88"/>
      <c r="H95" s="88"/>
      <c r="I95" s="235" t="str">
        <f t="shared" si="50"/>
        <v/>
      </c>
      <c r="J95" s="88"/>
      <c r="K95" s="89">
        <f t="shared" si="35"/>
        <v>0</v>
      </c>
      <c r="L95" s="88">
        <f t="shared" si="36"/>
        <v>0</v>
      </c>
      <c r="M95" s="62" t="str">
        <f t="shared" si="37"/>
        <v>Abs</v>
      </c>
      <c r="N95" s="102" t="str">
        <f t="shared" si="38"/>
        <v/>
      </c>
      <c r="O95" s="90">
        <f t="shared" si="39"/>
        <v>0.375</v>
      </c>
      <c r="P95" s="91" t="str">
        <f>IFERROR(VLOOKUP($B95,Annuaire_roster!$B:$G,MATCH(P$1,Annuaire_roster!$B$1:$G$1,0),0),"-")</f>
        <v>Google Leads</v>
      </c>
      <c r="Q95" s="100">
        <v>44763</v>
      </c>
      <c r="R95" s="10">
        <f t="shared" si="40"/>
        <v>0.375</v>
      </c>
      <c r="S95" s="10">
        <f t="shared" si="41"/>
        <v>0.375</v>
      </c>
      <c r="T95" s="16" t="str">
        <f t="shared" si="42"/>
        <v>Sem - 30</v>
      </c>
      <c r="U95" s="16" t="str">
        <f t="shared" si="43"/>
        <v>Juillet</v>
      </c>
      <c r="V95" s="11" t="str">
        <f t="shared" si="44"/>
        <v>2026</v>
      </c>
      <c r="W95" s="9"/>
      <c r="X95" s="5">
        <f t="shared" si="45"/>
        <v>0</v>
      </c>
      <c r="Y95" s="12" t="str">
        <f>IFERROR(VLOOKUP(B95,Annuaire_roster!B:E,4,0),"-")</f>
        <v>OUAQERROUCH Nour-El Houda</v>
      </c>
      <c r="Z95" s="12" t="str">
        <f>IFERROR(VLOOKUP(B95,Annuaire_roster!B:F,3,0),"-")</f>
        <v>Google Leads</v>
      </c>
      <c r="AA95" s="12" t="str">
        <f>IFERROR(VLOOKUP(B95,Annuaire_roster!B:I,6,0),"-")</f>
        <v>Forfaitaire</v>
      </c>
      <c r="AB95" s="142" t="str">
        <f t="shared" si="46"/>
        <v/>
      </c>
      <c r="AC95" s="142" t="str">
        <f t="shared" si="47"/>
        <v/>
      </c>
      <c r="AD95" s="142" t="str">
        <f t="shared" si="48"/>
        <v/>
      </c>
      <c r="AE95" s="143" t="str">
        <f t="shared" si="49"/>
        <v/>
      </c>
      <c r="AF95" s="63"/>
      <c r="AG95" s="10"/>
    </row>
    <row r="96" spans="1:33" hidden="1" x14ac:dyDescent="0.2">
      <c r="A96" s="70">
        <f>VLOOKUP(B96,Annuaire_roster!B:F,5,0)</f>
        <v>0</v>
      </c>
      <c r="B96" s="165" t="s">
        <v>144</v>
      </c>
      <c r="C96" s="61" t="str">
        <f>IFERROR(IF(COUNTIFS(Connexions!$K:$K,$Q96,Connexions!$E:$E,VLOOKUP($B96,Mapping_Noms!$A:$B,2,0))=0,"",_xlfn.MINIFS(Connexions!$M:$M,Connexions!$K:$K,$Q96,Connexions!$E:$E,VLOOKUP($B96,Mapping_Noms!$A:$B,2,0))-TIME(1,0,0)),"")</f>
        <v/>
      </c>
      <c r="D96" s="61" t="str">
        <f t="array" ref="D96">IFERROR(INDEX(Planning2[],MATCH(1,(Planning2[Nom]=B96)*(Planning2[Date]=Q96),0),3),"-")</f>
        <v>Congé</v>
      </c>
      <c r="E96" s="38" t="str">
        <f>IFERROR(IF(COUNTIFS(Connexions!$K:$K,$Q96,Connexions!$E:$E,VLOOKUP($B96,Mapping_Noms!$A:$B,2,0))=0,"",_xlfn.MAXIFS(Connexions!$O:$O,Connexions!$K:$K,$Q96,Connexions!$E:$E,VLOOKUP($B96,Mapping_Noms!$A:$B,2,0))-TIME(1,0,0)),"")</f>
        <v/>
      </c>
      <c r="F96" s="38" t="str">
        <f t="array" ref="F96">IFERROR(INDEX(Planning2[],MATCH(1,(Planning2[Nom]=B96)*(Planning2[Date]=Q96),0),4),"-")</f>
        <v>Congé</v>
      </c>
      <c r="G96" s="88"/>
      <c r="H96" s="88"/>
      <c r="I96" s="235" t="str">
        <f t="shared" si="50"/>
        <v/>
      </c>
      <c r="J96" s="88"/>
      <c r="K96" s="89">
        <f t="shared" si="35"/>
        <v>0</v>
      </c>
      <c r="L96" s="88">
        <f t="shared" si="36"/>
        <v>0</v>
      </c>
      <c r="M96" s="62">
        <f t="shared" si="37"/>
        <v>0</v>
      </c>
      <c r="N96" s="102" t="str">
        <f t="shared" si="38"/>
        <v/>
      </c>
      <c r="O96" s="90">
        <f t="shared" si="39"/>
        <v>0</v>
      </c>
      <c r="P96" s="91" t="str">
        <f>IFERROR(VLOOKUP($B96,Annuaire_roster!$B:$G,MATCH(P$1,Annuaire_roster!$B$1:$G$1,0),0),"-")</f>
        <v>Google Leads</v>
      </c>
      <c r="Q96" s="100">
        <v>44763</v>
      </c>
      <c r="R96" s="10">
        <f t="shared" si="40"/>
        <v>0</v>
      </c>
      <c r="S96" s="10">
        <f t="shared" si="41"/>
        <v>0</v>
      </c>
      <c r="T96" s="16" t="str">
        <f t="shared" si="42"/>
        <v>Sem - 30</v>
      </c>
      <c r="U96" s="16" t="str">
        <f t="shared" si="43"/>
        <v>Juillet</v>
      </c>
      <c r="V96" s="11" t="str">
        <f t="shared" si="44"/>
        <v>2026</v>
      </c>
      <c r="W96" s="9"/>
      <c r="X96" s="5">
        <f t="shared" si="45"/>
        <v>0</v>
      </c>
      <c r="Y96" s="12" t="str">
        <f>IFERROR(VLOOKUP(B96,Annuaire_roster!B:E,4,0),"-")</f>
        <v>CHOUIFI Mustapha</v>
      </c>
      <c r="Z96" s="12" t="str">
        <f>IFERROR(VLOOKUP(B96,Annuaire_roster!B:F,3,0),"-")</f>
        <v>Google Leads</v>
      </c>
      <c r="AA96" s="12" t="str">
        <f>IFERROR(VLOOKUP(B96,Annuaire_roster!B:I,6,0),"-")</f>
        <v>Forfaitaire</v>
      </c>
      <c r="AB96" s="142">
        <f t="shared" si="46"/>
        <v>0.33333333333333298</v>
      </c>
      <c r="AC96" s="142" t="str">
        <f t="shared" si="47"/>
        <v/>
      </c>
      <c r="AD96" s="142" t="str">
        <f t="shared" si="48"/>
        <v/>
      </c>
      <c r="AE96" s="143" t="str">
        <f t="shared" si="49"/>
        <v/>
      </c>
      <c r="AF96" s="63"/>
      <c r="AG96" s="10"/>
    </row>
    <row r="97" spans="1:33" hidden="1" x14ac:dyDescent="0.2">
      <c r="A97" s="70">
        <f>VLOOKUP(B97,Annuaire_roster!B:F,5,0)</f>
        <v>0</v>
      </c>
      <c r="B97" s="165" t="s">
        <v>196</v>
      </c>
      <c r="C97" s="61" t="str">
        <f>IFERROR(IF(COUNTIFS(Connexions!$K:$K,$Q97,Connexions!$E:$E,VLOOKUP($B97,Mapping_Noms!$A:$B,2,0))=0,"",_xlfn.MINIFS(Connexions!$M:$M,Connexions!$K:$K,$Q97,Connexions!$E:$E,VLOOKUP($B97,Mapping_Noms!$A:$B,2,0))-TIME(1,0,0)),"")</f>
        <v/>
      </c>
      <c r="D97" s="61">
        <f t="array" ref="D97">IFERROR(INDEX(Planning2[],MATCH(1,(Planning2[Nom]=B97)*(Planning2[Date]=Q97),0),3),"-")</f>
        <v>0.29166666666666669</v>
      </c>
      <c r="E97" s="38" t="str">
        <f>IFERROR(IF(COUNTIFS(Connexions!$K:$K,$Q97,Connexions!$E:$E,VLOOKUP($B97,Mapping_Noms!$A:$B,2,0))=0,"",_xlfn.MAXIFS(Connexions!$O:$O,Connexions!$K:$K,$Q97,Connexions!$E:$E,VLOOKUP($B97,Mapping_Noms!$A:$B,2,0))-TIME(1,0,0)),"")</f>
        <v/>
      </c>
      <c r="F97" s="38">
        <f t="array" ref="F97">IFERROR(INDEX(Planning2[],MATCH(1,(Planning2[Nom]=B97)*(Planning2[Date]=Q97),0),4),"-")</f>
        <v>0.70833333333333337</v>
      </c>
      <c r="G97" s="88"/>
      <c r="H97" s="88"/>
      <c r="I97" s="235" t="str">
        <f t="shared" si="50"/>
        <v/>
      </c>
      <c r="J97" s="88"/>
      <c r="K97" s="89">
        <f t="shared" si="35"/>
        <v>0</v>
      </c>
      <c r="L97" s="88">
        <f t="shared" si="36"/>
        <v>0</v>
      </c>
      <c r="M97" s="62" t="str">
        <f t="shared" si="37"/>
        <v>Abs</v>
      </c>
      <c r="N97" s="102" t="str">
        <f t="shared" si="38"/>
        <v/>
      </c>
      <c r="O97" s="90">
        <f t="shared" si="39"/>
        <v>0.375</v>
      </c>
      <c r="P97" s="91" t="str">
        <f>IFERROR(VLOOKUP($B97,Annuaire_roster!$B:$G,MATCH(P$1,Annuaire_roster!$B$1:$G$1,0),0),"-")</f>
        <v>Google Leads</v>
      </c>
      <c r="Q97" s="100">
        <v>44763</v>
      </c>
      <c r="R97" s="10">
        <f t="shared" si="40"/>
        <v>0.375</v>
      </c>
      <c r="S97" s="10">
        <f t="shared" si="41"/>
        <v>0.375</v>
      </c>
      <c r="T97" s="16" t="str">
        <f t="shared" si="42"/>
        <v>Sem - 30</v>
      </c>
      <c r="U97" s="16" t="str">
        <f t="shared" si="43"/>
        <v>Juillet</v>
      </c>
      <c r="V97" s="11" t="str">
        <f t="shared" si="44"/>
        <v>2026</v>
      </c>
      <c r="W97" s="9"/>
      <c r="X97" s="5">
        <f t="shared" si="45"/>
        <v>0</v>
      </c>
      <c r="Y97" s="12">
        <f>IFERROR(VLOOKUP(B97,Annuaire_roster!B:E,4,0),"-")</f>
        <v>0</v>
      </c>
      <c r="Z97" s="12" t="str">
        <f>IFERROR(VLOOKUP(B97,Annuaire_roster!B:F,3,0),"-")</f>
        <v>Google Leads</v>
      </c>
      <c r="AA97" s="12">
        <f>IFERROR(VLOOKUP(B97,Annuaire_roster!B:I,6,0),"-")</f>
        <v>0</v>
      </c>
      <c r="AB97" s="142" t="str">
        <f t="shared" si="46"/>
        <v/>
      </c>
      <c r="AC97" s="142" t="str">
        <f t="shared" si="47"/>
        <v/>
      </c>
      <c r="AD97" s="142" t="str">
        <f t="shared" si="48"/>
        <v/>
      </c>
      <c r="AE97" s="143" t="str">
        <f t="shared" si="49"/>
        <v/>
      </c>
      <c r="AF97" s="63"/>
      <c r="AG97" s="10"/>
    </row>
    <row r="98" spans="1:33" hidden="1" x14ac:dyDescent="0.2">
      <c r="A98" s="70">
        <f>VLOOKUP(B98,Annuaire_roster!B:F,5,0)</f>
        <v>1007</v>
      </c>
      <c r="B98" s="165" t="s">
        <v>89</v>
      </c>
      <c r="C98" s="61" t="str">
        <f>IFERROR(IF(COUNTIFS(Connexions!$K:$K,$Q98,Connexions!$E:$E,VLOOKUP($B98,Mapping_Noms!$A:$B,2,0))=0,"",_xlfn.MINIFS(Connexions!$M:$M,Connexions!$K:$K,$Q98,Connexions!$E:$E,VLOOKUP($B98,Mapping_Noms!$A:$B,2,0))-TIME(1,0,0)),"")</f>
        <v/>
      </c>
      <c r="D98" s="61">
        <f t="array" ref="D98">IFERROR(INDEX(Planning2[],MATCH(1,(Planning2[Nom]=B98)*(Planning2[Date]=Q98),0),3),"-")</f>
        <v>0.29166666666666669</v>
      </c>
      <c r="E98" s="38" t="str">
        <f>IFERROR(IF(COUNTIFS(Connexions!$K:$K,$Q98,Connexions!$E:$E,VLOOKUP($B98,Mapping_Noms!$A:$B,2,0))=0,"",_xlfn.MAXIFS(Connexions!$O:$O,Connexions!$K:$K,$Q98,Connexions!$E:$E,VLOOKUP($B98,Mapping_Noms!$A:$B,2,0))-TIME(1,0,0)),"")</f>
        <v/>
      </c>
      <c r="F98" s="38">
        <f t="array" ref="F98">IFERROR(INDEX(Planning2[],MATCH(1,(Planning2[Nom]=B98)*(Planning2[Date]=Q98),0),4),"-")</f>
        <v>0.70833333333333337</v>
      </c>
      <c r="G98" s="88"/>
      <c r="H98" s="88"/>
      <c r="I98" s="235" t="str">
        <f t="shared" ref="I98:I129" si="51">IF(IF(OR(C98="",D98="Congé",D98="OFF",D98="Congé spécial"),"",IF(D98&gt;F98,D98-C98,IF(C98-D98&lt;0,0,C98-D98)))&lt;0.00068287037037037,"",IF(OR(D98="Congé",D98="OFF",C98="",D98="Congé spécial"),"",IF(D98&gt;F98,D98-C98,IF(C98-D98&lt;0,0,C98-D98))))</f>
        <v/>
      </c>
      <c r="J98" s="88"/>
      <c r="K98" s="89">
        <f t="shared" ref="K98:K129" si="52">IF(SUM(H98:J98)&lt;0.00068287037037037,0,SUM(H98:J98))</f>
        <v>0</v>
      </c>
      <c r="L98" s="88">
        <f t="shared" ref="L98:L129" si="53">IF(OR(F98="Congé",F98="OFF",M98="Abs",F98="Congé sans solde",F98="Férié",F98="Congé spécial",D98="Congé spécial"),0,IF(F98-E98&lt;0,0,IF(F98-E98&lt;=0.00068287037037037,0,F98-E98)))</f>
        <v>0</v>
      </c>
      <c r="M98" s="62" t="str">
        <f t="shared" ref="M98:M129" si="54">IF(AND(O98&lt;&gt;0,C98=""),"Abs",0)</f>
        <v>Abs</v>
      </c>
      <c r="N98" s="102" t="str">
        <f t="shared" ref="N98:N129" si="55">IFERROR(IF(OR(D98="OFF",D98="Congé",M98="Abs",D98="Congé sans solde",D98="Férié"),"",IF(O98-K98-L98&gt;O98,O98,IF(O98-K98-L98&lt;0,"",O98-K98-L98))),"")</f>
        <v/>
      </c>
      <c r="O98" s="90">
        <f t="shared" ref="O98:O129" si="56">IF(AG98="2H Pause déjeuner",IF(F98-D98-0.0833333333333333&lt;0,F98-D98-0.0833333333333333+1,F98-D98-0.0833333333333333),IF(OR(AND(F98="OFF",D98="OFF"),AND(F98="Congé",D98="Congé"),AND(F98="Congé sans solde",D98="Congé sans solde"),AND(F98="Congé spécial",D98="Congé spécial"),AND(F98="Férié",D98="Férié"),AND(F98="OFF",D98="Congé"),AND(F98="OFF",D98="Congé sans solde"),AND(F98="OFF",D98="Congé spécial"),AND(F98="OFF",D98="Férié"),AND(F98="Congé",D98="OFF"),AND(F98="Congé",D98="Congé sans solde"),AND(F98="Congé",D98="Congé spécial"),AND(F98="Congé",D98="Férié"),AND(F98="Congé sans solde",D98="OFF"),AND(F98="Congé sans solde",D98="Congé"),AND(F98="Congé sans solde",D98="Congé spécial"),AND(F98="Congé sans solde",D98="Férié"),AND(F98="Congé spécial",D98="OFF"),AND(F98="Congé spécial",D98="Congé"),AND(F98="Congé spécial",D98="Congé sans solde"),AND(F98="Congé spécial",D98="Férié"),AND(F98="Férié",D98="OFF"),AND(F98="Férié",D98="Congé"),AND(F98="Férié",D98="Congé sans solde"),AND(F98="Férié",D98="Congé spécial")),0,IF(OR(F98="OFF",F98="Congé",F98="Congé spécial",F98="Congé sans solde",D98="OFF",D98="Congé",D98="Congé spécial",D98="Congé sans solde"),0.208333333333334,IF(AND(AG98="",F98-D98&lt;0),("24:00:00"-D98)+("00:00:00"+F98)-0.0416666666666667,IF(AND(OR(AG98="Allaitement",AG98="Sans déjeuner"),F98-D98&lt;0),("24:00:00"-D98)+("00:00:00"+F98),IF(AND(AG98="",F98-D98&gt;0.166666666666667),F98-D98-0.0416666666666667,IF(AND(OR(AG98="Allaitement",AG98="Sans déjeuner"),F98-D98&gt;0.166666666666667),F98-D98,F98-D98)))))))</f>
        <v>0.375</v>
      </c>
      <c r="P98" s="91" t="str">
        <f>IFERROR(VLOOKUP($B98,Annuaire_roster!$B:$G,MATCH(P$1,Annuaire_roster!$B$1:$G$1,0),0),"-")</f>
        <v>Google Leads</v>
      </c>
      <c r="Q98" s="100">
        <v>44764</v>
      </c>
      <c r="R98" s="10">
        <f t="shared" ref="R98:R129" si="57">IF(M98="Abs",O98,0)</f>
        <v>0.375</v>
      </c>
      <c r="S98" s="10">
        <f t="shared" ref="S98:S129" si="58">SUM(R98,L98,I98,J98,W98,H98)</f>
        <v>0.375</v>
      </c>
      <c r="T98" s="16" t="str">
        <f t="shared" ref="T98:T129" si="59">"Sem - "&amp;WEEKNUM(Q98,21)</f>
        <v>Sem - 30</v>
      </c>
      <c r="U98" s="16" t="str">
        <f t="shared" ref="U98:U129" si="60">PROPER(TEXT(Q98,"mmmm"))</f>
        <v>Juillet</v>
      </c>
      <c r="V98" s="11" t="str">
        <f t="shared" ref="V98:V129" si="61">+TEXT(Q98,"aaa")</f>
        <v>2026</v>
      </c>
      <c r="W98" s="9"/>
      <c r="X98" s="5">
        <f t="shared" ref="X98:X129" si="62">IFERROR(IF(M98="Abs",0,IF((D98-C98+E98-F98)&lt;0.000694444444444444,0,(D98-C98+E98-F98))),0)</f>
        <v>0</v>
      </c>
      <c r="Y98" s="12" t="str">
        <f>IFERROR(VLOOKUP(B98,Annuaire_roster!B:E,4,0),"-")</f>
        <v>OUAQERROUCH Nour-El Houda</v>
      </c>
      <c r="Z98" s="12" t="str">
        <f>IFERROR(VLOOKUP(B98,Annuaire_roster!B:F,3,0),"-")</f>
        <v>Google Leads</v>
      </c>
      <c r="AA98" s="12" t="str">
        <f>IFERROR(VLOOKUP(B98,Annuaire_roster!B:I,6,0),"-")</f>
        <v>Forfaitaire</v>
      </c>
      <c r="AB98" s="142" t="str">
        <f t="shared" ref="AB98:AB129" si="63">IF(AND(D98="Congé",F98="Congé"),0.333333333333333,IF(OR(AND(D98="Congé",F98&lt;&gt;"Congé"),(AND(F98="Congé",D98&lt;&gt;"Congé"))),0.166666666666667,""))</f>
        <v/>
      </c>
      <c r="AC98" s="142" t="str">
        <f t="shared" ref="AC98:AC129" si="64">IF(AND(D98="Congé sans solde",F98="Congé sans solde"),0.333333333333333,IF(OR(AND(D98="Congé sans solde",F98&lt;&gt;"Congé sans solde"),(AND(F98="Congé sans solde",D98&lt;&gt;"Congé sans solde"))),0.166666666666667,""))</f>
        <v/>
      </c>
      <c r="AD98" s="142" t="str">
        <f t="shared" ref="AD98:AD129" si="65">IF(AND(D98="Congé spécial",F98="Congé spécial"),0.333333333333333,IF(OR(AND(D98="Congé spécial",F98&lt;&gt;"Congé décès"),(AND(F98="Congé spécial",D98&lt;&gt;"Congé spécial"))),0.166666666666667,""))</f>
        <v/>
      </c>
      <c r="AE98" s="143" t="str">
        <f t="shared" ref="AE98:AE129" si="66">IF(AND(D98="Férié",F98="Férié"),0.333333333333333,IF(OR(AND(D98="Férié",F98&lt;&gt;"Férié"),(AND(F98="Férié",D98&lt;&gt;"Férié"))),0.166666666666667,""))</f>
        <v/>
      </c>
      <c r="AF98" s="63"/>
      <c r="AG98" s="10"/>
    </row>
    <row r="99" spans="1:33" hidden="1" x14ac:dyDescent="0.2">
      <c r="A99" s="70">
        <f>VLOOKUP(B99,Annuaire_roster!B:F,5,0)</f>
        <v>1145</v>
      </c>
      <c r="B99" s="165" t="s">
        <v>102</v>
      </c>
      <c r="C99" s="61" t="str">
        <f>IFERROR(IF(COUNTIFS(Connexions!$K:$K,$Q99,Connexions!$E:$E,VLOOKUP($B99,Mapping_Noms!$A:$B,2,0))=0,"",_xlfn.MINIFS(Connexions!$M:$M,Connexions!$K:$K,$Q99,Connexions!$E:$E,VLOOKUP($B99,Mapping_Noms!$A:$B,2,0))-TIME(1,0,0)),"")</f>
        <v/>
      </c>
      <c r="D99" s="61">
        <f t="array" ref="D99">IFERROR(INDEX(Planning2[],MATCH(1,(Planning2[Nom]=B99)*(Planning2[Date]=Q99),0),3),"-")</f>
        <v>0.29166666666666669</v>
      </c>
      <c r="E99" s="38" t="str">
        <f>IFERROR(IF(COUNTIFS(Connexions!$K:$K,$Q99,Connexions!$E:$E,VLOOKUP($B99,Mapping_Noms!$A:$B,2,0))=0,"",_xlfn.MAXIFS(Connexions!$O:$O,Connexions!$K:$K,$Q99,Connexions!$E:$E,VLOOKUP($B99,Mapping_Noms!$A:$B,2,0))-TIME(1,0,0)),"")</f>
        <v/>
      </c>
      <c r="F99" s="38">
        <f t="array" ref="F99">IFERROR(INDEX(Planning2[],MATCH(1,(Planning2[Nom]=B99)*(Planning2[Date]=Q99),0),4),"-")</f>
        <v>0.70833333333333337</v>
      </c>
      <c r="G99" s="88"/>
      <c r="H99" s="88"/>
      <c r="I99" s="235" t="str">
        <f t="shared" si="51"/>
        <v/>
      </c>
      <c r="J99" s="88"/>
      <c r="K99" s="89">
        <f t="shared" si="52"/>
        <v>0</v>
      </c>
      <c r="L99" s="88">
        <f t="shared" si="53"/>
        <v>0</v>
      </c>
      <c r="M99" s="62" t="str">
        <f t="shared" si="54"/>
        <v>Abs</v>
      </c>
      <c r="N99" s="102" t="str">
        <f t="shared" si="55"/>
        <v/>
      </c>
      <c r="O99" s="90">
        <f t="shared" si="56"/>
        <v>0.375</v>
      </c>
      <c r="P99" s="91" t="str">
        <f>IFERROR(VLOOKUP($B99,Annuaire_roster!$B:$G,MATCH(P$1,Annuaire_roster!$B$1:$G$1,0),0),"-")</f>
        <v>Google Leads</v>
      </c>
      <c r="Q99" s="100">
        <v>44764</v>
      </c>
      <c r="R99" s="10">
        <f t="shared" si="57"/>
        <v>0.375</v>
      </c>
      <c r="S99" s="10">
        <f t="shared" si="58"/>
        <v>0.375</v>
      </c>
      <c r="T99" s="16" t="str">
        <f t="shared" si="59"/>
        <v>Sem - 30</v>
      </c>
      <c r="U99" s="16" t="str">
        <f t="shared" si="60"/>
        <v>Juillet</v>
      </c>
      <c r="V99" s="11" t="str">
        <f t="shared" si="61"/>
        <v>2026</v>
      </c>
      <c r="W99" s="9"/>
      <c r="X99" s="5">
        <f t="shared" si="62"/>
        <v>0</v>
      </c>
      <c r="Y99" s="12" t="str">
        <f>IFERROR(VLOOKUP(B99,Annuaire_roster!B:E,4,0),"-")</f>
        <v>CHOUIFI Mustapha</v>
      </c>
      <c r="Z99" s="12" t="str">
        <f>IFERROR(VLOOKUP(B99,Annuaire_roster!B:F,3,0),"-")</f>
        <v>Google Leads</v>
      </c>
      <c r="AA99" s="12" t="str">
        <f>IFERROR(VLOOKUP(B99,Annuaire_roster!B:I,6,0),"-")</f>
        <v>Forfaitaire</v>
      </c>
      <c r="AB99" s="142" t="str">
        <f t="shared" si="63"/>
        <v/>
      </c>
      <c r="AC99" s="142" t="str">
        <f t="shared" si="64"/>
        <v/>
      </c>
      <c r="AD99" s="142" t="str">
        <f t="shared" si="65"/>
        <v/>
      </c>
      <c r="AE99" s="143" t="str">
        <f t="shared" si="66"/>
        <v/>
      </c>
      <c r="AF99" s="63"/>
      <c r="AG99" s="10"/>
    </row>
    <row r="100" spans="1:33" hidden="1" x14ac:dyDescent="0.2">
      <c r="A100" s="70">
        <f>VLOOKUP(B100,Annuaire_roster!B:F,5,0)</f>
        <v>0</v>
      </c>
      <c r="B100" s="165" t="s">
        <v>196</v>
      </c>
      <c r="C100" s="61" t="str">
        <f>IFERROR(IF(COUNTIFS(Connexions!$K:$K,$Q100,Connexions!$E:$E,VLOOKUP($B100,Mapping_Noms!$A:$B,2,0))=0,"",_xlfn.MINIFS(Connexions!$M:$M,Connexions!$K:$K,$Q100,Connexions!$E:$E,VLOOKUP($B100,Mapping_Noms!$A:$B,2,0))-TIME(1,0,0)),"")</f>
        <v/>
      </c>
      <c r="D100" s="61">
        <f t="array" ref="D100">IFERROR(INDEX(Planning2[],MATCH(1,(Planning2[Nom]=B100)*(Planning2[Date]=Q100),0),3),"-")</f>
        <v>0.29166666666666669</v>
      </c>
      <c r="E100" s="38" t="str">
        <f>IFERROR(IF(COUNTIFS(Connexions!$K:$K,$Q100,Connexions!$E:$E,VLOOKUP($B100,Mapping_Noms!$A:$B,2,0))=0,"",_xlfn.MAXIFS(Connexions!$O:$O,Connexions!$K:$K,$Q100,Connexions!$E:$E,VLOOKUP($B100,Mapping_Noms!$A:$B,2,0))-TIME(1,0,0)),"")</f>
        <v/>
      </c>
      <c r="F100" s="38">
        <f t="array" ref="F100">IFERROR(INDEX(Planning2[],MATCH(1,(Planning2[Nom]=B100)*(Planning2[Date]=Q100),0),4),"-")</f>
        <v>0.70833333333333337</v>
      </c>
      <c r="G100" s="88"/>
      <c r="H100" s="88"/>
      <c r="I100" s="235" t="str">
        <f t="shared" si="51"/>
        <v/>
      </c>
      <c r="J100" s="88"/>
      <c r="K100" s="89">
        <f t="shared" si="52"/>
        <v>0</v>
      </c>
      <c r="L100" s="88">
        <f t="shared" si="53"/>
        <v>0</v>
      </c>
      <c r="M100" s="62" t="str">
        <f t="shared" si="54"/>
        <v>Abs</v>
      </c>
      <c r="N100" s="102" t="str">
        <f t="shared" si="55"/>
        <v/>
      </c>
      <c r="O100" s="90">
        <f t="shared" si="56"/>
        <v>0.375</v>
      </c>
      <c r="P100" s="91" t="str">
        <f>IFERROR(VLOOKUP($B100,Annuaire_roster!$B:$G,MATCH(P$1,Annuaire_roster!$B$1:$G$1,0),0),"-")</f>
        <v>Google Leads</v>
      </c>
      <c r="Q100" s="100">
        <v>44764</v>
      </c>
      <c r="R100" s="10">
        <f t="shared" si="57"/>
        <v>0.375</v>
      </c>
      <c r="S100" s="10">
        <f t="shared" si="58"/>
        <v>0.375</v>
      </c>
      <c r="T100" s="16" t="str">
        <f t="shared" si="59"/>
        <v>Sem - 30</v>
      </c>
      <c r="U100" s="16" t="str">
        <f t="shared" si="60"/>
        <v>Juillet</v>
      </c>
      <c r="V100" s="11" t="str">
        <f t="shared" si="61"/>
        <v>2026</v>
      </c>
      <c r="W100" s="9"/>
      <c r="X100" s="5">
        <f t="shared" si="62"/>
        <v>0</v>
      </c>
      <c r="Y100" s="12">
        <f>IFERROR(VLOOKUP(B100,Annuaire_roster!B:E,4,0),"-")</f>
        <v>0</v>
      </c>
      <c r="Z100" s="12" t="str">
        <f>IFERROR(VLOOKUP(B100,Annuaire_roster!B:F,3,0),"-")</f>
        <v>Google Leads</v>
      </c>
      <c r="AA100" s="12">
        <f>IFERROR(VLOOKUP(B100,Annuaire_roster!B:I,6,0),"-")</f>
        <v>0</v>
      </c>
      <c r="AB100" s="142" t="str">
        <f t="shared" si="63"/>
        <v/>
      </c>
      <c r="AC100" s="142" t="str">
        <f t="shared" si="64"/>
        <v/>
      </c>
      <c r="AD100" s="142" t="str">
        <f t="shared" si="65"/>
        <v/>
      </c>
      <c r="AE100" s="143" t="str">
        <f t="shared" si="66"/>
        <v/>
      </c>
      <c r="AF100" s="63"/>
      <c r="AG100" s="142"/>
    </row>
    <row r="101" spans="1:33" hidden="1" x14ac:dyDescent="0.2">
      <c r="A101" s="70">
        <f>VLOOKUP(B101,Annuaire_roster!B:F,5,0)</f>
        <v>0</v>
      </c>
      <c r="B101" s="165" t="s">
        <v>209</v>
      </c>
      <c r="C101" s="61" t="str">
        <f>IFERROR(IF(COUNTIFS(Connexions!$K:$K,$Q101,Connexions!$E:$E,VLOOKUP($B101,Mapping_Noms!$A:$B,2,0))=0,"",_xlfn.MINIFS(Connexions!$M:$M,Connexions!$K:$K,$Q101,Connexions!$E:$E,VLOOKUP($B101,Mapping_Noms!$A:$B,2,0))-TIME(1,0,0)),"")</f>
        <v/>
      </c>
      <c r="D101" s="61">
        <f t="array" ref="D101">IFERROR(INDEX(Planning2[],MATCH(1,(Planning2[Nom]=B101)*(Planning2[Date]=Q101),0),3),"-")</f>
        <v>0.29166666666666669</v>
      </c>
      <c r="E101" s="38" t="str">
        <f>IFERROR(IF(COUNTIFS(Connexions!$K:$K,$Q101,Connexions!$E:$E,VLOOKUP($B101,Mapping_Noms!$A:$B,2,0))=0,"",_xlfn.MAXIFS(Connexions!$O:$O,Connexions!$K:$K,$Q101,Connexions!$E:$E,VLOOKUP($B101,Mapping_Noms!$A:$B,2,0))-TIME(1,0,0)),"")</f>
        <v/>
      </c>
      <c r="F101" s="38">
        <f t="array" ref="F101">IFERROR(INDEX(Planning2[],MATCH(1,(Planning2[Nom]=B101)*(Planning2[Date]=Q101),0),4),"-")</f>
        <v>0.70833333333333337</v>
      </c>
      <c r="G101" s="88"/>
      <c r="H101" s="88"/>
      <c r="I101" s="235" t="str">
        <f t="shared" si="51"/>
        <v/>
      </c>
      <c r="J101" s="88"/>
      <c r="K101" s="89">
        <f t="shared" si="52"/>
        <v>0</v>
      </c>
      <c r="L101" s="88">
        <f t="shared" si="53"/>
        <v>0</v>
      </c>
      <c r="M101" s="62" t="str">
        <f t="shared" si="54"/>
        <v>Abs</v>
      </c>
      <c r="N101" s="102" t="str">
        <f t="shared" si="55"/>
        <v/>
      </c>
      <c r="O101" s="90">
        <f t="shared" si="56"/>
        <v>0.375</v>
      </c>
      <c r="P101" s="91" t="str">
        <f>IFERROR(VLOOKUP($B101,Annuaire_roster!$B:$G,MATCH(P$1,Annuaire_roster!$B$1:$G$1,0),0),"-")</f>
        <v>Google Leads</v>
      </c>
      <c r="Q101" s="100">
        <v>44764</v>
      </c>
      <c r="R101" s="10">
        <f t="shared" si="57"/>
        <v>0.375</v>
      </c>
      <c r="S101" s="10">
        <f t="shared" si="58"/>
        <v>0.375</v>
      </c>
      <c r="T101" s="16" t="str">
        <f t="shared" si="59"/>
        <v>Sem - 30</v>
      </c>
      <c r="U101" s="16" t="str">
        <f t="shared" si="60"/>
        <v>Juillet</v>
      </c>
      <c r="V101" s="11" t="str">
        <f t="shared" si="61"/>
        <v>2026</v>
      </c>
      <c r="W101" s="9"/>
      <c r="X101" s="5">
        <f t="shared" si="62"/>
        <v>0</v>
      </c>
      <c r="Y101" s="12">
        <f>IFERROR(VLOOKUP(B101,Annuaire_roster!B:E,4,0),"-")</f>
        <v>0</v>
      </c>
      <c r="Z101" s="12" t="str">
        <f>IFERROR(VLOOKUP(B101,Annuaire_roster!B:F,3,0),"-")</f>
        <v>Google Leads</v>
      </c>
      <c r="AA101" s="12">
        <f>IFERROR(VLOOKUP(B101,Annuaire_roster!B:I,6,0),"-")</f>
        <v>0</v>
      </c>
      <c r="AB101" s="142" t="str">
        <f t="shared" si="63"/>
        <v/>
      </c>
      <c r="AC101" s="142" t="str">
        <f t="shared" si="64"/>
        <v/>
      </c>
      <c r="AD101" s="142" t="str">
        <f t="shared" si="65"/>
        <v/>
      </c>
      <c r="AE101" s="143" t="str">
        <f t="shared" si="66"/>
        <v/>
      </c>
      <c r="AF101" s="63"/>
      <c r="AG101" s="10"/>
    </row>
    <row r="102" spans="1:33" hidden="1" x14ac:dyDescent="0.2">
      <c r="A102" s="70">
        <f>VLOOKUP(B102,Annuaire_roster!B:F,5,0)</f>
        <v>0</v>
      </c>
      <c r="B102" s="165" t="s">
        <v>210</v>
      </c>
      <c r="C102" s="61" t="str">
        <f>IFERROR(IF(COUNTIFS(Connexions!$K:$K,$Q102,Connexions!$E:$E,VLOOKUP($B102,Mapping_Noms!$A:$B,2,0))=0,"",_xlfn.MINIFS(Connexions!$M:$M,Connexions!$K:$K,$Q102,Connexions!$E:$E,VLOOKUP($B102,Mapping_Noms!$A:$B,2,0))-TIME(1,0,0)),"")</f>
        <v/>
      </c>
      <c r="D102" s="61" t="str">
        <f t="array" ref="D102">IFERROR(INDEX(Planning2[],MATCH(1,(Planning2[Nom]=B102)*(Planning2[Date]=Q102),0),3),"-")</f>
        <v>OFF</v>
      </c>
      <c r="E102" s="38" t="str">
        <f>IFERROR(IF(COUNTIFS(Connexions!$K:$K,$Q102,Connexions!$E:$E,VLOOKUP($B102,Mapping_Noms!$A:$B,2,0))=0,"",_xlfn.MAXIFS(Connexions!$O:$O,Connexions!$K:$K,$Q102,Connexions!$E:$E,VLOOKUP($B102,Mapping_Noms!$A:$B,2,0))-TIME(1,0,0)),"")</f>
        <v/>
      </c>
      <c r="F102" s="38" t="str">
        <f t="array" ref="F102">IFERROR(INDEX(Planning2[],MATCH(1,(Planning2[Nom]=B102)*(Planning2[Date]=Q102),0),4),"-")</f>
        <v>OFF</v>
      </c>
      <c r="G102" s="88"/>
      <c r="H102" s="88"/>
      <c r="I102" s="235" t="str">
        <f t="shared" si="51"/>
        <v/>
      </c>
      <c r="J102" s="88"/>
      <c r="K102" s="89">
        <f t="shared" si="52"/>
        <v>0</v>
      </c>
      <c r="L102" s="88">
        <f t="shared" si="53"/>
        <v>0</v>
      </c>
      <c r="M102" s="62">
        <f t="shared" si="54"/>
        <v>0</v>
      </c>
      <c r="N102" s="102" t="str">
        <f t="shared" si="55"/>
        <v/>
      </c>
      <c r="O102" s="90">
        <f t="shared" si="56"/>
        <v>0</v>
      </c>
      <c r="P102" s="91" t="str">
        <f>IFERROR(VLOOKUP($B102,Annuaire_roster!$B:$G,MATCH(P$1,Annuaire_roster!$B$1:$G$1,0),0),"-")</f>
        <v>Google Leads</v>
      </c>
      <c r="Q102" s="100">
        <v>44764</v>
      </c>
      <c r="R102" s="10">
        <f t="shared" si="57"/>
        <v>0</v>
      </c>
      <c r="S102" s="10">
        <f t="shared" si="58"/>
        <v>0</v>
      </c>
      <c r="T102" s="16" t="str">
        <f t="shared" si="59"/>
        <v>Sem - 30</v>
      </c>
      <c r="U102" s="16" t="str">
        <f t="shared" si="60"/>
        <v>Juillet</v>
      </c>
      <c r="V102" s="11" t="str">
        <f t="shared" si="61"/>
        <v>2026</v>
      </c>
      <c r="W102" s="9"/>
      <c r="X102" s="5">
        <f t="shared" si="62"/>
        <v>0</v>
      </c>
      <c r="Y102" s="12">
        <f>IFERROR(VLOOKUP(B102,Annuaire_roster!B:E,4,0),"-")</f>
        <v>0</v>
      </c>
      <c r="Z102" s="12" t="str">
        <f>IFERROR(VLOOKUP(B102,Annuaire_roster!B:F,3,0),"-")</f>
        <v>Google Leads</v>
      </c>
      <c r="AA102" s="12">
        <f>IFERROR(VLOOKUP(B102,Annuaire_roster!B:I,6,0),"-")</f>
        <v>0</v>
      </c>
      <c r="AB102" s="142" t="str">
        <f t="shared" si="63"/>
        <v/>
      </c>
      <c r="AC102" s="142" t="str">
        <f t="shared" si="64"/>
        <v/>
      </c>
      <c r="AD102" s="142" t="str">
        <f t="shared" si="65"/>
        <v/>
      </c>
      <c r="AE102" s="143" t="str">
        <f t="shared" si="66"/>
        <v/>
      </c>
      <c r="AF102" s="63"/>
      <c r="AG102" s="10"/>
    </row>
    <row r="103" spans="1:33" hidden="1" x14ac:dyDescent="0.2">
      <c r="A103" s="70">
        <f>VLOOKUP(B103,Annuaire_roster!B:F,5,0)</f>
        <v>1008</v>
      </c>
      <c r="B103" s="165" t="s">
        <v>94</v>
      </c>
      <c r="C103" s="61" t="str">
        <f>IFERROR(IF(COUNTIFS(Connexions!$K:$K,$Q103,Connexions!$E:$E,VLOOKUP($B103,Mapping_Noms!$A:$B,2,0))=0,"",_xlfn.MINIFS(Connexions!$M:$M,Connexions!$K:$K,$Q103,Connexions!$E:$E,VLOOKUP($B103,Mapping_Noms!$A:$B,2,0))-TIME(1,0,0)),"")</f>
        <v/>
      </c>
      <c r="D103" s="61" t="str">
        <f t="array" ref="D103">IFERROR(INDEX(Planning2[],MATCH(1,(Planning2[Nom]=B103)*(Planning2[Date]=Q103),0),3),"-")</f>
        <v>OFF</v>
      </c>
      <c r="E103" s="38" t="str">
        <f>IFERROR(IF(COUNTIFS(Connexions!$K:$K,$Q103,Connexions!$E:$E,VLOOKUP($B103,Mapping_Noms!$A:$B,2,0))=0,"",_xlfn.MAXIFS(Connexions!$O:$O,Connexions!$K:$K,$Q103,Connexions!$E:$E,VLOOKUP($B103,Mapping_Noms!$A:$B,2,0))-TIME(1,0,0)),"")</f>
        <v/>
      </c>
      <c r="F103" s="38" t="str">
        <f t="array" ref="F103">IFERROR(INDEX(Planning2[],MATCH(1,(Planning2[Nom]=B103)*(Planning2[Date]=Q103),0),4),"-")</f>
        <v>OFF</v>
      </c>
      <c r="G103" s="88"/>
      <c r="H103" s="88"/>
      <c r="I103" s="235" t="str">
        <f t="shared" si="51"/>
        <v/>
      </c>
      <c r="J103" s="88"/>
      <c r="K103" s="89">
        <f t="shared" si="52"/>
        <v>0</v>
      </c>
      <c r="L103" s="88">
        <f t="shared" si="53"/>
        <v>0</v>
      </c>
      <c r="M103" s="62">
        <f t="shared" si="54"/>
        <v>0</v>
      </c>
      <c r="N103" s="102" t="str">
        <f t="shared" si="55"/>
        <v/>
      </c>
      <c r="O103" s="90">
        <f t="shared" si="56"/>
        <v>0</v>
      </c>
      <c r="P103" s="91" t="str">
        <f>IFERROR(VLOOKUP($B103,Annuaire_roster!$B:$G,MATCH(P$1,Annuaire_roster!$B$1:$G$1,0),0),"-")</f>
        <v>Google Leads</v>
      </c>
      <c r="Q103" s="100">
        <v>44764</v>
      </c>
      <c r="R103" s="10">
        <f t="shared" si="57"/>
        <v>0</v>
      </c>
      <c r="S103" s="10">
        <f t="shared" si="58"/>
        <v>0</v>
      </c>
      <c r="T103" s="16" t="str">
        <f t="shared" si="59"/>
        <v>Sem - 30</v>
      </c>
      <c r="U103" s="16" t="str">
        <f t="shared" si="60"/>
        <v>Juillet</v>
      </c>
      <c r="V103" s="11" t="str">
        <f t="shared" si="61"/>
        <v>2026</v>
      </c>
      <c r="W103" s="9"/>
      <c r="X103" s="5">
        <f t="shared" si="62"/>
        <v>0</v>
      </c>
      <c r="Y103" s="12" t="str">
        <f>IFERROR(VLOOKUP(B103,Annuaire_roster!B:E,4,0),"-")</f>
        <v>CHOUIFI Mustapha</v>
      </c>
      <c r="Z103" s="12" t="str">
        <f>IFERROR(VLOOKUP(B103,Annuaire_roster!B:F,3,0),"-")</f>
        <v>Google Leads</v>
      </c>
      <c r="AA103" s="12" t="str">
        <f>IFERROR(VLOOKUP(B103,Annuaire_roster!B:I,6,0),"-")</f>
        <v>Forfaitaire</v>
      </c>
      <c r="AB103" s="142" t="str">
        <f t="shared" si="63"/>
        <v/>
      </c>
      <c r="AC103" s="142" t="str">
        <f t="shared" si="64"/>
        <v/>
      </c>
      <c r="AD103" s="142" t="str">
        <f t="shared" si="65"/>
        <v/>
      </c>
      <c r="AE103" s="143" t="str">
        <f t="shared" si="66"/>
        <v/>
      </c>
      <c r="AF103" s="63"/>
      <c r="AG103" s="10"/>
    </row>
    <row r="104" spans="1:33" hidden="1" x14ac:dyDescent="0.2">
      <c r="A104" s="70">
        <f>VLOOKUP(B104,Annuaire_roster!B:F,5,0)</f>
        <v>742</v>
      </c>
      <c r="B104" s="165" t="s">
        <v>76</v>
      </c>
      <c r="C104" s="61" t="str">
        <f>IFERROR(IF(COUNTIFS(Connexions!$K:$K,$Q104,Connexions!$E:$E,VLOOKUP($B104,Mapping_Noms!$A:$B,2,0))=0,"",_xlfn.MINIFS(Connexions!$M:$M,Connexions!$K:$K,$Q104,Connexions!$E:$E,VLOOKUP($B104,Mapping_Noms!$A:$B,2,0))-TIME(1,0,0)),"")</f>
        <v/>
      </c>
      <c r="D104" s="61">
        <f t="array" ref="D104">IFERROR(INDEX(Planning2[],MATCH(1,(Planning2[Nom]=B104)*(Planning2[Date]=Q104),0),3),"-")</f>
        <v>0.29166666666666669</v>
      </c>
      <c r="E104" s="38" t="str">
        <f>IFERROR(IF(COUNTIFS(Connexions!$K:$K,$Q104,Connexions!$E:$E,VLOOKUP($B104,Mapping_Noms!$A:$B,2,0))=0,"",_xlfn.MAXIFS(Connexions!$O:$O,Connexions!$K:$K,$Q104,Connexions!$E:$E,VLOOKUP($B104,Mapping_Noms!$A:$B,2,0))-TIME(1,0,0)),"")</f>
        <v/>
      </c>
      <c r="F104" s="38">
        <f t="array" ref="F104">IFERROR(INDEX(Planning2[],MATCH(1,(Planning2[Nom]=B104)*(Planning2[Date]=Q104),0),4),"-")</f>
        <v>0.70833333333333337</v>
      </c>
      <c r="G104" s="88"/>
      <c r="H104" s="88"/>
      <c r="I104" s="235" t="str">
        <f t="shared" si="51"/>
        <v/>
      </c>
      <c r="J104" s="88"/>
      <c r="K104" s="89">
        <f t="shared" si="52"/>
        <v>0</v>
      </c>
      <c r="L104" s="88">
        <f t="shared" si="53"/>
        <v>0</v>
      </c>
      <c r="M104" s="62" t="str">
        <f t="shared" si="54"/>
        <v>Abs</v>
      </c>
      <c r="N104" s="102" t="str">
        <f t="shared" si="55"/>
        <v/>
      </c>
      <c r="O104" s="90">
        <f t="shared" si="56"/>
        <v>0.375</v>
      </c>
      <c r="P104" s="91" t="str">
        <f>IFERROR(VLOOKUP($B104,Annuaire_roster!$B:$G,MATCH(P$1,Annuaire_roster!$B$1:$G$1,0),0),"-")</f>
        <v>Google Leads</v>
      </c>
      <c r="Q104" s="100">
        <v>44764</v>
      </c>
      <c r="R104" s="10">
        <f t="shared" si="57"/>
        <v>0.375</v>
      </c>
      <c r="S104" s="10">
        <f t="shared" si="58"/>
        <v>0.375</v>
      </c>
      <c r="T104" s="16" t="str">
        <f t="shared" si="59"/>
        <v>Sem - 30</v>
      </c>
      <c r="U104" s="16" t="str">
        <f t="shared" si="60"/>
        <v>Juillet</v>
      </c>
      <c r="V104" s="11" t="str">
        <f t="shared" si="61"/>
        <v>2026</v>
      </c>
      <c r="W104" s="9"/>
      <c r="X104" s="5">
        <f t="shared" si="62"/>
        <v>0</v>
      </c>
      <c r="Y104" s="12" t="str">
        <f>IFERROR(VLOOKUP(B104,Annuaire_roster!B:E,4,0),"-")</f>
        <v>OUAQERROUCH Nour-El Houda</v>
      </c>
      <c r="Z104" s="12" t="str">
        <f>IFERROR(VLOOKUP(B104,Annuaire_roster!B:F,3,0),"-")</f>
        <v>Google Leads</v>
      </c>
      <c r="AA104" s="12" t="str">
        <f>IFERROR(VLOOKUP(B104,Annuaire_roster!B:I,6,0),"-")</f>
        <v>Forfaitaire</v>
      </c>
      <c r="AB104" s="142" t="str">
        <f t="shared" si="63"/>
        <v/>
      </c>
      <c r="AC104" s="142" t="str">
        <f t="shared" si="64"/>
        <v/>
      </c>
      <c r="AD104" s="142" t="str">
        <f t="shared" si="65"/>
        <v/>
      </c>
      <c r="AE104" s="143" t="str">
        <f t="shared" si="66"/>
        <v/>
      </c>
      <c r="AF104" s="63"/>
      <c r="AG104" s="10"/>
    </row>
    <row r="105" spans="1:33" hidden="1" x14ac:dyDescent="0.2">
      <c r="A105" s="70">
        <f>VLOOKUP(B105,Annuaire_roster!B:F,5,0)</f>
        <v>1167</v>
      </c>
      <c r="B105" s="165" t="s">
        <v>126</v>
      </c>
      <c r="C105" s="61" t="str">
        <f>IFERROR(IF(COUNTIFS(Connexions!$K:$K,$Q105,Connexions!$E:$E,VLOOKUP($B105,Mapping_Noms!$A:$B,2,0))=0,"",_xlfn.MINIFS(Connexions!$M:$M,Connexions!$K:$K,$Q105,Connexions!$E:$E,VLOOKUP($B105,Mapping_Noms!$A:$B,2,0))-TIME(1,0,0)),"")</f>
        <v/>
      </c>
      <c r="D105" s="61">
        <f t="array" ref="D105">IFERROR(INDEX(Planning2[],MATCH(1,(Planning2[Nom]=B105)*(Planning2[Date]=Q105),0),3),"-")</f>
        <v>0.41666666666666669</v>
      </c>
      <c r="E105" s="38" t="str">
        <f>IFERROR(IF(COUNTIFS(Connexions!$K:$K,$Q105,Connexions!$E:$E,VLOOKUP($B105,Mapping_Noms!$A:$B,2,0))=0,"",_xlfn.MAXIFS(Connexions!$O:$O,Connexions!$K:$K,$Q105,Connexions!$E:$E,VLOOKUP($B105,Mapping_Noms!$A:$B,2,0))-TIME(1,0,0)),"")</f>
        <v/>
      </c>
      <c r="F105" s="38">
        <f t="array" ref="F105">IFERROR(INDEX(Planning2[],MATCH(1,(Planning2[Nom]=B105)*(Planning2[Date]=Q105),0),4),"-")</f>
        <v>0.83333333333333337</v>
      </c>
      <c r="G105" s="88"/>
      <c r="H105" s="88"/>
      <c r="I105" s="235" t="str">
        <f t="shared" si="51"/>
        <v/>
      </c>
      <c r="J105" s="88"/>
      <c r="K105" s="89">
        <f t="shared" si="52"/>
        <v>0</v>
      </c>
      <c r="L105" s="88">
        <f t="shared" si="53"/>
        <v>0</v>
      </c>
      <c r="M105" s="62" t="str">
        <f t="shared" si="54"/>
        <v>Abs</v>
      </c>
      <c r="N105" s="102" t="str">
        <f t="shared" si="55"/>
        <v/>
      </c>
      <c r="O105" s="90">
        <f t="shared" si="56"/>
        <v>0.375</v>
      </c>
      <c r="P105" s="91" t="str">
        <f>IFERROR(VLOOKUP($B105,Annuaire_roster!$B:$G,MATCH(P$1,Annuaire_roster!$B$1:$G$1,0),0),"-")</f>
        <v>Google Leads</v>
      </c>
      <c r="Q105" s="100">
        <v>44764</v>
      </c>
      <c r="R105" s="10">
        <f t="shared" si="57"/>
        <v>0.375</v>
      </c>
      <c r="S105" s="10">
        <f t="shared" si="58"/>
        <v>0.375</v>
      </c>
      <c r="T105" s="16" t="str">
        <f t="shared" si="59"/>
        <v>Sem - 30</v>
      </c>
      <c r="U105" s="16" t="str">
        <f t="shared" si="60"/>
        <v>Juillet</v>
      </c>
      <c r="V105" s="11" t="str">
        <f t="shared" si="61"/>
        <v>2026</v>
      </c>
      <c r="W105" s="9"/>
      <c r="X105" s="5">
        <f t="shared" si="62"/>
        <v>0</v>
      </c>
      <c r="Y105" s="12" t="str">
        <f>IFERROR(VLOOKUP(B105,Annuaire_roster!B:E,4,0),"-")</f>
        <v>OUAQERROUCH Nour-El Houda</v>
      </c>
      <c r="Z105" s="12" t="str">
        <f>IFERROR(VLOOKUP(B105,Annuaire_roster!B:F,3,0),"-")</f>
        <v>Google Leads</v>
      </c>
      <c r="AA105" s="12" t="str">
        <f>IFERROR(VLOOKUP(B105,Annuaire_roster!B:I,6,0),"-")</f>
        <v>Forfaitaire</v>
      </c>
      <c r="AB105" s="142" t="str">
        <f t="shared" si="63"/>
        <v/>
      </c>
      <c r="AC105" s="142" t="str">
        <f t="shared" si="64"/>
        <v/>
      </c>
      <c r="AD105" s="142" t="str">
        <f t="shared" si="65"/>
        <v/>
      </c>
      <c r="AE105" s="143" t="str">
        <f t="shared" si="66"/>
        <v/>
      </c>
      <c r="AF105" s="63"/>
      <c r="AG105" s="10"/>
    </row>
    <row r="106" spans="1:33" hidden="1" x14ac:dyDescent="0.2">
      <c r="A106" s="70">
        <f>VLOOKUP(B106,Annuaire_roster!B:F,5,0)</f>
        <v>0</v>
      </c>
      <c r="B106" s="165" t="s">
        <v>221</v>
      </c>
      <c r="C106" s="61" t="str">
        <f>IFERROR(IF(COUNTIFS(Connexions!$K:$K,$Q106,Connexions!$E:$E,VLOOKUP($B106,Mapping_Noms!$A:$B,2,0))=0,"",_xlfn.MINIFS(Connexions!$M:$M,Connexions!$K:$K,$Q106,Connexions!$E:$E,VLOOKUP($B106,Mapping_Noms!$A:$B,2,0))-TIME(1,0,0)),"")</f>
        <v/>
      </c>
      <c r="D106" s="61">
        <f t="array" ref="D106">IFERROR(INDEX(Planning2[],MATCH(1,(Planning2[Nom]=B106)*(Planning2[Date]=Q106),0),3),"-")</f>
        <v>0.41666666666666669</v>
      </c>
      <c r="E106" s="38" t="str">
        <f>IFERROR(IF(COUNTIFS(Connexions!$K:$K,$Q106,Connexions!$E:$E,VLOOKUP($B106,Mapping_Noms!$A:$B,2,0))=0,"",_xlfn.MAXIFS(Connexions!$O:$O,Connexions!$K:$K,$Q106,Connexions!$E:$E,VLOOKUP($B106,Mapping_Noms!$A:$B,2,0))-TIME(1,0,0)),"")</f>
        <v/>
      </c>
      <c r="F106" s="38">
        <f t="array" ref="F106">IFERROR(INDEX(Planning2[],MATCH(1,(Planning2[Nom]=B106)*(Planning2[Date]=Q106),0),4),"-")</f>
        <v>0.83333333333333337</v>
      </c>
      <c r="G106" s="88"/>
      <c r="H106" s="88"/>
      <c r="I106" s="235" t="str">
        <f t="shared" si="51"/>
        <v/>
      </c>
      <c r="J106" s="88"/>
      <c r="K106" s="89">
        <f t="shared" si="52"/>
        <v>0</v>
      </c>
      <c r="L106" s="88">
        <f t="shared" si="53"/>
        <v>0</v>
      </c>
      <c r="M106" s="62" t="str">
        <f t="shared" si="54"/>
        <v>Abs</v>
      </c>
      <c r="N106" s="102" t="str">
        <f t="shared" si="55"/>
        <v/>
      </c>
      <c r="O106" s="90">
        <f t="shared" si="56"/>
        <v>0.375</v>
      </c>
      <c r="P106" s="91" t="str">
        <f>IFERROR(VLOOKUP($B106,Annuaire_roster!$B:$G,MATCH(P$1,Annuaire_roster!$B$1:$G$1,0),0),"-")</f>
        <v>Google Leads</v>
      </c>
      <c r="Q106" s="100">
        <v>44764</v>
      </c>
      <c r="R106" s="10">
        <f t="shared" si="57"/>
        <v>0.375</v>
      </c>
      <c r="S106" s="10">
        <f t="shared" si="58"/>
        <v>0.375</v>
      </c>
      <c r="T106" s="16" t="str">
        <f t="shared" si="59"/>
        <v>Sem - 30</v>
      </c>
      <c r="U106" s="16" t="str">
        <f t="shared" si="60"/>
        <v>Juillet</v>
      </c>
      <c r="V106" s="11" t="str">
        <f t="shared" si="61"/>
        <v>2026</v>
      </c>
      <c r="W106" s="9"/>
      <c r="X106" s="5">
        <f t="shared" si="62"/>
        <v>0</v>
      </c>
      <c r="Y106" s="12">
        <f>IFERROR(VLOOKUP(B106,Annuaire_roster!B:E,4,0),"-")</f>
        <v>0</v>
      </c>
      <c r="Z106" s="12" t="str">
        <f>IFERROR(VLOOKUP(B106,Annuaire_roster!B:F,3,0),"-")</f>
        <v>Google Leads</v>
      </c>
      <c r="AA106" s="12">
        <f>IFERROR(VLOOKUP(B106,Annuaire_roster!B:I,6,0),"-")</f>
        <v>0</v>
      </c>
      <c r="AB106" s="142" t="str">
        <f t="shared" si="63"/>
        <v/>
      </c>
      <c r="AC106" s="142" t="str">
        <f t="shared" si="64"/>
        <v/>
      </c>
      <c r="AD106" s="142" t="str">
        <f t="shared" si="65"/>
        <v/>
      </c>
      <c r="AE106" s="143" t="str">
        <f t="shared" si="66"/>
        <v/>
      </c>
      <c r="AF106" s="63"/>
      <c r="AG106" s="10"/>
    </row>
    <row r="107" spans="1:33" hidden="1" x14ac:dyDescent="0.2">
      <c r="A107" s="70">
        <f>VLOOKUP(B107,Annuaire_roster!B:F,5,0)</f>
        <v>949</v>
      </c>
      <c r="B107" s="165" t="s">
        <v>85</v>
      </c>
      <c r="C107" s="61" t="str">
        <f>IFERROR(IF(COUNTIFS(Connexions!$K:$K,$Q107,Connexions!$E:$E,VLOOKUP($B107,Mapping_Noms!$A:$B,2,0))=0,"",_xlfn.MINIFS(Connexions!$M:$M,Connexions!$K:$K,$Q107,Connexions!$E:$E,VLOOKUP($B107,Mapping_Noms!$A:$B,2,0))-TIME(1,0,0)),"")</f>
        <v/>
      </c>
      <c r="D107" s="61">
        <f t="array" ref="D107">IFERROR(INDEX(Planning2[],MATCH(1,(Planning2[Nom]=B107)*(Planning2[Date]=Q107),0),3),"-")</f>
        <v>0.41666666666666669</v>
      </c>
      <c r="E107" s="38" t="str">
        <f>IFERROR(IF(COUNTIFS(Connexions!$K:$K,$Q107,Connexions!$E:$E,VLOOKUP($B107,Mapping_Noms!$A:$B,2,0))=0,"",_xlfn.MAXIFS(Connexions!$O:$O,Connexions!$K:$K,$Q107,Connexions!$E:$E,VLOOKUP($B107,Mapping_Noms!$A:$B,2,0))-TIME(1,0,0)),"")</f>
        <v/>
      </c>
      <c r="F107" s="38">
        <f t="array" ref="F107">IFERROR(INDEX(Planning2[],MATCH(1,(Planning2[Nom]=B107)*(Planning2[Date]=Q107),0),4),"-")</f>
        <v>0.83333333333333337</v>
      </c>
      <c r="G107" s="88"/>
      <c r="H107" s="88"/>
      <c r="I107" s="235" t="str">
        <f t="shared" si="51"/>
        <v/>
      </c>
      <c r="J107" s="88"/>
      <c r="K107" s="89">
        <f t="shared" si="52"/>
        <v>0</v>
      </c>
      <c r="L107" s="88">
        <f t="shared" si="53"/>
        <v>0</v>
      </c>
      <c r="M107" s="62" t="str">
        <f t="shared" si="54"/>
        <v>Abs</v>
      </c>
      <c r="N107" s="102" t="str">
        <f t="shared" si="55"/>
        <v/>
      </c>
      <c r="O107" s="90">
        <f t="shared" si="56"/>
        <v>0.375</v>
      </c>
      <c r="P107" s="91" t="str">
        <f>IFERROR(VLOOKUP($B107,Annuaire_roster!$B:$G,MATCH(P$1,Annuaire_roster!$B$1:$G$1,0),0),"-")</f>
        <v>Google Leads</v>
      </c>
      <c r="Q107" s="100">
        <v>44764</v>
      </c>
      <c r="R107" s="10">
        <f t="shared" si="57"/>
        <v>0.375</v>
      </c>
      <c r="S107" s="10">
        <f t="shared" si="58"/>
        <v>0.375</v>
      </c>
      <c r="T107" s="16" t="str">
        <f t="shared" si="59"/>
        <v>Sem - 30</v>
      </c>
      <c r="U107" s="16" t="str">
        <f t="shared" si="60"/>
        <v>Juillet</v>
      </c>
      <c r="V107" s="11" t="str">
        <f t="shared" si="61"/>
        <v>2026</v>
      </c>
      <c r="W107" s="9"/>
      <c r="X107" s="5">
        <f t="shared" si="62"/>
        <v>0</v>
      </c>
      <c r="Y107" s="12" t="str">
        <f>IFERROR(VLOOKUP(B107,Annuaire_roster!B:E,4,0),"-")</f>
        <v>CHOUIFI Mustapha</v>
      </c>
      <c r="Z107" s="12" t="str">
        <f>IFERROR(VLOOKUP(B107,Annuaire_roster!B:F,3,0),"-")</f>
        <v>Google Leads</v>
      </c>
      <c r="AA107" s="12" t="str">
        <f>IFERROR(VLOOKUP(B107,Annuaire_roster!B:I,6,0),"-")</f>
        <v>Forfaitaire</v>
      </c>
      <c r="AB107" s="142" t="str">
        <f t="shared" si="63"/>
        <v/>
      </c>
      <c r="AC107" s="142" t="str">
        <f t="shared" si="64"/>
        <v/>
      </c>
      <c r="AD107" s="142" t="str">
        <f t="shared" si="65"/>
        <v/>
      </c>
      <c r="AE107" s="143" t="str">
        <f t="shared" si="66"/>
        <v/>
      </c>
      <c r="AF107" s="63"/>
      <c r="AG107" s="10"/>
    </row>
    <row r="108" spans="1:33" hidden="1" x14ac:dyDescent="0.2">
      <c r="A108" s="70">
        <f>VLOOKUP(B108,Annuaire_roster!B:F,5,0)</f>
        <v>1274</v>
      </c>
      <c r="B108" s="165" t="s">
        <v>141</v>
      </c>
      <c r="C108" s="61" t="str">
        <f>IFERROR(IF(COUNTIFS(Connexions!$K:$K,$Q108,Connexions!$E:$E,VLOOKUP($B108,Mapping_Noms!$A:$B,2,0))=0,"",_xlfn.MINIFS(Connexions!$M:$M,Connexions!$K:$K,$Q108,Connexions!$E:$E,VLOOKUP($B108,Mapping_Noms!$A:$B,2,0))-TIME(1,0,0)),"")</f>
        <v/>
      </c>
      <c r="D108" s="61">
        <f t="array" ref="D108">IFERROR(INDEX(Planning2[],MATCH(1,(Planning2[Nom]=B108)*(Planning2[Date]=Q108),0),3),"-")</f>
        <v>0.41666666666666669</v>
      </c>
      <c r="E108" s="38" t="str">
        <f>IFERROR(IF(COUNTIFS(Connexions!$K:$K,$Q108,Connexions!$E:$E,VLOOKUP($B108,Mapping_Noms!$A:$B,2,0))=0,"",_xlfn.MAXIFS(Connexions!$O:$O,Connexions!$K:$K,$Q108,Connexions!$E:$E,VLOOKUP($B108,Mapping_Noms!$A:$B,2,0))-TIME(1,0,0)),"")</f>
        <v/>
      </c>
      <c r="F108" s="38">
        <f t="array" ref="F108">IFERROR(INDEX(Planning2[],MATCH(1,(Planning2[Nom]=B108)*(Planning2[Date]=Q108),0),4),"-")</f>
        <v>0.83333333333333337</v>
      </c>
      <c r="G108" s="88"/>
      <c r="H108" s="88"/>
      <c r="I108" s="235" t="str">
        <f t="shared" si="51"/>
        <v/>
      </c>
      <c r="J108" s="88"/>
      <c r="K108" s="89">
        <f t="shared" si="52"/>
        <v>0</v>
      </c>
      <c r="L108" s="88">
        <f t="shared" si="53"/>
        <v>0</v>
      </c>
      <c r="M108" s="62" t="str">
        <f t="shared" si="54"/>
        <v>Abs</v>
      </c>
      <c r="N108" s="102" t="str">
        <f t="shared" si="55"/>
        <v/>
      </c>
      <c r="O108" s="90">
        <f t="shared" si="56"/>
        <v>0.375</v>
      </c>
      <c r="P108" s="91" t="str">
        <f>IFERROR(VLOOKUP($B108,Annuaire_roster!$B:$G,MATCH(P$1,Annuaire_roster!$B$1:$G$1,0),0),"-")</f>
        <v>Google Leads</v>
      </c>
      <c r="Q108" s="100">
        <v>44764</v>
      </c>
      <c r="R108" s="10">
        <f t="shared" si="57"/>
        <v>0.375</v>
      </c>
      <c r="S108" s="10">
        <f t="shared" si="58"/>
        <v>0.375</v>
      </c>
      <c r="T108" s="16" t="str">
        <f t="shared" si="59"/>
        <v>Sem - 30</v>
      </c>
      <c r="U108" s="16" t="str">
        <f t="shared" si="60"/>
        <v>Juillet</v>
      </c>
      <c r="V108" s="11" t="str">
        <f t="shared" si="61"/>
        <v>2026</v>
      </c>
      <c r="W108" s="9"/>
      <c r="X108" s="5">
        <f t="shared" si="62"/>
        <v>0</v>
      </c>
      <c r="Y108" s="12" t="str">
        <f>IFERROR(VLOOKUP(B108,Annuaire_roster!B:E,4,0),"-")</f>
        <v>OUAQERROUCH Nour-El Houda</v>
      </c>
      <c r="Z108" s="12" t="str">
        <f>IFERROR(VLOOKUP(B108,Annuaire_roster!B:F,3,0),"-")</f>
        <v>Google Leads</v>
      </c>
      <c r="AA108" s="12" t="str">
        <f>IFERROR(VLOOKUP(B108,Annuaire_roster!B:I,6,0),"-")</f>
        <v>Forfaitaire</v>
      </c>
      <c r="AB108" s="142" t="str">
        <f t="shared" si="63"/>
        <v/>
      </c>
      <c r="AC108" s="142" t="str">
        <f t="shared" si="64"/>
        <v/>
      </c>
      <c r="AD108" s="142" t="str">
        <f t="shared" si="65"/>
        <v/>
      </c>
      <c r="AE108" s="143" t="str">
        <f t="shared" si="66"/>
        <v/>
      </c>
      <c r="AF108" s="63"/>
      <c r="AG108" s="10"/>
    </row>
    <row r="109" spans="1:33" hidden="1" x14ac:dyDescent="0.2">
      <c r="A109" s="70">
        <f>VLOOKUP(B109,Annuaire_roster!B:F,5,0)</f>
        <v>1132</v>
      </c>
      <c r="B109" s="165" t="s">
        <v>88</v>
      </c>
      <c r="C109" s="61" t="str">
        <f>IFERROR(IF(COUNTIFS(Connexions!$K:$K,$Q109,Connexions!$E:$E,VLOOKUP($B109,Mapping_Noms!$A:$B,2,0))=0,"",_xlfn.MINIFS(Connexions!$M:$M,Connexions!$K:$K,$Q109,Connexions!$E:$E,VLOOKUP($B109,Mapping_Noms!$A:$B,2,0))-TIME(1,0,0)),"")</f>
        <v/>
      </c>
      <c r="D109" s="61" t="str">
        <f t="array" ref="D109">IFERROR(INDEX(Planning2[],MATCH(1,(Planning2[Nom]=B109)*(Planning2[Date]=Q109),0),3),"-")</f>
        <v>OFF</v>
      </c>
      <c r="E109" s="38" t="str">
        <f>IFERROR(IF(COUNTIFS(Connexions!$K:$K,$Q109,Connexions!$E:$E,VLOOKUP($B109,Mapping_Noms!$A:$B,2,0))=0,"",_xlfn.MAXIFS(Connexions!$O:$O,Connexions!$K:$K,$Q109,Connexions!$E:$E,VLOOKUP($B109,Mapping_Noms!$A:$B,2,0))-TIME(1,0,0)),"")</f>
        <v/>
      </c>
      <c r="F109" s="38" t="str">
        <f t="array" ref="F109">IFERROR(INDEX(Planning2[],MATCH(1,(Planning2[Nom]=B109)*(Planning2[Date]=Q109),0),4),"-")</f>
        <v>OFF</v>
      </c>
      <c r="G109" s="88"/>
      <c r="H109" s="88"/>
      <c r="I109" s="235" t="str">
        <f t="shared" si="51"/>
        <v/>
      </c>
      <c r="J109" s="88"/>
      <c r="K109" s="89">
        <f t="shared" si="52"/>
        <v>0</v>
      </c>
      <c r="L109" s="88">
        <f t="shared" si="53"/>
        <v>0</v>
      </c>
      <c r="M109" s="62">
        <f t="shared" si="54"/>
        <v>0</v>
      </c>
      <c r="N109" s="102" t="str">
        <f t="shared" si="55"/>
        <v/>
      </c>
      <c r="O109" s="90">
        <f t="shared" si="56"/>
        <v>0</v>
      </c>
      <c r="P109" s="91" t="str">
        <f>IFERROR(VLOOKUP($B109,Annuaire_roster!$B:$G,MATCH(P$1,Annuaire_roster!$B$1:$G$1,0),0),"-")</f>
        <v>Google Leads</v>
      </c>
      <c r="Q109" s="100">
        <v>44764</v>
      </c>
      <c r="R109" s="10">
        <f t="shared" si="57"/>
        <v>0</v>
      </c>
      <c r="S109" s="10">
        <f t="shared" si="58"/>
        <v>0</v>
      </c>
      <c r="T109" s="16" t="str">
        <f t="shared" si="59"/>
        <v>Sem - 30</v>
      </c>
      <c r="U109" s="16" t="str">
        <f t="shared" si="60"/>
        <v>Juillet</v>
      </c>
      <c r="V109" s="11" t="str">
        <f t="shared" si="61"/>
        <v>2026</v>
      </c>
      <c r="W109" s="9"/>
      <c r="X109" s="5">
        <f t="shared" si="62"/>
        <v>0</v>
      </c>
      <c r="Y109" s="12" t="str">
        <f>IFERROR(VLOOKUP(B109,Annuaire_roster!B:E,4,0),"-")</f>
        <v>CHOUIFI Mustapha</v>
      </c>
      <c r="Z109" s="12" t="str">
        <f>IFERROR(VLOOKUP(B109,Annuaire_roster!B:F,3,0),"-")</f>
        <v>Google Leads</v>
      </c>
      <c r="AA109" s="12" t="str">
        <f>IFERROR(VLOOKUP(B109,Annuaire_roster!B:I,6,0),"-")</f>
        <v>Forfaitaire</v>
      </c>
      <c r="AB109" s="142" t="str">
        <f t="shared" si="63"/>
        <v/>
      </c>
      <c r="AC109" s="142" t="str">
        <f t="shared" si="64"/>
        <v/>
      </c>
      <c r="AD109" s="142" t="str">
        <f t="shared" si="65"/>
        <v/>
      </c>
      <c r="AE109" s="143" t="str">
        <f t="shared" si="66"/>
        <v/>
      </c>
      <c r="AF109" s="63"/>
      <c r="AG109" s="10"/>
    </row>
    <row r="110" spans="1:33" hidden="1" x14ac:dyDescent="0.2">
      <c r="A110" s="70">
        <f>VLOOKUP(B110,Annuaire_roster!B:F,5,0)</f>
        <v>364</v>
      </c>
      <c r="B110" s="165" t="s">
        <v>213</v>
      </c>
      <c r="C110" s="61" t="str">
        <f>IFERROR(IF(COUNTIFS(Connexions!$K:$K,$Q110,Connexions!$E:$E,VLOOKUP($B110,Mapping_Noms!$A:$B,2,0))=0,"",_xlfn.MINIFS(Connexions!$M:$M,Connexions!$K:$K,$Q110,Connexions!$E:$E,VLOOKUP($B110,Mapping_Noms!$A:$B,2,0))-TIME(1,0,0)),"")</f>
        <v/>
      </c>
      <c r="D110" s="61">
        <f t="array" ref="D110">IFERROR(INDEX(Planning2[],MATCH(1,(Planning2[Nom]=B110)*(Planning2[Date]=Q110),0),3),"-")</f>
        <v>0.375</v>
      </c>
      <c r="E110" s="38" t="str">
        <f>IFERROR(IF(COUNTIFS(Connexions!$K:$K,$Q110,Connexions!$E:$E,VLOOKUP($B110,Mapping_Noms!$A:$B,2,0))=0,"",_xlfn.MAXIFS(Connexions!$O:$O,Connexions!$K:$K,$Q110,Connexions!$E:$E,VLOOKUP($B110,Mapping_Noms!$A:$B,2,0))-TIME(1,0,0)),"")</f>
        <v/>
      </c>
      <c r="F110" s="38">
        <f t="array" ref="F110">IFERROR(INDEX(Planning2[],MATCH(1,(Planning2[Nom]=B110)*(Planning2[Date]=Q110),0),4),"-")</f>
        <v>0.79166666666666663</v>
      </c>
      <c r="G110" s="88"/>
      <c r="H110" s="88"/>
      <c r="I110" s="235" t="str">
        <f t="shared" si="51"/>
        <v/>
      </c>
      <c r="J110" s="88"/>
      <c r="K110" s="89">
        <f t="shared" si="52"/>
        <v>0</v>
      </c>
      <c r="L110" s="88">
        <f t="shared" si="53"/>
        <v>0</v>
      </c>
      <c r="M110" s="62" t="str">
        <f t="shared" si="54"/>
        <v>Abs</v>
      </c>
      <c r="N110" s="102" t="str">
        <f t="shared" si="55"/>
        <v/>
      </c>
      <c r="O110" s="90">
        <f t="shared" si="56"/>
        <v>0.37499999999999994</v>
      </c>
      <c r="P110" s="91" t="str">
        <f>IFERROR(VLOOKUP($B110,Annuaire_roster!$B:$G,MATCH(P$1,Annuaire_roster!$B$1:$G$1,0),0),"-")</f>
        <v>Google Leads</v>
      </c>
      <c r="Q110" s="100">
        <v>44764</v>
      </c>
      <c r="R110" s="10">
        <f t="shared" si="57"/>
        <v>0.37499999999999994</v>
      </c>
      <c r="S110" s="10">
        <f t="shared" si="58"/>
        <v>0.37499999999999994</v>
      </c>
      <c r="T110" s="16" t="str">
        <f t="shared" si="59"/>
        <v>Sem - 30</v>
      </c>
      <c r="U110" s="16" t="str">
        <f t="shared" si="60"/>
        <v>Juillet</v>
      </c>
      <c r="V110" s="11" t="str">
        <f t="shared" si="61"/>
        <v>2026</v>
      </c>
      <c r="W110" s="9"/>
      <c r="X110" s="5">
        <f t="shared" si="62"/>
        <v>0</v>
      </c>
      <c r="Y110" s="12" t="str">
        <f>IFERROR(VLOOKUP(B110,Annuaire_roster!B:E,4,0),"-")</f>
        <v>OUAQERROUCH Nour-El Houda</v>
      </c>
      <c r="Z110" s="12" t="str">
        <f>IFERROR(VLOOKUP(B110,Annuaire_roster!B:F,3,0),"-")</f>
        <v>Google Leads</v>
      </c>
      <c r="AA110" s="12" t="str">
        <f>IFERROR(VLOOKUP(B110,Annuaire_roster!B:I,6,0),"-")</f>
        <v>Forfaitaire</v>
      </c>
      <c r="AB110" s="142" t="str">
        <f t="shared" si="63"/>
        <v/>
      </c>
      <c r="AC110" s="142" t="str">
        <f t="shared" si="64"/>
        <v/>
      </c>
      <c r="AD110" s="142" t="str">
        <f t="shared" si="65"/>
        <v/>
      </c>
      <c r="AE110" s="143" t="str">
        <f t="shared" si="66"/>
        <v/>
      </c>
      <c r="AF110" s="63"/>
      <c r="AG110" s="10"/>
    </row>
    <row r="111" spans="1:33" hidden="1" x14ac:dyDescent="0.2">
      <c r="A111" s="70">
        <f>VLOOKUP(B111,Annuaire_roster!B:F,5,0)</f>
        <v>1009</v>
      </c>
      <c r="B111" s="165" t="s">
        <v>91</v>
      </c>
      <c r="C111" s="61" t="str">
        <f>IFERROR(IF(COUNTIFS(Connexions!$K:$K,$Q111,Connexions!$E:$E,VLOOKUP($B111,Mapping_Noms!$A:$B,2,0))=0,"",_xlfn.MINIFS(Connexions!$M:$M,Connexions!$K:$K,$Q111,Connexions!$E:$E,VLOOKUP($B111,Mapping_Noms!$A:$B,2,0))-TIME(1,0,0)),"")</f>
        <v/>
      </c>
      <c r="D111" s="61">
        <f t="array" ref="D111">IFERROR(INDEX(Planning2[],MATCH(1,(Planning2[Nom]=B111)*(Planning2[Date]=Q111),0),3),"-")</f>
        <v>0.375</v>
      </c>
      <c r="E111" s="38" t="str">
        <f>IFERROR(IF(COUNTIFS(Connexions!$K:$K,$Q111,Connexions!$E:$E,VLOOKUP($B111,Mapping_Noms!$A:$B,2,0))=0,"",_xlfn.MAXIFS(Connexions!$O:$O,Connexions!$K:$K,$Q111,Connexions!$E:$E,VLOOKUP($B111,Mapping_Noms!$A:$B,2,0))-TIME(1,0,0)),"")</f>
        <v/>
      </c>
      <c r="F111" s="38">
        <f t="array" ref="F111">IFERROR(INDEX(Planning2[],MATCH(1,(Planning2[Nom]=B111)*(Planning2[Date]=Q111),0),4),"-")</f>
        <v>0.79166666666666663</v>
      </c>
      <c r="G111" s="88"/>
      <c r="H111" s="88"/>
      <c r="I111" s="235" t="str">
        <f t="shared" si="51"/>
        <v/>
      </c>
      <c r="J111" s="88"/>
      <c r="K111" s="89">
        <f t="shared" si="52"/>
        <v>0</v>
      </c>
      <c r="L111" s="88">
        <f t="shared" si="53"/>
        <v>0</v>
      </c>
      <c r="M111" s="62" t="str">
        <f t="shared" si="54"/>
        <v>Abs</v>
      </c>
      <c r="N111" s="102" t="str">
        <f t="shared" si="55"/>
        <v/>
      </c>
      <c r="O111" s="90">
        <f t="shared" si="56"/>
        <v>0.37499999999999994</v>
      </c>
      <c r="P111" s="91" t="str">
        <f>IFERROR(VLOOKUP($B111,Annuaire_roster!$B:$G,MATCH(P$1,Annuaire_roster!$B$1:$G$1,0),0),"-")</f>
        <v>Google Leads</v>
      </c>
      <c r="Q111" s="100">
        <v>44764</v>
      </c>
      <c r="R111" s="10">
        <f t="shared" si="57"/>
        <v>0.37499999999999994</v>
      </c>
      <c r="S111" s="10">
        <f t="shared" si="58"/>
        <v>0.37499999999999994</v>
      </c>
      <c r="T111" s="16" t="str">
        <f t="shared" si="59"/>
        <v>Sem - 30</v>
      </c>
      <c r="U111" s="16" t="str">
        <f t="shared" si="60"/>
        <v>Juillet</v>
      </c>
      <c r="V111" s="11" t="str">
        <f t="shared" si="61"/>
        <v>2026</v>
      </c>
      <c r="W111" s="9"/>
      <c r="X111" s="5">
        <f t="shared" si="62"/>
        <v>0</v>
      </c>
      <c r="Y111" s="12" t="str">
        <f>IFERROR(VLOOKUP(B111,Annuaire_roster!B:E,4,0),"-")</f>
        <v>OUAQERROUCH Nour-El Houda</v>
      </c>
      <c r="Z111" s="12" t="str">
        <f>IFERROR(VLOOKUP(B111,Annuaire_roster!B:F,3,0),"-")</f>
        <v>Google Leads</v>
      </c>
      <c r="AA111" s="12" t="str">
        <f>IFERROR(VLOOKUP(B111,Annuaire_roster!B:I,6,0),"-")</f>
        <v>Forfaitaire</v>
      </c>
      <c r="AB111" s="142" t="str">
        <f t="shared" si="63"/>
        <v/>
      </c>
      <c r="AC111" s="142" t="str">
        <f t="shared" si="64"/>
        <v/>
      </c>
      <c r="AD111" s="142" t="str">
        <f t="shared" si="65"/>
        <v/>
      </c>
      <c r="AE111" s="143" t="str">
        <f t="shared" si="66"/>
        <v/>
      </c>
      <c r="AF111" s="63"/>
      <c r="AG111" s="10"/>
    </row>
    <row r="112" spans="1:33" hidden="1" x14ac:dyDescent="0.2">
      <c r="A112" s="70">
        <f>VLOOKUP(B112,Annuaire_roster!B:F,5,0)</f>
        <v>1154</v>
      </c>
      <c r="B112" s="165" t="s">
        <v>110</v>
      </c>
      <c r="C112" s="61" t="str">
        <f>IFERROR(IF(COUNTIFS(Connexions!$K:$K,$Q112,Connexions!$E:$E,VLOOKUP($B112,Mapping_Noms!$A:$B,2,0))=0,"",_xlfn.MINIFS(Connexions!$M:$M,Connexions!$K:$K,$Q112,Connexions!$E:$E,VLOOKUP($B112,Mapping_Noms!$A:$B,2,0))-TIME(1,0,0)),"")</f>
        <v/>
      </c>
      <c r="D112" s="61">
        <f t="array" ref="D112">IFERROR(INDEX(Planning2[],MATCH(1,(Planning2[Nom]=B112)*(Planning2[Date]=Q112),0),3),"-")</f>
        <v>0.375</v>
      </c>
      <c r="E112" s="38" t="str">
        <f>IFERROR(IF(COUNTIFS(Connexions!$K:$K,$Q112,Connexions!$E:$E,VLOOKUP($B112,Mapping_Noms!$A:$B,2,0))=0,"",_xlfn.MAXIFS(Connexions!$O:$O,Connexions!$K:$K,$Q112,Connexions!$E:$E,VLOOKUP($B112,Mapping_Noms!$A:$B,2,0))-TIME(1,0,0)),"")</f>
        <v/>
      </c>
      <c r="F112" s="38">
        <f t="array" ref="F112">IFERROR(INDEX(Planning2[],MATCH(1,(Planning2[Nom]=B112)*(Planning2[Date]=Q112),0),4),"-")</f>
        <v>0.79166666666666663</v>
      </c>
      <c r="G112" s="88"/>
      <c r="H112" s="88"/>
      <c r="I112" s="235" t="str">
        <f t="shared" si="51"/>
        <v/>
      </c>
      <c r="J112" s="88"/>
      <c r="K112" s="89">
        <f t="shared" si="52"/>
        <v>0</v>
      </c>
      <c r="L112" s="88">
        <f t="shared" si="53"/>
        <v>0</v>
      </c>
      <c r="M112" s="62" t="str">
        <f t="shared" si="54"/>
        <v>Abs</v>
      </c>
      <c r="N112" s="102" t="str">
        <f t="shared" si="55"/>
        <v/>
      </c>
      <c r="O112" s="90">
        <f t="shared" si="56"/>
        <v>0.37499999999999994</v>
      </c>
      <c r="P112" s="91" t="str">
        <f>IFERROR(VLOOKUP($B112,Annuaire_roster!$B:$G,MATCH(P$1,Annuaire_roster!$B$1:$G$1,0),0),"-")</f>
        <v>Google Leads</v>
      </c>
      <c r="Q112" s="100">
        <v>44764</v>
      </c>
      <c r="R112" s="10">
        <f t="shared" si="57"/>
        <v>0.37499999999999994</v>
      </c>
      <c r="S112" s="10">
        <f t="shared" si="58"/>
        <v>0.37499999999999994</v>
      </c>
      <c r="T112" s="16" t="str">
        <f t="shared" si="59"/>
        <v>Sem - 30</v>
      </c>
      <c r="U112" s="16" t="str">
        <f t="shared" si="60"/>
        <v>Juillet</v>
      </c>
      <c r="V112" s="11" t="str">
        <f t="shared" si="61"/>
        <v>2026</v>
      </c>
      <c r="W112" s="9"/>
      <c r="X112" s="5">
        <f t="shared" si="62"/>
        <v>0</v>
      </c>
      <c r="Y112" s="12" t="str">
        <f>IFERROR(VLOOKUP(B112,Annuaire_roster!B:E,4,0),"-")</f>
        <v>CHOUIFI Mustapha</v>
      </c>
      <c r="Z112" s="12" t="str">
        <f>IFERROR(VLOOKUP(B112,Annuaire_roster!B:F,3,0),"-")</f>
        <v>Google Leads</v>
      </c>
      <c r="AA112" s="12" t="str">
        <f>IFERROR(VLOOKUP(B112,Annuaire_roster!B:I,6,0),"-")</f>
        <v>Forfaitaire</v>
      </c>
      <c r="AB112" s="142" t="str">
        <f t="shared" si="63"/>
        <v/>
      </c>
      <c r="AC112" s="142" t="str">
        <f t="shared" si="64"/>
        <v/>
      </c>
      <c r="AD112" s="142" t="str">
        <f t="shared" si="65"/>
        <v/>
      </c>
      <c r="AE112" s="143" t="str">
        <f t="shared" si="66"/>
        <v/>
      </c>
      <c r="AF112" s="63"/>
      <c r="AG112" s="10"/>
    </row>
    <row r="113" spans="1:33" hidden="1" x14ac:dyDescent="0.2">
      <c r="A113" s="70">
        <f>VLOOKUP(B113,Annuaire_roster!B:F,5,0)</f>
        <v>1170</v>
      </c>
      <c r="B113" s="165" t="s">
        <v>106</v>
      </c>
      <c r="C113" s="61" t="str">
        <f>IFERROR(IF(COUNTIFS(Connexions!$K:$K,$Q113,Connexions!$E:$E,VLOOKUP($B113,Mapping_Noms!$A:$B,2,0))=0,"",_xlfn.MINIFS(Connexions!$M:$M,Connexions!$K:$K,$Q113,Connexions!$E:$E,VLOOKUP($B113,Mapping_Noms!$A:$B,2,0))-TIME(1,0,0)),"")</f>
        <v/>
      </c>
      <c r="D113" s="61">
        <f t="array" ref="D113">IFERROR(INDEX(Planning2[],MATCH(1,(Planning2[Nom]=B113)*(Planning2[Date]=Q113),0),3),"-")</f>
        <v>0.375</v>
      </c>
      <c r="E113" s="38" t="str">
        <f>IFERROR(IF(COUNTIFS(Connexions!$K:$K,$Q113,Connexions!$E:$E,VLOOKUP($B113,Mapping_Noms!$A:$B,2,0))=0,"",_xlfn.MAXIFS(Connexions!$O:$O,Connexions!$K:$K,$Q113,Connexions!$E:$E,VLOOKUP($B113,Mapping_Noms!$A:$B,2,0))-TIME(1,0,0)),"")</f>
        <v/>
      </c>
      <c r="F113" s="38">
        <f t="array" ref="F113">IFERROR(INDEX(Planning2[],MATCH(1,(Planning2[Nom]=B113)*(Planning2[Date]=Q113),0),4),"-")</f>
        <v>0.79166666666666663</v>
      </c>
      <c r="G113" s="88"/>
      <c r="H113" s="88"/>
      <c r="I113" s="235" t="str">
        <f t="shared" si="51"/>
        <v/>
      </c>
      <c r="J113" s="88"/>
      <c r="K113" s="89">
        <f t="shared" si="52"/>
        <v>0</v>
      </c>
      <c r="L113" s="88">
        <f t="shared" si="53"/>
        <v>0</v>
      </c>
      <c r="M113" s="62" t="str">
        <f t="shared" si="54"/>
        <v>Abs</v>
      </c>
      <c r="N113" s="102" t="str">
        <f t="shared" si="55"/>
        <v/>
      </c>
      <c r="O113" s="90">
        <f t="shared" si="56"/>
        <v>0.37499999999999994</v>
      </c>
      <c r="P113" s="91" t="str">
        <f>IFERROR(VLOOKUP($B113,Annuaire_roster!$B:$G,MATCH(P$1,Annuaire_roster!$B$1:$G$1,0),0),"-")</f>
        <v>Google Leads</v>
      </c>
      <c r="Q113" s="100">
        <v>44764</v>
      </c>
      <c r="R113" s="10">
        <f t="shared" si="57"/>
        <v>0.37499999999999994</v>
      </c>
      <c r="S113" s="10">
        <f t="shared" si="58"/>
        <v>0.37499999999999994</v>
      </c>
      <c r="T113" s="16" t="str">
        <f t="shared" si="59"/>
        <v>Sem - 30</v>
      </c>
      <c r="U113" s="16" t="str">
        <f t="shared" si="60"/>
        <v>Juillet</v>
      </c>
      <c r="V113" s="11" t="str">
        <f t="shared" si="61"/>
        <v>2026</v>
      </c>
      <c r="W113" s="9"/>
      <c r="X113" s="5">
        <f t="shared" si="62"/>
        <v>0</v>
      </c>
      <c r="Y113" s="12" t="str">
        <f>IFERROR(VLOOKUP(B113,Annuaire_roster!B:E,4,0),"-")</f>
        <v>CHOUIFI Mustapha</v>
      </c>
      <c r="Z113" s="12" t="str">
        <f>IFERROR(VLOOKUP(B113,Annuaire_roster!B:F,3,0),"-")</f>
        <v>Google Leads</v>
      </c>
      <c r="AA113" s="12" t="str">
        <f>IFERROR(VLOOKUP(B113,Annuaire_roster!B:I,6,0),"-")</f>
        <v>Forfaitaire</v>
      </c>
      <c r="AB113" s="142" t="str">
        <f t="shared" si="63"/>
        <v/>
      </c>
      <c r="AC113" s="142" t="str">
        <f t="shared" si="64"/>
        <v/>
      </c>
      <c r="AD113" s="142" t="str">
        <f t="shared" si="65"/>
        <v/>
      </c>
      <c r="AE113" s="143" t="str">
        <f t="shared" si="66"/>
        <v/>
      </c>
      <c r="AF113" s="63"/>
      <c r="AG113" s="10"/>
    </row>
    <row r="114" spans="1:33" hidden="1" x14ac:dyDescent="0.2">
      <c r="A114" s="70">
        <f>VLOOKUP(B114,Annuaire_roster!B:F,5,0)</f>
        <v>1165</v>
      </c>
      <c r="B114" s="165" t="s">
        <v>120</v>
      </c>
      <c r="C114" s="61" t="str">
        <f>IFERROR(IF(COUNTIFS(Connexions!$K:$K,$Q114,Connexions!$E:$E,VLOOKUP($B114,Mapping_Noms!$A:$B,2,0))=0,"",_xlfn.MINIFS(Connexions!$M:$M,Connexions!$K:$K,$Q114,Connexions!$E:$E,VLOOKUP($B114,Mapping_Noms!$A:$B,2,0))-TIME(1,0,0)),"")</f>
        <v/>
      </c>
      <c r="D114" s="61">
        <f t="array" ref="D114">IFERROR(INDEX(Planning2[],MATCH(1,(Planning2[Nom]=B114)*(Planning2[Date]=Q114),0),3),"-")</f>
        <v>0.29166666666666669</v>
      </c>
      <c r="E114" s="38" t="str">
        <f>IFERROR(IF(COUNTIFS(Connexions!$K:$K,$Q114,Connexions!$E:$E,VLOOKUP($B114,Mapping_Noms!$A:$B,2,0))=0,"",_xlfn.MAXIFS(Connexions!$O:$O,Connexions!$K:$K,$Q114,Connexions!$E:$E,VLOOKUP($B114,Mapping_Noms!$A:$B,2,0))-TIME(1,0,0)),"")</f>
        <v/>
      </c>
      <c r="F114" s="38">
        <f t="array" ref="F114">IFERROR(INDEX(Planning2[],MATCH(1,(Planning2[Nom]=B114)*(Planning2[Date]=Q114),0),4),"-")</f>
        <v>0.70833333333333337</v>
      </c>
      <c r="G114" s="88"/>
      <c r="H114" s="88"/>
      <c r="I114" s="235" t="str">
        <f t="shared" si="51"/>
        <v/>
      </c>
      <c r="J114" s="88"/>
      <c r="K114" s="89">
        <f t="shared" si="52"/>
        <v>0</v>
      </c>
      <c r="L114" s="88">
        <f t="shared" si="53"/>
        <v>0</v>
      </c>
      <c r="M114" s="62" t="str">
        <f t="shared" si="54"/>
        <v>Abs</v>
      </c>
      <c r="N114" s="102" t="str">
        <f t="shared" si="55"/>
        <v/>
      </c>
      <c r="O114" s="90">
        <f t="shared" si="56"/>
        <v>0.375</v>
      </c>
      <c r="P114" s="91" t="str">
        <f>IFERROR(VLOOKUP($B114,Annuaire_roster!$B:$G,MATCH(P$1,Annuaire_roster!$B$1:$G$1,0),0),"-")</f>
        <v>Google Leads</v>
      </c>
      <c r="Q114" s="100">
        <v>44764</v>
      </c>
      <c r="R114" s="10">
        <f t="shared" si="57"/>
        <v>0.375</v>
      </c>
      <c r="S114" s="10">
        <f t="shared" si="58"/>
        <v>0.375</v>
      </c>
      <c r="T114" s="16" t="str">
        <f t="shared" si="59"/>
        <v>Sem - 30</v>
      </c>
      <c r="U114" s="16" t="str">
        <f t="shared" si="60"/>
        <v>Juillet</v>
      </c>
      <c r="V114" s="11" t="str">
        <f t="shared" si="61"/>
        <v>2026</v>
      </c>
      <c r="W114" s="9"/>
      <c r="X114" s="5">
        <f t="shared" si="62"/>
        <v>0</v>
      </c>
      <c r="Y114" s="12" t="str">
        <f>IFERROR(VLOOKUP(B114,Annuaire_roster!B:E,4,0),"-")</f>
        <v>OUAQERROUCH Nour-El Houda</v>
      </c>
      <c r="Z114" s="12" t="str">
        <f>IFERROR(VLOOKUP(B114,Annuaire_roster!B:F,3,0),"-")</f>
        <v>Google Leads</v>
      </c>
      <c r="AA114" s="12" t="str">
        <f>IFERROR(VLOOKUP(B114,Annuaire_roster!B:I,6,0),"-")</f>
        <v>Forfaitaire</v>
      </c>
      <c r="AB114" s="142" t="str">
        <f t="shared" si="63"/>
        <v/>
      </c>
      <c r="AC114" s="142" t="str">
        <f t="shared" si="64"/>
        <v/>
      </c>
      <c r="AD114" s="142" t="str">
        <f t="shared" si="65"/>
        <v/>
      </c>
      <c r="AE114" s="143" t="str">
        <f t="shared" si="66"/>
        <v/>
      </c>
      <c r="AF114" s="63"/>
      <c r="AG114" s="10"/>
    </row>
    <row r="115" spans="1:33" hidden="1" x14ac:dyDescent="0.2">
      <c r="A115" s="70">
        <f>VLOOKUP(B115,Annuaire_roster!B:F,5,0)</f>
        <v>0</v>
      </c>
      <c r="B115" s="165" t="s">
        <v>212</v>
      </c>
      <c r="C115" s="61" t="str">
        <f>IFERROR(IF(COUNTIFS(Connexions!$K:$K,$Q115,Connexions!$E:$E,VLOOKUP($B115,Mapping_Noms!$A:$B,2,0))=0,"",_xlfn.MINIFS(Connexions!$M:$M,Connexions!$K:$K,$Q115,Connexions!$E:$E,VLOOKUP($B115,Mapping_Noms!$A:$B,2,0))-TIME(1,0,0)),"")</f>
        <v/>
      </c>
      <c r="D115" s="61">
        <f t="array" ref="D115">IFERROR(INDEX(Planning2[],MATCH(1,(Planning2[Nom]=B115)*(Planning2[Date]=Q115),0),3),"-")</f>
        <v>0.375</v>
      </c>
      <c r="E115" s="38" t="str">
        <f>IFERROR(IF(COUNTIFS(Connexions!$K:$K,$Q115,Connexions!$E:$E,VLOOKUP($B115,Mapping_Noms!$A:$B,2,0))=0,"",_xlfn.MAXIFS(Connexions!$O:$O,Connexions!$K:$K,$Q115,Connexions!$E:$E,VLOOKUP($B115,Mapping_Noms!$A:$B,2,0))-TIME(1,0,0)),"")</f>
        <v/>
      </c>
      <c r="F115" s="38">
        <f t="array" ref="F115">IFERROR(INDEX(Planning2[],MATCH(1,(Planning2[Nom]=B115)*(Planning2[Date]=Q115),0),4),"-")</f>
        <v>0.79166666666666663</v>
      </c>
      <c r="G115" s="88"/>
      <c r="H115" s="88"/>
      <c r="I115" s="235" t="str">
        <f t="shared" si="51"/>
        <v/>
      </c>
      <c r="J115" s="88"/>
      <c r="K115" s="89">
        <f t="shared" si="52"/>
        <v>0</v>
      </c>
      <c r="L115" s="88">
        <f t="shared" si="53"/>
        <v>0</v>
      </c>
      <c r="M115" s="62" t="str">
        <f t="shared" si="54"/>
        <v>Abs</v>
      </c>
      <c r="N115" s="102" t="str">
        <f t="shared" si="55"/>
        <v/>
      </c>
      <c r="O115" s="90">
        <f t="shared" si="56"/>
        <v>0.37499999999999994</v>
      </c>
      <c r="P115" s="91" t="str">
        <f>IFERROR(VLOOKUP($B115,Annuaire_roster!$B:$G,MATCH(P$1,Annuaire_roster!$B$1:$G$1,0),0),"-")</f>
        <v>Google Leads</v>
      </c>
      <c r="Q115" s="100">
        <v>44764</v>
      </c>
      <c r="R115" s="10">
        <f t="shared" si="57"/>
        <v>0.37499999999999994</v>
      </c>
      <c r="S115" s="10">
        <f t="shared" si="58"/>
        <v>0.37499999999999994</v>
      </c>
      <c r="T115" s="16" t="str">
        <f t="shared" si="59"/>
        <v>Sem - 30</v>
      </c>
      <c r="U115" s="16" t="str">
        <f t="shared" si="60"/>
        <v>Juillet</v>
      </c>
      <c r="V115" s="11" t="str">
        <f t="shared" si="61"/>
        <v>2026</v>
      </c>
      <c r="W115" s="9"/>
      <c r="X115" s="5">
        <f t="shared" si="62"/>
        <v>0</v>
      </c>
      <c r="Y115" s="12">
        <f>IFERROR(VLOOKUP(B115,Annuaire_roster!B:E,4,0),"-")</f>
        <v>0</v>
      </c>
      <c r="Z115" s="12" t="str">
        <f>IFERROR(VLOOKUP(B115,Annuaire_roster!B:F,3,0),"-")</f>
        <v>Google Leads</v>
      </c>
      <c r="AA115" s="12">
        <f>IFERROR(VLOOKUP(B115,Annuaire_roster!B:I,6,0),"-")</f>
        <v>0</v>
      </c>
      <c r="AB115" s="142" t="str">
        <f t="shared" si="63"/>
        <v/>
      </c>
      <c r="AC115" s="142" t="str">
        <f t="shared" si="64"/>
        <v/>
      </c>
      <c r="AD115" s="142" t="str">
        <f t="shared" si="65"/>
        <v/>
      </c>
      <c r="AE115" s="143" t="str">
        <f t="shared" si="66"/>
        <v/>
      </c>
      <c r="AF115" s="63"/>
      <c r="AG115" s="10"/>
    </row>
    <row r="116" spans="1:33" hidden="1" x14ac:dyDescent="0.2">
      <c r="A116" s="70">
        <f>VLOOKUP(B116,Annuaire_roster!B:F,5,0)</f>
        <v>0</v>
      </c>
      <c r="B116" s="165" t="s">
        <v>216</v>
      </c>
      <c r="C116" s="61" t="str">
        <f>IFERROR(IF(COUNTIFS(Connexions!$K:$K,$Q116,Connexions!$E:$E,VLOOKUP($B116,Mapping_Noms!$A:$B,2,0))=0,"",_xlfn.MINIFS(Connexions!$M:$M,Connexions!$K:$K,$Q116,Connexions!$E:$E,VLOOKUP($B116,Mapping_Noms!$A:$B,2,0))-TIME(1,0,0)),"")</f>
        <v/>
      </c>
      <c r="D116" s="61" t="str">
        <f t="array" ref="D116">IFERROR(INDEX(Planning2[],MATCH(1,(Planning2[Nom]=B116)*(Planning2[Date]=Q116),0),3),"-")</f>
        <v>OFF</v>
      </c>
      <c r="E116" s="38" t="str">
        <f>IFERROR(IF(COUNTIFS(Connexions!$K:$K,$Q116,Connexions!$E:$E,VLOOKUP($B116,Mapping_Noms!$A:$B,2,0))=0,"",_xlfn.MAXIFS(Connexions!$O:$O,Connexions!$K:$K,$Q116,Connexions!$E:$E,VLOOKUP($B116,Mapping_Noms!$A:$B,2,0))-TIME(1,0,0)),"")</f>
        <v/>
      </c>
      <c r="F116" s="38" t="str">
        <f t="array" ref="F116">IFERROR(INDEX(Planning2[],MATCH(1,(Planning2[Nom]=B116)*(Planning2[Date]=Q116),0),4),"-")</f>
        <v>OFF</v>
      </c>
      <c r="G116" s="88"/>
      <c r="H116" s="88"/>
      <c r="I116" s="235" t="str">
        <f t="shared" si="51"/>
        <v/>
      </c>
      <c r="J116" s="88"/>
      <c r="K116" s="89">
        <f t="shared" si="52"/>
        <v>0</v>
      </c>
      <c r="L116" s="88">
        <f t="shared" si="53"/>
        <v>0</v>
      </c>
      <c r="M116" s="62">
        <f t="shared" si="54"/>
        <v>0</v>
      </c>
      <c r="N116" s="102" t="str">
        <f t="shared" si="55"/>
        <v/>
      </c>
      <c r="O116" s="90">
        <f t="shared" si="56"/>
        <v>0</v>
      </c>
      <c r="P116" s="91" t="str">
        <f>IFERROR(VLOOKUP($B116,Annuaire_roster!$B:$G,MATCH(P$1,Annuaire_roster!$B$1:$G$1,0),0),"-")</f>
        <v>Google Leads</v>
      </c>
      <c r="Q116" s="100">
        <v>44764</v>
      </c>
      <c r="R116" s="10">
        <f t="shared" si="57"/>
        <v>0</v>
      </c>
      <c r="S116" s="10">
        <f t="shared" si="58"/>
        <v>0</v>
      </c>
      <c r="T116" s="16" t="str">
        <f t="shared" si="59"/>
        <v>Sem - 30</v>
      </c>
      <c r="U116" s="16" t="str">
        <f t="shared" si="60"/>
        <v>Juillet</v>
      </c>
      <c r="V116" s="11" t="str">
        <f t="shared" si="61"/>
        <v>2026</v>
      </c>
      <c r="W116" s="9"/>
      <c r="X116" s="5">
        <f t="shared" si="62"/>
        <v>0</v>
      </c>
      <c r="Y116" s="12">
        <f>IFERROR(VLOOKUP(B116,Annuaire_roster!B:E,4,0),"-")</f>
        <v>0</v>
      </c>
      <c r="Z116" s="12" t="str">
        <f>IFERROR(VLOOKUP(B116,Annuaire_roster!B:F,3,0),"-")</f>
        <v>Google Leads</v>
      </c>
      <c r="AA116" s="12">
        <f>IFERROR(VLOOKUP(B116,Annuaire_roster!B:I,6,0),"-")</f>
        <v>0</v>
      </c>
      <c r="AB116" s="142" t="str">
        <f t="shared" si="63"/>
        <v/>
      </c>
      <c r="AC116" s="142" t="str">
        <f t="shared" si="64"/>
        <v/>
      </c>
      <c r="AD116" s="142" t="str">
        <f t="shared" si="65"/>
        <v/>
      </c>
      <c r="AE116" s="143" t="str">
        <f t="shared" si="66"/>
        <v/>
      </c>
      <c r="AF116" s="63"/>
      <c r="AG116" s="142"/>
    </row>
    <row r="117" spans="1:33" hidden="1" x14ac:dyDescent="0.2">
      <c r="A117" s="70">
        <f>VLOOKUP(B117,Annuaire_roster!B:F,5,0)</f>
        <v>669</v>
      </c>
      <c r="B117" s="165" t="s">
        <v>45</v>
      </c>
      <c r="C117" s="61" t="str">
        <f>IFERROR(IF(COUNTIFS(Connexions!$K:$K,$Q117,Connexions!$E:$E,VLOOKUP($B117,Mapping_Noms!$A:$B,2,0))=0,"",_xlfn.MINIFS(Connexions!$M:$M,Connexions!$K:$K,$Q117,Connexions!$E:$E,VLOOKUP($B117,Mapping_Noms!$A:$B,2,0))-TIME(1,0,0)),"")</f>
        <v/>
      </c>
      <c r="D117" s="61" t="str">
        <f t="array" ref="D117">IFERROR(INDEX(Planning2[],MATCH(1,(Planning2[Nom]=B117)*(Planning2[Date]=Q117),0),3),"-")</f>
        <v>OFF</v>
      </c>
      <c r="E117" s="38" t="str">
        <f>IFERROR(IF(COUNTIFS(Connexions!$K:$K,$Q117,Connexions!$E:$E,VLOOKUP($B117,Mapping_Noms!$A:$B,2,0))=0,"",_xlfn.MAXIFS(Connexions!$O:$O,Connexions!$K:$K,$Q117,Connexions!$E:$E,VLOOKUP($B117,Mapping_Noms!$A:$B,2,0))-TIME(1,0,0)),"")</f>
        <v/>
      </c>
      <c r="F117" s="38" t="str">
        <f t="array" ref="F117">IFERROR(INDEX(Planning2[],MATCH(1,(Planning2[Nom]=B117)*(Planning2[Date]=Q117),0),4),"-")</f>
        <v>OFF</v>
      </c>
      <c r="G117" s="88"/>
      <c r="H117" s="88"/>
      <c r="I117" s="235" t="str">
        <f t="shared" si="51"/>
        <v/>
      </c>
      <c r="J117" s="88"/>
      <c r="K117" s="89">
        <f t="shared" si="52"/>
        <v>0</v>
      </c>
      <c r="L117" s="88">
        <f t="shared" si="53"/>
        <v>0</v>
      </c>
      <c r="M117" s="62">
        <f t="shared" si="54"/>
        <v>0</v>
      </c>
      <c r="N117" s="102" t="str">
        <f t="shared" si="55"/>
        <v/>
      </c>
      <c r="O117" s="90">
        <f t="shared" si="56"/>
        <v>0</v>
      </c>
      <c r="P117" s="91" t="str">
        <f>IFERROR(VLOOKUP($B117,Annuaire_roster!$B:$G,MATCH(P$1,Annuaire_roster!$B$1:$G$1,0),0),"-")</f>
        <v>Google Leads</v>
      </c>
      <c r="Q117" s="100">
        <v>44764</v>
      </c>
      <c r="R117" s="10">
        <f t="shared" si="57"/>
        <v>0</v>
      </c>
      <c r="S117" s="10">
        <f t="shared" si="58"/>
        <v>0</v>
      </c>
      <c r="T117" s="16" t="str">
        <f t="shared" si="59"/>
        <v>Sem - 30</v>
      </c>
      <c r="U117" s="16" t="str">
        <f t="shared" si="60"/>
        <v>Juillet</v>
      </c>
      <c r="V117" s="11" t="str">
        <f t="shared" si="61"/>
        <v>2026</v>
      </c>
      <c r="W117" s="9"/>
      <c r="X117" s="5">
        <f t="shared" si="62"/>
        <v>0</v>
      </c>
      <c r="Y117" s="12" t="str">
        <f>IFERROR(VLOOKUP(B117,Annuaire_roster!B:E,4,0),"-")</f>
        <v>CHOUIFI Mustapha</v>
      </c>
      <c r="Z117" s="12" t="str">
        <f>IFERROR(VLOOKUP(B117,Annuaire_roster!B:F,3,0),"-")</f>
        <v>Google Leads</v>
      </c>
      <c r="AA117" s="12" t="str">
        <f>IFERROR(VLOOKUP(B117,Annuaire_roster!B:I,6,0),"-")</f>
        <v>Forfaitaire</v>
      </c>
      <c r="AB117" s="142" t="str">
        <f t="shared" si="63"/>
        <v/>
      </c>
      <c r="AC117" s="142" t="str">
        <f t="shared" si="64"/>
        <v/>
      </c>
      <c r="AD117" s="142" t="str">
        <f t="shared" si="65"/>
        <v/>
      </c>
      <c r="AE117" s="143" t="str">
        <f t="shared" si="66"/>
        <v/>
      </c>
      <c r="AF117" s="63"/>
      <c r="AG117" s="10"/>
    </row>
    <row r="118" spans="1:33" hidden="1" x14ac:dyDescent="0.2">
      <c r="A118" s="70">
        <f>VLOOKUP(B118,Annuaire_roster!B:F,5,0)</f>
        <v>0</v>
      </c>
      <c r="B118" s="165" t="s">
        <v>197</v>
      </c>
      <c r="C118" s="61" t="str">
        <f>IFERROR(IF(COUNTIFS(Connexions!$K:$K,$Q118,Connexions!$E:$E,VLOOKUP($B118,Mapping_Noms!$A:$B,2,0))=0,"",_xlfn.MINIFS(Connexions!$M:$M,Connexions!$K:$K,$Q118,Connexions!$E:$E,VLOOKUP($B118,Mapping_Noms!$A:$B,2,0))-TIME(1,0,0)),"")</f>
        <v/>
      </c>
      <c r="D118" s="61" t="str">
        <f t="array" ref="D118">IFERROR(INDEX(Planning2[],MATCH(1,(Planning2[Nom]=B118)*(Planning2[Date]=Q118),0),3),"-")</f>
        <v>OFF</v>
      </c>
      <c r="E118" s="38" t="str">
        <f>IFERROR(IF(COUNTIFS(Connexions!$K:$K,$Q118,Connexions!$E:$E,VLOOKUP($B118,Mapping_Noms!$A:$B,2,0))=0,"",_xlfn.MAXIFS(Connexions!$O:$O,Connexions!$K:$K,$Q118,Connexions!$E:$E,VLOOKUP($B118,Mapping_Noms!$A:$B,2,0))-TIME(1,0,0)),"")</f>
        <v/>
      </c>
      <c r="F118" s="38" t="str">
        <f t="array" ref="F118">IFERROR(INDEX(Planning2[],MATCH(1,(Planning2[Nom]=B118)*(Planning2[Date]=Q118),0),4),"-")</f>
        <v>OFF</v>
      </c>
      <c r="G118" s="88"/>
      <c r="H118" s="88"/>
      <c r="I118" s="235" t="str">
        <f t="shared" si="51"/>
        <v/>
      </c>
      <c r="J118" s="88"/>
      <c r="K118" s="89">
        <f t="shared" si="52"/>
        <v>0</v>
      </c>
      <c r="L118" s="88">
        <f t="shared" si="53"/>
        <v>0</v>
      </c>
      <c r="M118" s="62">
        <f t="shared" si="54"/>
        <v>0</v>
      </c>
      <c r="N118" s="102" t="str">
        <f t="shared" si="55"/>
        <v/>
      </c>
      <c r="O118" s="90">
        <f t="shared" si="56"/>
        <v>0</v>
      </c>
      <c r="P118" s="91" t="str">
        <f>IFERROR(VLOOKUP($B118,Annuaire_roster!$B:$G,MATCH(P$1,Annuaire_roster!$B$1:$G$1,0),0),"-")</f>
        <v>Google Leads</v>
      </c>
      <c r="Q118" s="100">
        <v>44764</v>
      </c>
      <c r="R118" s="10">
        <f t="shared" si="57"/>
        <v>0</v>
      </c>
      <c r="S118" s="10">
        <f t="shared" si="58"/>
        <v>0</v>
      </c>
      <c r="T118" s="16" t="str">
        <f t="shared" si="59"/>
        <v>Sem - 30</v>
      </c>
      <c r="U118" s="16" t="str">
        <f t="shared" si="60"/>
        <v>Juillet</v>
      </c>
      <c r="V118" s="11" t="str">
        <f t="shared" si="61"/>
        <v>2026</v>
      </c>
      <c r="W118" s="9"/>
      <c r="X118" s="5">
        <f t="shared" si="62"/>
        <v>0</v>
      </c>
      <c r="Y118" s="12">
        <f>IFERROR(VLOOKUP(B118,Annuaire_roster!B:E,4,0),"-")</f>
        <v>0</v>
      </c>
      <c r="Z118" s="12" t="str">
        <f>IFERROR(VLOOKUP(B118,Annuaire_roster!B:F,3,0),"-")</f>
        <v>Google Leads</v>
      </c>
      <c r="AA118" s="12">
        <f>IFERROR(VLOOKUP(B118,Annuaire_roster!B:I,6,0),"-")</f>
        <v>0</v>
      </c>
      <c r="AB118" s="142" t="str">
        <f t="shared" si="63"/>
        <v/>
      </c>
      <c r="AC118" s="142" t="str">
        <f t="shared" si="64"/>
        <v/>
      </c>
      <c r="AD118" s="142" t="str">
        <f t="shared" si="65"/>
        <v/>
      </c>
      <c r="AE118" s="143" t="str">
        <f t="shared" si="66"/>
        <v/>
      </c>
      <c r="AF118" s="63"/>
      <c r="AG118" s="10"/>
    </row>
    <row r="119" spans="1:33" hidden="1" x14ac:dyDescent="0.2">
      <c r="A119" s="70">
        <f>VLOOKUP(B119,Annuaire_roster!B:F,5,0)</f>
        <v>1131</v>
      </c>
      <c r="B119" s="165" t="s">
        <v>214</v>
      </c>
      <c r="C119" s="61" t="str">
        <f>IFERROR(IF(COUNTIFS(Connexions!$K:$K,$Q119,Connexions!$E:$E,VLOOKUP($B119,Mapping_Noms!$A:$B,2,0))=0,"",_xlfn.MINIFS(Connexions!$M:$M,Connexions!$K:$K,$Q119,Connexions!$E:$E,VLOOKUP($B119,Mapping_Noms!$A:$B,2,0))-TIME(1,0,0)),"")</f>
        <v/>
      </c>
      <c r="D119" s="61">
        <f t="array" ref="D119">IFERROR(INDEX(Planning2[],MATCH(1,(Planning2[Nom]=B119)*(Planning2[Date]=Q119),0),3),"-")</f>
        <v>0.29166666666666669</v>
      </c>
      <c r="E119" s="38" t="str">
        <f>IFERROR(IF(COUNTIFS(Connexions!$K:$K,$Q119,Connexions!$E:$E,VLOOKUP($B119,Mapping_Noms!$A:$B,2,0))=0,"",_xlfn.MAXIFS(Connexions!$O:$O,Connexions!$K:$K,$Q119,Connexions!$E:$E,VLOOKUP($B119,Mapping_Noms!$A:$B,2,0))-TIME(1,0,0)),"")</f>
        <v/>
      </c>
      <c r="F119" s="38">
        <f t="array" ref="F119">IFERROR(INDEX(Planning2[],MATCH(1,(Planning2[Nom]=B119)*(Planning2[Date]=Q119),0),4),"-")</f>
        <v>0.70833333333333337</v>
      </c>
      <c r="G119" s="88"/>
      <c r="H119" s="88"/>
      <c r="I119" s="235" t="str">
        <f t="shared" si="51"/>
        <v/>
      </c>
      <c r="J119" s="88"/>
      <c r="K119" s="89">
        <f t="shared" si="52"/>
        <v>0</v>
      </c>
      <c r="L119" s="88">
        <f t="shared" si="53"/>
        <v>0</v>
      </c>
      <c r="M119" s="62" t="str">
        <f t="shared" si="54"/>
        <v>Abs</v>
      </c>
      <c r="N119" s="102" t="str">
        <f t="shared" si="55"/>
        <v/>
      </c>
      <c r="O119" s="90">
        <f t="shared" si="56"/>
        <v>0.375</v>
      </c>
      <c r="P119" s="91" t="str">
        <f>IFERROR(VLOOKUP($B119,Annuaire_roster!$B:$G,MATCH(P$1,Annuaire_roster!$B$1:$G$1,0),0),"-")</f>
        <v>Google Leads</v>
      </c>
      <c r="Q119" s="100">
        <v>44764</v>
      </c>
      <c r="R119" s="10">
        <f t="shared" si="57"/>
        <v>0.375</v>
      </c>
      <c r="S119" s="10">
        <f t="shared" si="58"/>
        <v>0.375</v>
      </c>
      <c r="T119" s="16" t="str">
        <f t="shared" si="59"/>
        <v>Sem - 30</v>
      </c>
      <c r="U119" s="16" t="str">
        <f t="shared" si="60"/>
        <v>Juillet</v>
      </c>
      <c r="V119" s="11" t="str">
        <f t="shared" si="61"/>
        <v>2026</v>
      </c>
      <c r="W119" s="9"/>
      <c r="X119" s="5">
        <f t="shared" si="62"/>
        <v>0</v>
      </c>
      <c r="Y119" s="12" t="str">
        <f>IFERROR(VLOOKUP(B119,Annuaire_roster!B:E,4,0),"-")</f>
        <v>CHOUIFI Mustapha</v>
      </c>
      <c r="Z119" s="12" t="str">
        <f>IFERROR(VLOOKUP(B119,Annuaire_roster!B:F,3,0),"-")</f>
        <v>Google Leads</v>
      </c>
      <c r="AA119" s="12" t="str">
        <f>IFERROR(VLOOKUP(B119,Annuaire_roster!B:I,6,0),"-")</f>
        <v>Forfaitaire</v>
      </c>
      <c r="AB119" s="142" t="str">
        <f t="shared" si="63"/>
        <v/>
      </c>
      <c r="AC119" s="142" t="str">
        <f t="shared" si="64"/>
        <v/>
      </c>
      <c r="AD119" s="142" t="str">
        <f t="shared" si="65"/>
        <v/>
      </c>
      <c r="AE119" s="143" t="str">
        <f t="shared" si="66"/>
        <v/>
      </c>
      <c r="AF119" s="63"/>
      <c r="AG119" s="10"/>
    </row>
    <row r="120" spans="1:33" hidden="1" x14ac:dyDescent="0.2">
      <c r="A120" s="70">
        <f>VLOOKUP(B120,Annuaire_roster!B:F,5,0)</f>
        <v>0</v>
      </c>
      <c r="B120" s="165" t="s">
        <v>223</v>
      </c>
      <c r="C120" s="61" t="str">
        <f>IFERROR(IF(COUNTIFS(Connexions!$K:$K,$Q120,Connexions!$E:$E,VLOOKUP($B120,Mapping_Noms!$A:$B,2,0))=0,"",_xlfn.MINIFS(Connexions!$M:$M,Connexions!$K:$K,$Q120,Connexions!$E:$E,VLOOKUP($B120,Mapping_Noms!$A:$B,2,0))-TIME(1,0,0)),"")</f>
        <v/>
      </c>
      <c r="D120" s="61">
        <f t="array" ref="D120">IFERROR(INDEX(Planning2[],MATCH(1,(Planning2[Nom]=B120)*(Planning2[Date]=Q120),0),3),"-")</f>
        <v>0.41666666666666669</v>
      </c>
      <c r="E120" s="38" t="str">
        <f>IFERROR(IF(COUNTIFS(Connexions!$K:$K,$Q120,Connexions!$E:$E,VLOOKUP($B120,Mapping_Noms!$A:$B,2,0))=0,"",_xlfn.MAXIFS(Connexions!$O:$O,Connexions!$K:$K,$Q120,Connexions!$E:$E,VLOOKUP($B120,Mapping_Noms!$A:$B,2,0))-TIME(1,0,0)),"")</f>
        <v/>
      </c>
      <c r="F120" s="38">
        <f t="array" ref="F120">IFERROR(INDEX(Planning2[],MATCH(1,(Planning2[Nom]=B120)*(Planning2[Date]=Q120),0),4),"-")</f>
        <v>0.83333333333333337</v>
      </c>
      <c r="G120" s="88"/>
      <c r="H120" s="88"/>
      <c r="I120" s="235" t="str">
        <f t="shared" si="51"/>
        <v/>
      </c>
      <c r="J120" s="88"/>
      <c r="K120" s="89">
        <f t="shared" si="52"/>
        <v>0</v>
      </c>
      <c r="L120" s="88">
        <f t="shared" si="53"/>
        <v>0</v>
      </c>
      <c r="M120" s="62" t="str">
        <f t="shared" si="54"/>
        <v>Abs</v>
      </c>
      <c r="N120" s="102" t="str">
        <f t="shared" si="55"/>
        <v/>
      </c>
      <c r="O120" s="90">
        <f t="shared" si="56"/>
        <v>0.375</v>
      </c>
      <c r="P120" s="91" t="str">
        <f>IFERROR(VLOOKUP($B120,Annuaire_roster!$B:$G,MATCH(P$1,Annuaire_roster!$B$1:$G$1,0),0),"-")</f>
        <v>Google Leads</v>
      </c>
      <c r="Q120" s="100">
        <v>44764</v>
      </c>
      <c r="R120" s="10">
        <f t="shared" si="57"/>
        <v>0.375</v>
      </c>
      <c r="S120" s="10">
        <f t="shared" si="58"/>
        <v>0.375</v>
      </c>
      <c r="T120" s="16" t="str">
        <f t="shared" si="59"/>
        <v>Sem - 30</v>
      </c>
      <c r="U120" s="16" t="str">
        <f t="shared" si="60"/>
        <v>Juillet</v>
      </c>
      <c r="V120" s="11" t="str">
        <f t="shared" si="61"/>
        <v>2026</v>
      </c>
      <c r="W120" s="9"/>
      <c r="X120" s="5">
        <f t="shared" si="62"/>
        <v>0</v>
      </c>
      <c r="Y120" s="12">
        <f>IFERROR(VLOOKUP(B120,Annuaire_roster!B:E,4,0),"-")</f>
        <v>0</v>
      </c>
      <c r="Z120" s="12" t="str">
        <f>IFERROR(VLOOKUP(B120,Annuaire_roster!B:F,3,0),"-")</f>
        <v>Google Leads</v>
      </c>
      <c r="AA120" s="12">
        <f>IFERROR(VLOOKUP(B120,Annuaire_roster!B:I,6,0),"-")</f>
        <v>0</v>
      </c>
      <c r="AB120" s="142" t="str">
        <f t="shared" si="63"/>
        <v/>
      </c>
      <c r="AC120" s="142" t="str">
        <f t="shared" si="64"/>
        <v/>
      </c>
      <c r="AD120" s="142" t="str">
        <f t="shared" si="65"/>
        <v/>
      </c>
      <c r="AE120" s="143" t="str">
        <f t="shared" si="66"/>
        <v/>
      </c>
      <c r="AF120" s="63"/>
      <c r="AG120" s="10"/>
    </row>
    <row r="121" spans="1:33" hidden="1" x14ac:dyDescent="0.2">
      <c r="A121" s="70">
        <f>VLOOKUP(B121,Annuaire_roster!B:F,5,0)</f>
        <v>971</v>
      </c>
      <c r="B121" s="165" t="s">
        <v>83</v>
      </c>
      <c r="C121" s="61" t="str">
        <f>IFERROR(IF(COUNTIFS(Connexions!$K:$K,$Q121,Connexions!$E:$E,VLOOKUP($B121,Mapping_Noms!$A:$B,2,0))=0,"",_xlfn.MINIFS(Connexions!$M:$M,Connexions!$K:$K,$Q121,Connexions!$E:$E,VLOOKUP($B121,Mapping_Noms!$A:$B,2,0))-TIME(1,0,0)),"")</f>
        <v/>
      </c>
      <c r="D121" s="61">
        <f t="array" ref="D121">IFERROR(INDEX(Planning2[],MATCH(1,(Planning2[Nom]=B121)*(Planning2[Date]=Q121),0),3),"-")</f>
        <v>0.41666666666666669</v>
      </c>
      <c r="E121" s="38" t="str">
        <f>IFERROR(IF(COUNTIFS(Connexions!$K:$K,$Q121,Connexions!$E:$E,VLOOKUP($B121,Mapping_Noms!$A:$B,2,0))=0,"",_xlfn.MAXIFS(Connexions!$O:$O,Connexions!$K:$K,$Q121,Connexions!$E:$E,VLOOKUP($B121,Mapping_Noms!$A:$B,2,0))-TIME(1,0,0)),"")</f>
        <v/>
      </c>
      <c r="F121" s="38">
        <f t="array" ref="F121">IFERROR(INDEX(Planning2[],MATCH(1,(Planning2[Nom]=B121)*(Planning2[Date]=Q121),0),4),"-")</f>
        <v>0.83333333333333337</v>
      </c>
      <c r="G121" s="88"/>
      <c r="H121" s="88"/>
      <c r="I121" s="235" t="str">
        <f t="shared" si="51"/>
        <v/>
      </c>
      <c r="J121" s="88"/>
      <c r="K121" s="89">
        <f t="shared" si="52"/>
        <v>0</v>
      </c>
      <c r="L121" s="88">
        <f t="shared" si="53"/>
        <v>0</v>
      </c>
      <c r="M121" s="62" t="str">
        <f t="shared" si="54"/>
        <v>Abs</v>
      </c>
      <c r="N121" s="102" t="str">
        <f t="shared" si="55"/>
        <v/>
      </c>
      <c r="O121" s="90">
        <f t="shared" si="56"/>
        <v>0.375</v>
      </c>
      <c r="P121" s="91" t="str">
        <f>IFERROR(VLOOKUP($B121,Annuaire_roster!$B:$G,MATCH(P$1,Annuaire_roster!$B$1:$G$1,0),0),"-")</f>
        <v>Google Leads</v>
      </c>
      <c r="Q121" s="100">
        <v>44764</v>
      </c>
      <c r="R121" s="10">
        <f t="shared" si="57"/>
        <v>0.375</v>
      </c>
      <c r="S121" s="10">
        <f t="shared" si="58"/>
        <v>0.375</v>
      </c>
      <c r="T121" s="16" t="str">
        <f t="shared" si="59"/>
        <v>Sem - 30</v>
      </c>
      <c r="U121" s="16" t="str">
        <f t="shared" si="60"/>
        <v>Juillet</v>
      </c>
      <c r="V121" s="11" t="str">
        <f t="shared" si="61"/>
        <v>2026</v>
      </c>
      <c r="W121" s="9"/>
      <c r="X121" s="5">
        <f t="shared" si="62"/>
        <v>0</v>
      </c>
      <c r="Y121" s="12" t="str">
        <f>IFERROR(VLOOKUP(B121,Annuaire_roster!B:E,4,0),"-")</f>
        <v>CHOUIFI Mustapha</v>
      </c>
      <c r="Z121" s="12" t="str">
        <f>IFERROR(VLOOKUP(B121,Annuaire_roster!B:F,3,0),"-")</f>
        <v>Google Leads</v>
      </c>
      <c r="AA121" s="12" t="str">
        <f>IFERROR(VLOOKUP(B121,Annuaire_roster!B:I,6,0),"-")</f>
        <v>Forfaitaire</v>
      </c>
      <c r="AB121" s="142" t="str">
        <f t="shared" si="63"/>
        <v/>
      </c>
      <c r="AC121" s="142" t="str">
        <f t="shared" si="64"/>
        <v/>
      </c>
      <c r="AD121" s="142" t="str">
        <f t="shared" si="65"/>
        <v/>
      </c>
      <c r="AE121" s="143" t="str">
        <f t="shared" si="66"/>
        <v/>
      </c>
      <c r="AF121" s="63"/>
      <c r="AG121" s="10"/>
    </row>
    <row r="122" spans="1:33" hidden="1" x14ac:dyDescent="0.2">
      <c r="A122" s="70">
        <f>VLOOKUP(B122,Annuaire_roster!B:F,5,0)</f>
        <v>0</v>
      </c>
      <c r="B122" s="165" t="s">
        <v>217</v>
      </c>
      <c r="C122" s="61" t="str">
        <f>IFERROR(IF(COUNTIFS(Connexions!$K:$K,$Q122,Connexions!$E:$E,VLOOKUP($B122,Mapping_Noms!$A:$B,2,0))=0,"",_xlfn.MINIFS(Connexions!$M:$M,Connexions!$K:$K,$Q122,Connexions!$E:$E,VLOOKUP($B122,Mapping_Noms!$A:$B,2,0))-TIME(1,0,0)),"")</f>
        <v/>
      </c>
      <c r="D122" s="61" t="str">
        <f t="array" ref="D122">IFERROR(INDEX(Planning2[],MATCH(1,(Planning2[Nom]=B122)*(Planning2[Date]=Q122),0),3),"-")</f>
        <v>OFF</v>
      </c>
      <c r="E122" s="38" t="str">
        <f>IFERROR(IF(COUNTIFS(Connexions!$K:$K,$Q122,Connexions!$E:$E,VLOOKUP($B122,Mapping_Noms!$A:$B,2,0))=0,"",_xlfn.MAXIFS(Connexions!$O:$O,Connexions!$K:$K,$Q122,Connexions!$E:$E,VLOOKUP($B122,Mapping_Noms!$A:$B,2,0))-TIME(1,0,0)),"")</f>
        <v/>
      </c>
      <c r="F122" s="38" t="str">
        <f t="array" ref="F122">IFERROR(INDEX(Planning2[],MATCH(1,(Planning2[Nom]=B122)*(Planning2[Date]=Q122),0),4),"-")</f>
        <v>OFF</v>
      </c>
      <c r="G122" s="88"/>
      <c r="H122" s="88"/>
      <c r="I122" s="235" t="str">
        <f t="shared" si="51"/>
        <v/>
      </c>
      <c r="J122" s="88"/>
      <c r="K122" s="89">
        <f t="shared" si="52"/>
        <v>0</v>
      </c>
      <c r="L122" s="88">
        <f t="shared" si="53"/>
        <v>0</v>
      </c>
      <c r="M122" s="62">
        <f t="shared" si="54"/>
        <v>0</v>
      </c>
      <c r="N122" s="102" t="str">
        <f t="shared" si="55"/>
        <v/>
      </c>
      <c r="O122" s="90">
        <f t="shared" si="56"/>
        <v>0</v>
      </c>
      <c r="P122" s="91" t="str">
        <f>IFERROR(VLOOKUP($B122,Annuaire_roster!$B:$G,MATCH(P$1,Annuaire_roster!$B$1:$G$1,0),0),"-")</f>
        <v>Google Leads</v>
      </c>
      <c r="Q122" s="100">
        <v>44764</v>
      </c>
      <c r="R122" s="10">
        <f t="shared" si="57"/>
        <v>0</v>
      </c>
      <c r="S122" s="10">
        <f t="shared" si="58"/>
        <v>0</v>
      </c>
      <c r="T122" s="16" t="str">
        <f t="shared" si="59"/>
        <v>Sem - 30</v>
      </c>
      <c r="U122" s="16" t="str">
        <f t="shared" si="60"/>
        <v>Juillet</v>
      </c>
      <c r="V122" s="11" t="str">
        <f t="shared" si="61"/>
        <v>2026</v>
      </c>
      <c r="W122" s="9"/>
      <c r="X122" s="5">
        <f t="shared" si="62"/>
        <v>0</v>
      </c>
      <c r="Y122" s="12">
        <f>IFERROR(VLOOKUP(B122,Annuaire_roster!B:E,4,0),"-")</f>
        <v>0</v>
      </c>
      <c r="Z122" s="12" t="str">
        <f>IFERROR(VLOOKUP(B122,Annuaire_roster!B:F,3,0),"-")</f>
        <v>Google Leads</v>
      </c>
      <c r="AA122" s="12">
        <f>IFERROR(VLOOKUP(B122,Annuaire_roster!B:I,6,0),"-")</f>
        <v>0</v>
      </c>
      <c r="AB122" s="142" t="str">
        <f t="shared" si="63"/>
        <v/>
      </c>
      <c r="AC122" s="142" t="str">
        <f t="shared" si="64"/>
        <v/>
      </c>
      <c r="AD122" s="142" t="str">
        <f t="shared" si="65"/>
        <v/>
      </c>
      <c r="AE122" s="143" t="str">
        <f t="shared" si="66"/>
        <v/>
      </c>
      <c r="AF122" s="63"/>
      <c r="AG122" s="10"/>
    </row>
    <row r="123" spans="1:33" hidden="1" x14ac:dyDescent="0.2">
      <c r="A123" s="70">
        <f>VLOOKUP(B123,Annuaire_roster!B:F,5,0)</f>
        <v>0</v>
      </c>
      <c r="B123" s="165" t="s">
        <v>219</v>
      </c>
      <c r="C123" s="61" t="str">
        <f>IFERROR(IF(COUNTIFS(Connexions!$K:$K,$Q123,Connexions!$E:$E,VLOOKUP($B123,Mapping_Noms!$A:$B,2,0))=0,"",_xlfn.MINIFS(Connexions!$M:$M,Connexions!$K:$K,$Q123,Connexions!$E:$E,VLOOKUP($B123,Mapping_Noms!$A:$B,2,0))-TIME(1,0,0)),"")</f>
        <v/>
      </c>
      <c r="D123" s="61">
        <f t="array" ref="D123">IFERROR(INDEX(Planning2[],MATCH(1,(Planning2[Nom]=B123)*(Planning2[Date]=Q123),0),3),"-")</f>
        <v>0.29166666666666669</v>
      </c>
      <c r="E123" s="38" t="str">
        <f>IFERROR(IF(COUNTIFS(Connexions!$K:$K,$Q123,Connexions!$E:$E,VLOOKUP($B123,Mapping_Noms!$A:$B,2,0))=0,"",_xlfn.MAXIFS(Connexions!$O:$O,Connexions!$K:$K,$Q123,Connexions!$E:$E,VLOOKUP($B123,Mapping_Noms!$A:$B,2,0))-TIME(1,0,0)),"")</f>
        <v/>
      </c>
      <c r="F123" s="38">
        <f t="array" ref="F123">IFERROR(INDEX(Planning2[],MATCH(1,(Planning2[Nom]=B123)*(Planning2[Date]=Q123),0),4),"-")</f>
        <v>0.70833333333333337</v>
      </c>
      <c r="G123" s="88"/>
      <c r="H123" s="88"/>
      <c r="I123" s="235" t="str">
        <f t="shared" si="51"/>
        <v/>
      </c>
      <c r="J123" s="88"/>
      <c r="K123" s="89">
        <f t="shared" si="52"/>
        <v>0</v>
      </c>
      <c r="L123" s="88">
        <f t="shared" si="53"/>
        <v>0</v>
      </c>
      <c r="M123" s="62" t="str">
        <f t="shared" si="54"/>
        <v>Abs</v>
      </c>
      <c r="N123" s="102" t="str">
        <f t="shared" si="55"/>
        <v/>
      </c>
      <c r="O123" s="90">
        <f t="shared" si="56"/>
        <v>0.375</v>
      </c>
      <c r="P123" s="91" t="str">
        <f>IFERROR(VLOOKUP($B123,Annuaire_roster!$B:$G,MATCH(P$1,Annuaire_roster!$B$1:$G$1,0),0),"-")</f>
        <v>Google Leads</v>
      </c>
      <c r="Q123" s="100">
        <v>44764</v>
      </c>
      <c r="R123" s="10">
        <f t="shared" si="57"/>
        <v>0.375</v>
      </c>
      <c r="S123" s="10">
        <f t="shared" si="58"/>
        <v>0.375</v>
      </c>
      <c r="T123" s="16" t="str">
        <f t="shared" si="59"/>
        <v>Sem - 30</v>
      </c>
      <c r="U123" s="16" t="str">
        <f t="shared" si="60"/>
        <v>Juillet</v>
      </c>
      <c r="V123" s="11" t="str">
        <f t="shared" si="61"/>
        <v>2026</v>
      </c>
      <c r="W123" s="9"/>
      <c r="X123" s="5">
        <f t="shared" si="62"/>
        <v>0</v>
      </c>
      <c r="Y123" s="12">
        <f>IFERROR(VLOOKUP(B123,Annuaire_roster!B:E,4,0),"-")</f>
        <v>0</v>
      </c>
      <c r="Z123" s="12" t="str">
        <f>IFERROR(VLOOKUP(B123,Annuaire_roster!B:F,3,0),"-")</f>
        <v>Google Leads</v>
      </c>
      <c r="AA123" s="12">
        <f>IFERROR(VLOOKUP(B123,Annuaire_roster!B:I,6,0),"-")</f>
        <v>0</v>
      </c>
      <c r="AB123" s="142" t="str">
        <f t="shared" si="63"/>
        <v/>
      </c>
      <c r="AC123" s="142" t="str">
        <f t="shared" si="64"/>
        <v/>
      </c>
      <c r="AD123" s="142" t="str">
        <f t="shared" si="65"/>
        <v/>
      </c>
      <c r="AE123" s="143" t="str">
        <f t="shared" si="66"/>
        <v/>
      </c>
      <c r="AF123" s="63"/>
      <c r="AG123" s="10"/>
    </row>
    <row r="124" spans="1:33" hidden="1" x14ac:dyDescent="0.2">
      <c r="A124" s="70">
        <f>VLOOKUP(B124,Annuaire_roster!B:F,5,0)</f>
        <v>0</v>
      </c>
      <c r="B124" s="165" t="s">
        <v>220</v>
      </c>
      <c r="C124" s="61" t="str">
        <f>IFERROR(IF(COUNTIFS(Connexions!$K:$K,$Q124,Connexions!$E:$E,VLOOKUP($B124,Mapping_Noms!$A:$B,2,0))=0,"",_xlfn.MINIFS(Connexions!$M:$M,Connexions!$K:$K,$Q124,Connexions!$E:$E,VLOOKUP($B124,Mapping_Noms!$A:$B,2,0))-TIME(1,0,0)),"")</f>
        <v/>
      </c>
      <c r="D124" s="61">
        <f t="array" ref="D124">IFERROR(INDEX(Planning2[],MATCH(1,(Planning2[Nom]=B124)*(Planning2[Date]=Q124),0),3),"-")</f>
        <v>0.41666666666666669</v>
      </c>
      <c r="E124" s="38" t="str">
        <f>IFERROR(IF(COUNTIFS(Connexions!$K:$K,$Q124,Connexions!$E:$E,VLOOKUP($B124,Mapping_Noms!$A:$B,2,0))=0,"",_xlfn.MAXIFS(Connexions!$O:$O,Connexions!$K:$K,$Q124,Connexions!$E:$E,VLOOKUP($B124,Mapping_Noms!$A:$B,2,0))-TIME(1,0,0)),"")</f>
        <v/>
      </c>
      <c r="F124" s="38">
        <f t="array" ref="F124">IFERROR(INDEX(Planning2[],MATCH(1,(Planning2[Nom]=B124)*(Planning2[Date]=Q124),0),4),"-")</f>
        <v>0.83333333333333337</v>
      </c>
      <c r="G124" s="88"/>
      <c r="H124" s="88"/>
      <c r="I124" s="235" t="str">
        <f t="shared" si="51"/>
        <v/>
      </c>
      <c r="J124" s="88"/>
      <c r="K124" s="89">
        <f t="shared" si="52"/>
        <v>0</v>
      </c>
      <c r="L124" s="88">
        <f t="shared" si="53"/>
        <v>0</v>
      </c>
      <c r="M124" s="62" t="str">
        <f t="shared" si="54"/>
        <v>Abs</v>
      </c>
      <c r="N124" s="102" t="str">
        <f t="shared" si="55"/>
        <v/>
      </c>
      <c r="O124" s="90">
        <f t="shared" si="56"/>
        <v>0.375</v>
      </c>
      <c r="P124" s="91" t="str">
        <f>IFERROR(VLOOKUP($B124,Annuaire_roster!$B:$G,MATCH(P$1,Annuaire_roster!$B$1:$G$1,0),0),"-")</f>
        <v>Google Leads</v>
      </c>
      <c r="Q124" s="100">
        <v>44764</v>
      </c>
      <c r="R124" s="10">
        <f t="shared" si="57"/>
        <v>0.375</v>
      </c>
      <c r="S124" s="10">
        <f t="shared" si="58"/>
        <v>0.375</v>
      </c>
      <c r="T124" s="16" t="str">
        <f t="shared" si="59"/>
        <v>Sem - 30</v>
      </c>
      <c r="U124" s="16" t="str">
        <f t="shared" si="60"/>
        <v>Juillet</v>
      </c>
      <c r="V124" s="11" t="str">
        <f t="shared" si="61"/>
        <v>2026</v>
      </c>
      <c r="W124" s="9"/>
      <c r="X124" s="5">
        <f t="shared" si="62"/>
        <v>0</v>
      </c>
      <c r="Y124" s="12">
        <f>IFERROR(VLOOKUP(B124,Annuaire_roster!B:E,4,0),"-")</f>
        <v>0</v>
      </c>
      <c r="Z124" s="12" t="str">
        <f>IFERROR(VLOOKUP(B124,Annuaire_roster!B:F,3,0),"-")</f>
        <v>Google Leads</v>
      </c>
      <c r="AA124" s="12">
        <f>IFERROR(VLOOKUP(B124,Annuaire_roster!B:I,6,0),"-")</f>
        <v>0</v>
      </c>
      <c r="AB124" s="142" t="str">
        <f t="shared" si="63"/>
        <v/>
      </c>
      <c r="AC124" s="142" t="str">
        <f t="shared" si="64"/>
        <v/>
      </c>
      <c r="AD124" s="142" t="str">
        <f t="shared" si="65"/>
        <v/>
      </c>
      <c r="AE124" s="143" t="str">
        <f t="shared" si="66"/>
        <v/>
      </c>
      <c r="AF124" s="63"/>
      <c r="AG124" s="10"/>
    </row>
    <row r="125" spans="1:33" hidden="1" x14ac:dyDescent="0.2">
      <c r="A125" s="70">
        <f>VLOOKUP(B125,Annuaire_roster!B:F,5,0)</f>
        <v>0</v>
      </c>
      <c r="B125" s="165" t="s">
        <v>198</v>
      </c>
      <c r="C125" s="61" t="str">
        <f>IFERROR(IF(COUNTIFS(Connexions!$K:$K,$Q125,Connexions!$E:$E,VLOOKUP($B125,Mapping_Noms!$A:$B,2,0))=0,"",_xlfn.MINIFS(Connexions!$M:$M,Connexions!$K:$K,$Q125,Connexions!$E:$E,VLOOKUP($B125,Mapping_Noms!$A:$B,2,0))-TIME(1,0,0)),"")</f>
        <v/>
      </c>
      <c r="D125" s="61" t="str">
        <f t="array" ref="D125">IFERROR(INDEX(Planning2[],MATCH(1,(Planning2[Nom]=B125)*(Planning2[Date]=Q125),0),3),"-")</f>
        <v>Congé</v>
      </c>
      <c r="E125" s="38" t="str">
        <f>IFERROR(IF(COUNTIFS(Connexions!$K:$K,$Q125,Connexions!$E:$E,VLOOKUP($B125,Mapping_Noms!$A:$B,2,0))=0,"",_xlfn.MAXIFS(Connexions!$O:$O,Connexions!$K:$K,$Q125,Connexions!$E:$E,VLOOKUP($B125,Mapping_Noms!$A:$B,2,0))-TIME(1,0,0)),"")</f>
        <v/>
      </c>
      <c r="F125" s="38" t="str">
        <f t="array" ref="F125">IFERROR(INDEX(Planning2[],MATCH(1,(Planning2[Nom]=B125)*(Planning2[Date]=Q125),0),4),"-")</f>
        <v>Congé</v>
      </c>
      <c r="G125" s="88"/>
      <c r="H125" s="88"/>
      <c r="I125" s="235" t="str">
        <f t="shared" si="51"/>
        <v/>
      </c>
      <c r="J125" s="88"/>
      <c r="K125" s="89">
        <f t="shared" si="52"/>
        <v>0</v>
      </c>
      <c r="L125" s="88">
        <f t="shared" si="53"/>
        <v>0</v>
      </c>
      <c r="M125" s="62">
        <f t="shared" si="54"/>
        <v>0</v>
      </c>
      <c r="N125" s="102" t="str">
        <f t="shared" si="55"/>
        <v/>
      </c>
      <c r="O125" s="90">
        <f t="shared" si="56"/>
        <v>0</v>
      </c>
      <c r="P125" s="91" t="str">
        <f>IFERROR(VLOOKUP($B125,Annuaire_roster!$B:$G,MATCH(P$1,Annuaire_roster!$B$1:$G$1,0),0),"-")</f>
        <v>Google Leads</v>
      </c>
      <c r="Q125" s="100">
        <v>44764</v>
      </c>
      <c r="R125" s="10">
        <f t="shared" si="57"/>
        <v>0</v>
      </c>
      <c r="S125" s="10">
        <f t="shared" si="58"/>
        <v>0</v>
      </c>
      <c r="T125" s="16" t="str">
        <f t="shared" si="59"/>
        <v>Sem - 30</v>
      </c>
      <c r="U125" s="16" t="str">
        <f t="shared" si="60"/>
        <v>Juillet</v>
      </c>
      <c r="V125" s="11" t="str">
        <f t="shared" si="61"/>
        <v>2026</v>
      </c>
      <c r="W125" s="9"/>
      <c r="X125" s="5">
        <f t="shared" si="62"/>
        <v>0</v>
      </c>
      <c r="Y125" s="12">
        <f>IFERROR(VLOOKUP(B125,Annuaire_roster!B:E,4,0),"-")</f>
        <v>0</v>
      </c>
      <c r="Z125" s="12" t="str">
        <f>IFERROR(VLOOKUP(B125,Annuaire_roster!B:F,3,0),"-")</f>
        <v>Google Leads</v>
      </c>
      <c r="AA125" s="12">
        <f>IFERROR(VLOOKUP(B125,Annuaire_roster!B:I,6,0),"-")</f>
        <v>0</v>
      </c>
      <c r="AB125" s="142">
        <f t="shared" si="63"/>
        <v>0.33333333333333298</v>
      </c>
      <c r="AC125" s="142" t="str">
        <f t="shared" si="64"/>
        <v/>
      </c>
      <c r="AD125" s="142" t="str">
        <f t="shared" si="65"/>
        <v/>
      </c>
      <c r="AE125" s="143" t="str">
        <f t="shared" si="66"/>
        <v/>
      </c>
      <c r="AF125" s="63"/>
      <c r="AG125" s="10"/>
    </row>
    <row r="126" spans="1:33" hidden="1" x14ac:dyDescent="0.2">
      <c r="A126" s="70">
        <f>VLOOKUP(B126,Annuaire_roster!B:F,5,0)</f>
        <v>397</v>
      </c>
      <c r="B126" s="165" t="s">
        <v>215</v>
      </c>
      <c r="C126" s="61" t="str">
        <f>IFERROR(IF(COUNTIFS(Connexions!$K:$K,$Q126,Connexions!$E:$E,VLOOKUP($B126,Mapping_Noms!$A:$B,2,0))=0,"",_xlfn.MINIFS(Connexions!$M:$M,Connexions!$K:$K,$Q126,Connexions!$E:$E,VLOOKUP($B126,Mapping_Noms!$A:$B,2,0))-TIME(1,0,0)),"")</f>
        <v/>
      </c>
      <c r="D126" s="61">
        <f t="array" ref="D126">IFERROR(INDEX(Planning2[],MATCH(1,(Planning2[Nom]=B126)*(Planning2[Date]=Q126),0),3),"-")</f>
        <v>0.41666666666666669</v>
      </c>
      <c r="E126" s="38" t="str">
        <f>IFERROR(IF(COUNTIFS(Connexions!$K:$K,$Q126,Connexions!$E:$E,VLOOKUP($B126,Mapping_Noms!$A:$B,2,0))=0,"",_xlfn.MAXIFS(Connexions!$O:$O,Connexions!$K:$K,$Q126,Connexions!$E:$E,VLOOKUP($B126,Mapping_Noms!$A:$B,2,0))-TIME(1,0,0)),"")</f>
        <v/>
      </c>
      <c r="F126" s="38">
        <f t="array" ref="F126">IFERROR(INDEX(Planning2[],MATCH(1,(Planning2[Nom]=B126)*(Planning2[Date]=Q126),0),4),"-")</f>
        <v>0.83333333333333337</v>
      </c>
      <c r="G126" s="88"/>
      <c r="H126" s="88"/>
      <c r="I126" s="235" t="str">
        <f t="shared" si="51"/>
        <v/>
      </c>
      <c r="J126" s="88"/>
      <c r="K126" s="89">
        <f t="shared" si="52"/>
        <v>0</v>
      </c>
      <c r="L126" s="88">
        <f t="shared" si="53"/>
        <v>0</v>
      </c>
      <c r="M126" s="62" t="str">
        <f t="shared" si="54"/>
        <v>Abs</v>
      </c>
      <c r="N126" s="102" t="str">
        <f t="shared" si="55"/>
        <v/>
      </c>
      <c r="O126" s="90">
        <f t="shared" si="56"/>
        <v>0.375</v>
      </c>
      <c r="P126" s="91" t="str">
        <f>IFERROR(VLOOKUP($B126,Annuaire_roster!$B:$G,MATCH(P$1,Annuaire_roster!$B$1:$G$1,0),0),"-")</f>
        <v>Google Leads</v>
      </c>
      <c r="Q126" s="100">
        <v>44764</v>
      </c>
      <c r="R126" s="10">
        <f t="shared" si="57"/>
        <v>0.375</v>
      </c>
      <c r="S126" s="10">
        <f t="shared" si="58"/>
        <v>0.375</v>
      </c>
      <c r="T126" s="16" t="str">
        <f t="shared" si="59"/>
        <v>Sem - 30</v>
      </c>
      <c r="U126" s="16" t="str">
        <f t="shared" si="60"/>
        <v>Juillet</v>
      </c>
      <c r="V126" s="11" t="str">
        <f t="shared" si="61"/>
        <v>2026</v>
      </c>
      <c r="W126" s="9"/>
      <c r="X126" s="5">
        <f t="shared" si="62"/>
        <v>0</v>
      </c>
      <c r="Y126" s="12" t="str">
        <f>IFERROR(VLOOKUP(B126,Annuaire_roster!B:E,4,0),"-")</f>
        <v>OUAQERROUCH Nour-El Houda</v>
      </c>
      <c r="Z126" s="12" t="str">
        <f>IFERROR(VLOOKUP(B126,Annuaire_roster!B:F,3,0),"-")</f>
        <v>Google Leads</v>
      </c>
      <c r="AA126" s="12" t="str">
        <f>IFERROR(VLOOKUP(B126,Annuaire_roster!B:I,6,0),"-")</f>
        <v>Forfaitaire</v>
      </c>
      <c r="AB126" s="142" t="str">
        <f t="shared" si="63"/>
        <v/>
      </c>
      <c r="AC126" s="142" t="str">
        <f t="shared" si="64"/>
        <v/>
      </c>
      <c r="AD126" s="142" t="str">
        <f t="shared" si="65"/>
        <v/>
      </c>
      <c r="AE126" s="143" t="str">
        <f t="shared" si="66"/>
        <v/>
      </c>
      <c r="AF126" s="63"/>
      <c r="AG126" s="10"/>
    </row>
    <row r="127" spans="1:33" hidden="1" x14ac:dyDescent="0.2">
      <c r="A127" s="70">
        <f>VLOOKUP(B127,Annuaire_roster!B:F,5,0)</f>
        <v>894</v>
      </c>
      <c r="B127" s="165" t="s">
        <v>80</v>
      </c>
      <c r="C127" s="61" t="str">
        <f>IFERROR(IF(COUNTIFS(Connexions!$K:$K,$Q127,Connexions!$E:$E,VLOOKUP($B127,Mapping_Noms!$A:$B,2,0))=0,"",_xlfn.MINIFS(Connexions!$M:$M,Connexions!$K:$K,$Q127,Connexions!$E:$E,VLOOKUP($B127,Mapping_Noms!$A:$B,2,0))-TIME(1,0,0)),"")</f>
        <v/>
      </c>
      <c r="D127" s="61" t="str">
        <f t="array" ref="D127">IFERROR(INDEX(Planning2[],MATCH(1,(Planning2[Nom]=B127)*(Planning2[Date]=Q127),0),3),"-")</f>
        <v>Missionnée</v>
      </c>
      <c r="E127" s="38" t="str">
        <f>IFERROR(IF(COUNTIFS(Connexions!$K:$K,$Q127,Connexions!$E:$E,VLOOKUP($B127,Mapping_Noms!$A:$B,2,0))=0,"",_xlfn.MAXIFS(Connexions!$O:$O,Connexions!$K:$K,$Q127,Connexions!$E:$E,VLOOKUP($B127,Mapping_Noms!$A:$B,2,0))-TIME(1,0,0)),"")</f>
        <v/>
      </c>
      <c r="F127" s="38" t="str">
        <f t="array" ref="F127">IFERROR(INDEX(Planning2[],MATCH(1,(Planning2[Nom]=B127)*(Planning2[Date]=Q127),0),4),"-")</f>
        <v>Missionnée</v>
      </c>
      <c r="G127" s="88"/>
      <c r="H127" s="88"/>
      <c r="I127" s="235" t="str">
        <f t="shared" si="51"/>
        <v/>
      </c>
      <c r="J127" s="88"/>
      <c r="K127" s="89">
        <f t="shared" si="52"/>
        <v>0</v>
      </c>
      <c r="L127" s="88" t="e">
        <f t="shared" si="53"/>
        <v>#VALUE!</v>
      </c>
      <c r="M127" s="62" t="e">
        <f t="shared" si="54"/>
        <v>#VALUE!</v>
      </c>
      <c r="N127" s="102" t="str">
        <f t="shared" si="55"/>
        <v/>
      </c>
      <c r="O127" s="90" t="e">
        <f t="shared" si="56"/>
        <v>#VALUE!</v>
      </c>
      <c r="P127" s="91" t="str">
        <f>IFERROR(VLOOKUP($B127,Annuaire_roster!$B:$G,MATCH(P$1,Annuaire_roster!$B$1:$G$1,0),0),"-")</f>
        <v>Google Leads</v>
      </c>
      <c r="Q127" s="100">
        <v>44764</v>
      </c>
      <c r="R127" s="10" t="e">
        <f t="shared" si="57"/>
        <v>#VALUE!</v>
      </c>
      <c r="S127" s="10" t="e">
        <f t="shared" si="58"/>
        <v>#VALUE!</v>
      </c>
      <c r="T127" s="16" t="str">
        <f t="shared" si="59"/>
        <v>Sem - 30</v>
      </c>
      <c r="U127" s="16" t="str">
        <f t="shared" si="60"/>
        <v>Juillet</v>
      </c>
      <c r="V127" s="11" t="str">
        <f t="shared" si="61"/>
        <v>2026</v>
      </c>
      <c r="W127" s="9"/>
      <c r="X127" s="5">
        <f t="shared" si="62"/>
        <v>0</v>
      </c>
      <c r="Y127" s="12" t="str">
        <f>IFERROR(VLOOKUP(B127,Annuaire_roster!B:E,4,0),"-")</f>
        <v>OUAQERROUCH Nour-El Houda</v>
      </c>
      <c r="Z127" s="12" t="str">
        <f>IFERROR(VLOOKUP(B127,Annuaire_roster!B:F,3,0),"-")</f>
        <v>Google Leads</v>
      </c>
      <c r="AA127" s="12" t="str">
        <f>IFERROR(VLOOKUP(B127,Annuaire_roster!B:I,6,0),"-")</f>
        <v>Forfaitaire</v>
      </c>
      <c r="AB127" s="142" t="str">
        <f t="shared" si="63"/>
        <v/>
      </c>
      <c r="AC127" s="142" t="str">
        <f t="shared" si="64"/>
        <v/>
      </c>
      <c r="AD127" s="142" t="str">
        <f t="shared" si="65"/>
        <v/>
      </c>
      <c r="AE127" s="143" t="str">
        <f t="shared" si="66"/>
        <v/>
      </c>
      <c r="AF127" s="63"/>
      <c r="AG127" s="10"/>
    </row>
    <row r="128" spans="1:33" hidden="1" x14ac:dyDescent="0.2">
      <c r="A128" s="70">
        <f>VLOOKUP(B128,Annuaire_roster!B:F,5,0)</f>
        <v>0</v>
      </c>
      <c r="B128" s="165" t="s">
        <v>144</v>
      </c>
      <c r="C128" s="61" t="str">
        <f>IFERROR(IF(COUNTIFS(Connexions!$K:$K,$Q128,Connexions!$E:$E,VLOOKUP($B128,Mapping_Noms!$A:$B,2,0))=0,"",_xlfn.MINIFS(Connexions!$M:$M,Connexions!$K:$K,$Q128,Connexions!$E:$E,VLOOKUP($B128,Mapping_Noms!$A:$B,2,0))-TIME(1,0,0)),"")</f>
        <v/>
      </c>
      <c r="D128" s="61" t="str">
        <f t="array" ref="D128">IFERROR(INDEX(Planning2[],MATCH(1,(Planning2[Nom]=B128)*(Planning2[Date]=Q128),0),3),"-")</f>
        <v>Congé</v>
      </c>
      <c r="E128" s="38" t="str">
        <f>IFERROR(IF(COUNTIFS(Connexions!$K:$K,$Q128,Connexions!$E:$E,VLOOKUP($B128,Mapping_Noms!$A:$B,2,0))=0,"",_xlfn.MAXIFS(Connexions!$O:$O,Connexions!$K:$K,$Q128,Connexions!$E:$E,VLOOKUP($B128,Mapping_Noms!$A:$B,2,0))-TIME(1,0,0)),"")</f>
        <v/>
      </c>
      <c r="F128" s="38" t="str">
        <f t="array" ref="F128">IFERROR(INDEX(Planning2[],MATCH(1,(Planning2[Nom]=B128)*(Planning2[Date]=Q128),0),4),"-")</f>
        <v>Congé</v>
      </c>
      <c r="G128" s="88"/>
      <c r="H128" s="88"/>
      <c r="I128" s="235" t="str">
        <f t="shared" si="51"/>
        <v/>
      </c>
      <c r="J128" s="88"/>
      <c r="K128" s="89">
        <f t="shared" si="52"/>
        <v>0</v>
      </c>
      <c r="L128" s="88">
        <f t="shared" si="53"/>
        <v>0</v>
      </c>
      <c r="M128" s="62">
        <f t="shared" si="54"/>
        <v>0</v>
      </c>
      <c r="N128" s="102" t="str">
        <f t="shared" si="55"/>
        <v/>
      </c>
      <c r="O128" s="90">
        <f t="shared" si="56"/>
        <v>0</v>
      </c>
      <c r="P128" s="91" t="str">
        <f>IFERROR(VLOOKUP($B128,Annuaire_roster!$B:$G,MATCH(P$1,Annuaire_roster!$B$1:$G$1,0),0),"-")</f>
        <v>Google Leads</v>
      </c>
      <c r="Q128" s="100">
        <v>44764</v>
      </c>
      <c r="R128" s="10">
        <f t="shared" si="57"/>
        <v>0</v>
      </c>
      <c r="S128" s="10">
        <f t="shared" si="58"/>
        <v>0</v>
      </c>
      <c r="T128" s="16" t="str">
        <f t="shared" si="59"/>
        <v>Sem - 30</v>
      </c>
      <c r="U128" s="16" t="str">
        <f t="shared" si="60"/>
        <v>Juillet</v>
      </c>
      <c r="V128" s="11" t="str">
        <f t="shared" si="61"/>
        <v>2026</v>
      </c>
      <c r="W128" s="9"/>
      <c r="X128" s="5">
        <f t="shared" si="62"/>
        <v>0</v>
      </c>
      <c r="Y128" s="12" t="str">
        <f>IFERROR(VLOOKUP(B128,Annuaire_roster!B:E,4,0),"-")</f>
        <v>CHOUIFI Mustapha</v>
      </c>
      <c r="Z128" s="12" t="str">
        <f>IFERROR(VLOOKUP(B128,Annuaire_roster!B:F,3,0),"-")</f>
        <v>Google Leads</v>
      </c>
      <c r="AA128" s="12" t="str">
        <f>IFERROR(VLOOKUP(B128,Annuaire_roster!B:I,6,0),"-")</f>
        <v>Forfaitaire</v>
      </c>
      <c r="AB128" s="142">
        <f t="shared" si="63"/>
        <v>0.33333333333333298</v>
      </c>
      <c r="AC128" s="142" t="str">
        <f t="shared" si="64"/>
        <v/>
      </c>
      <c r="AD128" s="142" t="str">
        <f t="shared" si="65"/>
        <v/>
      </c>
      <c r="AE128" s="143" t="str">
        <f t="shared" si="66"/>
        <v/>
      </c>
      <c r="AF128" s="63"/>
      <c r="AG128" s="10"/>
    </row>
    <row r="129" spans="1:33" hidden="1" x14ac:dyDescent="0.2">
      <c r="A129" s="70">
        <f>VLOOKUP(B129,Annuaire_roster!B:F,5,0)</f>
        <v>952</v>
      </c>
      <c r="B129" s="165" t="s">
        <v>87</v>
      </c>
      <c r="C129" s="61" t="str">
        <f>IFERROR(IF(COUNTIFS(Connexions!$K:$K,$Q129,Connexions!$E:$E,VLOOKUP($B129,Mapping_Noms!$A:$B,2,0))=0,"",_xlfn.MINIFS(Connexions!$M:$M,Connexions!$K:$K,$Q129,Connexions!$E:$E,VLOOKUP($B129,Mapping_Noms!$A:$B,2,0))-TIME(1,0,0)),"")</f>
        <v/>
      </c>
      <c r="D129" s="61">
        <f t="array" ref="D129">IFERROR(INDEX(Planning2[],MATCH(1,(Planning2[Nom]=B129)*(Planning2[Date]=Q129),0),3),"-")</f>
        <v>0.41666666666666669</v>
      </c>
      <c r="E129" s="38" t="str">
        <f>IFERROR(IF(COUNTIFS(Connexions!$K:$K,$Q129,Connexions!$E:$E,VLOOKUP($B129,Mapping_Noms!$A:$B,2,0))=0,"",_xlfn.MAXIFS(Connexions!$O:$O,Connexions!$K:$K,$Q129,Connexions!$E:$E,VLOOKUP($B129,Mapping_Noms!$A:$B,2,0))-TIME(1,0,0)),"")</f>
        <v/>
      </c>
      <c r="F129" s="38">
        <f t="array" ref="F129">IFERROR(INDEX(Planning2[],MATCH(1,(Planning2[Nom]=B129)*(Planning2[Date]=Q129),0),4),"-")</f>
        <v>0.83333333333333337</v>
      </c>
      <c r="G129" s="88"/>
      <c r="H129" s="88"/>
      <c r="I129" s="235" t="str">
        <f t="shared" si="51"/>
        <v/>
      </c>
      <c r="J129" s="88"/>
      <c r="K129" s="89">
        <f t="shared" si="52"/>
        <v>0</v>
      </c>
      <c r="L129" s="88">
        <f t="shared" si="53"/>
        <v>0</v>
      </c>
      <c r="M129" s="62" t="str">
        <f t="shared" si="54"/>
        <v>Abs</v>
      </c>
      <c r="N129" s="102" t="str">
        <f t="shared" si="55"/>
        <v/>
      </c>
      <c r="O129" s="90">
        <f t="shared" si="56"/>
        <v>0.375</v>
      </c>
      <c r="P129" s="91" t="str">
        <f>IFERROR(VLOOKUP($B129,Annuaire_roster!$B:$G,MATCH(P$1,Annuaire_roster!$B$1:$G$1,0),0),"-")</f>
        <v>Google Leads</v>
      </c>
      <c r="Q129" s="100">
        <v>44764</v>
      </c>
      <c r="R129" s="10">
        <f t="shared" si="57"/>
        <v>0.375</v>
      </c>
      <c r="S129" s="10">
        <f t="shared" si="58"/>
        <v>0.375</v>
      </c>
      <c r="T129" s="16" t="str">
        <f t="shared" si="59"/>
        <v>Sem - 30</v>
      </c>
      <c r="U129" s="16" t="str">
        <f t="shared" si="60"/>
        <v>Juillet</v>
      </c>
      <c r="V129" s="11" t="str">
        <f t="shared" si="61"/>
        <v>2026</v>
      </c>
      <c r="W129" s="9"/>
      <c r="X129" s="5">
        <f t="shared" si="62"/>
        <v>0</v>
      </c>
      <c r="Y129" s="12" t="str">
        <f>IFERROR(VLOOKUP(B129,Annuaire_roster!B:E,4,0),"-")</f>
        <v>OUAQERROUCH Nour-El Houda</v>
      </c>
      <c r="Z129" s="12" t="str">
        <f>IFERROR(VLOOKUP(B129,Annuaire_roster!B:F,3,0),"-")</f>
        <v>Google Leads</v>
      </c>
      <c r="AA129" s="12" t="str">
        <f>IFERROR(VLOOKUP(B129,Annuaire_roster!B:I,6,0),"-")</f>
        <v>Forfaitaire</v>
      </c>
      <c r="AB129" s="142" t="str">
        <f t="shared" si="63"/>
        <v/>
      </c>
      <c r="AC129" s="142" t="str">
        <f t="shared" si="64"/>
        <v/>
      </c>
      <c r="AD129" s="142" t="str">
        <f t="shared" si="65"/>
        <v/>
      </c>
      <c r="AE129" s="143" t="str">
        <f t="shared" si="66"/>
        <v/>
      </c>
      <c r="AF129" s="63"/>
      <c r="AG129" s="10"/>
    </row>
    <row r="130" spans="1:33" hidden="1" x14ac:dyDescent="0.2">
      <c r="A130" s="70">
        <f>VLOOKUP(B130,Annuaire_roster!B:F,5,0)</f>
        <v>364</v>
      </c>
      <c r="B130" s="165" t="s">
        <v>213</v>
      </c>
      <c r="C130" s="61" t="str">
        <f>IFERROR(IF(COUNTIFS(Connexions!$K:$K,$Q130,Connexions!$E:$E,VLOOKUP($B130,Mapping_Noms!$A:$B,2,0))=0,"",_xlfn.MINIFS(Connexions!$M:$M,Connexions!$K:$K,$Q130,Connexions!$E:$E,VLOOKUP($B130,Mapping_Noms!$A:$B,2,0))-TIME(1,0,0)),"")</f>
        <v/>
      </c>
      <c r="D130" s="61">
        <f t="array" ref="D130">IFERROR(INDEX(Planning2[],MATCH(1,(Planning2[Nom]=B130)*(Planning2[Date]=Q130),0),3),"-")</f>
        <v>0.375</v>
      </c>
      <c r="E130" s="38" t="str">
        <f>IFERROR(IF(COUNTIFS(Connexions!$K:$K,$Q130,Connexions!$E:$E,VLOOKUP($B130,Mapping_Noms!$A:$B,2,0))=0,"",_xlfn.MAXIFS(Connexions!$O:$O,Connexions!$K:$K,$Q130,Connexions!$E:$E,VLOOKUP($B130,Mapping_Noms!$A:$B,2,0))-TIME(1,0,0)),"")</f>
        <v/>
      </c>
      <c r="F130" s="38">
        <f t="array" ref="F130">IFERROR(INDEX(Planning2[],MATCH(1,(Planning2[Nom]=B130)*(Planning2[Date]=Q130),0),4),"-")</f>
        <v>0.79166666666666663</v>
      </c>
      <c r="G130" s="88"/>
      <c r="H130" s="88"/>
      <c r="I130" s="235" t="str">
        <f t="shared" ref="I130:I161" si="67">IF(IF(OR(C130="",D130="Congé",D130="OFF",D130="Congé spécial"),"",IF(D130&gt;F130,D130-C130,IF(C130-D130&lt;0,0,C130-D130)))&lt;0.00068287037037037,"",IF(OR(D130="Congé",D130="OFF",C130="",D130="Congé spécial"),"",IF(D130&gt;F130,D130-C130,IF(C130-D130&lt;0,0,C130-D130))))</f>
        <v/>
      </c>
      <c r="J130" s="88"/>
      <c r="K130" s="89">
        <f t="shared" ref="K130:K161" si="68">IF(SUM(H130:J130)&lt;0.00068287037037037,0,SUM(H130:J130))</f>
        <v>0</v>
      </c>
      <c r="L130" s="88">
        <f t="shared" ref="L130:L161" si="69">IF(OR(F130="Congé",F130="OFF",M130="Abs",F130="Congé sans solde",F130="Férié",F130="Congé spécial",D130="Congé spécial"),0,IF(F130-E130&lt;0,0,IF(F130-E130&lt;=0.00068287037037037,0,F130-E130)))</f>
        <v>0</v>
      </c>
      <c r="M130" s="62" t="str">
        <f t="shared" ref="M130:M161" si="70">IF(AND(O130&lt;&gt;0,C130=""),"Abs",0)</f>
        <v>Abs</v>
      </c>
      <c r="N130" s="102" t="str">
        <f t="shared" ref="N130:N161" si="71">IFERROR(IF(OR(D130="OFF",D130="Congé",M130="Abs",D130="Congé sans solde",D130="Férié"),"",IF(O130-K130-L130&gt;O130,O130,IF(O130-K130-L130&lt;0,"",O130-K130-L130))),"")</f>
        <v/>
      </c>
      <c r="O130" s="90">
        <f t="shared" ref="O130:O161" si="72">IF(AG130="2H Pause déjeuner",IF(F130-D130-0.0833333333333333&lt;0,F130-D130-0.0833333333333333+1,F130-D130-0.0833333333333333),IF(OR(AND(F130="OFF",D130="OFF"),AND(F130="Congé",D130="Congé"),AND(F130="Congé sans solde",D130="Congé sans solde"),AND(F130="Congé spécial",D130="Congé spécial"),AND(F130="Férié",D130="Férié"),AND(F130="OFF",D130="Congé"),AND(F130="OFF",D130="Congé sans solde"),AND(F130="OFF",D130="Congé spécial"),AND(F130="OFF",D130="Férié"),AND(F130="Congé",D130="OFF"),AND(F130="Congé",D130="Congé sans solde"),AND(F130="Congé",D130="Congé spécial"),AND(F130="Congé",D130="Férié"),AND(F130="Congé sans solde",D130="OFF"),AND(F130="Congé sans solde",D130="Congé"),AND(F130="Congé sans solde",D130="Congé spécial"),AND(F130="Congé sans solde",D130="Férié"),AND(F130="Congé spécial",D130="OFF"),AND(F130="Congé spécial",D130="Congé"),AND(F130="Congé spécial",D130="Congé sans solde"),AND(F130="Congé spécial",D130="Férié"),AND(F130="Férié",D130="OFF"),AND(F130="Férié",D130="Congé"),AND(F130="Férié",D130="Congé sans solde"),AND(F130="Férié",D130="Congé spécial")),0,IF(OR(F130="OFF",F130="Congé",F130="Congé spécial",F130="Congé sans solde",D130="OFF",D130="Congé",D130="Congé spécial",D130="Congé sans solde"),0.208333333333334,IF(AND(AG130="",F130-D130&lt;0),("24:00:00"-D130)+("00:00:00"+F130)-0.0416666666666667,IF(AND(OR(AG130="Allaitement",AG130="Sans déjeuner"),F130-D130&lt;0),("24:00:00"-D130)+("00:00:00"+F130),IF(AND(AG130="",F130-D130&gt;0.166666666666667),F130-D130-0.0416666666666667,IF(AND(OR(AG130="Allaitement",AG130="Sans déjeuner"),F130-D130&gt;0.166666666666667),F130-D130,F130-D130)))))))</f>
        <v>0.37499999999999994</v>
      </c>
      <c r="P130" s="91" t="str">
        <f>IFERROR(VLOOKUP($B130,Annuaire_roster!$B:$G,MATCH(P$1,Annuaire_roster!$B$1:$G$1,0),0),"-")</f>
        <v>Google Leads</v>
      </c>
      <c r="Q130" s="100">
        <v>44765</v>
      </c>
      <c r="R130" s="10">
        <f t="shared" ref="R130:R161" si="73">IF(M130="Abs",O130,0)</f>
        <v>0.37499999999999994</v>
      </c>
      <c r="S130" s="10">
        <f t="shared" ref="S130:S161" si="74">SUM(R130,L130,I130,J130,W130,H130)</f>
        <v>0.37499999999999994</v>
      </c>
      <c r="T130" s="16" t="str">
        <f t="shared" ref="T130:T161" si="75">"Sem - "&amp;WEEKNUM(Q130,21)</f>
        <v>Sem - 30</v>
      </c>
      <c r="U130" s="16" t="str">
        <f t="shared" ref="U130:U161" si="76">PROPER(TEXT(Q130,"mmmm"))</f>
        <v>Juillet</v>
      </c>
      <c r="V130" s="11" t="str">
        <f t="shared" ref="V130:V161" si="77">+TEXT(Q130,"aaa")</f>
        <v>2026</v>
      </c>
      <c r="W130" s="9"/>
      <c r="X130" s="5">
        <f t="shared" ref="X130:X161" si="78">IFERROR(IF(M130="Abs",0,IF((D130-C130+E130-F130)&lt;0.000694444444444444,0,(D130-C130+E130-F130))),0)</f>
        <v>0</v>
      </c>
      <c r="Y130" s="12" t="str">
        <f>IFERROR(VLOOKUP(B130,Annuaire_roster!B:E,4,0),"-")</f>
        <v>OUAQERROUCH Nour-El Houda</v>
      </c>
      <c r="Z130" s="12" t="str">
        <f>IFERROR(VLOOKUP(B130,Annuaire_roster!B:F,3,0),"-")</f>
        <v>Google Leads</v>
      </c>
      <c r="AA130" s="12" t="str">
        <f>IFERROR(VLOOKUP(B130,Annuaire_roster!B:I,6,0),"-")</f>
        <v>Forfaitaire</v>
      </c>
      <c r="AB130" s="142" t="str">
        <f t="shared" ref="AB130:AB161" si="79">IF(AND(D130="Congé",F130="Congé"),0.333333333333333,IF(OR(AND(D130="Congé",F130&lt;&gt;"Congé"),(AND(F130="Congé",D130&lt;&gt;"Congé"))),0.166666666666667,""))</f>
        <v/>
      </c>
      <c r="AC130" s="142" t="str">
        <f t="shared" ref="AC130:AC161" si="80">IF(AND(D130="Congé sans solde",F130="Congé sans solde"),0.333333333333333,IF(OR(AND(D130="Congé sans solde",F130&lt;&gt;"Congé sans solde"),(AND(F130="Congé sans solde",D130&lt;&gt;"Congé sans solde"))),0.166666666666667,""))</f>
        <v/>
      </c>
      <c r="AD130" s="142" t="str">
        <f t="shared" ref="AD130:AD161" si="81">IF(AND(D130="Congé spécial",F130="Congé spécial"),0.333333333333333,IF(OR(AND(D130="Congé spécial",F130&lt;&gt;"Congé décès"),(AND(F130="Congé spécial",D130&lt;&gt;"Congé spécial"))),0.166666666666667,""))</f>
        <v/>
      </c>
      <c r="AE130" s="143" t="str">
        <f t="shared" ref="AE130:AE161" si="82">IF(AND(D130="Férié",F130="Férié"),0.333333333333333,IF(OR(AND(D130="Férié",F130&lt;&gt;"Férié"),(AND(F130="Férié",D130&lt;&gt;"Férié"))),0.166666666666667,""))</f>
        <v/>
      </c>
      <c r="AF130" s="63"/>
      <c r="AG130" s="10"/>
    </row>
    <row r="131" spans="1:33" hidden="1" x14ac:dyDescent="0.2">
      <c r="A131" s="70">
        <f>VLOOKUP(B131,Annuaire_roster!B:F,5,0)</f>
        <v>952</v>
      </c>
      <c r="B131" s="165" t="s">
        <v>87</v>
      </c>
      <c r="C131" s="61" t="str">
        <f>IFERROR(IF(COUNTIFS(Connexions!$K:$K,$Q131,Connexions!$E:$E,VLOOKUP($B131,Mapping_Noms!$A:$B,2,0))=0,"",_xlfn.MINIFS(Connexions!$M:$M,Connexions!$K:$K,$Q131,Connexions!$E:$E,VLOOKUP($B131,Mapping_Noms!$A:$B,2,0))-TIME(1,0,0)),"")</f>
        <v/>
      </c>
      <c r="D131" s="61">
        <f t="array" ref="D131">IFERROR(INDEX(Planning2[],MATCH(1,(Planning2[Nom]=B131)*(Planning2[Date]=Q131),0),3),"-")</f>
        <v>0.45833333333333331</v>
      </c>
      <c r="E131" s="38" t="str">
        <f>IFERROR(IF(COUNTIFS(Connexions!$K:$K,$Q131,Connexions!$E:$E,VLOOKUP($B131,Mapping_Noms!$A:$B,2,0))=0,"",_xlfn.MAXIFS(Connexions!$O:$O,Connexions!$K:$K,$Q131,Connexions!$E:$E,VLOOKUP($B131,Mapping_Noms!$A:$B,2,0))-TIME(1,0,0)),"")</f>
        <v/>
      </c>
      <c r="F131" s="38">
        <f t="array" ref="F131">IFERROR(INDEX(Planning2[],MATCH(1,(Planning2[Nom]=B131)*(Planning2[Date]=Q131),0),4),"-")</f>
        <v>0.83333333333333337</v>
      </c>
      <c r="G131" s="88"/>
      <c r="H131" s="88"/>
      <c r="I131" s="235" t="str">
        <f t="shared" si="67"/>
        <v/>
      </c>
      <c r="J131" s="88"/>
      <c r="K131" s="89">
        <f t="shared" si="68"/>
        <v>0</v>
      </c>
      <c r="L131" s="88">
        <f t="shared" si="69"/>
        <v>0</v>
      </c>
      <c r="M131" s="62" t="str">
        <f t="shared" si="70"/>
        <v>Abs</v>
      </c>
      <c r="N131" s="102" t="str">
        <f t="shared" si="71"/>
        <v/>
      </c>
      <c r="O131" s="90">
        <f t="shared" si="72"/>
        <v>0.33333333333333337</v>
      </c>
      <c r="P131" s="91" t="str">
        <f>IFERROR(VLOOKUP($B131,Annuaire_roster!$B:$G,MATCH(P$1,Annuaire_roster!$B$1:$G$1,0),0),"-")</f>
        <v>Google Leads</v>
      </c>
      <c r="Q131" s="100">
        <v>44765</v>
      </c>
      <c r="R131" s="10">
        <f t="shared" si="73"/>
        <v>0.33333333333333337</v>
      </c>
      <c r="S131" s="10">
        <f t="shared" si="74"/>
        <v>0.33333333333333337</v>
      </c>
      <c r="T131" s="16" t="str">
        <f t="shared" si="75"/>
        <v>Sem - 30</v>
      </c>
      <c r="U131" s="16" t="str">
        <f t="shared" si="76"/>
        <v>Juillet</v>
      </c>
      <c r="V131" s="11" t="str">
        <f t="shared" si="77"/>
        <v>2026</v>
      </c>
      <c r="W131" s="9"/>
      <c r="X131" s="5">
        <f t="shared" si="78"/>
        <v>0</v>
      </c>
      <c r="Y131" s="12" t="str">
        <f>IFERROR(VLOOKUP(B131,Annuaire_roster!B:E,4,0),"-")</f>
        <v>OUAQERROUCH Nour-El Houda</v>
      </c>
      <c r="Z131" s="12" t="str">
        <f>IFERROR(VLOOKUP(B131,Annuaire_roster!B:F,3,0),"-")</f>
        <v>Google Leads</v>
      </c>
      <c r="AA131" s="12" t="str">
        <f>IFERROR(VLOOKUP(B131,Annuaire_roster!B:I,6,0),"-")</f>
        <v>Forfaitaire</v>
      </c>
      <c r="AB131" s="142" t="str">
        <f t="shared" si="79"/>
        <v/>
      </c>
      <c r="AC131" s="142" t="str">
        <f t="shared" si="80"/>
        <v/>
      </c>
      <c r="AD131" s="142" t="str">
        <f t="shared" si="81"/>
        <v/>
      </c>
      <c r="AE131" s="143" t="str">
        <f t="shared" si="82"/>
        <v/>
      </c>
      <c r="AF131" s="63"/>
      <c r="AG131" s="10"/>
    </row>
    <row r="132" spans="1:33" hidden="1" x14ac:dyDescent="0.2">
      <c r="A132" s="70">
        <f>VLOOKUP(B132,Annuaire_roster!B:F,5,0)</f>
        <v>1007</v>
      </c>
      <c r="B132" s="165" t="s">
        <v>89</v>
      </c>
      <c r="C132" s="61" t="str">
        <f>IFERROR(IF(COUNTIFS(Connexions!$K:$K,$Q132,Connexions!$E:$E,VLOOKUP($B132,Mapping_Noms!$A:$B,2,0))=0,"",_xlfn.MINIFS(Connexions!$M:$M,Connexions!$K:$K,$Q132,Connexions!$E:$E,VLOOKUP($B132,Mapping_Noms!$A:$B,2,0))-TIME(1,0,0)),"")</f>
        <v/>
      </c>
      <c r="D132" s="61">
        <f t="array" ref="D132">IFERROR(INDEX(Planning2[],MATCH(1,(Planning2[Nom]=B132)*(Planning2[Date]=Q132),0),3),"-")</f>
        <v>0.29166666666666669</v>
      </c>
      <c r="E132" s="38" t="str">
        <f>IFERROR(IF(COUNTIFS(Connexions!$K:$K,$Q132,Connexions!$E:$E,VLOOKUP($B132,Mapping_Noms!$A:$B,2,0))=0,"",_xlfn.MAXIFS(Connexions!$O:$O,Connexions!$K:$K,$Q132,Connexions!$E:$E,VLOOKUP($B132,Mapping_Noms!$A:$B,2,0))-TIME(1,0,0)),"")</f>
        <v/>
      </c>
      <c r="F132" s="38">
        <f t="array" ref="F132">IFERROR(INDEX(Planning2[],MATCH(1,(Planning2[Nom]=B132)*(Planning2[Date]=Q132),0),4),"-")</f>
        <v>0.66666666666666663</v>
      </c>
      <c r="G132" s="88"/>
      <c r="H132" s="88"/>
      <c r="I132" s="235" t="str">
        <f t="shared" si="67"/>
        <v/>
      </c>
      <c r="J132" s="88"/>
      <c r="K132" s="89">
        <f t="shared" si="68"/>
        <v>0</v>
      </c>
      <c r="L132" s="88">
        <f t="shared" si="69"/>
        <v>0</v>
      </c>
      <c r="M132" s="62" t="str">
        <f t="shared" si="70"/>
        <v>Abs</v>
      </c>
      <c r="N132" s="102" t="str">
        <f t="shared" si="71"/>
        <v/>
      </c>
      <c r="O132" s="90">
        <f t="shared" si="72"/>
        <v>0.33333333333333326</v>
      </c>
      <c r="P132" s="91" t="str">
        <f>IFERROR(VLOOKUP($B132,Annuaire_roster!$B:$G,MATCH(P$1,Annuaire_roster!$B$1:$G$1,0),0),"-")</f>
        <v>Google Leads</v>
      </c>
      <c r="Q132" s="100">
        <v>44765</v>
      </c>
      <c r="R132" s="10">
        <f t="shared" si="73"/>
        <v>0.33333333333333326</v>
      </c>
      <c r="S132" s="10">
        <f t="shared" si="74"/>
        <v>0.33333333333333326</v>
      </c>
      <c r="T132" s="16" t="str">
        <f t="shared" si="75"/>
        <v>Sem - 30</v>
      </c>
      <c r="U132" s="16" t="str">
        <f t="shared" si="76"/>
        <v>Juillet</v>
      </c>
      <c r="V132" s="11" t="str">
        <f t="shared" si="77"/>
        <v>2026</v>
      </c>
      <c r="W132" s="9"/>
      <c r="X132" s="5">
        <f t="shared" si="78"/>
        <v>0</v>
      </c>
      <c r="Y132" s="12" t="str">
        <f>IFERROR(VLOOKUP(B132,Annuaire_roster!B:E,4,0),"-")</f>
        <v>OUAQERROUCH Nour-El Houda</v>
      </c>
      <c r="Z132" s="12" t="str">
        <f>IFERROR(VLOOKUP(B132,Annuaire_roster!B:F,3,0),"-")</f>
        <v>Google Leads</v>
      </c>
      <c r="AA132" s="12" t="str">
        <f>IFERROR(VLOOKUP(B132,Annuaire_roster!B:I,6,0),"-")</f>
        <v>Forfaitaire</v>
      </c>
      <c r="AB132" s="142" t="str">
        <f t="shared" si="79"/>
        <v/>
      </c>
      <c r="AC132" s="142" t="str">
        <f t="shared" si="80"/>
        <v/>
      </c>
      <c r="AD132" s="142" t="str">
        <f t="shared" si="81"/>
        <v/>
      </c>
      <c r="AE132" s="143" t="str">
        <f t="shared" si="82"/>
        <v/>
      </c>
      <c r="AF132" s="63"/>
      <c r="AG132" s="10"/>
    </row>
    <row r="133" spans="1:33" hidden="1" x14ac:dyDescent="0.2">
      <c r="A133" s="70">
        <f>VLOOKUP(B133,Annuaire_roster!B:F,5,0)</f>
        <v>1145</v>
      </c>
      <c r="B133" s="165" t="s">
        <v>102</v>
      </c>
      <c r="C133" s="61" t="str">
        <f>IFERROR(IF(COUNTIFS(Connexions!$K:$K,$Q133,Connexions!$E:$E,VLOOKUP($B133,Mapping_Noms!$A:$B,2,0))=0,"",_xlfn.MINIFS(Connexions!$M:$M,Connexions!$K:$K,$Q133,Connexions!$E:$E,VLOOKUP($B133,Mapping_Noms!$A:$B,2,0))-TIME(1,0,0)),"")</f>
        <v/>
      </c>
      <c r="D133" s="61">
        <f t="array" ref="D133">IFERROR(INDEX(Planning2[],MATCH(1,(Planning2[Nom]=B133)*(Planning2[Date]=Q133),0),3),"-")</f>
        <v>0.29166666666666669</v>
      </c>
      <c r="E133" s="38" t="str">
        <f>IFERROR(IF(COUNTIFS(Connexions!$K:$K,$Q133,Connexions!$E:$E,VLOOKUP($B133,Mapping_Noms!$A:$B,2,0))=0,"",_xlfn.MAXIFS(Connexions!$O:$O,Connexions!$K:$K,$Q133,Connexions!$E:$E,VLOOKUP($B133,Mapping_Noms!$A:$B,2,0))-TIME(1,0,0)),"")</f>
        <v/>
      </c>
      <c r="F133" s="38">
        <f t="array" ref="F133">IFERROR(INDEX(Planning2[],MATCH(1,(Planning2[Nom]=B133)*(Planning2[Date]=Q133),0),4),"-")</f>
        <v>0.66666666666666663</v>
      </c>
      <c r="G133" s="88"/>
      <c r="H133" s="88"/>
      <c r="I133" s="235" t="str">
        <f t="shared" si="67"/>
        <v/>
      </c>
      <c r="J133" s="88"/>
      <c r="K133" s="89">
        <f t="shared" si="68"/>
        <v>0</v>
      </c>
      <c r="L133" s="88">
        <f t="shared" si="69"/>
        <v>0</v>
      </c>
      <c r="M133" s="62" t="str">
        <f t="shared" si="70"/>
        <v>Abs</v>
      </c>
      <c r="N133" s="102" t="str">
        <f t="shared" si="71"/>
        <v/>
      </c>
      <c r="O133" s="90">
        <f t="shared" si="72"/>
        <v>0.33333333333333326</v>
      </c>
      <c r="P133" s="91" t="str">
        <f>IFERROR(VLOOKUP($B133,Annuaire_roster!$B:$G,MATCH(P$1,Annuaire_roster!$B$1:$G$1,0),0),"-")</f>
        <v>Google Leads</v>
      </c>
      <c r="Q133" s="100">
        <v>44765</v>
      </c>
      <c r="R133" s="10">
        <f t="shared" si="73"/>
        <v>0.33333333333333326</v>
      </c>
      <c r="S133" s="10">
        <f t="shared" si="74"/>
        <v>0.33333333333333326</v>
      </c>
      <c r="T133" s="16" t="str">
        <f t="shared" si="75"/>
        <v>Sem - 30</v>
      </c>
      <c r="U133" s="16" t="str">
        <f t="shared" si="76"/>
        <v>Juillet</v>
      </c>
      <c r="V133" s="11" t="str">
        <f t="shared" si="77"/>
        <v>2026</v>
      </c>
      <c r="W133" s="9"/>
      <c r="X133" s="5">
        <f t="shared" si="78"/>
        <v>0</v>
      </c>
      <c r="Y133" s="12" t="str">
        <f>IFERROR(VLOOKUP(B133,Annuaire_roster!B:E,4,0),"-")</f>
        <v>CHOUIFI Mustapha</v>
      </c>
      <c r="Z133" s="12" t="str">
        <f>IFERROR(VLOOKUP(B133,Annuaire_roster!B:F,3,0),"-")</f>
        <v>Google Leads</v>
      </c>
      <c r="AA133" s="12" t="str">
        <f>IFERROR(VLOOKUP(B133,Annuaire_roster!B:I,6,0),"-")</f>
        <v>Forfaitaire</v>
      </c>
      <c r="AB133" s="142" t="str">
        <f t="shared" si="79"/>
        <v/>
      </c>
      <c r="AC133" s="142" t="str">
        <f t="shared" si="80"/>
        <v/>
      </c>
      <c r="AD133" s="142" t="str">
        <f t="shared" si="81"/>
        <v/>
      </c>
      <c r="AE133" s="143" t="str">
        <f t="shared" si="82"/>
        <v/>
      </c>
      <c r="AF133" s="63"/>
      <c r="AG133" s="10"/>
    </row>
    <row r="134" spans="1:33" hidden="1" x14ac:dyDescent="0.2">
      <c r="A134" s="70">
        <f>VLOOKUP(B134,Annuaire_roster!B:F,5,0)</f>
        <v>1154</v>
      </c>
      <c r="B134" s="165" t="s">
        <v>110</v>
      </c>
      <c r="C134" s="61" t="str">
        <f>IFERROR(IF(COUNTIFS(Connexions!$K:$K,$Q134,Connexions!$E:$E,VLOOKUP($B134,Mapping_Noms!$A:$B,2,0))=0,"",_xlfn.MINIFS(Connexions!$M:$M,Connexions!$K:$K,$Q134,Connexions!$E:$E,VLOOKUP($B134,Mapping_Noms!$A:$B,2,0))-TIME(1,0,0)),"")</f>
        <v/>
      </c>
      <c r="D134" s="61">
        <f t="array" ref="D134">IFERROR(INDEX(Planning2[],MATCH(1,(Planning2[Nom]=B134)*(Planning2[Date]=Q134),0),3),"-")</f>
        <v>0.375</v>
      </c>
      <c r="E134" s="38" t="str">
        <f>IFERROR(IF(COUNTIFS(Connexions!$K:$K,$Q134,Connexions!$E:$E,VLOOKUP($B134,Mapping_Noms!$A:$B,2,0))=0,"",_xlfn.MAXIFS(Connexions!$O:$O,Connexions!$K:$K,$Q134,Connexions!$E:$E,VLOOKUP($B134,Mapping_Noms!$A:$B,2,0))-TIME(1,0,0)),"")</f>
        <v/>
      </c>
      <c r="F134" s="38">
        <f t="array" ref="F134">IFERROR(INDEX(Planning2[],MATCH(1,(Planning2[Nom]=B134)*(Planning2[Date]=Q134),0),4),"-")</f>
        <v>0.79166666666666663</v>
      </c>
      <c r="G134" s="88"/>
      <c r="H134" s="88"/>
      <c r="I134" s="235" t="str">
        <f t="shared" si="67"/>
        <v/>
      </c>
      <c r="J134" s="88"/>
      <c r="K134" s="89">
        <f t="shared" si="68"/>
        <v>0</v>
      </c>
      <c r="L134" s="88">
        <f t="shared" si="69"/>
        <v>0</v>
      </c>
      <c r="M134" s="62" t="str">
        <f t="shared" si="70"/>
        <v>Abs</v>
      </c>
      <c r="N134" s="102" t="str">
        <f t="shared" si="71"/>
        <v/>
      </c>
      <c r="O134" s="90">
        <f t="shared" si="72"/>
        <v>0.37499999999999994</v>
      </c>
      <c r="P134" s="91" t="str">
        <f>IFERROR(VLOOKUP($B134,Annuaire_roster!$B:$G,MATCH(P$1,Annuaire_roster!$B$1:$G$1,0),0),"-")</f>
        <v>Google Leads</v>
      </c>
      <c r="Q134" s="100">
        <v>44765</v>
      </c>
      <c r="R134" s="10">
        <f t="shared" si="73"/>
        <v>0.37499999999999994</v>
      </c>
      <c r="S134" s="10">
        <f t="shared" si="74"/>
        <v>0.37499999999999994</v>
      </c>
      <c r="T134" s="16" t="str">
        <f t="shared" si="75"/>
        <v>Sem - 30</v>
      </c>
      <c r="U134" s="16" t="str">
        <f t="shared" si="76"/>
        <v>Juillet</v>
      </c>
      <c r="V134" s="11" t="str">
        <f t="shared" si="77"/>
        <v>2026</v>
      </c>
      <c r="W134" s="9"/>
      <c r="X134" s="5">
        <f t="shared" si="78"/>
        <v>0</v>
      </c>
      <c r="Y134" s="12" t="str">
        <f>IFERROR(VLOOKUP(B134,Annuaire_roster!B:E,4,0),"-")</f>
        <v>CHOUIFI Mustapha</v>
      </c>
      <c r="Z134" s="12" t="str">
        <f>IFERROR(VLOOKUP(B134,Annuaire_roster!B:F,3,0),"-")</f>
        <v>Google Leads</v>
      </c>
      <c r="AA134" s="12" t="str">
        <f>IFERROR(VLOOKUP(B134,Annuaire_roster!B:I,6,0),"-")</f>
        <v>Forfaitaire</v>
      </c>
      <c r="AB134" s="142" t="str">
        <f t="shared" si="79"/>
        <v/>
      </c>
      <c r="AC134" s="142" t="str">
        <f t="shared" si="80"/>
        <v/>
      </c>
      <c r="AD134" s="142" t="str">
        <f t="shared" si="81"/>
        <v/>
      </c>
      <c r="AE134" s="143" t="str">
        <f t="shared" si="82"/>
        <v/>
      </c>
      <c r="AF134" s="63"/>
      <c r="AG134" s="10"/>
    </row>
    <row r="135" spans="1:33" hidden="1" x14ac:dyDescent="0.2">
      <c r="A135" s="70">
        <f>VLOOKUP(B135,Annuaire_roster!B:F,5,0)</f>
        <v>0</v>
      </c>
      <c r="B135" s="165" t="s">
        <v>196</v>
      </c>
      <c r="C135" s="61" t="str">
        <f>IFERROR(IF(COUNTIFS(Connexions!$K:$K,$Q135,Connexions!$E:$E,VLOOKUP($B135,Mapping_Noms!$A:$B,2,0))=0,"",_xlfn.MINIFS(Connexions!$M:$M,Connexions!$K:$K,$Q135,Connexions!$E:$E,VLOOKUP($B135,Mapping_Noms!$A:$B,2,0))-TIME(1,0,0)),"")</f>
        <v/>
      </c>
      <c r="D135" s="61">
        <f t="array" ref="D135">IFERROR(INDEX(Planning2[],MATCH(1,(Planning2[Nom]=B135)*(Planning2[Date]=Q135),0),3),"-")</f>
        <v>0.29166666666666669</v>
      </c>
      <c r="E135" s="38" t="str">
        <f>IFERROR(IF(COUNTIFS(Connexions!$K:$K,$Q135,Connexions!$E:$E,VLOOKUP($B135,Mapping_Noms!$A:$B,2,0))=0,"",_xlfn.MAXIFS(Connexions!$O:$O,Connexions!$K:$K,$Q135,Connexions!$E:$E,VLOOKUP($B135,Mapping_Noms!$A:$B,2,0))-TIME(1,0,0)),"")</f>
        <v/>
      </c>
      <c r="F135" s="38">
        <f t="array" ref="F135">IFERROR(INDEX(Planning2[],MATCH(1,(Planning2[Nom]=B135)*(Planning2[Date]=Q135),0),4),"-")</f>
        <v>0.70833333333333337</v>
      </c>
      <c r="G135" s="88"/>
      <c r="H135" s="88"/>
      <c r="I135" s="235" t="str">
        <f t="shared" si="67"/>
        <v/>
      </c>
      <c r="J135" s="88"/>
      <c r="K135" s="89">
        <f t="shared" si="68"/>
        <v>0</v>
      </c>
      <c r="L135" s="88">
        <f t="shared" si="69"/>
        <v>0</v>
      </c>
      <c r="M135" s="62" t="str">
        <f t="shared" si="70"/>
        <v>Abs</v>
      </c>
      <c r="N135" s="102" t="str">
        <f t="shared" si="71"/>
        <v/>
      </c>
      <c r="O135" s="90">
        <f t="shared" si="72"/>
        <v>0.375</v>
      </c>
      <c r="P135" s="91" t="str">
        <f>IFERROR(VLOOKUP($B135,Annuaire_roster!$B:$G,MATCH(P$1,Annuaire_roster!$B$1:$G$1,0),0),"-")</f>
        <v>Google Leads</v>
      </c>
      <c r="Q135" s="100">
        <v>44765</v>
      </c>
      <c r="R135" s="10">
        <f t="shared" si="73"/>
        <v>0.375</v>
      </c>
      <c r="S135" s="10">
        <f t="shared" si="74"/>
        <v>0.375</v>
      </c>
      <c r="T135" s="16" t="str">
        <f t="shared" si="75"/>
        <v>Sem - 30</v>
      </c>
      <c r="U135" s="16" t="str">
        <f t="shared" si="76"/>
        <v>Juillet</v>
      </c>
      <c r="V135" s="11" t="str">
        <f t="shared" si="77"/>
        <v>2026</v>
      </c>
      <c r="W135" s="9"/>
      <c r="X135" s="5">
        <f t="shared" si="78"/>
        <v>0</v>
      </c>
      <c r="Y135" s="12">
        <f>IFERROR(VLOOKUP(B135,Annuaire_roster!B:E,4,0),"-")</f>
        <v>0</v>
      </c>
      <c r="Z135" s="12" t="str">
        <f>IFERROR(VLOOKUP(B135,Annuaire_roster!B:F,3,0),"-")</f>
        <v>Google Leads</v>
      </c>
      <c r="AA135" s="12">
        <f>IFERROR(VLOOKUP(B135,Annuaire_roster!B:I,6,0),"-")</f>
        <v>0</v>
      </c>
      <c r="AB135" s="142" t="str">
        <f t="shared" si="79"/>
        <v/>
      </c>
      <c r="AC135" s="142" t="str">
        <f t="shared" si="80"/>
        <v/>
      </c>
      <c r="AD135" s="142" t="str">
        <f t="shared" si="81"/>
        <v/>
      </c>
      <c r="AE135" s="143" t="str">
        <f t="shared" si="82"/>
        <v/>
      </c>
      <c r="AF135" s="63"/>
      <c r="AG135" s="10"/>
    </row>
    <row r="136" spans="1:33" hidden="1" x14ac:dyDescent="0.2">
      <c r="A136" s="70">
        <f>VLOOKUP(B136,Annuaire_roster!B:F,5,0)</f>
        <v>1008</v>
      </c>
      <c r="B136" s="165" t="s">
        <v>94</v>
      </c>
      <c r="C136" s="61" t="str">
        <f>IFERROR(IF(COUNTIFS(Connexions!$K:$K,$Q136,Connexions!$E:$E,VLOOKUP($B136,Mapping_Noms!$A:$B,2,0))=0,"",_xlfn.MINIFS(Connexions!$M:$M,Connexions!$K:$K,$Q136,Connexions!$E:$E,VLOOKUP($B136,Mapping_Noms!$A:$B,2,0))-TIME(1,0,0)),"")</f>
        <v/>
      </c>
      <c r="D136" s="61" t="str">
        <f t="array" ref="D136">IFERROR(INDEX(Planning2[],MATCH(1,(Planning2[Nom]=B136)*(Planning2[Date]=Q136),0),3),"-")</f>
        <v>OFF</v>
      </c>
      <c r="E136" s="38" t="str">
        <f>IFERROR(IF(COUNTIFS(Connexions!$K:$K,$Q136,Connexions!$E:$E,VLOOKUP($B136,Mapping_Noms!$A:$B,2,0))=0,"",_xlfn.MAXIFS(Connexions!$O:$O,Connexions!$K:$K,$Q136,Connexions!$E:$E,VLOOKUP($B136,Mapping_Noms!$A:$B,2,0))-TIME(1,0,0)),"")</f>
        <v/>
      </c>
      <c r="F136" s="38" t="str">
        <f t="array" ref="F136">IFERROR(INDEX(Planning2[],MATCH(1,(Planning2[Nom]=B136)*(Planning2[Date]=Q136),0),4),"-")</f>
        <v>OFF</v>
      </c>
      <c r="G136" s="88"/>
      <c r="H136" s="88"/>
      <c r="I136" s="235" t="str">
        <f t="shared" si="67"/>
        <v/>
      </c>
      <c r="J136" s="88"/>
      <c r="K136" s="89">
        <f t="shared" si="68"/>
        <v>0</v>
      </c>
      <c r="L136" s="88">
        <f t="shared" si="69"/>
        <v>0</v>
      </c>
      <c r="M136" s="62">
        <f t="shared" si="70"/>
        <v>0</v>
      </c>
      <c r="N136" s="102" t="str">
        <f t="shared" si="71"/>
        <v/>
      </c>
      <c r="O136" s="90">
        <f t="shared" si="72"/>
        <v>0</v>
      </c>
      <c r="P136" s="91" t="str">
        <f>IFERROR(VLOOKUP($B136,Annuaire_roster!$B:$G,MATCH(P$1,Annuaire_roster!$B$1:$G$1,0),0),"-")</f>
        <v>Google Leads</v>
      </c>
      <c r="Q136" s="100">
        <v>44765</v>
      </c>
      <c r="R136" s="10">
        <f t="shared" si="73"/>
        <v>0</v>
      </c>
      <c r="S136" s="10">
        <f t="shared" si="74"/>
        <v>0</v>
      </c>
      <c r="T136" s="16" t="str">
        <f t="shared" si="75"/>
        <v>Sem - 30</v>
      </c>
      <c r="U136" s="16" t="str">
        <f t="shared" si="76"/>
        <v>Juillet</v>
      </c>
      <c r="V136" s="11" t="str">
        <f t="shared" si="77"/>
        <v>2026</v>
      </c>
      <c r="W136" s="9"/>
      <c r="X136" s="5">
        <f t="shared" si="78"/>
        <v>0</v>
      </c>
      <c r="Y136" s="12" t="str">
        <f>IFERROR(VLOOKUP(B136,Annuaire_roster!B:E,4,0),"-")</f>
        <v>CHOUIFI Mustapha</v>
      </c>
      <c r="Z136" s="12" t="str">
        <f>IFERROR(VLOOKUP(B136,Annuaire_roster!B:F,3,0),"-")</f>
        <v>Google Leads</v>
      </c>
      <c r="AA136" s="12" t="str">
        <f>IFERROR(VLOOKUP(B136,Annuaire_roster!B:I,6,0),"-")</f>
        <v>Forfaitaire</v>
      </c>
      <c r="AB136" s="142" t="str">
        <f t="shared" si="79"/>
        <v/>
      </c>
      <c r="AC136" s="142" t="str">
        <f t="shared" si="80"/>
        <v/>
      </c>
      <c r="AD136" s="142" t="str">
        <f t="shared" si="81"/>
        <v/>
      </c>
      <c r="AE136" s="143" t="str">
        <f t="shared" si="82"/>
        <v/>
      </c>
      <c r="AF136" s="63"/>
      <c r="AG136" s="10"/>
    </row>
    <row r="137" spans="1:33" hidden="1" x14ac:dyDescent="0.2">
      <c r="A137" s="70">
        <f>VLOOKUP(B137,Annuaire_roster!B:F,5,0)</f>
        <v>1167</v>
      </c>
      <c r="B137" s="165" t="s">
        <v>126</v>
      </c>
      <c r="C137" s="61" t="str">
        <f>IFERROR(IF(COUNTIFS(Connexions!$K:$K,$Q137,Connexions!$E:$E,VLOOKUP($B137,Mapping_Noms!$A:$B,2,0))=0,"",_xlfn.MINIFS(Connexions!$M:$M,Connexions!$K:$K,$Q137,Connexions!$E:$E,VLOOKUP($B137,Mapping_Noms!$A:$B,2,0))-TIME(1,0,0)),"")</f>
        <v/>
      </c>
      <c r="D137" s="61">
        <f t="array" ref="D137">IFERROR(INDEX(Planning2[],MATCH(1,(Planning2[Nom]=B137)*(Planning2[Date]=Q137),0),3),"-")</f>
        <v>0.45833333333333331</v>
      </c>
      <c r="E137" s="38" t="str">
        <f>IFERROR(IF(COUNTIFS(Connexions!$K:$K,$Q137,Connexions!$E:$E,VLOOKUP($B137,Mapping_Noms!$A:$B,2,0))=0,"",_xlfn.MAXIFS(Connexions!$O:$O,Connexions!$K:$K,$Q137,Connexions!$E:$E,VLOOKUP($B137,Mapping_Noms!$A:$B,2,0))-TIME(1,0,0)),"")</f>
        <v/>
      </c>
      <c r="F137" s="38">
        <f t="array" ref="F137">IFERROR(INDEX(Planning2[],MATCH(1,(Planning2[Nom]=B137)*(Planning2[Date]=Q137),0),4),"-")</f>
        <v>0.83333333333333337</v>
      </c>
      <c r="G137" s="88"/>
      <c r="H137" s="88"/>
      <c r="I137" s="235" t="str">
        <f t="shared" si="67"/>
        <v/>
      </c>
      <c r="J137" s="88"/>
      <c r="K137" s="89">
        <f t="shared" si="68"/>
        <v>0</v>
      </c>
      <c r="L137" s="88">
        <f t="shared" si="69"/>
        <v>0</v>
      </c>
      <c r="M137" s="62" t="str">
        <f t="shared" si="70"/>
        <v>Abs</v>
      </c>
      <c r="N137" s="102" t="str">
        <f t="shared" si="71"/>
        <v/>
      </c>
      <c r="O137" s="90">
        <f t="shared" si="72"/>
        <v>0.33333333333333337</v>
      </c>
      <c r="P137" s="91" t="str">
        <f>IFERROR(VLOOKUP($B137,Annuaire_roster!$B:$G,MATCH(P$1,Annuaire_roster!$B$1:$G$1,0),0),"-")</f>
        <v>Google Leads</v>
      </c>
      <c r="Q137" s="100">
        <v>44765</v>
      </c>
      <c r="R137" s="10">
        <f t="shared" si="73"/>
        <v>0.33333333333333337</v>
      </c>
      <c r="S137" s="10">
        <f t="shared" si="74"/>
        <v>0.33333333333333337</v>
      </c>
      <c r="T137" s="16" t="str">
        <f t="shared" si="75"/>
        <v>Sem - 30</v>
      </c>
      <c r="U137" s="16" t="str">
        <f t="shared" si="76"/>
        <v>Juillet</v>
      </c>
      <c r="V137" s="11" t="str">
        <f t="shared" si="77"/>
        <v>2026</v>
      </c>
      <c r="W137" s="9"/>
      <c r="X137" s="5">
        <f t="shared" si="78"/>
        <v>0</v>
      </c>
      <c r="Y137" s="12" t="str">
        <f>IFERROR(VLOOKUP(B137,Annuaire_roster!B:E,4,0),"-")</f>
        <v>OUAQERROUCH Nour-El Houda</v>
      </c>
      <c r="Z137" s="12" t="str">
        <f>IFERROR(VLOOKUP(B137,Annuaire_roster!B:F,3,0),"-")</f>
        <v>Google Leads</v>
      </c>
      <c r="AA137" s="12" t="str">
        <f>IFERROR(VLOOKUP(B137,Annuaire_roster!B:I,6,0),"-")</f>
        <v>Forfaitaire</v>
      </c>
      <c r="AB137" s="142" t="str">
        <f t="shared" si="79"/>
        <v/>
      </c>
      <c r="AC137" s="142" t="str">
        <f t="shared" si="80"/>
        <v/>
      </c>
      <c r="AD137" s="142" t="str">
        <f t="shared" si="81"/>
        <v/>
      </c>
      <c r="AE137" s="143" t="str">
        <f t="shared" si="82"/>
        <v/>
      </c>
      <c r="AF137" s="63"/>
      <c r="AG137" s="10"/>
    </row>
    <row r="138" spans="1:33" hidden="1" x14ac:dyDescent="0.2">
      <c r="A138" s="70">
        <f>VLOOKUP(B138,Annuaire_roster!B:F,5,0)</f>
        <v>1274</v>
      </c>
      <c r="B138" s="165" t="s">
        <v>141</v>
      </c>
      <c r="C138" s="61" t="str">
        <f>IFERROR(IF(COUNTIFS(Connexions!$K:$K,$Q138,Connexions!$E:$E,VLOOKUP($B138,Mapping_Noms!$A:$B,2,0))=0,"",_xlfn.MINIFS(Connexions!$M:$M,Connexions!$K:$K,$Q138,Connexions!$E:$E,VLOOKUP($B138,Mapping_Noms!$A:$B,2,0))-TIME(1,0,0)),"")</f>
        <v/>
      </c>
      <c r="D138" s="61">
        <f t="array" ref="D138">IFERROR(INDEX(Planning2[],MATCH(1,(Planning2[Nom]=B138)*(Planning2[Date]=Q138),0),3),"-")</f>
        <v>0.41666666666666669</v>
      </c>
      <c r="E138" s="38" t="str">
        <f>IFERROR(IF(COUNTIFS(Connexions!$K:$K,$Q138,Connexions!$E:$E,VLOOKUP($B138,Mapping_Noms!$A:$B,2,0))=0,"",_xlfn.MAXIFS(Connexions!$O:$O,Connexions!$K:$K,$Q138,Connexions!$E:$E,VLOOKUP($B138,Mapping_Noms!$A:$B,2,0))-TIME(1,0,0)),"")</f>
        <v/>
      </c>
      <c r="F138" s="38">
        <f t="array" ref="F138">IFERROR(INDEX(Planning2[],MATCH(1,(Planning2[Nom]=B138)*(Planning2[Date]=Q138),0),4),"-")</f>
        <v>0.83333333333333337</v>
      </c>
      <c r="G138" s="88"/>
      <c r="H138" s="88"/>
      <c r="I138" s="235" t="str">
        <f t="shared" si="67"/>
        <v/>
      </c>
      <c r="J138" s="88"/>
      <c r="K138" s="89">
        <f t="shared" si="68"/>
        <v>0</v>
      </c>
      <c r="L138" s="88">
        <f t="shared" si="69"/>
        <v>0</v>
      </c>
      <c r="M138" s="62" t="str">
        <f t="shared" si="70"/>
        <v>Abs</v>
      </c>
      <c r="N138" s="102" t="str">
        <f t="shared" si="71"/>
        <v/>
      </c>
      <c r="O138" s="90">
        <f t="shared" si="72"/>
        <v>0.375</v>
      </c>
      <c r="P138" s="91" t="str">
        <f>IFERROR(VLOOKUP($B138,Annuaire_roster!$B:$G,MATCH(P$1,Annuaire_roster!$B$1:$G$1,0),0),"-")</f>
        <v>Google Leads</v>
      </c>
      <c r="Q138" s="100">
        <v>44765</v>
      </c>
      <c r="R138" s="10">
        <f t="shared" si="73"/>
        <v>0.375</v>
      </c>
      <c r="S138" s="10">
        <f t="shared" si="74"/>
        <v>0.375</v>
      </c>
      <c r="T138" s="16" t="str">
        <f t="shared" si="75"/>
        <v>Sem - 30</v>
      </c>
      <c r="U138" s="16" t="str">
        <f t="shared" si="76"/>
        <v>Juillet</v>
      </c>
      <c r="V138" s="11" t="str">
        <f t="shared" si="77"/>
        <v>2026</v>
      </c>
      <c r="W138" s="9"/>
      <c r="X138" s="5">
        <f t="shared" si="78"/>
        <v>0</v>
      </c>
      <c r="Y138" s="12" t="str">
        <f>IFERROR(VLOOKUP(B138,Annuaire_roster!B:E,4,0),"-")</f>
        <v>OUAQERROUCH Nour-El Houda</v>
      </c>
      <c r="Z138" s="12" t="str">
        <f>IFERROR(VLOOKUP(B138,Annuaire_roster!B:F,3,0),"-")</f>
        <v>Google Leads</v>
      </c>
      <c r="AA138" s="12" t="str">
        <f>IFERROR(VLOOKUP(B138,Annuaire_roster!B:I,6,0),"-")</f>
        <v>Forfaitaire</v>
      </c>
      <c r="AB138" s="142" t="str">
        <f t="shared" si="79"/>
        <v/>
      </c>
      <c r="AC138" s="142" t="str">
        <f t="shared" si="80"/>
        <v/>
      </c>
      <c r="AD138" s="142" t="str">
        <f t="shared" si="81"/>
        <v/>
      </c>
      <c r="AE138" s="143" t="str">
        <f t="shared" si="82"/>
        <v/>
      </c>
      <c r="AF138" s="63"/>
      <c r="AG138" s="10"/>
    </row>
    <row r="139" spans="1:33" hidden="1" x14ac:dyDescent="0.2">
      <c r="A139" s="70">
        <f>VLOOKUP(B139,Annuaire_roster!B:F,5,0)</f>
        <v>0</v>
      </c>
      <c r="B139" s="165" t="s">
        <v>221</v>
      </c>
      <c r="C139" s="61" t="str">
        <f>IFERROR(IF(COUNTIFS(Connexions!$K:$K,$Q139,Connexions!$E:$E,VLOOKUP($B139,Mapping_Noms!$A:$B,2,0))=0,"",_xlfn.MINIFS(Connexions!$M:$M,Connexions!$K:$K,$Q139,Connexions!$E:$E,VLOOKUP($B139,Mapping_Noms!$A:$B,2,0))-TIME(1,0,0)),"")</f>
        <v/>
      </c>
      <c r="D139" s="61">
        <f t="array" ref="D139">IFERROR(INDEX(Planning2[],MATCH(1,(Planning2[Nom]=B139)*(Planning2[Date]=Q139),0),3),"-")</f>
        <v>0.45833333333333331</v>
      </c>
      <c r="E139" s="38" t="str">
        <f>IFERROR(IF(COUNTIFS(Connexions!$K:$K,$Q139,Connexions!$E:$E,VLOOKUP($B139,Mapping_Noms!$A:$B,2,0))=0,"",_xlfn.MAXIFS(Connexions!$O:$O,Connexions!$K:$K,$Q139,Connexions!$E:$E,VLOOKUP($B139,Mapping_Noms!$A:$B,2,0))-TIME(1,0,0)),"")</f>
        <v/>
      </c>
      <c r="F139" s="38">
        <f t="array" ref="F139">IFERROR(INDEX(Planning2[],MATCH(1,(Planning2[Nom]=B139)*(Planning2[Date]=Q139),0),4),"-")</f>
        <v>0.83333333333333337</v>
      </c>
      <c r="G139" s="88"/>
      <c r="H139" s="88"/>
      <c r="I139" s="235" t="str">
        <f t="shared" si="67"/>
        <v/>
      </c>
      <c r="J139" s="88"/>
      <c r="K139" s="89">
        <f t="shared" si="68"/>
        <v>0</v>
      </c>
      <c r="L139" s="88">
        <f t="shared" si="69"/>
        <v>0</v>
      </c>
      <c r="M139" s="62" t="str">
        <f t="shared" si="70"/>
        <v>Abs</v>
      </c>
      <c r="N139" s="102" t="str">
        <f t="shared" si="71"/>
        <v/>
      </c>
      <c r="O139" s="90">
        <f t="shared" si="72"/>
        <v>0.33333333333333337</v>
      </c>
      <c r="P139" s="91" t="str">
        <f>IFERROR(VLOOKUP($B139,Annuaire_roster!$B:$G,MATCH(P$1,Annuaire_roster!$B$1:$G$1,0),0),"-")</f>
        <v>Google Leads</v>
      </c>
      <c r="Q139" s="100">
        <v>44765</v>
      </c>
      <c r="R139" s="10">
        <f t="shared" si="73"/>
        <v>0.33333333333333337</v>
      </c>
      <c r="S139" s="10">
        <f t="shared" si="74"/>
        <v>0.33333333333333337</v>
      </c>
      <c r="T139" s="16" t="str">
        <f t="shared" si="75"/>
        <v>Sem - 30</v>
      </c>
      <c r="U139" s="16" t="str">
        <f t="shared" si="76"/>
        <v>Juillet</v>
      </c>
      <c r="V139" s="11" t="str">
        <f t="shared" si="77"/>
        <v>2026</v>
      </c>
      <c r="W139" s="9"/>
      <c r="X139" s="5">
        <f t="shared" si="78"/>
        <v>0</v>
      </c>
      <c r="Y139" s="12">
        <f>IFERROR(VLOOKUP(B139,Annuaire_roster!B:E,4,0),"-")</f>
        <v>0</v>
      </c>
      <c r="Z139" s="12" t="str">
        <f>IFERROR(VLOOKUP(B139,Annuaire_roster!B:F,3,0),"-")</f>
        <v>Google Leads</v>
      </c>
      <c r="AA139" s="12">
        <f>IFERROR(VLOOKUP(B139,Annuaire_roster!B:I,6,0),"-")</f>
        <v>0</v>
      </c>
      <c r="AB139" s="142" t="str">
        <f t="shared" si="79"/>
        <v/>
      </c>
      <c r="AC139" s="142" t="str">
        <f t="shared" si="80"/>
        <v/>
      </c>
      <c r="AD139" s="142" t="str">
        <f t="shared" si="81"/>
        <v/>
      </c>
      <c r="AE139" s="143" t="str">
        <f t="shared" si="82"/>
        <v/>
      </c>
      <c r="AF139" s="63"/>
      <c r="AG139" s="10"/>
    </row>
    <row r="140" spans="1:33" hidden="1" x14ac:dyDescent="0.2">
      <c r="A140" s="70">
        <f>VLOOKUP(B140,Annuaire_roster!B:F,5,0)</f>
        <v>1132</v>
      </c>
      <c r="B140" s="165" t="s">
        <v>88</v>
      </c>
      <c r="C140" s="61" t="str">
        <f>IFERROR(IF(COUNTIFS(Connexions!$K:$K,$Q140,Connexions!$E:$E,VLOOKUP($B140,Mapping_Noms!$A:$B,2,0))=0,"",_xlfn.MINIFS(Connexions!$M:$M,Connexions!$K:$K,$Q140,Connexions!$E:$E,VLOOKUP($B140,Mapping_Noms!$A:$B,2,0))-TIME(1,0,0)),"")</f>
        <v/>
      </c>
      <c r="D140" s="61" t="str">
        <f t="array" ref="D140">IFERROR(INDEX(Planning2[],MATCH(1,(Planning2[Nom]=B140)*(Planning2[Date]=Q140),0),3),"-")</f>
        <v>OFF</v>
      </c>
      <c r="E140" s="38" t="str">
        <f>IFERROR(IF(COUNTIFS(Connexions!$K:$K,$Q140,Connexions!$E:$E,VLOOKUP($B140,Mapping_Noms!$A:$B,2,0))=0,"",_xlfn.MAXIFS(Connexions!$O:$O,Connexions!$K:$K,$Q140,Connexions!$E:$E,VLOOKUP($B140,Mapping_Noms!$A:$B,2,0))-TIME(1,0,0)),"")</f>
        <v/>
      </c>
      <c r="F140" s="38" t="str">
        <f t="array" ref="F140">IFERROR(INDEX(Planning2[],MATCH(1,(Planning2[Nom]=B140)*(Planning2[Date]=Q140),0),4),"-")</f>
        <v>OFF</v>
      </c>
      <c r="G140" s="88"/>
      <c r="H140" s="88"/>
      <c r="I140" s="235" t="str">
        <f t="shared" si="67"/>
        <v/>
      </c>
      <c r="J140" s="88"/>
      <c r="K140" s="89">
        <f t="shared" si="68"/>
        <v>0</v>
      </c>
      <c r="L140" s="88">
        <f t="shared" si="69"/>
        <v>0</v>
      </c>
      <c r="M140" s="62">
        <f t="shared" si="70"/>
        <v>0</v>
      </c>
      <c r="N140" s="102" t="str">
        <f t="shared" si="71"/>
        <v/>
      </c>
      <c r="O140" s="90">
        <f t="shared" si="72"/>
        <v>0</v>
      </c>
      <c r="P140" s="91" t="str">
        <f>IFERROR(VLOOKUP($B140,Annuaire_roster!$B:$G,MATCH(P$1,Annuaire_roster!$B$1:$G$1,0),0),"-")</f>
        <v>Google Leads</v>
      </c>
      <c r="Q140" s="100">
        <v>44765</v>
      </c>
      <c r="R140" s="10">
        <f t="shared" si="73"/>
        <v>0</v>
      </c>
      <c r="S140" s="10">
        <f t="shared" si="74"/>
        <v>0</v>
      </c>
      <c r="T140" s="16" t="str">
        <f t="shared" si="75"/>
        <v>Sem - 30</v>
      </c>
      <c r="U140" s="16" t="str">
        <f t="shared" si="76"/>
        <v>Juillet</v>
      </c>
      <c r="V140" s="11" t="str">
        <f t="shared" si="77"/>
        <v>2026</v>
      </c>
      <c r="W140" s="9"/>
      <c r="X140" s="5">
        <f t="shared" si="78"/>
        <v>0</v>
      </c>
      <c r="Y140" s="12" t="str">
        <f>IFERROR(VLOOKUP(B140,Annuaire_roster!B:E,4,0),"-")</f>
        <v>CHOUIFI Mustapha</v>
      </c>
      <c r="Z140" s="12" t="str">
        <f>IFERROR(VLOOKUP(B140,Annuaire_roster!B:F,3,0),"-")</f>
        <v>Google Leads</v>
      </c>
      <c r="AA140" s="12" t="str">
        <f>IFERROR(VLOOKUP(B140,Annuaire_roster!B:I,6,0),"-")</f>
        <v>Forfaitaire</v>
      </c>
      <c r="AB140" s="142" t="str">
        <f t="shared" si="79"/>
        <v/>
      </c>
      <c r="AC140" s="142" t="str">
        <f t="shared" si="80"/>
        <v/>
      </c>
      <c r="AD140" s="142" t="str">
        <f t="shared" si="81"/>
        <v/>
      </c>
      <c r="AE140" s="143" t="str">
        <f t="shared" si="82"/>
        <v/>
      </c>
      <c r="AF140" s="63"/>
      <c r="AG140" s="10"/>
    </row>
    <row r="141" spans="1:33" hidden="1" x14ac:dyDescent="0.2">
      <c r="A141" s="70">
        <f>VLOOKUP(B141,Annuaire_roster!B:F,5,0)</f>
        <v>742</v>
      </c>
      <c r="B141" s="165" t="s">
        <v>76</v>
      </c>
      <c r="C141" s="61" t="str">
        <f>IFERROR(IF(COUNTIFS(Connexions!$K:$K,$Q141,Connexions!$E:$E,VLOOKUP($B141,Mapping_Noms!$A:$B,2,0))=0,"",_xlfn.MINIFS(Connexions!$M:$M,Connexions!$K:$K,$Q141,Connexions!$E:$E,VLOOKUP($B141,Mapping_Noms!$A:$B,2,0))-TIME(1,0,0)),"")</f>
        <v/>
      </c>
      <c r="D141" s="61">
        <f t="array" ref="D141">IFERROR(INDEX(Planning2[],MATCH(1,(Planning2[Nom]=B141)*(Planning2[Date]=Q141),0),3),"-")</f>
        <v>0.29166666666666669</v>
      </c>
      <c r="E141" s="38" t="str">
        <f>IFERROR(IF(COUNTIFS(Connexions!$K:$K,$Q141,Connexions!$E:$E,VLOOKUP($B141,Mapping_Noms!$A:$B,2,0))=0,"",_xlfn.MAXIFS(Connexions!$O:$O,Connexions!$K:$K,$Q141,Connexions!$E:$E,VLOOKUP($B141,Mapping_Noms!$A:$B,2,0))-TIME(1,0,0)),"")</f>
        <v/>
      </c>
      <c r="F141" s="38">
        <f t="array" ref="F141">IFERROR(INDEX(Planning2[],MATCH(1,(Planning2[Nom]=B141)*(Planning2[Date]=Q141),0),4),"-")</f>
        <v>0.70833333333333337</v>
      </c>
      <c r="G141" s="88"/>
      <c r="H141" s="88"/>
      <c r="I141" s="235" t="str">
        <f t="shared" si="67"/>
        <v/>
      </c>
      <c r="J141" s="88"/>
      <c r="K141" s="89">
        <f t="shared" si="68"/>
        <v>0</v>
      </c>
      <c r="L141" s="88">
        <f t="shared" si="69"/>
        <v>0</v>
      </c>
      <c r="M141" s="62" t="str">
        <f t="shared" si="70"/>
        <v>Abs</v>
      </c>
      <c r="N141" s="102" t="str">
        <f t="shared" si="71"/>
        <v/>
      </c>
      <c r="O141" s="90">
        <f t="shared" si="72"/>
        <v>0.375</v>
      </c>
      <c r="P141" s="91" t="str">
        <f>IFERROR(VLOOKUP($B141,Annuaire_roster!$B:$G,MATCH(P$1,Annuaire_roster!$B$1:$G$1,0),0),"-")</f>
        <v>Google Leads</v>
      </c>
      <c r="Q141" s="100">
        <v>44765</v>
      </c>
      <c r="R141" s="10">
        <f t="shared" si="73"/>
        <v>0.375</v>
      </c>
      <c r="S141" s="10">
        <f t="shared" si="74"/>
        <v>0.375</v>
      </c>
      <c r="T141" s="16" t="str">
        <f t="shared" si="75"/>
        <v>Sem - 30</v>
      </c>
      <c r="U141" s="16" t="str">
        <f t="shared" si="76"/>
        <v>Juillet</v>
      </c>
      <c r="V141" s="11" t="str">
        <f t="shared" si="77"/>
        <v>2026</v>
      </c>
      <c r="W141" s="9"/>
      <c r="X141" s="5">
        <f t="shared" si="78"/>
        <v>0</v>
      </c>
      <c r="Y141" s="12" t="str">
        <f>IFERROR(VLOOKUP(B141,Annuaire_roster!B:E,4,0),"-")</f>
        <v>OUAQERROUCH Nour-El Houda</v>
      </c>
      <c r="Z141" s="12" t="str">
        <f>IFERROR(VLOOKUP(B141,Annuaire_roster!B:F,3,0),"-")</f>
        <v>Google Leads</v>
      </c>
      <c r="AA141" s="12" t="str">
        <f>IFERROR(VLOOKUP(B141,Annuaire_roster!B:I,6,0),"-")</f>
        <v>Forfaitaire</v>
      </c>
      <c r="AB141" s="142" t="str">
        <f t="shared" si="79"/>
        <v/>
      </c>
      <c r="AC141" s="142" t="str">
        <f t="shared" si="80"/>
        <v/>
      </c>
      <c r="AD141" s="142" t="str">
        <f t="shared" si="81"/>
        <v/>
      </c>
      <c r="AE141" s="143" t="str">
        <f t="shared" si="82"/>
        <v/>
      </c>
      <c r="AF141" s="63"/>
      <c r="AG141" s="10"/>
    </row>
    <row r="142" spans="1:33" hidden="1" x14ac:dyDescent="0.2">
      <c r="A142" s="70">
        <f>VLOOKUP(B142,Annuaire_roster!B:F,5,0)</f>
        <v>1009</v>
      </c>
      <c r="B142" s="165" t="s">
        <v>91</v>
      </c>
      <c r="C142" s="61" t="str">
        <f>IFERROR(IF(COUNTIFS(Connexions!$K:$K,$Q142,Connexions!$E:$E,VLOOKUP($B142,Mapping_Noms!$A:$B,2,0))=0,"",_xlfn.MINIFS(Connexions!$M:$M,Connexions!$K:$K,$Q142,Connexions!$E:$E,VLOOKUP($B142,Mapping_Noms!$A:$B,2,0))-TIME(1,0,0)),"")</f>
        <v/>
      </c>
      <c r="D142" s="61">
        <f t="array" ref="D142">IFERROR(INDEX(Planning2[],MATCH(1,(Planning2[Nom]=B142)*(Planning2[Date]=Q142),0),3),"-")</f>
        <v>0.375</v>
      </c>
      <c r="E142" s="38" t="str">
        <f>IFERROR(IF(COUNTIFS(Connexions!$K:$K,$Q142,Connexions!$E:$E,VLOOKUP($B142,Mapping_Noms!$A:$B,2,0))=0,"",_xlfn.MAXIFS(Connexions!$O:$O,Connexions!$K:$K,$Q142,Connexions!$E:$E,VLOOKUP($B142,Mapping_Noms!$A:$B,2,0))-TIME(1,0,0)),"")</f>
        <v/>
      </c>
      <c r="F142" s="38">
        <f t="array" ref="F142">IFERROR(INDEX(Planning2[],MATCH(1,(Planning2[Nom]=B142)*(Planning2[Date]=Q142),0),4),"-")</f>
        <v>0.79166666666666663</v>
      </c>
      <c r="G142" s="88"/>
      <c r="H142" s="88"/>
      <c r="I142" s="235" t="str">
        <f t="shared" si="67"/>
        <v/>
      </c>
      <c r="J142" s="88"/>
      <c r="K142" s="89">
        <f t="shared" si="68"/>
        <v>0</v>
      </c>
      <c r="L142" s="88">
        <f t="shared" si="69"/>
        <v>0</v>
      </c>
      <c r="M142" s="62" t="str">
        <f t="shared" si="70"/>
        <v>Abs</v>
      </c>
      <c r="N142" s="102" t="str">
        <f t="shared" si="71"/>
        <v/>
      </c>
      <c r="O142" s="90">
        <f t="shared" si="72"/>
        <v>0.37499999999999994</v>
      </c>
      <c r="P142" s="91" t="str">
        <f>IFERROR(VLOOKUP($B142,Annuaire_roster!$B:$G,MATCH(P$1,Annuaire_roster!$B$1:$G$1,0),0),"-")</f>
        <v>Google Leads</v>
      </c>
      <c r="Q142" s="100">
        <v>44765</v>
      </c>
      <c r="R142" s="10">
        <f t="shared" si="73"/>
        <v>0.37499999999999994</v>
      </c>
      <c r="S142" s="10">
        <f t="shared" si="74"/>
        <v>0.37499999999999994</v>
      </c>
      <c r="T142" s="16" t="str">
        <f t="shared" si="75"/>
        <v>Sem - 30</v>
      </c>
      <c r="U142" s="16" t="str">
        <f t="shared" si="76"/>
        <v>Juillet</v>
      </c>
      <c r="V142" s="11" t="str">
        <f t="shared" si="77"/>
        <v>2026</v>
      </c>
      <c r="W142" s="9"/>
      <c r="X142" s="5">
        <f t="shared" si="78"/>
        <v>0</v>
      </c>
      <c r="Y142" s="12" t="str">
        <f>IFERROR(VLOOKUP(B142,Annuaire_roster!B:E,4,0),"-")</f>
        <v>OUAQERROUCH Nour-El Houda</v>
      </c>
      <c r="Z142" s="12" t="str">
        <f>IFERROR(VLOOKUP(B142,Annuaire_roster!B:F,3,0),"-")</f>
        <v>Google Leads</v>
      </c>
      <c r="AA142" s="12" t="str">
        <f>IFERROR(VLOOKUP(B142,Annuaire_roster!B:I,6,0),"-")</f>
        <v>Forfaitaire</v>
      </c>
      <c r="AB142" s="142" t="str">
        <f t="shared" si="79"/>
        <v/>
      </c>
      <c r="AC142" s="142" t="str">
        <f t="shared" si="80"/>
        <v/>
      </c>
      <c r="AD142" s="142" t="str">
        <f t="shared" si="81"/>
        <v/>
      </c>
      <c r="AE142" s="143" t="str">
        <f t="shared" si="82"/>
        <v/>
      </c>
      <c r="AF142" s="63"/>
      <c r="AG142" s="10"/>
    </row>
    <row r="143" spans="1:33" hidden="1" x14ac:dyDescent="0.2">
      <c r="A143" s="70">
        <f>VLOOKUP(B143,Annuaire_roster!B:F,5,0)</f>
        <v>0</v>
      </c>
      <c r="B143" s="165" t="s">
        <v>210</v>
      </c>
      <c r="C143" s="61" t="str">
        <f>IFERROR(IF(COUNTIFS(Connexions!$K:$K,$Q143,Connexions!$E:$E,VLOOKUP($B143,Mapping_Noms!$A:$B,2,0))=0,"",_xlfn.MINIFS(Connexions!$M:$M,Connexions!$K:$K,$Q143,Connexions!$E:$E,VLOOKUP($B143,Mapping_Noms!$A:$B,2,0))-TIME(1,0,0)),"")</f>
        <v/>
      </c>
      <c r="D143" s="61">
        <f t="array" ref="D143">IFERROR(INDEX(Planning2[],MATCH(1,(Planning2[Nom]=B143)*(Planning2[Date]=Q143),0),3),"-")</f>
        <v>0.29166666666666669</v>
      </c>
      <c r="E143" s="38" t="str">
        <f>IFERROR(IF(COUNTIFS(Connexions!$K:$K,$Q143,Connexions!$E:$E,VLOOKUP($B143,Mapping_Noms!$A:$B,2,0))=0,"",_xlfn.MAXIFS(Connexions!$O:$O,Connexions!$K:$K,$Q143,Connexions!$E:$E,VLOOKUP($B143,Mapping_Noms!$A:$B,2,0))-TIME(1,0,0)),"")</f>
        <v/>
      </c>
      <c r="F143" s="38">
        <f t="array" ref="F143">IFERROR(INDEX(Planning2[],MATCH(1,(Planning2[Nom]=B143)*(Planning2[Date]=Q143),0),4),"-")</f>
        <v>0.70833333333333337</v>
      </c>
      <c r="G143" s="88"/>
      <c r="H143" s="88"/>
      <c r="I143" s="235" t="str">
        <f t="shared" si="67"/>
        <v/>
      </c>
      <c r="J143" s="88"/>
      <c r="K143" s="89">
        <f t="shared" si="68"/>
        <v>0</v>
      </c>
      <c r="L143" s="88">
        <f t="shared" si="69"/>
        <v>0</v>
      </c>
      <c r="M143" s="62" t="str">
        <f t="shared" si="70"/>
        <v>Abs</v>
      </c>
      <c r="N143" s="102" t="str">
        <f t="shared" si="71"/>
        <v/>
      </c>
      <c r="O143" s="90">
        <f t="shared" si="72"/>
        <v>0.375</v>
      </c>
      <c r="P143" s="91" t="str">
        <f>IFERROR(VLOOKUP($B143,Annuaire_roster!$B:$G,MATCH(P$1,Annuaire_roster!$B$1:$G$1,0),0),"-")</f>
        <v>Google Leads</v>
      </c>
      <c r="Q143" s="100">
        <v>44765</v>
      </c>
      <c r="R143" s="10">
        <f t="shared" si="73"/>
        <v>0.375</v>
      </c>
      <c r="S143" s="10">
        <f t="shared" si="74"/>
        <v>0.375</v>
      </c>
      <c r="T143" s="16" t="str">
        <f t="shared" si="75"/>
        <v>Sem - 30</v>
      </c>
      <c r="U143" s="16" t="str">
        <f t="shared" si="76"/>
        <v>Juillet</v>
      </c>
      <c r="V143" s="11" t="str">
        <f t="shared" si="77"/>
        <v>2026</v>
      </c>
      <c r="W143" s="9"/>
      <c r="X143" s="5">
        <f t="shared" si="78"/>
        <v>0</v>
      </c>
      <c r="Y143" s="12">
        <f>IFERROR(VLOOKUP(B143,Annuaire_roster!B:E,4,0),"-")</f>
        <v>0</v>
      </c>
      <c r="Z143" s="12" t="str">
        <f>IFERROR(VLOOKUP(B143,Annuaire_roster!B:F,3,0),"-")</f>
        <v>Google Leads</v>
      </c>
      <c r="AA143" s="12">
        <f>IFERROR(VLOOKUP(B143,Annuaire_roster!B:I,6,0),"-")</f>
        <v>0</v>
      </c>
      <c r="AB143" s="142" t="str">
        <f t="shared" si="79"/>
        <v/>
      </c>
      <c r="AC143" s="142" t="str">
        <f t="shared" si="80"/>
        <v/>
      </c>
      <c r="AD143" s="142" t="str">
        <f t="shared" si="81"/>
        <v/>
      </c>
      <c r="AE143" s="143" t="str">
        <f t="shared" si="82"/>
        <v/>
      </c>
      <c r="AF143" s="63"/>
      <c r="AG143" s="10"/>
    </row>
    <row r="144" spans="1:33" hidden="1" x14ac:dyDescent="0.2">
      <c r="A144" s="70">
        <f>VLOOKUP(B144,Annuaire_roster!B:F,5,0)</f>
        <v>1170</v>
      </c>
      <c r="B144" s="165" t="s">
        <v>106</v>
      </c>
      <c r="C144" s="61" t="str">
        <f>IFERROR(IF(COUNTIFS(Connexions!$K:$K,$Q144,Connexions!$E:$E,VLOOKUP($B144,Mapping_Noms!$A:$B,2,0))=0,"",_xlfn.MINIFS(Connexions!$M:$M,Connexions!$K:$K,$Q144,Connexions!$E:$E,VLOOKUP($B144,Mapping_Noms!$A:$B,2,0))-TIME(1,0,0)),"")</f>
        <v/>
      </c>
      <c r="D144" s="61">
        <f t="array" ref="D144">IFERROR(INDEX(Planning2[],MATCH(1,(Planning2[Nom]=B144)*(Planning2[Date]=Q144),0),3),"-")</f>
        <v>0.375</v>
      </c>
      <c r="E144" s="38" t="str">
        <f>IFERROR(IF(COUNTIFS(Connexions!$K:$K,$Q144,Connexions!$E:$E,VLOOKUP($B144,Mapping_Noms!$A:$B,2,0))=0,"",_xlfn.MAXIFS(Connexions!$O:$O,Connexions!$K:$K,$Q144,Connexions!$E:$E,VLOOKUP($B144,Mapping_Noms!$A:$B,2,0))-TIME(1,0,0)),"")</f>
        <v/>
      </c>
      <c r="F144" s="38">
        <f t="array" ref="F144">IFERROR(INDEX(Planning2[],MATCH(1,(Planning2[Nom]=B144)*(Planning2[Date]=Q144),0),4),"-")</f>
        <v>0.79166666666666663</v>
      </c>
      <c r="G144" s="88"/>
      <c r="H144" s="88"/>
      <c r="I144" s="235" t="str">
        <f t="shared" si="67"/>
        <v/>
      </c>
      <c r="J144" s="88"/>
      <c r="K144" s="89">
        <f t="shared" si="68"/>
        <v>0</v>
      </c>
      <c r="L144" s="88">
        <f t="shared" si="69"/>
        <v>0</v>
      </c>
      <c r="M144" s="62" t="str">
        <f t="shared" si="70"/>
        <v>Abs</v>
      </c>
      <c r="N144" s="102" t="str">
        <f t="shared" si="71"/>
        <v/>
      </c>
      <c r="O144" s="90">
        <f t="shared" si="72"/>
        <v>0.37499999999999994</v>
      </c>
      <c r="P144" s="91" t="str">
        <f>IFERROR(VLOOKUP($B144,Annuaire_roster!$B:$G,MATCH(P$1,Annuaire_roster!$B$1:$G$1,0),0),"-")</f>
        <v>Google Leads</v>
      </c>
      <c r="Q144" s="100">
        <v>44765</v>
      </c>
      <c r="R144" s="10">
        <f t="shared" si="73"/>
        <v>0.37499999999999994</v>
      </c>
      <c r="S144" s="10">
        <f t="shared" si="74"/>
        <v>0.37499999999999994</v>
      </c>
      <c r="T144" s="16" t="str">
        <f t="shared" si="75"/>
        <v>Sem - 30</v>
      </c>
      <c r="U144" s="16" t="str">
        <f t="shared" si="76"/>
        <v>Juillet</v>
      </c>
      <c r="V144" s="11" t="str">
        <f t="shared" si="77"/>
        <v>2026</v>
      </c>
      <c r="W144" s="9"/>
      <c r="X144" s="5">
        <f t="shared" si="78"/>
        <v>0</v>
      </c>
      <c r="Y144" s="12" t="str">
        <f>IFERROR(VLOOKUP(B144,Annuaire_roster!B:E,4,0),"-")</f>
        <v>CHOUIFI Mustapha</v>
      </c>
      <c r="Z144" s="12" t="str">
        <f>IFERROR(VLOOKUP(B144,Annuaire_roster!B:F,3,0),"-")</f>
        <v>Google Leads</v>
      </c>
      <c r="AA144" s="12" t="str">
        <f>IFERROR(VLOOKUP(B144,Annuaire_roster!B:I,6,0),"-")</f>
        <v>Forfaitaire</v>
      </c>
      <c r="AB144" s="142" t="str">
        <f t="shared" si="79"/>
        <v/>
      </c>
      <c r="AC144" s="142" t="str">
        <f t="shared" si="80"/>
        <v/>
      </c>
      <c r="AD144" s="142" t="str">
        <f t="shared" si="81"/>
        <v/>
      </c>
      <c r="AE144" s="143" t="str">
        <f t="shared" si="82"/>
        <v/>
      </c>
      <c r="AF144" s="63"/>
      <c r="AG144" s="10"/>
    </row>
    <row r="145" spans="1:33" hidden="1" x14ac:dyDescent="0.2">
      <c r="A145" s="70">
        <f>VLOOKUP(B145,Annuaire_roster!B:F,5,0)</f>
        <v>0</v>
      </c>
      <c r="B145" s="218" t="s">
        <v>144</v>
      </c>
      <c r="C145" s="61" t="str">
        <f>IFERROR(IF(COUNTIFS(Connexions!$K:$K,$Q145,Connexions!$E:$E,VLOOKUP($B145,Mapping_Noms!$A:$B,2,0))=0,"",_xlfn.MINIFS(Connexions!$M:$M,Connexions!$K:$K,$Q145,Connexions!$E:$E,VLOOKUP($B145,Mapping_Noms!$A:$B,2,0))-TIME(1,0,0)),"")</f>
        <v/>
      </c>
      <c r="D145" s="61" t="str">
        <f t="array" ref="D145">IFERROR(INDEX(Planning2[],MATCH(1,(Planning2[Nom]=B145)*(Planning2[Date]=Q145),0),3),"-")</f>
        <v>Congé</v>
      </c>
      <c r="E145" s="38" t="str">
        <f>IFERROR(IF(COUNTIFS(Connexions!$K:$K,$Q145,Connexions!$E:$E,VLOOKUP($B145,Mapping_Noms!$A:$B,2,0))=0,"",_xlfn.MAXIFS(Connexions!$O:$O,Connexions!$K:$K,$Q145,Connexions!$E:$E,VLOOKUP($B145,Mapping_Noms!$A:$B,2,0))-TIME(1,0,0)),"")</f>
        <v/>
      </c>
      <c r="F145" s="38" t="str">
        <f t="array" ref="F145">IFERROR(INDEX(Planning2[],MATCH(1,(Planning2[Nom]=B145)*(Planning2[Date]=Q145),0),4),"-")</f>
        <v>Congé</v>
      </c>
      <c r="G145" s="88"/>
      <c r="H145" s="88"/>
      <c r="I145" s="235" t="str">
        <f t="shared" si="67"/>
        <v/>
      </c>
      <c r="J145" s="88"/>
      <c r="K145" s="89">
        <f t="shared" si="68"/>
        <v>0</v>
      </c>
      <c r="L145" s="88">
        <f t="shared" si="69"/>
        <v>0</v>
      </c>
      <c r="M145" s="62">
        <f t="shared" si="70"/>
        <v>0</v>
      </c>
      <c r="N145" s="102" t="str">
        <f t="shared" si="71"/>
        <v/>
      </c>
      <c r="O145" s="90">
        <f t="shared" si="72"/>
        <v>0</v>
      </c>
      <c r="P145" s="91" t="str">
        <f>IFERROR(VLOOKUP($B145,Annuaire_roster!$B:$G,MATCH(P$1,Annuaire_roster!$B$1:$G$1,0),0),"-")</f>
        <v>Google Leads</v>
      </c>
      <c r="Q145" s="100">
        <v>44765</v>
      </c>
      <c r="R145" s="10">
        <f t="shared" si="73"/>
        <v>0</v>
      </c>
      <c r="S145" s="10">
        <f t="shared" si="74"/>
        <v>0</v>
      </c>
      <c r="T145" s="16" t="str">
        <f t="shared" si="75"/>
        <v>Sem - 30</v>
      </c>
      <c r="U145" s="16" t="str">
        <f t="shared" si="76"/>
        <v>Juillet</v>
      </c>
      <c r="V145" s="11" t="str">
        <f t="shared" si="77"/>
        <v>2026</v>
      </c>
      <c r="W145" s="9"/>
      <c r="X145" s="5">
        <f t="shared" si="78"/>
        <v>0</v>
      </c>
      <c r="Y145" s="12" t="str">
        <f>IFERROR(VLOOKUP(B145,Annuaire_roster!B:E,4,0),"-")</f>
        <v>CHOUIFI Mustapha</v>
      </c>
      <c r="Z145" s="12" t="str">
        <f>IFERROR(VLOOKUP(B145,Annuaire_roster!B:F,3,0),"-")</f>
        <v>Google Leads</v>
      </c>
      <c r="AA145" s="12" t="str">
        <f>IFERROR(VLOOKUP(B145,Annuaire_roster!B:I,6,0),"-")</f>
        <v>Forfaitaire</v>
      </c>
      <c r="AB145" s="142">
        <f t="shared" si="79"/>
        <v>0.33333333333333298</v>
      </c>
      <c r="AC145" s="142" t="str">
        <f t="shared" si="80"/>
        <v/>
      </c>
      <c r="AD145" s="142" t="str">
        <f t="shared" si="81"/>
        <v/>
      </c>
      <c r="AE145" s="143" t="str">
        <f t="shared" si="82"/>
        <v/>
      </c>
      <c r="AF145" s="63"/>
      <c r="AG145" s="10"/>
    </row>
    <row r="146" spans="1:33" hidden="1" x14ac:dyDescent="0.2">
      <c r="A146" s="70">
        <f>VLOOKUP(B146,Annuaire_roster!B:F,5,0)</f>
        <v>0</v>
      </c>
      <c r="B146" s="165" t="s">
        <v>212</v>
      </c>
      <c r="C146" s="61" t="str">
        <f>IFERROR(IF(COUNTIFS(Connexions!$K:$K,$Q146,Connexions!$E:$E,VLOOKUP($B146,Mapping_Noms!$A:$B,2,0))=0,"",_xlfn.MINIFS(Connexions!$M:$M,Connexions!$K:$K,$Q146,Connexions!$E:$E,VLOOKUP($B146,Mapping_Noms!$A:$B,2,0))-TIME(1,0,0)),"")</f>
        <v/>
      </c>
      <c r="D146" s="61">
        <f t="array" ref="D146">IFERROR(INDEX(Planning2[],MATCH(1,(Planning2[Nom]=B146)*(Planning2[Date]=Q146),0),3),"-")</f>
        <v>0.375</v>
      </c>
      <c r="E146" s="38" t="str">
        <f>IFERROR(IF(COUNTIFS(Connexions!$K:$K,$Q146,Connexions!$E:$E,VLOOKUP($B146,Mapping_Noms!$A:$B,2,0))=0,"",_xlfn.MAXIFS(Connexions!$O:$O,Connexions!$K:$K,$Q146,Connexions!$E:$E,VLOOKUP($B146,Mapping_Noms!$A:$B,2,0))-TIME(1,0,0)),"")</f>
        <v/>
      </c>
      <c r="F146" s="38">
        <f t="array" ref="F146">IFERROR(INDEX(Planning2[],MATCH(1,(Planning2[Nom]=B146)*(Planning2[Date]=Q146),0),4),"-")</f>
        <v>0.79166666666666663</v>
      </c>
      <c r="G146" s="88"/>
      <c r="H146" s="88"/>
      <c r="I146" s="235" t="str">
        <f t="shared" si="67"/>
        <v/>
      </c>
      <c r="J146" s="88"/>
      <c r="K146" s="89">
        <f t="shared" si="68"/>
        <v>0</v>
      </c>
      <c r="L146" s="88">
        <f t="shared" si="69"/>
        <v>0</v>
      </c>
      <c r="M146" s="62" t="str">
        <f t="shared" si="70"/>
        <v>Abs</v>
      </c>
      <c r="N146" s="102" t="str">
        <f t="shared" si="71"/>
        <v/>
      </c>
      <c r="O146" s="90">
        <f t="shared" si="72"/>
        <v>0.37499999999999994</v>
      </c>
      <c r="P146" s="91" t="str">
        <f>IFERROR(VLOOKUP($B146,Annuaire_roster!$B:$G,MATCH(P$1,Annuaire_roster!$B$1:$G$1,0),0),"-")</f>
        <v>Google Leads</v>
      </c>
      <c r="Q146" s="100">
        <v>44765</v>
      </c>
      <c r="R146" s="10">
        <f t="shared" si="73"/>
        <v>0.37499999999999994</v>
      </c>
      <c r="S146" s="10">
        <f t="shared" si="74"/>
        <v>0.37499999999999994</v>
      </c>
      <c r="T146" s="16" t="str">
        <f t="shared" si="75"/>
        <v>Sem - 30</v>
      </c>
      <c r="U146" s="16" t="str">
        <f t="shared" si="76"/>
        <v>Juillet</v>
      </c>
      <c r="V146" s="11" t="str">
        <f t="shared" si="77"/>
        <v>2026</v>
      </c>
      <c r="W146" s="9"/>
      <c r="X146" s="5">
        <f t="shared" si="78"/>
        <v>0</v>
      </c>
      <c r="Y146" s="12">
        <f>IFERROR(VLOOKUP(B146,Annuaire_roster!B:E,4,0),"-")</f>
        <v>0</v>
      </c>
      <c r="Z146" s="12" t="str">
        <f>IFERROR(VLOOKUP(B146,Annuaire_roster!B:F,3,0),"-")</f>
        <v>Google Leads</v>
      </c>
      <c r="AA146" s="12">
        <f>IFERROR(VLOOKUP(B146,Annuaire_roster!B:I,6,0),"-")</f>
        <v>0</v>
      </c>
      <c r="AB146" s="142" t="str">
        <f t="shared" si="79"/>
        <v/>
      </c>
      <c r="AC146" s="142" t="str">
        <f t="shared" si="80"/>
        <v/>
      </c>
      <c r="AD146" s="142" t="str">
        <f t="shared" si="81"/>
        <v/>
      </c>
      <c r="AE146" s="143" t="str">
        <f t="shared" si="82"/>
        <v/>
      </c>
      <c r="AF146" s="63"/>
      <c r="AG146" s="10"/>
    </row>
    <row r="147" spans="1:33" hidden="1" x14ac:dyDescent="0.2">
      <c r="A147" s="70">
        <f>VLOOKUP(B147,Annuaire_roster!B:F,5,0)</f>
        <v>1165</v>
      </c>
      <c r="B147" s="165" t="s">
        <v>120</v>
      </c>
      <c r="C147" s="61" t="str">
        <f>IFERROR(IF(COUNTIFS(Connexions!$K:$K,$Q147,Connexions!$E:$E,VLOOKUP($B147,Mapping_Noms!$A:$B,2,0))=0,"",_xlfn.MINIFS(Connexions!$M:$M,Connexions!$K:$K,$Q147,Connexions!$E:$E,VLOOKUP($B147,Mapping_Noms!$A:$B,2,0))-TIME(1,0,0)),"")</f>
        <v/>
      </c>
      <c r="D147" s="61">
        <f t="array" ref="D147">IFERROR(INDEX(Planning2[],MATCH(1,(Planning2[Nom]=B147)*(Planning2[Date]=Q147),0),3),"-")</f>
        <v>0.29166666666666669</v>
      </c>
      <c r="E147" s="38" t="str">
        <f>IFERROR(IF(COUNTIFS(Connexions!$K:$K,$Q147,Connexions!$E:$E,VLOOKUP($B147,Mapping_Noms!$A:$B,2,0))=0,"",_xlfn.MAXIFS(Connexions!$O:$O,Connexions!$K:$K,$Q147,Connexions!$E:$E,VLOOKUP($B147,Mapping_Noms!$A:$B,2,0))-TIME(1,0,0)),"")</f>
        <v/>
      </c>
      <c r="F147" s="38">
        <f t="array" ref="F147">IFERROR(INDEX(Planning2[],MATCH(1,(Planning2[Nom]=B147)*(Planning2[Date]=Q147),0),4),"-")</f>
        <v>0.66666666666666663</v>
      </c>
      <c r="G147" s="88"/>
      <c r="H147" s="88"/>
      <c r="I147" s="235" t="str">
        <f t="shared" si="67"/>
        <v/>
      </c>
      <c r="J147" s="88"/>
      <c r="K147" s="89">
        <f t="shared" si="68"/>
        <v>0</v>
      </c>
      <c r="L147" s="88">
        <f t="shared" si="69"/>
        <v>0</v>
      </c>
      <c r="M147" s="62" t="str">
        <f t="shared" si="70"/>
        <v>Abs</v>
      </c>
      <c r="N147" s="102" t="str">
        <f t="shared" si="71"/>
        <v/>
      </c>
      <c r="O147" s="90">
        <f t="shared" si="72"/>
        <v>0.33333333333333326</v>
      </c>
      <c r="P147" s="91" t="str">
        <f>IFERROR(VLOOKUP($B147,Annuaire_roster!$B:$G,MATCH(P$1,Annuaire_roster!$B$1:$G$1,0),0),"-")</f>
        <v>Google Leads</v>
      </c>
      <c r="Q147" s="100">
        <v>44765</v>
      </c>
      <c r="R147" s="10">
        <f t="shared" si="73"/>
        <v>0.33333333333333326</v>
      </c>
      <c r="S147" s="10">
        <f t="shared" si="74"/>
        <v>0.33333333333333326</v>
      </c>
      <c r="T147" s="16" t="str">
        <f t="shared" si="75"/>
        <v>Sem - 30</v>
      </c>
      <c r="U147" s="16" t="str">
        <f t="shared" si="76"/>
        <v>Juillet</v>
      </c>
      <c r="V147" s="11" t="str">
        <f t="shared" si="77"/>
        <v>2026</v>
      </c>
      <c r="W147" s="9"/>
      <c r="X147" s="5">
        <f t="shared" si="78"/>
        <v>0</v>
      </c>
      <c r="Y147" s="12" t="str">
        <f>IFERROR(VLOOKUP(B147,Annuaire_roster!B:E,4,0),"-")</f>
        <v>OUAQERROUCH Nour-El Houda</v>
      </c>
      <c r="Z147" s="12" t="str">
        <f>IFERROR(VLOOKUP(B147,Annuaire_roster!B:F,3,0),"-")</f>
        <v>Google Leads</v>
      </c>
      <c r="AA147" s="12" t="str">
        <f>IFERROR(VLOOKUP(B147,Annuaire_roster!B:I,6,0),"-")</f>
        <v>Forfaitaire</v>
      </c>
      <c r="AB147" s="142" t="str">
        <f t="shared" si="79"/>
        <v/>
      </c>
      <c r="AC147" s="142" t="str">
        <f t="shared" si="80"/>
        <v/>
      </c>
      <c r="AD147" s="142" t="str">
        <f t="shared" si="81"/>
        <v/>
      </c>
      <c r="AE147" s="143" t="str">
        <f t="shared" si="82"/>
        <v/>
      </c>
      <c r="AF147" s="63"/>
      <c r="AG147" s="10"/>
    </row>
    <row r="148" spans="1:33" hidden="1" x14ac:dyDescent="0.2">
      <c r="A148" s="70">
        <f>VLOOKUP(B148,Annuaire_roster!B:F,5,0)</f>
        <v>669</v>
      </c>
      <c r="B148" s="165" t="s">
        <v>45</v>
      </c>
      <c r="C148" s="61" t="str">
        <f>IFERROR(IF(COUNTIFS(Connexions!$K:$K,$Q148,Connexions!$E:$E,VLOOKUP($B148,Mapping_Noms!$A:$B,2,0))=0,"",_xlfn.MINIFS(Connexions!$M:$M,Connexions!$K:$K,$Q148,Connexions!$E:$E,VLOOKUP($B148,Mapping_Noms!$A:$B,2,0))-TIME(1,0,0)),"")</f>
        <v/>
      </c>
      <c r="D148" s="61">
        <f t="array" ref="D148">IFERROR(INDEX(Planning2[],MATCH(1,(Planning2[Nom]=B148)*(Planning2[Date]=Q148),0),3),"-")</f>
        <v>0.29166666666666669</v>
      </c>
      <c r="E148" s="38" t="str">
        <f>IFERROR(IF(COUNTIFS(Connexions!$K:$K,$Q148,Connexions!$E:$E,VLOOKUP($B148,Mapping_Noms!$A:$B,2,0))=0,"",_xlfn.MAXIFS(Connexions!$O:$O,Connexions!$K:$K,$Q148,Connexions!$E:$E,VLOOKUP($B148,Mapping_Noms!$A:$B,2,0))-TIME(1,0,0)),"")</f>
        <v/>
      </c>
      <c r="F148" s="38">
        <f t="array" ref="F148">IFERROR(INDEX(Planning2[],MATCH(1,(Planning2[Nom]=B148)*(Planning2[Date]=Q148),0),4),"-")</f>
        <v>0.70833333333333337</v>
      </c>
      <c r="G148" s="88"/>
      <c r="H148" s="88"/>
      <c r="I148" s="235" t="str">
        <f t="shared" si="67"/>
        <v/>
      </c>
      <c r="J148" s="88"/>
      <c r="K148" s="89">
        <f t="shared" si="68"/>
        <v>0</v>
      </c>
      <c r="L148" s="88">
        <f t="shared" si="69"/>
        <v>0</v>
      </c>
      <c r="M148" s="62" t="str">
        <f t="shared" si="70"/>
        <v>Abs</v>
      </c>
      <c r="N148" s="102" t="str">
        <f t="shared" si="71"/>
        <v/>
      </c>
      <c r="O148" s="90">
        <f t="shared" si="72"/>
        <v>0.375</v>
      </c>
      <c r="P148" s="91" t="str">
        <f>IFERROR(VLOOKUP($B148,Annuaire_roster!$B:$G,MATCH(P$1,Annuaire_roster!$B$1:$G$1,0),0),"-")</f>
        <v>Google Leads</v>
      </c>
      <c r="Q148" s="100">
        <v>44765</v>
      </c>
      <c r="R148" s="10">
        <f t="shared" si="73"/>
        <v>0.375</v>
      </c>
      <c r="S148" s="10">
        <f t="shared" si="74"/>
        <v>0.375</v>
      </c>
      <c r="T148" s="16" t="str">
        <f t="shared" si="75"/>
        <v>Sem - 30</v>
      </c>
      <c r="U148" s="16" t="str">
        <f t="shared" si="76"/>
        <v>Juillet</v>
      </c>
      <c r="V148" s="11" t="str">
        <f t="shared" si="77"/>
        <v>2026</v>
      </c>
      <c r="W148" s="9"/>
      <c r="X148" s="5">
        <f t="shared" si="78"/>
        <v>0</v>
      </c>
      <c r="Y148" s="12" t="str">
        <f>IFERROR(VLOOKUP(B148,Annuaire_roster!B:E,4,0),"-")</f>
        <v>CHOUIFI Mustapha</v>
      </c>
      <c r="Z148" s="12" t="str">
        <f>IFERROR(VLOOKUP(B148,Annuaire_roster!B:F,3,0),"-")</f>
        <v>Google Leads</v>
      </c>
      <c r="AA148" s="12" t="str">
        <f>IFERROR(VLOOKUP(B148,Annuaire_roster!B:I,6,0),"-")</f>
        <v>Forfaitaire</v>
      </c>
      <c r="AB148" s="142" t="str">
        <f t="shared" si="79"/>
        <v/>
      </c>
      <c r="AC148" s="142" t="str">
        <f t="shared" si="80"/>
        <v/>
      </c>
      <c r="AD148" s="142" t="str">
        <f t="shared" si="81"/>
        <v/>
      </c>
      <c r="AE148" s="143" t="str">
        <f t="shared" si="82"/>
        <v/>
      </c>
      <c r="AF148" s="63"/>
      <c r="AG148" s="10"/>
    </row>
    <row r="149" spans="1:33" hidden="1" x14ac:dyDescent="0.2">
      <c r="A149" s="70">
        <f>VLOOKUP(B149,Annuaire_roster!B:F,5,0)</f>
        <v>1131</v>
      </c>
      <c r="B149" s="165" t="s">
        <v>214</v>
      </c>
      <c r="C149" s="61" t="str">
        <f>IFERROR(IF(COUNTIFS(Connexions!$K:$K,$Q149,Connexions!$E:$E,VLOOKUP($B149,Mapping_Noms!$A:$B,2,0))=0,"",_xlfn.MINIFS(Connexions!$M:$M,Connexions!$K:$K,$Q149,Connexions!$E:$E,VLOOKUP($B149,Mapping_Noms!$A:$B,2,0))-TIME(1,0,0)),"")</f>
        <v/>
      </c>
      <c r="D149" s="61">
        <f t="array" ref="D149">IFERROR(INDEX(Planning2[],MATCH(1,(Planning2[Nom]=B149)*(Planning2[Date]=Q149),0),3),"-")</f>
        <v>0.29166666666666669</v>
      </c>
      <c r="E149" s="38" t="str">
        <f>IFERROR(IF(COUNTIFS(Connexions!$K:$K,$Q149,Connexions!$E:$E,VLOOKUP($B149,Mapping_Noms!$A:$B,2,0))=0,"",_xlfn.MAXIFS(Connexions!$O:$O,Connexions!$K:$K,$Q149,Connexions!$E:$E,VLOOKUP($B149,Mapping_Noms!$A:$B,2,0))-TIME(1,0,0)),"")</f>
        <v/>
      </c>
      <c r="F149" s="38">
        <f t="array" ref="F149">IFERROR(INDEX(Planning2[],MATCH(1,(Planning2[Nom]=B149)*(Planning2[Date]=Q149),0),4),"-")</f>
        <v>0.70833333333333337</v>
      </c>
      <c r="G149" s="88"/>
      <c r="H149" s="88"/>
      <c r="I149" s="235" t="str">
        <f t="shared" si="67"/>
        <v/>
      </c>
      <c r="J149" s="88"/>
      <c r="K149" s="89">
        <f t="shared" si="68"/>
        <v>0</v>
      </c>
      <c r="L149" s="88">
        <f t="shared" si="69"/>
        <v>0</v>
      </c>
      <c r="M149" s="62" t="str">
        <f t="shared" si="70"/>
        <v>Abs</v>
      </c>
      <c r="N149" s="102" t="str">
        <f t="shared" si="71"/>
        <v/>
      </c>
      <c r="O149" s="90">
        <f t="shared" si="72"/>
        <v>0.375</v>
      </c>
      <c r="P149" s="91" t="str">
        <f>IFERROR(VLOOKUP($B149,Annuaire_roster!$B:$G,MATCH(P$1,Annuaire_roster!$B$1:$G$1,0),0),"-")</f>
        <v>Google Leads</v>
      </c>
      <c r="Q149" s="100">
        <v>44765</v>
      </c>
      <c r="R149" s="10">
        <f t="shared" si="73"/>
        <v>0.375</v>
      </c>
      <c r="S149" s="10">
        <f t="shared" si="74"/>
        <v>0.375</v>
      </c>
      <c r="T149" s="16" t="str">
        <f t="shared" si="75"/>
        <v>Sem - 30</v>
      </c>
      <c r="U149" s="16" t="str">
        <f t="shared" si="76"/>
        <v>Juillet</v>
      </c>
      <c r="V149" s="11" t="str">
        <f t="shared" si="77"/>
        <v>2026</v>
      </c>
      <c r="W149" s="9"/>
      <c r="X149" s="5">
        <f t="shared" si="78"/>
        <v>0</v>
      </c>
      <c r="Y149" s="12" t="str">
        <f>IFERROR(VLOOKUP(B149,Annuaire_roster!B:E,4,0),"-")</f>
        <v>CHOUIFI Mustapha</v>
      </c>
      <c r="Z149" s="12" t="str">
        <f>IFERROR(VLOOKUP(B149,Annuaire_roster!B:F,3,0),"-")</f>
        <v>Google Leads</v>
      </c>
      <c r="AA149" s="12" t="str">
        <f>IFERROR(VLOOKUP(B149,Annuaire_roster!B:I,6,0),"-")</f>
        <v>Forfaitaire</v>
      </c>
      <c r="AB149" s="142" t="str">
        <f t="shared" si="79"/>
        <v/>
      </c>
      <c r="AC149" s="142" t="str">
        <f t="shared" si="80"/>
        <v/>
      </c>
      <c r="AD149" s="142" t="str">
        <f t="shared" si="81"/>
        <v/>
      </c>
      <c r="AE149" s="143" t="str">
        <f t="shared" si="82"/>
        <v/>
      </c>
      <c r="AF149" s="63"/>
      <c r="AG149" s="10"/>
    </row>
    <row r="150" spans="1:33" hidden="1" x14ac:dyDescent="0.2">
      <c r="A150" s="70">
        <f>VLOOKUP(B150,Annuaire_roster!B:F,5,0)</f>
        <v>0</v>
      </c>
      <c r="B150" s="165" t="s">
        <v>223</v>
      </c>
      <c r="C150" s="61" t="str">
        <f>IFERROR(IF(COUNTIFS(Connexions!$K:$K,$Q150,Connexions!$E:$E,VLOOKUP($B150,Mapping_Noms!$A:$B,2,0))=0,"",_xlfn.MINIFS(Connexions!$M:$M,Connexions!$K:$K,$Q150,Connexions!$E:$E,VLOOKUP($B150,Mapping_Noms!$A:$B,2,0))-TIME(1,0,0)),"")</f>
        <v/>
      </c>
      <c r="D150" s="61">
        <f t="array" ref="D150">IFERROR(INDEX(Planning2[],MATCH(1,(Planning2[Nom]=B150)*(Planning2[Date]=Q150),0),3),"-")</f>
        <v>0.29166666666666669</v>
      </c>
      <c r="E150" s="38" t="str">
        <f>IFERROR(IF(COUNTIFS(Connexions!$K:$K,$Q150,Connexions!$E:$E,VLOOKUP($B150,Mapping_Noms!$A:$B,2,0))=0,"",_xlfn.MAXIFS(Connexions!$O:$O,Connexions!$K:$K,$Q150,Connexions!$E:$E,VLOOKUP($B150,Mapping_Noms!$A:$B,2,0))-TIME(1,0,0)),"")</f>
        <v/>
      </c>
      <c r="F150" s="38">
        <f t="array" ref="F150">IFERROR(INDEX(Planning2[],MATCH(1,(Planning2[Nom]=B150)*(Planning2[Date]=Q150),0),4),"-")</f>
        <v>0.70833333333333337</v>
      </c>
      <c r="G150" s="88"/>
      <c r="H150" s="88"/>
      <c r="I150" s="235" t="str">
        <f t="shared" si="67"/>
        <v/>
      </c>
      <c r="J150" s="88"/>
      <c r="K150" s="89">
        <f t="shared" si="68"/>
        <v>0</v>
      </c>
      <c r="L150" s="88">
        <f t="shared" si="69"/>
        <v>0</v>
      </c>
      <c r="M150" s="62" t="str">
        <f t="shared" si="70"/>
        <v>Abs</v>
      </c>
      <c r="N150" s="102" t="str">
        <f t="shared" si="71"/>
        <v/>
      </c>
      <c r="O150" s="90">
        <f t="shared" si="72"/>
        <v>0.375</v>
      </c>
      <c r="P150" s="91" t="str">
        <f>IFERROR(VLOOKUP($B150,Annuaire_roster!$B:$G,MATCH(P$1,Annuaire_roster!$B$1:$G$1,0),0),"-")</f>
        <v>Google Leads</v>
      </c>
      <c r="Q150" s="100">
        <v>44765</v>
      </c>
      <c r="R150" s="10">
        <f t="shared" si="73"/>
        <v>0.375</v>
      </c>
      <c r="S150" s="10">
        <f t="shared" si="74"/>
        <v>0.375</v>
      </c>
      <c r="T150" s="16" t="str">
        <f t="shared" si="75"/>
        <v>Sem - 30</v>
      </c>
      <c r="U150" s="16" t="str">
        <f t="shared" si="76"/>
        <v>Juillet</v>
      </c>
      <c r="V150" s="11" t="str">
        <f t="shared" si="77"/>
        <v>2026</v>
      </c>
      <c r="W150" s="9"/>
      <c r="X150" s="5">
        <f t="shared" si="78"/>
        <v>0</v>
      </c>
      <c r="Y150" s="12">
        <f>IFERROR(VLOOKUP(B150,Annuaire_roster!B:E,4,0),"-")</f>
        <v>0</v>
      </c>
      <c r="Z150" s="12" t="str">
        <f>IFERROR(VLOOKUP(B150,Annuaire_roster!B:F,3,0),"-")</f>
        <v>Google Leads</v>
      </c>
      <c r="AA150" s="12">
        <f>IFERROR(VLOOKUP(B150,Annuaire_roster!B:I,6,0),"-")</f>
        <v>0</v>
      </c>
      <c r="AB150" s="142" t="str">
        <f t="shared" si="79"/>
        <v/>
      </c>
      <c r="AC150" s="142" t="str">
        <f t="shared" si="80"/>
        <v/>
      </c>
      <c r="AD150" s="142" t="str">
        <f t="shared" si="81"/>
        <v/>
      </c>
      <c r="AE150" s="143" t="str">
        <f t="shared" si="82"/>
        <v/>
      </c>
      <c r="AF150" s="63"/>
      <c r="AG150" s="10"/>
    </row>
    <row r="151" spans="1:33" hidden="1" x14ac:dyDescent="0.2">
      <c r="A151" s="70">
        <f>VLOOKUP(B151,Annuaire_roster!B:F,5,0)</f>
        <v>971</v>
      </c>
      <c r="B151" s="165" t="s">
        <v>83</v>
      </c>
      <c r="C151" s="61" t="str">
        <f>IFERROR(IF(COUNTIFS(Connexions!$K:$K,$Q151,Connexions!$E:$E,VLOOKUP($B151,Mapping_Noms!$A:$B,2,0))=0,"",_xlfn.MINIFS(Connexions!$M:$M,Connexions!$K:$K,$Q151,Connexions!$E:$E,VLOOKUP($B151,Mapping_Noms!$A:$B,2,0))-TIME(1,0,0)),"")</f>
        <v/>
      </c>
      <c r="D151" s="61">
        <f t="array" ref="D151">IFERROR(INDEX(Planning2[],MATCH(1,(Planning2[Nom]=B151)*(Planning2[Date]=Q151),0),3),"-")</f>
        <v>0.45833333333333331</v>
      </c>
      <c r="E151" s="38" t="str">
        <f>IFERROR(IF(COUNTIFS(Connexions!$K:$K,$Q151,Connexions!$E:$E,VLOOKUP($B151,Mapping_Noms!$A:$B,2,0))=0,"",_xlfn.MAXIFS(Connexions!$O:$O,Connexions!$K:$K,$Q151,Connexions!$E:$E,VLOOKUP($B151,Mapping_Noms!$A:$B,2,0))-TIME(1,0,0)),"")</f>
        <v/>
      </c>
      <c r="F151" s="38">
        <f t="array" ref="F151">IFERROR(INDEX(Planning2[],MATCH(1,(Planning2[Nom]=B151)*(Planning2[Date]=Q151),0),4),"-")</f>
        <v>0.83333333333333337</v>
      </c>
      <c r="G151" s="88"/>
      <c r="H151" s="88"/>
      <c r="I151" s="235" t="str">
        <f t="shared" si="67"/>
        <v/>
      </c>
      <c r="J151" s="88"/>
      <c r="K151" s="89">
        <f t="shared" si="68"/>
        <v>0</v>
      </c>
      <c r="L151" s="88">
        <f t="shared" si="69"/>
        <v>0</v>
      </c>
      <c r="M151" s="62" t="str">
        <f t="shared" si="70"/>
        <v>Abs</v>
      </c>
      <c r="N151" s="102" t="str">
        <f t="shared" si="71"/>
        <v/>
      </c>
      <c r="O151" s="90">
        <f t="shared" si="72"/>
        <v>0.33333333333333337</v>
      </c>
      <c r="P151" s="91" t="str">
        <f>IFERROR(VLOOKUP($B151,Annuaire_roster!$B:$G,MATCH(P$1,Annuaire_roster!$B$1:$G$1,0),0),"-")</f>
        <v>Google Leads</v>
      </c>
      <c r="Q151" s="100">
        <v>44765</v>
      </c>
      <c r="R151" s="10">
        <f t="shared" si="73"/>
        <v>0.33333333333333337</v>
      </c>
      <c r="S151" s="10">
        <f t="shared" si="74"/>
        <v>0.33333333333333337</v>
      </c>
      <c r="T151" s="16" t="str">
        <f t="shared" si="75"/>
        <v>Sem - 30</v>
      </c>
      <c r="U151" s="16" t="str">
        <f t="shared" si="76"/>
        <v>Juillet</v>
      </c>
      <c r="V151" s="11" t="str">
        <f t="shared" si="77"/>
        <v>2026</v>
      </c>
      <c r="W151" s="9"/>
      <c r="X151" s="5">
        <f t="shared" si="78"/>
        <v>0</v>
      </c>
      <c r="Y151" s="12" t="str">
        <f>IFERROR(VLOOKUP(B151,Annuaire_roster!B:E,4,0),"-")</f>
        <v>CHOUIFI Mustapha</v>
      </c>
      <c r="Z151" s="12" t="str">
        <f>IFERROR(VLOOKUP(B151,Annuaire_roster!B:F,3,0),"-")</f>
        <v>Google Leads</v>
      </c>
      <c r="AA151" s="12" t="str">
        <f>IFERROR(VLOOKUP(B151,Annuaire_roster!B:I,6,0),"-")</f>
        <v>Forfaitaire</v>
      </c>
      <c r="AB151" s="142" t="str">
        <f t="shared" si="79"/>
        <v/>
      </c>
      <c r="AC151" s="142" t="str">
        <f t="shared" si="80"/>
        <v/>
      </c>
      <c r="AD151" s="142" t="str">
        <f t="shared" si="81"/>
        <v/>
      </c>
      <c r="AE151" s="143" t="str">
        <f t="shared" si="82"/>
        <v/>
      </c>
      <c r="AF151" s="63"/>
      <c r="AG151" s="10"/>
    </row>
    <row r="152" spans="1:33" hidden="1" x14ac:dyDescent="0.2">
      <c r="A152" s="70">
        <f>VLOOKUP(B152,Annuaire_roster!B:F,5,0)</f>
        <v>0</v>
      </c>
      <c r="B152" s="165" t="s">
        <v>197</v>
      </c>
      <c r="C152" s="61" t="str">
        <f>IFERROR(IF(COUNTIFS(Connexions!$K:$K,$Q152,Connexions!$E:$E,VLOOKUP($B152,Mapping_Noms!$A:$B,2,0))=0,"",_xlfn.MINIFS(Connexions!$M:$M,Connexions!$K:$K,$Q152,Connexions!$E:$E,VLOOKUP($B152,Mapping_Noms!$A:$B,2,0))-TIME(1,0,0)),"")</f>
        <v/>
      </c>
      <c r="D152" s="61">
        <f t="array" ref="D152">IFERROR(INDEX(Planning2[],MATCH(1,(Planning2[Nom]=B152)*(Planning2[Date]=Q152),0),3),"-")</f>
        <v>0.45833333333333331</v>
      </c>
      <c r="E152" s="38" t="str">
        <f>IFERROR(IF(COUNTIFS(Connexions!$K:$K,$Q152,Connexions!$E:$E,VLOOKUP($B152,Mapping_Noms!$A:$B,2,0))=0,"",_xlfn.MAXIFS(Connexions!$O:$O,Connexions!$K:$K,$Q152,Connexions!$E:$E,VLOOKUP($B152,Mapping_Noms!$A:$B,2,0))-TIME(1,0,0)),"")</f>
        <v/>
      </c>
      <c r="F152" s="38">
        <f t="array" ref="F152">IFERROR(INDEX(Planning2[],MATCH(1,(Planning2[Nom]=B152)*(Planning2[Date]=Q152),0),4),"-")</f>
        <v>0.83333333333333337</v>
      </c>
      <c r="G152" s="88"/>
      <c r="H152" s="88"/>
      <c r="I152" s="235" t="str">
        <f t="shared" si="67"/>
        <v/>
      </c>
      <c r="J152" s="88"/>
      <c r="K152" s="89">
        <f t="shared" si="68"/>
        <v>0</v>
      </c>
      <c r="L152" s="88">
        <f t="shared" si="69"/>
        <v>0</v>
      </c>
      <c r="M152" s="62" t="str">
        <f t="shared" si="70"/>
        <v>Abs</v>
      </c>
      <c r="N152" s="102" t="str">
        <f t="shared" si="71"/>
        <v/>
      </c>
      <c r="O152" s="90">
        <f t="shared" si="72"/>
        <v>0.33333333333333337</v>
      </c>
      <c r="P152" s="91" t="str">
        <f>IFERROR(VLOOKUP($B152,Annuaire_roster!$B:$G,MATCH(P$1,Annuaire_roster!$B$1:$G$1,0),0),"-")</f>
        <v>Google Leads</v>
      </c>
      <c r="Q152" s="100">
        <v>44765</v>
      </c>
      <c r="R152" s="10">
        <f t="shared" si="73"/>
        <v>0.33333333333333337</v>
      </c>
      <c r="S152" s="10">
        <f t="shared" si="74"/>
        <v>0.33333333333333337</v>
      </c>
      <c r="T152" s="16" t="str">
        <f t="shared" si="75"/>
        <v>Sem - 30</v>
      </c>
      <c r="U152" s="16" t="str">
        <f t="shared" si="76"/>
        <v>Juillet</v>
      </c>
      <c r="V152" s="11" t="str">
        <f t="shared" si="77"/>
        <v>2026</v>
      </c>
      <c r="W152" s="9"/>
      <c r="X152" s="5">
        <f t="shared" si="78"/>
        <v>0</v>
      </c>
      <c r="Y152" s="12">
        <f>IFERROR(VLOOKUP(B152,Annuaire_roster!B:E,4,0),"-")</f>
        <v>0</v>
      </c>
      <c r="Z152" s="12" t="str">
        <f>IFERROR(VLOOKUP(B152,Annuaire_roster!B:F,3,0),"-")</f>
        <v>Google Leads</v>
      </c>
      <c r="AA152" s="12">
        <f>IFERROR(VLOOKUP(B152,Annuaire_roster!B:I,6,0),"-")</f>
        <v>0</v>
      </c>
      <c r="AB152" s="142" t="str">
        <f t="shared" si="79"/>
        <v/>
      </c>
      <c r="AC152" s="142" t="str">
        <f t="shared" si="80"/>
        <v/>
      </c>
      <c r="AD152" s="142" t="str">
        <f t="shared" si="81"/>
        <v/>
      </c>
      <c r="AE152" s="143" t="str">
        <f t="shared" si="82"/>
        <v/>
      </c>
      <c r="AF152" s="63"/>
      <c r="AG152" s="10"/>
    </row>
    <row r="153" spans="1:33" hidden="1" x14ac:dyDescent="0.2">
      <c r="A153" s="70">
        <f>VLOOKUP(B153,Annuaire_roster!B:F,5,0)</f>
        <v>0</v>
      </c>
      <c r="B153" s="165" t="s">
        <v>217</v>
      </c>
      <c r="C153" s="61" t="str">
        <f>IFERROR(IF(COUNTIFS(Connexions!$K:$K,$Q153,Connexions!$E:$E,VLOOKUP($B153,Mapping_Noms!$A:$B,2,0))=0,"",_xlfn.MINIFS(Connexions!$M:$M,Connexions!$K:$K,$Q153,Connexions!$E:$E,VLOOKUP($B153,Mapping_Noms!$A:$B,2,0))-TIME(1,0,0)),"")</f>
        <v/>
      </c>
      <c r="D153" s="61" t="str">
        <f t="array" ref="D153">IFERROR(INDEX(Planning2[],MATCH(1,(Planning2[Nom]=B153)*(Planning2[Date]=Q153),0),3),"-")</f>
        <v>OFF</v>
      </c>
      <c r="E153" s="38" t="str">
        <f>IFERROR(IF(COUNTIFS(Connexions!$K:$K,$Q153,Connexions!$E:$E,VLOOKUP($B153,Mapping_Noms!$A:$B,2,0))=0,"",_xlfn.MAXIFS(Connexions!$O:$O,Connexions!$K:$K,$Q153,Connexions!$E:$E,VLOOKUP($B153,Mapping_Noms!$A:$B,2,0))-TIME(1,0,0)),"")</f>
        <v/>
      </c>
      <c r="F153" s="38" t="str">
        <f t="array" ref="F153">IFERROR(INDEX(Planning2[],MATCH(1,(Planning2[Nom]=B153)*(Planning2[Date]=Q153),0),4),"-")</f>
        <v>OFF</v>
      </c>
      <c r="G153" s="88"/>
      <c r="H153" s="88"/>
      <c r="I153" s="235" t="str">
        <f t="shared" si="67"/>
        <v/>
      </c>
      <c r="J153" s="88"/>
      <c r="K153" s="89">
        <f t="shared" si="68"/>
        <v>0</v>
      </c>
      <c r="L153" s="88">
        <f t="shared" si="69"/>
        <v>0</v>
      </c>
      <c r="M153" s="62">
        <f t="shared" si="70"/>
        <v>0</v>
      </c>
      <c r="N153" s="102" t="str">
        <f t="shared" si="71"/>
        <v/>
      </c>
      <c r="O153" s="90">
        <f t="shared" si="72"/>
        <v>0</v>
      </c>
      <c r="P153" s="91" t="str">
        <f>IFERROR(VLOOKUP($B153,Annuaire_roster!$B:$G,MATCH(P$1,Annuaire_roster!$B$1:$G$1,0),0),"-")</f>
        <v>Google Leads</v>
      </c>
      <c r="Q153" s="100">
        <v>44765</v>
      </c>
      <c r="R153" s="10">
        <f t="shared" si="73"/>
        <v>0</v>
      </c>
      <c r="S153" s="10">
        <f t="shared" si="74"/>
        <v>0</v>
      </c>
      <c r="T153" s="16" t="str">
        <f t="shared" si="75"/>
        <v>Sem - 30</v>
      </c>
      <c r="U153" s="16" t="str">
        <f t="shared" si="76"/>
        <v>Juillet</v>
      </c>
      <c r="V153" s="11" t="str">
        <f t="shared" si="77"/>
        <v>2026</v>
      </c>
      <c r="W153" s="9"/>
      <c r="X153" s="5">
        <f t="shared" si="78"/>
        <v>0</v>
      </c>
      <c r="Y153" s="12">
        <f>IFERROR(VLOOKUP(B153,Annuaire_roster!B:E,4,0),"-")</f>
        <v>0</v>
      </c>
      <c r="Z153" s="12" t="str">
        <f>IFERROR(VLOOKUP(B153,Annuaire_roster!B:F,3,0),"-")</f>
        <v>Google Leads</v>
      </c>
      <c r="AA153" s="12">
        <f>IFERROR(VLOOKUP(B153,Annuaire_roster!B:I,6,0),"-")</f>
        <v>0</v>
      </c>
      <c r="AB153" s="142" t="str">
        <f t="shared" si="79"/>
        <v/>
      </c>
      <c r="AC153" s="142" t="str">
        <f t="shared" si="80"/>
        <v/>
      </c>
      <c r="AD153" s="142" t="str">
        <f t="shared" si="81"/>
        <v/>
      </c>
      <c r="AE153" s="143" t="str">
        <f t="shared" si="82"/>
        <v/>
      </c>
      <c r="AF153" s="63"/>
      <c r="AG153" s="10"/>
    </row>
    <row r="154" spans="1:33" hidden="1" x14ac:dyDescent="0.2">
      <c r="A154" s="70">
        <f>VLOOKUP(B154,Annuaire_roster!B:F,5,0)</f>
        <v>0</v>
      </c>
      <c r="B154" s="165" t="s">
        <v>219</v>
      </c>
      <c r="C154" s="61" t="str">
        <f>IFERROR(IF(COUNTIFS(Connexions!$K:$K,$Q154,Connexions!$E:$E,VLOOKUP($B154,Mapping_Noms!$A:$B,2,0))=0,"",_xlfn.MINIFS(Connexions!$M:$M,Connexions!$K:$K,$Q154,Connexions!$E:$E,VLOOKUP($B154,Mapping_Noms!$A:$B,2,0))-TIME(1,0,0)),"")</f>
        <v/>
      </c>
      <c r="D154" s="61">
        <f t="array" ref="D154">IFERROR(INDEX(Planning2[],MATCH(1,(Planning2[Nom]=B154)*(Planning2[Date]=Q154),0),3),"-")</f>
        <v>0.29166666666666669</v>
      </c>
      <c r="E154" s="38" t="str">
        <f>IFERROR(IF(COUNTIFS(Connexions!$K:$K,$Q154,Connexions!$E:$E,VLOOKUP($B154,Mapping_Noms!$A:$B,2,0))=0,"",_xlfn.MAXIFS(Connexions!$O:$O,Connexions!$K:$K,$Q154,Connexions!$E:$E,VLOOKUP($B154,Mapping_Noms!$A:$B,2,0))-TIME(1,0,0)),"")</f>
        <v/>
      </c>
      <c r="F154" s="38">
        <f t="array" ref="F154">IFERROR(INDEX(Planning2[],MATCH(1,(Planning2[Nom]=B154)*(Planning2[Date]=Q154),0),4),"-")</f>
        <v>0.70833333333333337</v>
      </c>
      <c r="G154" s="88"/>
      <c r="H154" s="88"/>
      <c r="I154" s="235" t="str">
        <f t="shared" si="67"/>
        <v/>
      </c>
      <c r="J154" s="88"/>
      <c r="K154" s="89">
        <f t="shared" si="68"/>
        <v>0</v>
      </c>
      <c r="L154" s="88">
        <f t="shared" si="69"/>
        <v>0</v>
      </c>
      <c r="M154" s="62" t="str">
        <f t="shared" si="70"/>
        <v>Abs</v>
      </c>
      <c r="N154" s="102" t="str">
        <f t="shared" si="71"/>
        <v/>
      </c>
      <c r="O154" s="90">
        <f t="shared" si="72"/>
        <v>0.375</v>
      </c>
      <c r="P154" s="91" t="str">
        <f>IFERROR(VLOOKUP($B154,Annuaire_roster!$B:$G,MATCH(P$1,Annuaire_roster!$B$1:$G$1,0),0),"-")</f>
        <v>Google Leads</v>
      </c>
      <c r="Q154" s="100">
        <v>44765</v>
      </c>
      <c r="R154" s="10">
        <f t="shared" si="73"/>
        <v>0.375</v>
      </c>
      <c r="S154" s="10">
        <f t="shared" si="74"/>
        <v>0.375</v>
      </c>
      <c r="T154" s="16" t="str">
        <f t="shared" si="75"/>
        <v>Sem - 30</v>
      </c>
      <c r="U154" s="16" t="str">
        <f t="shared" si="76"/>
        <v>Juillet</v>
      </c>
      <c r="V154" s="11" t="str">
        <f t="shared" si="77"/>
        <v>2026</v>
      </c>
      <c r="W154" s="9"/>
      <c r="X154" s="5">
        <f t="shared" si="78"/>
        <v>0</v>
      </c>
      <c r="Y154" s="12">
        <f>IFERROR(VLOOKUP(B154,Annuaire_roster!B:E,4,0),"-")</f>
        <v>0</v>
      </c>
      <c r="Z154" s="12" t="str">
        <f>IFERROR(VLOOKUP(B154,Annuaire_roster!B:F,3,0),"-")</f>
        <v>Google Leads</v>
      </c>
      <c r="AA154" s="12">
        <f>IFERROR(VLOOKUP(B154,Annuaire_roster!B:I,6,0),"-")</f>
        <v>0</v>
      </c>
      <c r="AB154" s="142" t="str">
        <f t="shared" si="79"/>
        <v/>
      </c>
      <c r="AC154" s="142" t="str">
        <f t="shared" si="80"/>
        <v/>
      </c>
      <c r="AD154" s="142" t="str">
        <f t="shared" si="81"/>
        <v/>
      </c>
      <c r="AE154" s="143" t="str">
        <f t="shared" si="82"/>
        <v/>
      </c>
      <c r="AF154" s="63"/>
      <c r="AG154" s="10"/>
    </row>
    <row r="155" spans="1:33" hidden="1" x14ac:dyDescent="0.2">
      <c r="A155" s="70">
        <f>VLOOKUP(B155,Annuaire_roster!B:F,5,0)</f>
        <v>0</v>
      </c>
      <c r="B155" s="165" t="s">
        <v>220</v>
      </c>
      <c r="C155" s="61" t="str">
        <f>IFERROR(IF(COUNTIFS(Connexions!$K:$K,$Q155,Connexions!$E:$E,VLOOKUP($B155,Mapping_Noms!$A:$B,2,0))=0,"",_xlfn.MINIFS(Connexions!$M:$M,Connexions!$K:$K,$Q155,Connexions!$E:$E,VLOOKUP($B155,Mapping_Noms!$A:$B,2,0))-TIME(1,0,0)),"")</f>
        <v/>
      </c>
      <c r="D155" s="61">
        <f t="array" ref="D155">IFERROR(INDEX(Planning2[],MATCH(1,(Planning2[Nom]=B155)*(Planning2[Date]=Q155),0),3),"-")</f>
        <v>0.29166666666666669</v>
      </c>
      <c r="E155" s="38" t="str">
        <f>IFERROR(IF(COUNTIFS(Connexions!$K:$K,$Q155,Connexions!$E:$E,VLOOKUP($B155,Mapping_Noms!$A:$B,2,0))=0,"",_xlfn.MAXIFS(Connexions!$O:$O,Connexions!$K:$K,$Q155,Connexions!$E:$E,VLOOKUP($B155,Mapping_Noms!$A:$B,2,0))-TIME(1,0,0)),"")</f>
        <v/>
      </c>
      <c r="F155" s="38">
        <f t="array" ref="F155">IFERROR(INDEX(Planning2[],MATCH(1,(Planning2[Nom]=B155)*(Planning2[Date]=Q155),0),4),"-")</f>
        <v>0.70833333333333337</v>
      </c>
      <c r="G155" s="88"/>
      <c r="H155" s="88"/>
      <c r="I155" s="235" t="str">
        <f t="shared" si="67"/>
        <v/>
      </c>
      <c r="J155" s="88"/>
      <c r="K155" s="89">
        <f t="shared" si="68"/>
        <v>0</v>
      </c>
      <c r="L155" s="88">
        <f t="shared" si="69"/>
        <v>0</v>
      </c>
      <c r="M155" s="62" t="str">
        <f t="shared" si="70"/>
        <v>Abs</v>
      </c>
      <c r="N155" s="102" t="str">
        <f t="shared" si="71"/>
        <v/>
      </c>
      <c r="O155" s="90">
        <f t="shared" si="72"/>
        <v>0.375</v>
      </c>
      <c r="P155" s="91" t="str">
        <f>IFERROR(VLOOKUP($B155,Annuaire_roster!$B:$G,MATCH(P$1,Annuaire_roster!$B$1:$G$1,0),0),"-")</f>
        <v>Google Leads</v>
      </c>
      <c r="Q155" s="100">
        <v>44765</v>
      </c>
      <c r="R155" s="10">
        <f t="shared" si="73"/>
        <v>0.375</v>
      </c>
      <c r="S155" s="10">
        <f t="shared" si="74"/>
        <v>0.375</v>
      </c>
      <c r="T155" s="16" t="str">
        <f t="shared" si="75"/>
        <v>Sem - 30</v>
      </c>
      <c r="U155" s="16" t="str">
        <f t="shared" si="76"/>
        <v>Juillet</v>
      </c>
      <c r="V155" s="11" t="str">
        <f t="shared" si="77"/>
        <v>2026</v>
      </c>
      <c r="W155" s="9"/>
      <c r="X155" s="5">
        <f t="shared" si="78"/>
        <v>0</v>
      </c>
      <c r="Y155" s="12">
        <f>IFERROR(VLOOKUP(B155,Annuaire_roster!B:E,4,0),"-")</f>
        <v>0</v>
      </c>
      <c r="Z155" s="12" t="str">
        <f>IFERROR(VLOOKUP(B155,Annuaire_roster!B:F,3,0),"-")</f>
        <v>Google Leads</v>
      </c>
      <c r="AA155" s="12">
        <f>IFERROR(VLOOKUP(B155,Annuaire_roster!B:I,6,0),"-")</f>
        <v>0</v>
      </c>
      <c r="AB155" s="142" t="str">
        <f t="shared" si="79"/>
        <v/>
      </c>
      <c r="AC155" s="142" t="str">
        <f t="shared" si="80"/>
        <v/>
      </c>
      <c r="AD155" s="142" t="str">
        <f t="shared" si="81"/>
        <v/>
      </c>
      <c r="AE155" s="143" t="str">
        <f t="shared" si="82"/>
        <v/>
      </c>
      <c r="AF155" s="63"/>
      <c r="AG155" s="10"/>
    </row>
    <row r="156" spans="1:33" hidden="1" x14ac:dyDescent="0.2">
      <c r="A156" s="70">
        <f>VLOOKUP(B156,Annuaire_roster!B:F,5,0)</f>
        <v>397</v>
      </c>
      <c r="B156" s="165" t="s">
        <v>215</v>
      </c>
      <c r="C156" s="61" t="str">
        <f>IFERROR(IF(COUNTIFS(Connexions!$K:$K,$Q156,Connexions!$E:$E,VLOOKUP($B156,Mapping_Noms!$A:$B,2,0))=0,"",_xlfn.MINIFS(Connexions!$M:$M,Connexions!$K:$K,$Q156,Connexions!$E:$E,VLOOKUP($B156,Mapping_Noms!$A:$B,2,0))-TIME(1,0,0)),"")</f>
        <v/>
      </c>
      <c r="D156" s="61">
        <f t="array" ref="D156">IFERROR(INDEX(Planning2[],MATCH(1,(Planning2[Nom]=B156)*(Planning2[Date]=Q156),0),3),"-")</f>
        <v>0.45833333333333331</v>
      </c>
      <c r="E156" s="38" t="str">
        <f>IFERROR(IF(COUNTIFS(Connexions!$K:$K,$Q156,Connexions!$E:$E,VLOOKUP($B156,Mapping_Noms!$A:$B,2,0))=0,"",_xlfn.MAXIFS(Connexions!$O:$O,Connexions!$K:$K,$Q156,Connexions!$E:$E,VLOOKUP($B156,Mapping_Noms!$A:$B,2,0))-TIME(1,0,0)),"")</f>
        <v/>
      </c>
      <c r="F156" s="38">
        <f t="array" ref="F156">IFERROR(INDEX(Planning2[],MATCH(1,(Planning2[Nom]=B156)*(Planning2[Date]=Q156),0),4),"-")</f>
        <v>0.83333333333333337</v>
      </c>
      <c r="G156" s="88"/>
      <c r="H156" s="88"/>
      <c r="I156" s="235" t="str">
        <f t="shared" si="67"/>
        <v/>
      </c>
      <c r="J156" s="88"/>
      <c r="K156" s="89">
        <f t="shared" si="68"/>
        <v>0</v>
      </c>
      <c r="L156" s="88">
        <f t="shared" si="69"/>
        <v>0</v>
      </c>
      <c r="M156" s="62" t="str">
        <f t="shared" si="70"/>
        <v>Abs</v>
      </c>
      <c r="N156" s="102" t="str">
        <f t="shared" si="71"/>
        <v/>
      </c>
      <c r="O156" s="90">
        <f t="shared" si="72"/>
        <v>0.33333333333333337</v>
      </c>
      <c r="P156" s="91" t="str">
        <f>IFERROR(VLOOKUP($B156,Annuaire_roster!$B:$G,MATCH(P$1,Annuaire_roster!$B$1:$G$1,0),0),"-")</f>
        <v>Google Leads</v>
      </c>
      <c r="Q156" s="100">
        <v>44765</v>
      </c>
      <c r="R156" s="10">
        <f t="shared" si="73"/>
        <v>0.33333333333333337</v>
      </c>
      <c r="S156" s="10">
        <f t="shared" si="74"/>
        <v>0.33333333333333337</v>
      </c>
      <c r="T156" s="16" t="str">
        <f t="shared" si="75"/>
        <v>Sem - 30</v>
      </c>
      <c r="U156" s="16" t="str">
        <f t="shared" si="76"/>
        <v>Juillet</v>
      </c>
      <c r="V156" s="11" t="str">
        <f t="shared" si="77"/>
        <v>2026</v>
      </c>
      <c r="W156" s="9"/>
      <c r="X156" s="5">
        <f t="shared" si="78"/>
        <v>0</v>
      </c>
      <c r="Y156" s="12" t="str">
        <f>IFERROR(VLOOKUP(B156,Annuaire_roster!B:E,4,0),"-")</f>
        <v>OUAQERROUCH Nour-El Houda</v>
      </c>
      <c r="Z156" s="12" t="str">
        <f>IFERROR(VLOOKUP(B156,Annuaire_roster!B:F,3,0),"-")</f>
        <v>Google Leads</v>
      </c>
      <c r="AA156" s="12" t="str">
        <f>IFERROR(VLOOKUP(B156,Annuaire_roster!B:I,6,0),"-")</f>
        <v>Forfaitaire</v>
      </c>
      <c r="AB156" s="142" t="str">
        <f t="shared" si="79"/>
        <v/>
      </c>
      <c r="AC156" s="142" t="str">
        <f t="shared" si="80"/>
        <v/>
      </c>
      <c r="AD156" s="142" t="str">
        <f t="shared" si="81"/>
        <v/>
      </c>
      <c r="AE156" s="143" t="str">
        <f t="shared" si="82"/>
        <v/>
      </c>
      <c r="AF156" s="63"/>
      <c r="AG156" s="10"/>
    </row>
    <row r="157" spans="1:33" hidden="1" x14ac:dyDescent="0.2">
      <c r="A157" s="70">
        <f>VLOOKUP(B157,Annuaire_roster!B:F,5,0)</f>
        <v>0</v>
      </c>
      <c r="B157" s="165" t="s">
        <v>198</v>
      </c>
      <c r="C157" s="61" t="str">
        <f>IFERROR(IF(COUNTIFS(Connexions!$K:$K,$Q157,Connexions!$E:$E,VLOOKUP($B157,Mapping_Noms!$A:$B,2,0))=0,"",_xlfn.MINIFS(Connexions!$M:$M,Connexions!$K:$K,$Q157,Connexions!$E:$E,VLOOKUP($B157,Mapping_Noms!$A:$B,2,0))-TIME(1,0,0)),"")</f>
        <v/>
      </c>
      <c r="D157" s="61" t="str">
        <f t="array" ref="D157">IFERROR(INDEX(Planning2[],MATCH(1,(Planning2[Nom]=B157)*(Planning2[Date]=Q157),0),3),"-")</f>
        <v>Congé</v>
      </c>
      <c r="E157" s="38" t="str">
        <f>IFERROR(IF(COUNTIFS(Connexions!$K:$K,$Q157,Connexions!$E:$E,VLOOKUP($B157,Mapping_Noms!$A:$B,2,0))=0,"",_xlfn.MAXIFS(Connexions!$O:$O,Connexions!$K:$K,$Q157,Connexions!$E:$E,VLOOKUP($B157,Mapping_Noms!$A:$B,2,0))-TIME(1,0,0)),"")</f>
        <v/>
      </c>
      <c r="F157" s="38" t="str">
        <f t="array" ref="F157">IFERROR(INDEX(Planning2[],MATCH(1,(Planning2[Nom]=B157)*(Planning2[Date]=Q157),0),4),"-")</f>
        <v>Congé</v>
      </c>
      <c r="G157" s="88"/>
      <c r="H157" s="88"/>
      <c r="I157" s="235" t="str">
        <f t="shared" si="67"/>
        <v/>
      </c>
      <c r="J157" s="88"/>
      <c r="K157" s="89">
        <f t="shared" si="68"/>
        <v>0</v>
      </c>
      <c r="L157" s="88">
        <f t="shared" si="69"/>
        <v>0</v>
      </c>
      <c r="M157" s="62">
        <f t="shared" si="70"/>
        <v>0</v>
      </c>
      <c r="N157" s="102" t="str">
        <f t="shared" si="71"/>
        <v/>
      </c>
      <c r="O157" s="90">
        <f t="shared" si="72"/>
        <v>0</v>
      </c>
      <c r="P157" s="91" t="str">
        <f>IFERROR(VLOOKUP($B157,Annuaire_roster!$B:$G,MATCH(P$1,Annuaire_roster!$B$1:$G$1,0),0),"-")</f>
        <v>Google Leads</v>
      </c>
      <c r="Q157" s="100">
        <v>44765</v>
      </c>
      <c r="R157" s="10">
        <f t="shared" si="73"/>
        <v>0</v>
      </c>
      <c r="S157" s="10">
        <f t="shared" si="74"/>
        <v>0</v>
      </c>
      <c r="T157" s="16" t="str">
        <f t="shared" si="75"/>
        <v>Sem - 30</v>
      </c>
      <c r="U157" s="16" t="str">
        <f t="shared" si="76"/>
        <v>Juillet</v>
      </c>
      <c r="V157" s="11" t="str">
        <f t="shared" si="77"/>
        <v>2026</v>
      </c>
      <c r="W157" s="9"/>
      <c r="X157" s="5">
        <f t="shared" si="78"/>
        <v>0</v>
      </c>
      <c r="Y157" s="12">
        <f>IFERROR(VLOOKUP(B157,Annuaire_roster!B:E,4,0),"-")</f>
        <v>0</v>
      </c>
      <c r="Z157" s="12" t="str">
        <f>IFERROR(VLOOKUP(B157,Annuaire_roster!B:F,3,0),"-")</f>
        <v>Google Leads</v>
      </c>
      <c r="AA157" s="12">
        <f>IFERROR(VLOOKUP(B157,Annuaire_roster!B:I,6,0),"-")</f>
        <v>0</v>
      </c>
      <c r="AB157" s="142">
        <f t="shared" si="79"/>
        <v>0.33333333333333298</v>
      </c>
      <c r="AC157" s="142" t="str">
        <f t="shared" si="80"/>
        <v/>
      </c>
      <c r="AD157" s="142" t="str">
        <f t="shared" si="81"/>
        <v/>
      </c>
      <c r="AE157" s="143" t="str">
        <f t="shared" si="82"/>
        <v/>
      </c>
      <c r="AF157" s="63"/>
      <c r="AG157" s="10"/>
    </row>
    <row r="158" spans="1:33" hidden="1" x14ac:dyDescent="0.2">
      <c r="A158" s="70">
        <f>VLOOKUP(B158,Annuaire_roster!B:F,5,0)</f>
        <v>894</v>
      </c>
      <c r="B158" s="165" t="s">
        <v>80</v>
      </c>
      <c r="C158" s="61" t="str">
        <f>IFERROR(IF(COUNTIFS(Connexions!$K:$K,$Q158,Connexions!$E:$E,VLOOKUP($B158,Mapping_Noms!$A:$B,2,0))=0,"",_xlfn.MINIFS(Connexions!$M:$M,Connexions!$K:$K,$Q158,Connexions!$E:$E,VLOOKUP($B158,Mapping_Noms!$A:$B,2,0))-TIME(1,0,0)),"")</f>
        <v/>
      </c>
      <c r="D158" s="61" t="str">
        <f t="array" ref="D158">IFERROR(INDEX(Planning2[],MATCH(1,(Planning2[Nom]=B158)*(Planning2[Date]=Q158),0),3),"-")</f>
        <v>Missionnée</v>
      </c>
      <c r="E158" s="38" t="str">
        <f>IFERROR(IF(COUNTIFS(Connexions!$K:$K,$Q158,Connexions!$E:$E,VLOOKUP($B158,Mapping_Noms!$A:$B,2,0))=0,"",_xlfn.MAXIFS(Connexions!$O:$O,Connexions!$K:$K,$Q158,Connexions!$E:$E,VLOOKUP($B158,Mapping_Noms!$A:$B,2,0))-TIME(1,0,0)),"")</f>
        <v/>
      </c>
      <c r="F158" s="38" t="str">
        <f t="array" ref="F158">IFERROR(INDEX(Planning2[],MATCH(1,(Planning2[Nom]=B158)*(Planning2[Date]=Q158),0),4),"-")</f>
        <v>Missionnée</v>
      </c>
      <c r="G158" s="88"/>
      <c r="H158" s="88"/>
      <c r="I158" s="235" t="str">
        <f t="shared" si="67"/>
        <v/>
      </c>
      <c r="J158" s="88"/>
      <c r="K158" s="89">
        <f t="shared" si="68"/>
        <v>0</v>
      </c>
      <c r="L158" s="88" t="e">
        <f t="shared" si="69"/>
        <v>#VALUE!</v>
      </c>
      <c r="M158" s="62" t="e">
        <f t="shared" si="70"/>
        <v>#VALUE!</v>
      </c>
      <c r="N158" s="102" t="str">
        <f t="shared" si="71"/>
        <v/>
      </c>
      <c r="O158" s="90" t="e">
        <f t="shared" si="72"/>
        <v>#VALUE!</v>
      </c>
      <c r="P158" s="91" t="str">
        <f>IFERROR(VLOOKUP($B158,Annuaire_roster!$B:$G,MATCH(P$1,Annuaire_roster!$B$1:$G$1,0),0),"-")</f>
        <v>Google Leads</v>
      </c>
      <c r="Q158" s="100">
        <v>44765</v>
      </c>
      <c r="R158" s="10" t="e">
        <f t="shared" si="73"/>
        <v>#VALUE!</v>
      </c>
      <c r="S158" s="10" t="e">
        <f t="shared" si="74"/>
        <v>#VALUE!</v>
      </c>
      <c r="T158" s="16" t="str">
        <f t="shared" si="75"/>
        <v>Sem - 30</v>
      </c>
      <c r="U158" s="16" t="str">
        <f t="shared" si="76"/>
        <v>Juillet</v>
      </c>
      <c r="V158" s="11" t="str">
        <f t="shared" si="77"/>
        <v>2026</v>
      </c>
      <c r="W158" s="9"/>
      <c r="X158" s="5">
        <f t="shared" si="78"/>
        <v>0</v>
      </c>
      <c r="Y158" s="12" t="str">
        <f>IFERROR(VLOOKUP(B158,Annuaire_roster!B:E,4,0),"-")</f>
        <v>OUAQERROUCH Nour-El Houda</v>
      </c>
      <c r="Z158" s="12" t="str">
        <f>IFERROR(VLOOKUP(B158,Annuaire_roster!B:F,3,0),"-")</f>
        <v>Google Leads</v>
      </c>
      <c r="AA158" s="12" t="str">
        <f>IFERROR(VLOOKUP(B158,Annuaire_roster!B:I,6,0),"-")</f>
        <v>Forfaitaire</v>
      </c>
      <c r="AB158" s="142" t="str">
        <f t="shared" si="79"/>
        <v/>
      </c>
      <c r="AC158" s="142" t="str">
        <f t="shared" si="80"/>
        <v/>
      </c>
      <c r="AD158" s="142" t="str">
        <f t="shared" si="81"/>
        <v/>
      </c>
      <c r="AE158" s="143" t="str">
        <f t="shared" si="82"/>
        <v/>
      </c>
      <c r="AF158" s="63"/>
      <c r="AG158" s="10"/>
    </row>
    <row r="159" spans="1:33" hidden="1" x14ac:dyDescent="0.2">
      <c r="A159" s="70">
        <f>VLOOKUP(B159,Annuaire_roster!B:F,5,0)</f>
        <v>949</v>
      </c>
      <c r="B159" s="165" t="s">
        <v>85</v>
      </c>
      <c r="C159" s="61" t="str">
        <f>IFERROR(IF(COUNTIFS(Connexions!$K:$K,$Q159,Connexions!$E:$E,VLOOKUP($B159,Mapping_Noms!$A:$B,2,0))=0,"",_xlfn.MINIFS(Connexions!$M:$M,Connexions!$K:$K,$Q159,Connexions!$E:$E,VLOOKUP($B159,Mapping_Noms!$A:$B,2,0))-TIME(1,0,0)),"")</f>
        <v/>
      </c>
      <c r="D159" s="61">
        <f t="array" ref="D159">IFERROR(INDEX(Planning2[],MATCH(1,(Planning2[Nom]=B159)*(Planning2[Date]=Q159),0),3),"-")</f>
        <v>0.45833333333333331</v>
      </c>
      <c r="E159" s="38" t="str">
        <f>IFERROR(IF(COUNTIFS(Connexions!$K:$K,$Q159,Connexions!$E:$E,VLOOKUP($B159,Mapping_Noms!$A:$B,2,0))=0,"",_xlfn.MAXIFS(Connexions!$O:$O,Connexions!$K:$K,$Q159,Connexions!$E:$E,VLOOKUP($B159,Mapping_Noms!$A:$B,2,0))-TIME(1,0,0)),"")</f>
        <v/>
      </c>
      <c r="F159" s="38">
        <f t="array" ref="F159">IFERROR(INDEX(Planning2[],MATCH(1,(Planning2[Nom]=B159)*(Planning2[Date]=Q159),0),4),"-")</f>
        <v>0.83333333333333337</v>
      </c>
      <c r="G159" s="88"/>
      <c r="H159" s="88"/>
      <c r="I159" s="235" t="str">
        <f t="shared" si="67"/>
        <v/>
      </c>
      <c r="J159" s="88"/>
      <c r="K159" s="89">
        <f t="shared" si="68"/>
        <v>0</v>
      </c>
      <c r="L159" s="88">
        <f t="shared" si="69"/>
        <v>0</v>
      </c>
      <c r="M159" s="62" t="str">
        <f t="shared" si="70"/>
        <v>Abs</v>
      </c>
      <c r="N159" s="102" t="str">
        <f t="shared" si="71"/>
        <v/>
      </c>
      <c r="O159" s="90">
        <f t="shared" si="72"/>
        <v>0.33333333333333337</v>
      </c>
      <c r="P159" s="91" t="str">
        <f>IFERROR(VLOOKUP($B159,Annuaire_roster!$B:$G,MATCH(P$1,Annuaire_roster!$B$1:$G$1,0),0),"-")</f>
        <v>Google Leads</v>
      </c>
      <c r="Q159" s="100">
        <v>44765</v>
      </c>
      <c r="R159" s="10">
        <f t="shared" si="73"/>
        <v>0.33333333333333337</v>
      </c>
      <c r="S159" s="10">
        <f t="shared" si="74"/>
        <v>0.33333333333333337</v>
      </c>
      <c r="T159" s="16" t="str">
        <f t="shared" si="75"/>
        <v>Sem - 30</v>
      </c>
      <c r="U159" s="16" t="str">
        <f t="shared" si="76"/>
        <v>Juillet</v>
      </c>
      <c r="V159" s="11" t="str">
        <f t="shared" si="77"/>
        <v>2026</v>
      </c>
      <c r="W159" s="9"/>
      <c r="X159" s="5">
        <f t="shared" si="78"/>
        <v>0</v>
      </c>
      <c r="Y159" s="12" t="str">
        <f>IFERROR(VLOOKUP(B159,Annuaire_roster!B:E,4,0),"-")</f>
        <v>CHOUIFI Mustapha</v>
      </c>
      <c r="Z159" s="12" t="str">
        <f>IFERROR(VLOOKUP(B159,Annuaire_roster!B:F,3,0),"-")</f>
        <v>Google Leads</v>
      </c>
      <c r="AA159" s="12" t="str">
        <f>IFERROR(VLOOKUP(B159,Annuaire_roster!B:I,6,0),"-")</f>
        <v>Forfaitaire</v>
      </c>
      <c r="AB159" s="142" t="str">
        <f t="shared" si="79"/>
        <v/>
      </c>
      <c r="AC159" s="142" t="str">
        <f t="shared" si="80"/>
        <v/>
      </c>
      <c r="AD159" s="142" t="str">
        <f t="shared" si="81"/>
        <v/>
      </c>
      <c r="AE159" s="143" t="str">
        <f t="shared" si="82"/>
        <v/>
      </c>
      <c r="AF159" s="63"/>
      <c r="AG159" s="10"/>
    </row>
    <row r="160" spans="1:33" hidden="1" x14ac:dyDescent="0.2">
      <c r="A160" s="70">
        <f>VLOOKUP(B160,Annuaire_roster!B:F,5,0)</f>
        <v>0</v>
      </c>
      <c r="B160" s="165" t="s">
        <v>209</v>
      </c>
      <c r="C160" s="61" t="str">
        <f>IFERROR(IF(COUNTIFS(Connexions!$K:$K,$Q160,Connexions!$E:$E,VLOOKUP($B160,Mapping_Noms!$A:$B,2,0))=0,"",_xlfn.MINIFS(Connexions!$M:$M,Connexions!$K:$K,$Q160,Connexions!$E:$E,VLOOKUP($B160,Mapping_Noms!$A:$B,2,0))-TIME(1,0,0)),"")</f>
        <v/>
      </c>
      <c r="D160" s="61">
        <f t="array" ref="D160">IFERROR(INDEX(Planning2[],MATCH(1,(Planning2[Nom]=B160)*(Planning2[Date]=Q160),0),3),"-")</f>
        <v>0.375</v>
      </c>
      <c r="E160" s="38" t="str">
        <f>IFERROR(IF(COUNTIFS(Connexions!$K:$K,$Q160,Connexions!$E:$E,VLOOKUP($B160,Mapping_Noms!$A:$B,2,0))=0,"",_xlfn.MAXIFS(Connexions!$O:$O,Connexions!$K:$K,$Q160,Connexions!$E:$E,VLOOKUP($B160,Mapping_Noms!$A:$B,2,0))-TIME(1,0,0)),"")</f>
        <v/>
      </c>
      <c r="F160" s="38">
        <f t="array" ref="F160">IFERROR(INDEX(Planning2[],MATCH(1,(Planning2[Nom]=B160)*(Planning2[Date]=Q160),0),4),"-")</f>
        <v>0.79166666666666663</v>
      </c>
      <c r="G160" s="88"/>
      <c r="H160" s="88"/>
      <c r="I160" s="235" t="str">
        <f t="shared" si="67"/>
        <v/>
      </c>
      <c r="J160" s="88"/>
      <c r="K160" s="89">
        <f t="shared" si="68"/>
        <v>0</v>
      </c>
      <c r="L160" s="88">
        <f t="shared" si="69"/>
        <v>0</v>
      </c>
      <c r="M160" s="62" t="str">
        <f t="shared" si="70"/>
        <v>Abs</v>
      </c>
      <c r="N160" s="102" t="str">
        <f t="shared" si="71"/>
        <v/>
      </c>
      <c r="O160" s="90">
        <f t="shared" si="72"/>
        <v>0.37499999999999994</v>
      </c>
      <c r="P160" s="91" t="str">
        <f>IFERROR(VLOOKUP($B160,Annuaire_roster!$B:$G,MATCH(P$1,Annuaire_roster!$B$1:$G$1,0),0),"-")</f>
        <v>Google Leads</v>
      </c>
      <c r="Q160" s="100">
        <v>44765</v>
      </c>
      <c r="R160" s="10">
        <f t="shared" si="73"/>
        <v>0.37499999999999994</v>
      </c>
      <c r="S160" s="10">
        <f t="shared" si="74"/>
        <v>0.37499999999999994</v>
      </c>
      <c r="T160" s="16" t="str">
        <f t="shared" si="75"/>
        <v>Sem - 30</v>
      </c>
      <c r="U160" s="16" t="str">
        <f t="shared" si="76"/>
        <v>Juillet</v>
      </c>
      <c r="V160" s="11" t="str">
        <f t="shared" si="77"/>
        <v>2026</v>
      </c>
      <c r="W160" s="9"/>
      <c r="X160" s="5">
        <f t="shared" si="78"/>
        <v>0</v>
      </c>
      <c r="Y160" s="12">
        <f>IFERROR(VLOOKUP(B160,Annuaire_roster!B:E,4,0),"-")</f>
        <v>0</v>
      </c>
      <c r="Z160" s="12" t="str">
        <f>IFERROR(VLOOKUP(B160,Annuaire_roster!B:F,3,0),"-")</f>
        <v>Google Leads</v>
      </c>
      <c r="AA160" s="12">
        <f>IFERROR(VLOOKUP(B160,Annuaire_roster!B:I,6,0),"-")</f>
        <v>0</v>
      </c>
      <c r="AB160" s="142" t="str">
        <f t="shared" si="79"/>
        <v/>
      </c>
      <c r="AC160" s="142" t="str">
        <f t="shared" si="80"/>
        <v/>
      </c>
      <c r="AD160" s="142" t="str">
        <f t="shared" si="81"/>
        <v/>
      </c>
      <c r="AE160" s="143" t="str">
        <f t="shared" si="82"/>
        <v/>
      </c>
      <c r="AF160" s="63"/>
      <c r="AG160" s="10"/>
    </row>
    <row r="161" spans="1:33" hidden="1" x14ac:dyDescent="0.2">
      <c r="A161" s="70">
        <f>VLOOKUP(B161,Annuaire_roster!B:F,5,0)</f>
        <v>0</v>
      </c>
      <c r="B161" s="165" t="s">
        <v>216</v>
      </c>
      <c r="C161" s="61" t="str">
        <f>IFERROR(IF(COUNTIFS(Connexions!$K:$K,$Q161,Connexions!$E:$E,VLOOKUP($B161,Mapping_Noms!$A:$B,2,0))=0,"",_xlfn.MINIFS(Connexions!$M:$M,Connexions!$K:$K,$Q161,Connexions!$E:$E,VLOOKUP($B161,Mapping_Noms!$A:$B,2,0))-TIME(1,0,0)),"")</f>
        <v/>
      </c>
      <c r="D161" s="61" t="str">
        <f t="array" ref="D161">IFERROR(INDEX(Planning2[],MATCH(1,(Planning2[Nom]=B161)*(Planning2[Date]=Q161),0),3),"-")</f>
        <v>OFF</v>
      </c>
      <c r="E161" s="38" t="str">
        <f>IFERROR(IF(COUNTIFS(Connexions!$K:$K,$Q161,Connexions!$E:$E,VLOOKUP($B161,Mapping_Noms!$A:$B,2,0))=0,"",_xlfn.MAXIFS(Connexions!$O:$O,Connexions!$K:$K,$Q161,Connexions!$E:$E,VLOOKUP($B161,Mapping_Noms!$A:$B,2,0))-TIME(1,0,0)),"")</f>
        <v/>
      </c>
      <c r="F161" s="38" t="str">
        <f t="array" ref="F161">IFERROR(INDEX(Planning2[],MATCH(1,(Planning2[Nom]=B161)*(Planning2[Date]=Q161),0),4),"-")</f>
        <v>OFF</v>
      </c>
      <c r="G161" s="88"/>
      <c r="H161" s="88"/>
      <c r="I161" s="235" t="str">
        <f t="shared" si="67"/>
        <v/>
      </c>
      <c r="J161" s="88"/>
      <c r="K161" s="89">
        <f t="shared" si="68"/>
        <v>0</v>
      </c>
      <c r="L161" s="88">
        <f t="shared" si="69"/>
        <v>0</v>
      </c>
      <c r="M161" s="62">
        <f t="shared" si="70"/>
        <v>0</v>
      </c>
      <c r="N161" s="102" t="str">
        <f t="shared" si="71"/>
        <v/>
      </c>
      <c r="O161" s="90">
        <f t="shared" si="72"/>
        <v>0</v>
      </c>
      <c r="P161" s="91" t="str">
        <f>IFERROR(VLOOKUP($B161,Annuaire_roster!$B:$G,MATCH(P$1,Annuaire_roster!$B$1:$G$1,0),0),"-")</f>
        <v>Google Leads</v>
      </c>
      <c r="Q161" s="100">
        <v>44765</v>
      </c>
      <c r="R161" s="10">
        <f t="shared" si="73"/>
        <v>0</v>
      </c>
      <c r="S161" s="10">
        <f t="shared" si="74"/>
        <v>0</v>
      </c>
      <c r="T161" s="16" t="str">
        <f t="shared" si="75"/>
        <v>Sem - 30</v>
      </c>
      <c r="U161" s="16" t="str">
        <f t="shared" si="76"/>
        <v>Juillet</v>
      </c>
      <c r="V161" s="11" t="str">
        <f t="shared" si="77"/>
        <v>2026</v>
      </c>
      <c r="W161" s="9"/>
      <c r="X161" s="5">
        <f t="shared" si="78"/>
        <v>0</v>
      </c>
      <c r="Y161" s="12">
        <f>IFERROR(VLOOKUP(B161,Annuaire_roster!B:E,4,0),"-")</f>
        <v>0</v>
      </c>
      <c r="Z161" s="12" t="str">
        <f>IFERROR(VLOOKUP(B161,Annuaire_roster!B:F,3,0),"-")</f>
        <v>Google Leads</v>
      </c>
      <c r="AA161" s="12">
        <f>IFERROR(VLOOKUP(B161,Annuaire_roster!B:I,6,0),"-")</f>
        <v>0</v>
      </c>
      <c r="AB161" s="142" t="str">
        <f t="shared" si="79"/>
        <v/>
      </c>
      <c r="AC161" s="142" t="str">
        <f t="shared" si="80"/>
        <v/>
      </c>
      <c r="AD161" s="142" t="str">
        <f t="shared" si="81"/>
        <v/>
      </c>
      <c r="AE161" s="143" t="str">
        <f t="shared" si="82"/>
        <v/>
      </c>
      <c r="AF161" s="63"/>
      <c r="AG161" s="10"/>
    </row>
    <row r="162" spans="1:33" hidden="1" x14ac:dyDescent="0.2">
      <c r="A162" s="70">
        <f>VLOOKUP(B162,Annuaire_roster!B:F,5,0)</f>
        <v>364</v>
      </c>
      <c r="B162" s="165" t="s">
        <v>213</v>
      </c>
      <c r="C162" s="61" t="str">
        <f>IFERROR(IF(COUNTIFS(Connexions!$K:$K,$Q162,Connexions!$E:$E,VLOOKUP($B162,Mapping_Noms!$A:$B,2,0))=0,"",_xlfn.MINIFS(Connexions!$M:$M,Connexions!$K:$K,$Q162,Connexions!$E:$E,VLOOKUP($B162,Mapping_Noms!$A:$B,2,0))-TIME(1,0,0)),"")</f>
        <v/>
      </c>
      <c r="D162" s="61">
        <f t="array" ref="D162">IFERROR(INDEX(Planning2[],MATCH(1,(Planning2[Nom]=B162)*(Planning2[Date]=Q162),0),3),"-")</f>
        <v>0.41666666666666669</v>
      </c>
      <c r="E162" s="38" t="str">
        <f>IFERROR(IF(COUNTIFS(Connexions!$K:$K,$Q162,Connexions!$E:$E,VLOOKUP($B162,Mapping_Noms!$A:$B,2,0))=0,"",_xlfn.MAXIFS(Connexions!$O:$O,Connexions!$K:$K,$Q162,Connexions!$E:$E,VLOOKUP($B162,Mapping_Noms!$A:$B,2,0))-TIME(1,0,0)),"")</f>
        <v/>
      </c>
      <c r="F162" s="38">
        <f t="array" ref="F162">IFERROR(INDEX(Planning2[],MATCH(1,(Planning2[Nom]=B162)*(Planning2[Date]=Q162),0),4),"-")</f>
        <v>0.83333333333333337</v>
      </c>
      <c r="G162" s="88"/>
      <c r="H162" s="88"/>
      <c r="I162" s="235" t="str">
        <f t="shared" ref="I162:I193" si="83">IF(IF(OR(C162="",D162="Congé",D162="OFF",D162="Congé spécial"),"",IF(D162&gt;F162,D162-C162,IF(C162-D162&lt;0,0,C162-D162)))&lt;0.00068287037037037,"",IF(OR(D162="Congé",D162="OFF",C162="",D162="Congé spécial"),"",IF(D162&gt;F162,D162-C162,IF(C162-D162&lt;0,0,C162-D162))))</f>
        <v/>
      </c>
      <c r="J162" s="88"/>
      <c r="K162" s="89">
        <f t="shared" ref="K162:K193" si="84">IF(SUM(H162:J162)&lt;0.00068287037037037,0,SUM(H162:J162))</f>
        <v>0</v>
      </c>
      <c r="L162" s="88">
        <f t="shared" ref="L162:L193" si="85">IF(OR(F162="Congé",F162="OFF",M162="Abs",F162="Congé sans solde",F162="Férié",F162="Congé spécial",D162="Congé spécial"),0,IF(F162-E162&lt;0,0,IF(F162-E162&lt;=0.00068287037037037,0,F162-E162)))</f>
        <v>0</v>
      </c>
      <c r="M162" s="62" t="str">
        <f t="shared" ref="M162:M193" si="86">IF(AND(O162&lt;&gt;0,C162=""),"Abs",0)</f>
        <v>Abs</v>
      </c>
      <c r="N162" s="102" t="str">
        <f t="shared" ref="N162:N193" si="87">IFERROR(IF(OR(D162="OFF",D162="Congé",M162="Abs",D162="Congé sans solde",D162="Férié"),"",IF(O162-K162-L162&gt;O162,O162,IF(O162-K162-L162&lt;0,"",O162-K162-L162))),"")</f>
        <v/>
      </c>
      <c r="O162" s="90">
        <f t="shared" ref="O162:O193" si="88">IF(AG162="2H Pause déjeuner",IF(F162-D162-0.0833333333333333&lt;0,F162-D162-0.0833333333333333+1,F162-D162-0.0833333333333333),IF(OR(AND(F162="OFF",D162="OFF"),AND(F162="Congé",D162="Congé"),AND(F162="Congé sans solde",D162="Congé sans solde"),AND(F162="Congé spécial",D162="Congé spécial"),AND(F162="Férié",D162="Férié"),AND(F162="OFF",D162="Congé"),AND(F162="OFF",D162="Congé sans solde"),AND(F162="OFF",D162="Congé spécial"),AND(F162="OFF",D162="Férié"),AND(F162="Congé",D162="OFF"),AND(F162="Congé",D162="Congé sans solde"),AND(F162="Congé",D162="Congé spécial"),AND(F162="Congé",D162="Férié"),AND(F162="Congé sans solde",D162="OFF"),AND(F162="Congé sans solde",D162="Congé"),AND(F162="Congé sans solde",D162="Congé spécial"),AND(F162="Congé sans solde",D162="Férié"),AND(F162="Congé spécial",D162="OFF"),AND(F162="Congé spécial",D162="Congé"),AND(F162="Congé spécial",D162="Congé sans solde"),AND(F162="Congé spécial",D162="Férié"),AND(F162="Férié",D162="OFF"),AND(F162="Férié",D162="Congé"),AND(F162="Férié",D162="Congé sans solde"),AND(F162="Férié",D162="Congé spécial")),0,IF(OR(F162="OFF",F162="Congé",F162="Congé spécial",F162="Congé sans solde",D162="OFF",D162="Congé",D162="Congé spécial",D162="Congé sans solde"),0.208333333333334,IF(AND(AG162="",F162-D162&lt;0),("24:00:00"-D162)+("00:00:00"+F162)-0.0416666666666667,IF(AND(OR(AG162="Allaitement",AG162="Sans déjeuner"),F162-D162&lt;0),("24:00:00"-D162)+("00:00:00"+F162),IF(AND(AG162="",F162-D162&gt;0.166666666666667),F162-D162-0.0416666666666667,IF(AND(OR(AG162="Allaitement",AG162="Sans déjeuner"),F162-D162&gt;0.166666666666667),F162-D162,F162-D162)))))))</f>
        <v>0.375</v>
      </c>
      <c r="P162" s="91" t="str">
        <f>IFERROR(VLOOKUP($B162,Annuaire_roster!$B:$G,MATCH(P$1,Annuaire_roster!$B$1:$G$1,0),0),"-")</f>
        <v>Google Leads</v>
      </c>
      <c r="Q162" s="100">
        <v>44766</v>
      </c>
      <c r="R162" s="10">
        <f t="shared" ref="R162:R193" si="89">IF(M162="Abs",O162,0)</f>
        <v>0.375</v>
      </c>
      <c r="S162" s="10">
        <f t="shared" ref="S162:S193" si="90">SUM(R162,L162,I162,J162,W162,H162)</f>
        <v>0.375</v>
      </c>
      <c r="T162" s="16" t="str">
        <f t="shared" ref="T162:T193" si="91">"Sem - "&amp;WEEKNUM(Q162,21)</f>
        <v>Sem - 30</v>
      </c>
      <c r="U162" s="16" t="str">
        <f t="shared" ref="U162:U193" si="92">PROPER(TEXT(Q162,"mmmm"))</f>
        <v>Juillet</v>
      </c>
      <c r="V162" s="11" t="str">
        <f t="shared" ref="V162:V193" si="93">+TEXT(Q162,"aaa")</f>
        <v>2026</v>
      </c>
      <c r="W162" s="9"/>
      <c r="X162" s="5">
        <f t="shared" ref="X162:X193" si="94">IFERROR(IF(M162="Abs",0,IF((D162-C162+E162-F162)&lt;0.000694444444444444,0,(D162-C162+E162-F162))),0)</f>
        <v>0</v>
      </c>
      <c r="Y162" s="12" t="str">
        <f>IFERROR(VLOOKUP(B162,Annuaire_roster!B:E,4,0),"-")</f>
        <v>OUAQERROUCH Nour-El Houda</v>
      </c>
      <c r="Z162" s="12" t="str">
        <f>IFERROR(VLOOKUP(B162,Annuaire_roster!B:F,3,0),"-")</f>
        <v>Google Leads</v>
      </c>
      <c r="AA162" s="12" t="str">
        <f>IFERROR(VLOOKUP(B162,Annuaire_roster!B:I,6,0),"-")</f>
        <v>Forfaitaire</v>
      </c>
      <c r="AB162" s="142" t="str">
        <f t="shared" ref="AB162:AB193" si="95">IF(AND(D162="Congé",F162="Congé"),0.333333333333333,IF(OR(AND(D162="Congé",F162&lt;&gt;"Congé"),(AND(F162="Congé",D162&lt;&gt;"Congé"))),0.166666666666667,""))</f>
        <v/>
      </c>
      <c r="AC162" s="142" t="str">
        <f t="shared" ref="AC162:AC193" si="96">IF(AND(D162="Congé sans solde",F162="Congé sans solde"),0.333333333333333,IF(OR(AND(D162="Congé sans solde",F162&lt;&gt;"Congé sans solde"),(AND(F162="Congé sans solde",D162&lt;&gt;"Congé sans solde"))),0.166666666666667,""))</f>
        <v/>
      </c>
      <c r="AD162" s="142" t="str">
        <f t="shared" ref="AD162:AD193" si="97">IF(AND(D162="Congé spécial",F162="Congé spécial"),0.333333333333333,IF(OR(AND(D162="Congé spécial",F162&lt;&gt;"Congé décès"),(AND(F162="Congé spécial",D162&lt;&gt;"Congé spécial"))),0.166666666666667,""))</f>
        <v/>
      </c>
      <c r="AE162" s="143" t="str">
        <f t="shared" ref="AE162:AE193" si="98">IF(AND(D162="Férié",F162="Férié"),0.333333333333333,IF(OR(AND(D162="Férié",F162&lt;&gt;"Férié"),(AND(F162="Férié",D162&lt;&gt;"Férié"))),0.166666666666667,""))</f>
        <v/>
      </c>
      <c r="AF162" s="63"/>
      <c r="AG162" s="10"/>
    </row>
    <row r="163" spans="1:33" hidden="1" x14ac:dyDescent="0.2">
      <c r="A163" s="70">
        <f>VLOOKUP(B163,Annuaire_roster!B:F,5,0)</f>
        <v>669</v>
      </c>
      <c r="B163" s="165" t="s">
        <v>45</v>
      </c>
      <c r="C163" s="61" t="str">
        <f>IFERROR(IF(COUNTIFS(Connexions!$K:$K,$Q163,Connexions!$E:$E,VLOOKUP($B163,Mapping_Noms!$A:$B,2,0))=0,"",_xlfn.MINIFS(Connexions!$M:$M,Connexions!$K:$K,$Q163,Connexions!$E:$E,VLOOKUP($B163,Mapping_Noms!$A:$B,2,0))-TIME(1,0,0)),"")</f>
        <v/>
      </c>
      <c r="D163" s="61">
        <f t="array" ref="D163">IFERROR(INDEX(Planning2[],MATCH(1,(Planning2[Nom]=B163)*(Planning2[Date]=Q163),0),3),"-")</f>
        <v>0.29166666666666669</v>
      </c>
      <c r="E163" s="38" t="str">
        <f>IFERROR(IF(COUNTIFS(Connexions!$K:$K,$Q163,Connexions!$E:$E,VLOOKUP($B163,Mapping_Noms!$A:$B,2,0))=0,"",_xlfn.MAXIFS(Connexions!$O:$O,Connexions!$K:$K,$Q163,Connexions!$E:$E,VLOOKUP($B163,Mapping_Noms!$A:$B,2,0))-TIME(1,0,0)),"")</f>
        <v/>
      </c>
      <c r="F163" s="38">
        <f t="array" ref="F163">IFERROR(INDEX(Planning2[],MATCH(1,(Planning2[Nom]=B163)*(Planning2[Date]=Q163),0),4),"-")</f>
        <v>0.66666666666666663</v>
      </c>
      <c r="G163" s="88"/>
      <c r="H163" s="88"/>
      <c r="I163" s="235" t="str">
        <f t="shared" si="83"/>
        <v/>
      </c>
      <c r="J163" s="88"/>
      <c r="K163" s="89">
        <f t="shared" si="84"/>
        <v>0</v>
      </c>
      <c r="L163" s="88">
        <f t="shared" si="85"/>
        <v>0</v>
      </c>
      <c r="M163" s="62" t="str">
        <f t="shared" si="86"/>
        <v>Abs</v>
      </c>
      <c r="N163" s="102" t="str">
        <f t="shared" si="87"/>
        <v/>
      </c>
      <c r="O163" s="90">
        <f t="shared" si="88"/>
        <v>0.33333333333333326</v>
      </c>
      <c r="P163" s="91" t="str">
        <f>IFERROR(VLOOKUP($B163,Annuaire_roster!$B:$G,MATCH(P$1,Annuaire_roster!$B$1:$G$1,0),0),"-")</f>
        <v>Google Leads</v>
      </c>
      <c r="Q163" s="100">
        <v>44766</v>
      </c>
      <c r="R163" s="10">
        <f t="shared" si="89"/>
        <v>0.33333333333333326</v>
      </c>
      <c r="S163" s="10">
        <f t="shared" si="90"/>
        <v>0.33333333333333326</v>
      </c>
      <c r="T163" s="16" t="str">
        <f t="shared" si="91"/>
        <v>Sem - 30</v>
      </c>
      <c r="U163" s="16" t="str">
        <f t="shared" si="92"/>
        <v>Juillet</v>
      </c>
      <c r="V163" s="11" t="str">
        <f t="shared" si="93"/>
        <v>2026</v>
      </c>
      <c r="W163" s="9"/>
      <c r="X163" s="5">
        <f t="shared" si="94"/>
        <v>0</v>
      </c>
      <c r="Y163" s="12" t="str">
        <f>IFERROR(VLOOKUP(B163,Annuaire_roster!B:E,4,0),"-")</f>
        <v>CHOUIFI Mustapha</v>
      </c>
      <c r="Z163" s="12" t="str">
        <f>IFERROR(VLOOKUP(B163,Annuaire_roster!B:F,3,0),"-")</f>
        <v>Google Leads</v>
      </c>
      <c r="AA163" s="12" t="str">
        <f>IFERROR(VLOOKUP(B163,Annuaire_roster!B:I,6,0),"-")</f>
        <v>Forfaitaire</v>
      </c>
      <c r="AB163" s="142" t="str">
        <f t="shared" si="95"/>
        <v/>
      </c>
      <c r="AC163" s="142" t="str">
        <f t="shared" si="96"/>
        <v/>
      </c>
      <c r="AD163" s="142" t="str">
        <f t="shared" si="97"/>
        <v/>
      </c>
      <c r="AE163" s="143" t="str">
        <f t="shared" si="98"/>
        <v/>
      </c>
      <c r="AF163" s="63"/>
      <c r="AG163" s="10"/>
    </row>
    <row r="164" spans="1:33" hidden="1" x14ac:dyDescent="0.2">
      <c r="A164" s="70">
        <f>VLOOKUP(B164,Annuaire_roster!B:F,5,0)</f>
        <v>949</v>
      </c>
      <c r="B164" s="165" t="s">
        <v>85</v>
      </c>
      <c r="C164" s="61" t="str">
        <f>IFERROR(IF(COUNTIFS(Connexions!$K:$K,$Q164,Connexions!$E:$E,VLOOKUP($B164,Mapping_Noms!$A:$B,2,0))=0,"",_xlfn.MINIFS(Connexions!$M:$M,Connexions!$K:$K,$Q164,Connexions!$E:$E,VLOOKUP($B164,Mapping_Noms!$A:$B,2,0))-TIME(1,0,0)),"")</f>
        <v/>
      </c>
      <c r="D164" s="61" t="str">
        <f t="array" ref="D164">IFERROR(INDEX(Planning2[],MATCH(1,(Planning2[Nom]=B164)*(Planning2[Date]=Q164),0),3),"-")</f>
        <v>OFF</v>
      </c>
      <c r="E164" s="38" t="str">
        <f>IFERROR(IF(COUNTIFS(Connexions!$K:$K,$Q164,Connexions!$E:$E,VLOOKUP($B164,Mapping_Noms!$A:$B,2,0))=0,"",_xlfn.MAXIFS(Connexions!$O:$O,Connexions!$K:$K,$Q164,Connexions!$E:$E,VLOOKUP($B164,Mapping_Noms!$A:$B,2,0))-TIME(1,0,0)),"")</f>
        <v/>
      </c>
      <c r="F164" s="38" t="str">
        <f t="array" ref="F164">IFERROR(INDEX(Planning2[],MATCH(1,(Planning2[Nom]=B164)*(Planning2[Date]=Q164),0),4),"-")</f>
        <v>OFF</v>
      </c>
      <c r="G164" s="88"/>
      <c r="H164" s="88"/>
      <c r="I164" s="235" t="str">
        <f t="shared" si="83"/>
        <v/>
      </c>
      <c r="J164" s="88"/>
      <c r="K164" s="89">
        <f t="shared" si="84"/>
        <v>0</v>
      </c>
      <c r="L164" s="88">
        <f t="shared" si="85"/>
        <v>0</v>
      </c>
      <c r="M164" s="62">
        <f t="shared" si="86"/>
        <v>0</v>
      </c>
      <c r="N164" s="102" t="str">
        <f t="shared" si="87"/>
        <v/>
      </c>
      <c r="O164" s="90">
        <f t="shared" si="88"/>
        <v>0</v>
      </c>
      <c r="P164" s="91" t="str">
        <f>IFERROR(VLOOKUP($B164,Annuaire_roster!$B:$G,MATCH(P$1,Annuaire_roster!$B$1:$G$1,0),0),"-")</f>
        <v>Google Leads</v>
      </c>
      <c r="Q164" s="100">
        <v>44766</v>
      </c>
      <c r="R164" s="10">
        <f t="shared" si="89"/>
        <v>0</v>
      </c>
      <c r="S164" s="10">
        <f t="shared" si="90"/>
        <v>0</v>
      </c>
      <c r="T164" s="16" t="str">
        <f t="shared" si="91"/>
        <v>Sem - 30</v>
      </c>
      <c r="U164" s="16" t="str">
        <f t="shared" si="92"/>
        <v>Juillet</v>
      </c>
      <c r="V164" s="11" t="str">
        <f t="shared" si="93"/>
        <v>2026</v>
      </c>
      <c r="W164" s="9"/>
      <c r="X164" s="5">
        <f t="shared" si="94"/>
        <v>0</v>
      </c>
      <c r="Y164" s="12" t="str">
        <f>IFERROR(VLOOKUP(B164,Annuaire_roster!B:E,4,0),"-")</f>
        <v>CHOUIFI Mustapha</v>
      </c>
      <c r="Z164" s="12" t="str">
        <f>IFERROR(VLOOKUP(B164,Annuaire_roster!B:F,3,0),"-")</f>
        <v>Google Leads</v>
      </c>
      <c r="AA164" s="12" t="str">
        <f>IFERROR(VLOOKUP(B164,Annuaire_roster!B:I,6,0),"-")</f>
        <v>Forfaitaire</v>
      </c>
      <c r="AB164" s="142" t="str">
        <f t="shared" si="95"/>
        <v/>
      </c>
      <c r="AC164" s="142" t="str">
        <f t="shared" si="96"/>
        <v/>
      </c>
      <c r="AD164" s="142" t="str">
        <f t="shared" si="97"/>
        <v/>
      </c>
      <c r="AE164" s="143" t="str">
        <f t="shared" si="98"/>
        <v/>
      </c>
      <c r="AF164" s="63"/>
      <c r="AG164" s="10"/>
    </row>
    <row r="165" spans="1:33" hidden="1" x14ac:dyDescent="0.2">
      <c r="A165" s="70">
        <f>VLOOKUP(B165,Annuaire_roster!B:F,5,0)</f>
        <v>1009</v>
      </c>
      <c r="B165" s="165" t="s">
        <v>91</v>
      </c>
      <c r="C165" s="61" t="str">
        <f>IFERROR(IF(COUNTIFS(Connexions!$K:$K,$Q165,Connexions!$E:$E,VLOOKUP($B165,Mapping_Noms!$A:$B,2,0))=0,"",_xlfn.MINIFS(Connexions!$M:$M,Connexions!$K:$K,$Q165,Connexions!$E:$E,VLOOKUP($B165,Mapping_Noms!$A:$B,2,0))-TIME(1,0,0)),"")</f>
        <v/>
      </c>
      <c r="D165" s="61">
        <f t="array" ref="D165">IFERROR(INDEX(Planning2[],MATCH(1,(Planning2[Nom]=B165)*(Planning2[Date]=Q165),0),3),"-")</f>
        <v>0.41666666666666669</v>
      </c>
      <c r="E165" s="38" t="str">
        <f>IFERROR(IF(COUNTIFS(Connexions!$K:$K,$Q165,Connexions!$E:$E,VLOOKUP($B165,Mapping_Noms!$A:$B,2,0))=0,"",_xlfn.MAXIFS(Connexions!$O:$O,Connexions!$K:$K,$Q165,Connexions!$E:$E,VLOOKUP($B165,Mapping_Noms!$A:$B,2,0))-TIME(1,0,0)),"")</f>
        <v/>
      </c>
      <c r="F165" s="38">
        <f t="array" ref="F165">IFERROR(INDEX(Planning2[],MATCH(1,(Planning2[Nom]=B165)*(Planning2[Date]=Q165),0),4),"-")</f>
        <v>0.83333333333333337</v>
      </c>
      <c r="G165" s="88"/>
      <c r="H165" s="88"/>
      <c r="I165" s="235" t="str">
        <f t="shared" si="83"/>
        <v/>
      </c>
      <c r="J165" s="88"/>
      <c r="K165" s="89">
        <f t="shared" si="84"/>
        <v>0</v>
      </c>
      <c r="L165" s="88">
        <f t="shared" si="85"/>
        <v>0</v>
      </c>
      <c r="M165" s="62" t="str">
        <f t="shared" si="86"/>
        <v>Abs</v>
      </c>
      <c r="N165" s="102" t="str">
        <f t="shared" si="87"/>
        <v/>
      </c>
      <c r="O165" s="90">
        <f t="shared" si="88"/>
        <v>0.375</v>
      </c>
      <c r="P165" s="91" t="str">
        <f>IFERROR(VLOOKUP($B165,Annuaire_roster!$B:$G,MATCH(P$1,Annuaire_roster!$B$1:$G$1,0),0),"-")</f>
        <v>Google Leads</v>
      </c>
      <c r="Q165" s="100">
        <v>44766</v>
      </c>
      <c r="R165" s="10">
        <f t="shared" si="89"/>
        <v>0.375</v>
      </c>
      <c r="S165" s="10">
        <f t="shared" si="90"/>
        <v>0.375</v>
      </c>
      <c r="T165" s="16" t="str">
        <f t="shared" si="91"/>
        <v>Sem - 30</v>
      </c>
      <c r="U165" s="16" t="str">
        <f t="shared" si="92"/>
        <v>Juillet</v>
      </c>
      <c r="V165" s="11" t="str">
        <f t="shared" si="93"/>
        <v>2026</v>
      </c>
      <c r="W165" s="9"/>
      <c r="X165" s="5">
        <f t="shared" si="94"/>
        <v>0</v>
      </c>
      <c r="Y165" s="12" t="str">
        <f>IFERROR(VLOOKUP(B165,Annuaire_roster!B:E,4,0),"-")</f>
        <v>OUAQERROUCH Nour-El Houda</v>
      </c>
      <c r="Z165" s="12" t="str">
        <f>IFERROR(VLOOKUP(B165,Annuaire_roster!B:F,3,0),"-")</f>
        <v>Google Leads</v>
      </c>
      <c r="AA165" s="12" t="str">
        <f>IFERROR(VLOOKUP(B165,Annuaire_roster!B:I,6,0),"-")</f>
        <v>Forfaitaire</v>
      </c>
      <c r="AB165" s="142" t="str">
        <f t="shared" si="95"/>
        <v/>
      </c>
      <c r="AC165" s="142" t="str">
        <f t="shared" si="96"/>
        <v/>
      </c>
      <c r="AD165" s="142" t="str">
        <f t="shared" si="97"/>
        <v/>
      </c>
      <c r="AE165" s="143" t="str">
        <f t="shared" si="98"/>
        <v/>
      </c>
      <c r="AF165" s="63"/>
      <c r="AG165" s="10"/>
    </row>
    <row r="166" spans="1:33" hidden="1" x14ac:dyDescent="0.2">
      <c r="A166" s="70">
        <f>VLOOKUP(B166,Annuaire_roster!B:F,5,0)</f>
        <v>0</v>
      </c>
      <c r="B166" s="165" t="s">
        <v>212</v>
      </c>
      <c r="C166" s="61" t="str">
        <f>IFERROR(IF(COUNTIFS(Connexions!$K:$K,$Q166,Connexions!$E:$E,VLOOKUP($B166,Mapping_Noms!$A:$B,2,0))=0,"",_xlfn.MINIFS(Connexions!$M:$M,Connexions!$K:$K,$Q166,Connexions!$E:$E,VLOOKUP($B166,Mapping_Noms!$A:$B,2,0))-TIME(1,0,0)),"")</f>
        <v/>
      </c>
      <c r="D166" s="61" t="str">
        <f t="array" ref="D166">IFERROR(INDEX(Planning2[],MATCH(1,(Planning2[Nom]=B166)*(Planning2[Date]=Q166),0),3),"-")</f>
        <v>OFF</v>
      </c>
      <c r="E166" s="38" t="str">
        <f>IFERROR(IF(COUNTIFS(Connexions!$K:$K,$Q166,Connexions!$E:$E,VLOOKUP($B166,Mapping_Noms!$A:$B,2,0))=0,"",_xlfn.MAXIFS(Connexions!$O:$O,Connexions!$K:$K,$Q166,Connexions!$E:$E,VLOOKUP($B166,Mapping_Noms!$A:$B,2,0))-TIME(1,0,0)),"")</f>
        <v/>
      </c>
      <c r="F166" s="38" t="str">
        <f t="array" ref="F166">IFERROR(INDEX(Planning2[],MATCH(1,(Planning2[Nom]=B166)*(Planning2[Date]=Q166),0),4),"-")</f>
        <v>OFF</v>
      </c>
      <c r="G166" s="88"/>
      <c r="H166" s="88"/>
      <c r="I166" s="235" t="str">
        <f t="shared" si="83"/>
        <v/>
      </c>
      <c r="J166" s="88"/>
      <c r="K166" s="89">
        <f t="shared" si="84"/>
        <v>0</v>
      </c>
      <c r="L166" s="88">
        <f t="shared" si="85"/>
        <v>0</v>
      </c>
      <c r="M166" s="62">
        <f t="shared" si="86"/>
        <v>0</v>
      </c>
      <c r="N166" s="102" t="str">
        <f t="shared" si="87"/>
        <v/>
      </c>
      <c r="O166" s="90">
        <f t="shared" si="88"/>
        <v>0</v>
      </c>
      <c r="P166" s="91" t="str">
        <f>IFERROR(VLOOKUP($B166,Annuaire_roster!$B:$G,MATCH(P$1,Annuaire_roster!$B$1:$G$1,0),0),"-")</f>
        <v>Google Leads</v>
      </c>
      <c r="Q166" s="100">
        <v>44766</v>
      </c>
      <c r="R166" s="10">
        <f t="shared" si="89"/>
        <v>0</v>
      </c>
      <c r="S166" s="10">
        <f t="shared" si="90"/>
        <v>0</v>
      </c>
      <c r="T166" s="16" t="str">
        <f t="shared" si="91"/>
        <v>Sem - 30</v>
      </c>
      <c r="U166" s="16" t="str">
        <f t="shared" si="92"/>
        <v>Juillet</v>
      </c>
      <c r="V166" s="11" t="str">
        <f t="shared" si="93"/>
        <v>2026</v>
      </c>
      <c r="W166" s="9"/>
      <c r="X166" s="5">
        <f t="shared" si="94"/>
        <v>0</v>
      </c>
      <c r="Y166" s="12">
        <f>IFERROR(VLOOKUP(B166,Annuaire_roster!B:E,4,0),"-")</f>
        <v>0</v>
      </c>
      <c r="Z166" s="12" t="str">
        <f>IFERROR(VLOOKUP(B166,Annuaire_roster!B:F,3,0),"-")</f>
        <v>Google Leads</v>
      </c>
      <c r="AA166" s="12">
        <f>IFERROR(VLOOKUP(B166,Annuaire_roster!B:I,6,0),"-")</f>
        <v>0</v>
      </c>
      <c r="AB166" s="142" t="str">
        <f t="shared" si="95"/>
        <v/>
      </c>
      <c r="AC166" s="142" t="str">
        <f t="shared" si="96"/>
        <v/>
      </c>
      <c r="AD166" s="142" t="str">
        <f t="shared" si="97"/>
        <v/>
      </c>
      <c r="AE166" s="143" t="str">
        <f t="shared" si="98"/>
        <v/>
      </c>
      <c r="AF166" s="63"/>
      <c r="AG166" s="10"/>
    </row>
    <row r="167" spans="1:33" hidden="1" x14ac:dyDescent="0.2">
      <c r="A167" s="70">
        <f>VLOOKUP(B167,Annuaire_roster!B:F,5,0)</f>
        <v>0</v>
      </c>
      <c r="B167" s="165" t="s">
        <v>144</v>
      </c>
      <c r="C167" s="61" t="str">
        <f>IFERROR(IF(COUNTIFS(Connexions!$K:$K,$Q167,Connexions!$E:$E,VLOOKUP($B167,Mapping_Noms!$A:$B,2,0))=0,"",_xlfn.MINIFS(Connexions!$M:$M,Connexions!$K:$K,$Q167,Connexions!$E:$E,VLOOKUP($B167,Mapping_Noms!$A:$B,2,0))-TIME(1,0,0)),"")</f>
        <v/>
      </c>
      <c r="D167" s="61" t="str">
        <f t="array" ref="D167">IFERROR(INDEX(Planning2[],MATCH(1,(Planning2[Nom]=B167)*(Planning2[Date]=Q167),0),3),"-")</f>
        <v>OFF</v>
      </c>
      <c r="E167" s="38" t="str">
        <f>IFERROR(IF(COUNTIFS(Connexions!$K:$K,$Q167,Connexions!$E:$E,VLOOKUP($B167,Mapping_Noms!$A:$B,2,0))=0,"",_xlfn.MAXIFS(Connexions!$O:$O,Connexions!$K:$K,$Q167,Connexions!$E:$E,VLOOKUP($B167,Mapping_Noms!$A:$B,2,0))-TIME(1,0,0)),"")</f>
        <v/>
      </c>
      <c r="F167" s="38" t="str">
        <f t="array" ref="F167">IFERROR(INDEX(Planning2[],MATCH(1,(Planning2[Nom]=B167)*(Planning2[Date]=Q167),0),4),"-")</f>
        <v>OFF</v>
      </c>
      <c r="G167" s="88"/>
      <c r="H167" s="88"/>
      <c r="I167" s="235" t="str">
        <f t="shared" si="83"/>
        <v/>
      </c>
      <c r="J167" s="88"/>
      <c r="K167" s="89">
        <f t="shared" si="84"/>
        <v>0</v>
      </c>
      <c r="L167" s="88">
        <f t="shared" si="85"/>
        <v>0</v>
      </c>
      <c r="M167" s="62">
        <f t="shared" si="86"/>
        <v>0</v>
      </c>
      <c r="N167" s="102" t="str">
        <f t="shared" si="87"/>
        <v/>
      </c>
      <c r="O167" s="90">
        <f t="shared" si="88"/>
        <v>0</v>
      </c>
      <c r="P167" s="91" t="str">
        <f>IFERROR(VLOOKUP($B167,Annuaire_roster!$B:$G,MATCH(P$1,Annuaire_roster!$B$1:$G$1,0),0),"-")</f>
        <v>Google Leads</v>
      </c>
      <c r="Q167" s="100">
        <v>44766</v>
      </c>
      <c r="R167" s="10">
        <f t="shared" si="89"/>
        <v>0</v>
      </c>
      <c r="S167" s="10">
        <f t="shared" si="90"/>
        <v>0</v>
      </c>
      <c r="T167" s="16" t="str">
        <f t="shared" si="91"/>
        <v>Sem - 30</v>
      </c>
      <c r="U167" s="16" t="str">
        <f t="shared" si="92"/>
        <v>Juillet</v>
      </c>
      <c r="V167" s="11" t="str">
        <f t="shared" si="93"/>
        <v>2026</v>
      </c>
      <c r="W167" s="9"/>
      <c r="X167" s="5">
        <f t="shared" si="94"/>
        <v>0</v>
      </c>
      <c r="Y167" s="12" t="str">
        <f>IFERROR(VLOOKUP(B167,Annuaire_roster!B:E,4,0),"-")</f>
        <v>CHOUIFI Mustapha</v>
      </c>
      <c r="Z167" s="12" t="str">
        <f>IFERROR(VLOOKUP(B167,Annuaire_roster!B:F,3,0),"-")</f>
        <v>Google Leads</v>
      </c>
      <c r="AA167" s="12" t="str">
        <f>IFERROR(VLOOKUP(B167,Annuaire_roster!B:I,6,0),"-")</f>
        <v>Forfaitaire</v>
      </c>
      <c r="AB167" s="142" t="str">
        <f t="shared" si="95"/>
        <v/>
      </c>
      <c r="AC167" s="142" t="str">
        <f t="shared" si="96"/>
        <v/>
      </c>
      <c r="AD167" s="142" t="str">
        <f t="shared" si="97"/>
        <v/>
      </c>
      <c r="AE167" s="143" t="str">
        <f t="shared" si="98"/>
        <v/>
      </c>
      <c r="AF167" s="63"/>
      <c r="AG167" s="10"/>
    </row>
    <row r="168" spans="1:33" hidden="1" x14ac:dyDescent="0.2">
      <c r="A168" s="70">
        <f>VLOOKUP(B168,Annuaire_roster!B:F,5,0)</f>
        <v>1007</v>
      </c>
      <c r="B168" s="165" t="s">
        <v>89</v>
      </c>
      <c r="C168" s="61" t="str">
        <f>IFERROR(IF(COUNTIFS(Connexions!$K:$K,$Q168,Connexions!$E:$E,VLOOKUP($B168,Mapping_Noms!$A:$B,2,0))=0,"",_xlfn.MINIFS(Connexions!$M:$M,Connexions!$K:$K,$Q168,Connexions!$E:$E,VLOOKUP($B168,Mapping_Noms!$A:$B,2,0))-TIME(1,0,0)),"")</f>
        <v/>
      </c>
      <c r="D168" s="61" t="str">
        <f t="array" ref="D168">IFERROR(INDEX(Planning2[],MATCH(1,(Planning2[Nom]=B168)*(Planning2[Date]=Q168),0),3),"-")</f>
        <v>OFF</v>
      </c>
      <c r="E168" s="38" t="str">
        <f>IFERROR(IF(COUNTIFS(Connexions!$K:$K,$Q168,Connexions!$E:$E,VLOOKUP($B168,Mapping_Noms!$A:$B,2,0))=0,"",_xlfn.MAXIFS(Connexions!$O:$O,Connexions!$K:$K,$Q168,Connexions!$E:$E,VLOOKUP($B168,Mapping_Noms!$A:$B,2,0))-TIME(1,0,0)),"")</f>
        <v/>
      </c>
      <c r="F168" s="38" t="str">
        <f t="array" ref="F168">IFERROR(INDEX(Planning2[],MATCH(1,(Planning2[Nom]=B168)*(Planning2[Date]=Q168),0),4),"-")</f>
        <v>OFF</v>
      </c>
      <c r="G168" s="88"/>
      <c r="H168" s="88"/>
      <c r="I168" s="235" t="str">
        <f t="shared" si="83"/>
        <v/>
      </c>
      <c r="J168" s="88"/>
      <c r="K168" s="89">
        <f t="shared" si="84"/>
        <v>0</v>
      </c>
      <c r="L168" s="88">
        <f t="shared" si="85"/>
        <v>0</v>
      </c>
      <c r="M168" s="62">
        <f t="shared" si="86"/>
        <v>0</v>
      </c>
      <c r="N168" s="102" t="str">
        <f t="shared" si="87"/>
        <v/>
      </c>
      <c r="O168" s="90">
        <f t="shared" si="88"/>
        <v>0</v>
      </c>
      <c r="P168" s="91" t="str">
        <f>IFERROR(VLOOKUP($B168,Annuaire_roster!$B:$G,MATCH(P$1,Annuaire_roster!$B$1:$G$1,0),0),"-")</f>
        <v>Google Leads</v>
      </c>
      <c r="Q168" s="100">
        <v>44766</v>
      </c>
      <c r="R168" s="10">
        <f t="shared" si="89"/>
        <v>0</v>
      </c>
      <c r="S168" s="10">
        <f t="shared" si="90"/>
        <v>0</v>
      </c>
      <c r="T168" s="16" t="str">
        <f t="shared" si="91"/>
        <v>Sem - 30</v>
      </c>
      <c r="U168" s="16" t="str">
        <f t="shared" si="92"/>
        <v>Juillet</v>
      </c>
      <c r="V168" s="11" t="str">
        <f t="shared" si="93"/>
        <v>2026</v>
      </c>
      <c r="W168" s="9"/>
      <c r="X168" s="5">
        <f t="shared" si="94"/>
        <v>0</v>
      </c>
      <c r="Y168" s="12" t="str">
        <f>IFERROR(VLOOKUP(B168,Annuaire_roster!B:E,4,0),"-")</f>
        <v>OUAQERROUCH Nour-El Houda</v>
      </c>
      <c r="Z168" s="12" t="str">
        <f>IFERROR(VLOOKUP(B168,Annuaire_roster!B:F,3,0),"-")</f>
        <v>Google Leads</v>
      </c>
      <c r="AA168" s="12" t="str">
        <f>IFERROR(VLOOKUP(B168,Annuaire_roster!B:I,6,0),"-")</f>
        <v>Forfaitaire</v>
      </c>
      <c r="AB168" s="142" t="str">
        <f t="shared" si="95"/>
        <v/>
      </c>
      <c r="AC168" s="142" t="str">
        <f t="shared" si="96"/>
        <v/>
      </c>
      <c r="AD168" s="142" t="str">
        <f t="shared" si="97"/>
        <v/>
      </c>
      <c r="AE168" s="143" t="str">
        <f t="shared" si="98"/>
        <v/>
      </c>
      <c r="AF168" s="63"/>
      <c r="AG168" s="10"/>
    </row>
    <row r="169" spans="1:33" hidden="1" x14ac:dyDescent="0.2">
      <c r="A169" s="70">
        <f>VLOOKUP(B169,Annuaire_roster!B:F,5,0)</f>
        <v>1008</v>
      </c>
      <c r="B169" s="165" t="s">
        <v>94</v>
      </c>
      <c r="C169" s="61" t="str">
        <f>IFERROR(IF(COUNTIFS(Connexions!$K:$K,$Q169,Connexions!$E:$E,VLOOKUP($B169,Mapping_Noms!$A:$B,2,0))=0,"",_xlfn.MINIFS(Connexions!$M:$M,Connexions!$K:$K,$Q169,Connexions!$E:$E,VLOOKUP($B169,Mapping_Noms!$A:$B,2,0))-TIME(1,0,0)),"")</f>
        <v/>
      </c>
      <c r="D169" s="61">
        <f t="array" ref="D169">IFERROR(INDEX(Planning2[],MATCH(1,(Planning2[Nom]=B169)*(Planning2[Date]=Q169),0),3),"-")</f>
        <v>0.29166666666666669</v>
      </c>
      <c r="E169" s="38" t="str">
        <f>IFERROR(IF(COUNTIFS(Connexions!$K:$K,$Q169,Connexions!$E:$E,VLOOKUP($B169,Mapping_Noms!$A:$B,2,0))=0,"",_xlfn.MAXIFS(Connexions!$O:$O,Connexions!$K:$K,$Q169,Connexions!$E:$E,VLOOKUP($B169,Mapping_Noms!$A:$B,2,0))-TIME(1,0,0)),"")</f>
        <v/>
      </c>
      <c r="F169" s="38">
        <f t="array" ref="F169">IFERROR(INDEX(Planning2[],MATCH(1,(Planning2[Nom]=B169)*(Planning2[Date]=Q169),0),4),"-")</f>
        <v>0.66666666666666663</v>
      </c>
      <c r="G169" s="88"/>
      <c r="H169" s="88"/>
      <c r="I169" s="235" t="str">
        <f t="shared" si="83"/>
        <v/>
      </c>
      <c r="J169" s="88"/>
      <c r="K169" s="89">
        <f t="shared" si="84"/>
        <v>0</v>
      </c>
      <c r="L169" s="88">
        <f t="shared" si="85"/>
        <v>0</v>
      </c>
      <c r="M169" s="62" t="str">
        <f t="shared" si="86"/>
        <v>Abs</v>
      </c>
      <c r="N169" s="102" t="str">
        <f t="shared" si="87"/>
        <v/>
      </c>
      <c r="O169" s="90">
        <f t="shared" si="88"/>
        <v>0.33333333333333326</v>
      </c>
      <c r="P169" s="91" t="str">
        <f>IFERROR(VLOOKUP($B169,Annuaire_roster!$B:$G,MATCH(P$1,Annuaire_roster!$B$1:$G$1,0),0),"-")</f>
        <v>Google Leads</v>
      </c>
      <c r="Q169" s="100">
        <v>44766</v>
      </c>
      <c r="R169" s="10">
        <f t="shared" si="89"/>
        <v>0.33333333333333326</v>
      </c>
      <c r="S169" s="10">
        <f t="shared" si="90"/>
        <v>0.33333333333333326</v>
      </c>
      <c r="T169" s="16" t="str">
        <f t="shared" si="91"/>
        <v>Sem - 30</v>
      </c>
      <c r="U169" s="16" t="str">
        <f t="shared" si="92"/>
        <v>Juillet</v>
      </c>
      <c r="V169" s="11" t="str">
        <f t="shared" si="93"/>
        <v>2026</v>
      </c>
      <c r="W169" s="9"/>
      <c r="X169" s="5">
        <f t="shared" si="94"/>
        <v>0</v>
      </c>
      <c r="Y169" s="12" t="str">
        <f>IFERROR(VLOOKUP(B169,Annuaire_roster!B:E,4,0),"-")</f>
        <v>CHOUIFI Mustapha</v>
      </c>
      <c r="Z169" s="12" t="str">
        <f>IFERROR(VLOOKUP(B169,Annuaire_roster!B:F,3,0),"-")</f>
        <v>Google Leads</v>
      </c>
      <c r="AA169" s="12" t="str">
        <f>IFERROR(VLOOKUP(B169,Annuaire_roster!B:I,6,0),"-")</f>
        <v>Forfaitaire</v>
      </c>
      <c r="AB169" s="142" t="str">
        <f t="shared" si="95"/>
        <v/>
      </c>
      <c r="AC169" s="142" t="str">
        <f t="shared" si="96"/>
        <v/>
      </c>
      <c r="AD169" s="142" t="str">
        <f t="shared" si="97"/>
        <v/>
      </c>
      <c r="AE169" s="143" t="str">
        <f t="shared" si="98"/>
        <v/>
      </c>
      <c r="AF169" s="63"/>
      <c r="AG169" s="10"/>
    </row>
    <row r="170" spans="1:33" hidden="1" x14ac:dyDescent="0.2">
      <c r="A170" s="70">
        <f>VLOOKUP(B170,Annuaire_roster!B:F,5,0)</f>
        <v>1274</v>
      </c>
      <c r="B170" s="165" t="s">
        <v>141</v>
      </c>
      <c r="C170" s="61" t="str">
        <f>IFERROR(IF(COUNTIFS(Connexions!$K:$K,$Q170,Connexions!$E:$E,VLOOKUP($B170,Mapping_Noms!$A:$B,2,0))=0,"",_xlfn.MINIFS(Connexions!$M:$M,Connexions!$K:$K,$Q170,Connexions!$E:$E,VLOOKUP($B170,Mapping_Noms!$A:$B,2,0))-TIME(1,0,0)),"")</f>
        <v/>
      </c>
      <c r="D170" s="61">
        <f t="array" ref="D170">IFERROR(INDEX(Planning2[],MATCH(1,(Planning2[Nom]=B170)*(Planning2[Date]=Q170),0),3),"-")</f>
        <v>0.29166666666666669</v>
      </c>
      <c r="E170" s="38" t="str">
        <f>IFERROR(IF(COUNTIFS(Connexions!$K:$K,$Q170,Connexions!$E:$E,VLOOKUP($B170,Mapping_Noms!$A:$B,2,0))=0,"",_xlfn.MAXIFS(Connexions!$O:$O,Connexions!$K:$K,$Q170,Connexions!$E:$E,VLOOKUP($B170,Mapping_Noms!$A:$B,2,0))-TIME(1,0,0)),"")</f>
        <v/>
      </c>
      <c r="F170" s="38">
        <f t="array" ref="F170">IFERROR(INDEX(Planning2[],MATCH(1,(Planning2[Nom]=B170)*(Planning2[Date]=Q170),0),4),"-")</f>
        <v>0.66666666666666663</v>
      </c>
      <c r="G170" s="88"/>
      <c r="H170" s="88"/>
      <c r="I170" s="235" t="str">
        <f t="shared" si="83"/>
        <v/>
      </c>
      <c r="J170" s="88"/>
      <c r="K170" s="89">
        <f t="shared" si="84"/>
        <v>0</v>
      </c>
      <c r="L170" s="88">
        <f t="shared" si="85"/>
        <v>0</v>
      </c>
      <c r="M170" s="62" t="str">
        <f t="shared" si="86"/>
        <v>Abs</v>
      </c>
      <c r="N170" s="102" t="str">
        <f t="shared" si="87"/>
        <v/>
      </c>
      <c r="O170" s="90">
        <f t="shared" si="88"/>
        <v>0.33333333333333326</v>
      </c>
      <c r="P170" s="91" t="str">
        <f>IFERROR(VLOOKUP($B170,Annuaire_roster!$B:$G,MATCH(P$1,Annuaire_roster!$B$1:$G$1,0),0),"-")</f>
        <v>Google Leads</v>
      </c>
      <c r="Q170" s="100">
        <v>44766</v>
      </c>
      <c r="R170" s="10">
        <f t="shared" si="89"/>
        <v>0.33333333333333326</v>
      </c>
      <c r="S170" s="10">
        <f t="shared" si="90"/>
        <v>0.33333333333333326</v>
      </c>
      <c r="T170" s="16" t="str">
        <f t="shared" si="91"/>
        <v>Sem - 30</v>
      </c>
      <c r="U170" s="16" t="str">
        <f t="shared" si="92"/>
        <v>Juillet</v>
      </c>
      <c r="V170" s="11" t="str">
        <f t="shared" si="93"/>
        <v>2026</v>
      </c>
      <c r="W170" s="9"/>
      <c r="X170" s="5">
        <f t="shared" si="94"/>
        <v>0</v>
      </c>
      <c r="Y170" s="12" t="str">
        <f>IFERROR(VLOOKUP(B170,Annuaire_roster!B:E,4,0),"-")</f>
        <v>OUAQERROUCH Nour-El Houda</v>
      </c>
      <c r="Z170" s="12" t="str">
        <f>IFERROR(VLOOKUP(B170,Annuaire_roster!B:F,3,0),"-")</f>
        <v>Google Leads</v>
      </c>
      <c r="AA170" s="12" t="str">
        <f>IFERROR(VLOOKUP(B170,Annuaire_roster!B:I,6,0),"-")</f>
        <v>Forfaitaire</v>
      </c>
      <c r="AB170" s="142" t="str">
        <f t="shared" si="95"/>
        <v/>
      </c>
      <c r="AC170" s="142" t="str">
        <f t="shared" si="96"/>
        <v/>
      </c>
      <c r="AD170" s="142" t="str">
        <f t="shared" si="97"/>
        <v/>
      </c>
      <c r="AE170" s="143" t="str">
        <f t="shared" si="98"/>
        <v/>
      </c>
      <c r="AF170" s="63"/>
      <c r="AG170" s="10"/>
    </row>
    <row r="171" spans="1:33" hidden="1" x14ac:dyDescent="0.2">
      <c r="A171" s="70">
        <f>VLOOKUP(B171,Annuaire_roster!B:F,5,0)</f>
        <v>0</v>
      </c>
      <c r="B171" s="165" t="s">
        <v>196</v>
      </c>
      <c r="C171" s="61" t="str">
        <f>IFERROR(IF(COUNTIFS(Connexions!$K:$K,$Q171,Connexions!$E:$E,VLOOKUP($B171,Mapping_Noms!$A:$B,2,0))=0,"",_xlfn.MINIFS(Connexions!$M:$M,Connexions!$K:$K,$Q171,Connexions!$E:$E,VLOOKUP($B171,Mapping_Noms!$A:$B,2,0))-TIME(1,0,0)),"")</f>
        <v/>
      </c>
      <c r="D171" s="61" t="str">
        <f t="array" ref="D171">IFERROR(INDEX(Planning2[],MATCH(1,(Planning2[Nom]=B171)*(Planning2[Date]=Q171),0),3),"-")</f>
        <v>OFF</v>
      </c>
      <c r="E171" s="38" t="str">
        <f>IFERROR(IF(COUNTIFS(Connexions!$K:$K,$Q171,Connexions!$E:$E,VLOOKUP($B171,Mapping_Noms!$A:$B,2,0))=0,"",_xlfn.MAXIFS(Connexions!$O:$O,Connexions!$K:$K,$Q171,Connexions!$E:$E,VLOOKUP($B171,Mapping_Noms!$A:$B,2,0))-TIME(1,0,0)),"")</f>
        <v/>
      </c>
      <c r="F171" s="38" t="str">
        <f t="array" ref="F171">IFERROR(INDEX(Planning2[],MATCH(1,(Planning2[Nom]=B171)*(Planning2[Date]=Q171),0),4),"-")</f>
        <v>OFF</v>
      </c>
      <c r="G171" s="88"/>
      <c r="H171" s="88"/>
      <c r="I171" s="235" t="str">
        <f t="shared" si="83"/>
        <v/>
      </c>
      <c r="J171" s="88"/>
      <c r="K171" s="89">
        <f t="shared" si="84"/>
        <v>0</v>
      </c>
      <c r="L171" s="88">
        <f t="shared" si="85"/>
        <v>0</v>
      </c>
      <c r="M171" s="62">
        <f t="shared" si="86"/>
        <v>0</v>
      </c>
      <c r="N171" s="102" t="str">
        <f t="shared" si="87"/>
        <v/>
      </c>
      <c r="O171" s="90">
        <f t="shared" si="88"/>
        <v>0</v>
      </c>
      <c r="P171" s="91" t="str">
        <f>IFERROR(VLOOKUP($B171,Annuaire_roster!$B:$G,MATCH(P$1,Annuaire_roster!$B$1:$G$1,0),0),"-")</f>
        <v>Google Leads</v>
      </c>
      <c r="Q171" s="100">
        <v>44766</v>
      </c>
      <c r="R171" s="10">
        <f t="shared" si="89"/>
        <v>0</v>
      </c>
      <c r="S171" s="10">
        <f t="shared" si="90"/>
        <v>0</v>
      </c>
      <c r="T171" s="16" t="str">
        <f t="shared" si="91"/>
        <v>Sem - 30</v>
      </c>
      <c r="U171" s="16" t="str">
        <f t="shared" si="92"/>
        <v>Juillet</v>
      </c>
      <c r="V171" s="11" t="str">
        <f t="shared" si="93"/>
        <v>2026</v>
      </c>
      <c r="W171" s="9"/>
      <c r="X171" s="5">
        <f t="shared" si="94"/>
        <v>0</v>
      </c>
      <c r="Y171" s="12">
        <f>IFERROR(VLOOKUP(B171,Annuaire_roster!B:E,4,0),"-")</f>
        <v>0</v>
      </c>
      <c r="Z171" s="12" t="str">
        <f>IFERROR(VLOOKUP(B171,Annuaire_roster!B:F,3,0),"-")</f>
        <v>Google Leads</v>
      </c>
      <c r="AA171" s="12">
        <f>IFERROR(VLOOKUP(B171,Annuaire_roster!B:I,6,0),"-")</f>
        <v>0</v>
      </c>
      <c r="AB171" s="142" t="str">
        <f t="shared" si="95"/>
        <v/>
      </c>
      <c r="AC171" s="142" t="str">
        <f t="shared" si="96"/>
        <v/>
      </c>
      <c r="AD171" s="142" t="str">
        <f t="shared" si="97"/>
        <v/>
      </c>
      <c r="AE171" s="143" t="str">
        <f t="shared" si="98"/>
        <v/>
      </c>
      <c r="AF171" s="63"/>
      <c r="AG171" s="10"/>
    </row>
    <row r="172" spans="1:33" hidden="1" x14ac:dyDescent="0.2">
      <c r="A172" s="70">
        <f>VLOOKUP(B172,Annuaire_roster!B:F,5,0)</f>
        <v>1170</v>
      </c>
      <c r="B172" s="165" t="s">
        <v>106</v>
      </c>
      <c r="C172" s="61" t="str">
        <f>IFERROR(IF(COUNTIFS(Connexions!$K:$K,$Q172,Connexions!$E:$E,VLOOKUP($B172,Mapping_Noms!$A:$B,2,0))=0,"",_xlfn.MINIFS(Connexions!$M:$M,Connexions!$K:$K,$Q172,Connexions!$E:$E,VLOOKUP($B172,Mapping_Noms!$A:$B,2,0))-TIME(1,0,0)),"")</f>
        <v/>
      </c>
      <c r="D172" s="61" t="str">
        <f t="array" ref="D172">IFERROR(INDEX(Planning2[],MATCH(1,(Planning2[Nom]=B172)*(Planning2[Date]=Q172),0),3),"-")</f>
        <v>OFF</v>
      </c>
      <c r="E172" s="38" t="str">
        <f>IFERROR(IF(COUNTIFS(Connexions!$K:$K,$Q172,Connexions!$E:$E,VLOOKUP($B172,Mapping_Noms!$A:$B,2,0))=0,"",_xlfn.MAXIFS(Connexions!$O:$O,Connexions!$K:$K,$Q172,Connexions!$E:$E,VLOOKUP($B172,Mapping_Noms!$A:$B,2,0))-TIME(1,0,0)),"")</f>
        <v/>
      </c>
      <c r="F172" s="38" t="str">
        <f t="array" ref="F172">IFERROR(INDEX(Planning2[],MATCH(1,(Planning2[Nom]=B172)*(Planning2[Date]=Q172),0),4),"-")</f>
        <v>OFF</v>
      </c>
      <c r="G172" s="88"/>
      <c r="H172" s="88"/>
      <c r="I172" s="235" t="str">
        <f t="shared" si="83"/>
        <v/>
      </c>
      <c r="J172" s="88"/>
      <c r="K172" s="89">
        <f t="shared" si="84"/>
        <v>0</v>
      </c>
      <c r="L172" s="88">
        <f t="shared" si="85"/>
        <v>0</v>
      </c>
      <c r="M172" s="62">
        <f t="shared" si="86"/>
        <v>0</v>
      </c>
      <c r="N172" s="102" t="str">
        <f t="shared" si="87"/>
        <v/>
      </c>
      <c r="O172" s="90">
        <f t="shared" si="88"/>
        <v>0</v>
      </c>
      <c r="P172" s="91" t="str">
        <f>IFERROR(VLOOKUP($B172,Annuaire_roster!$B:$G,MATCH(P$1,Annuaire_roster!$B$1:$G$1,0),0),"-")</f>
        <v>Google Leads</v>
      </c>
      <c r="Q172" s="100">
        <v>44766</v>
      </c>
      <c r="R172" s="10">
        <f t="shared" si="89"/>
        <v>0</v>
      </c>
      <c r="S172" s="10">
        <f t="shared" si="90"/>
        <v>0</v>
      </c>
      <c r="T172" s="16" t="str">
        <f t="shared" si="91"/>
        <v>Sem - 30</v>
      </c>
      <c r="U172" s="16" t="str">
        <f t="shared" si="92"/>
        <v>Juillet</v>
      </c>
      <c r="V172" s="11" t="str">
        <f t="shared" si="93"/>
        <v>2026</v>
      </c>
      <c r="W172" s="9"/>
      <c r="X172" s="5">
        <f t="shared" si="94"/>
        <v>0</v>
      </c>
      <c r="Y172" s="12" t="str">
        <f>IFERROR(VLOOKUP(B172,Annuaire_roster!B:E,4,0),"-")</f>
        <v>CHOUIFI Mustapha</v>
      </c>
      <c r="Z172" s="12" t="str">
        <f>IFERROR(VLOOKUP(B172,Annuaire_roster!B:F,3,0),"-")</f>
        <v>Google Leads</v>
      </c>
      <c r="AA172" s="12" t="str">
        <f>IFERROR(VLOOKUP(B172,Annuaire_roster!B:I,6,0),"-")</f>
        <v>Forfaitaire</v>
      </c>
      <c r="AB172" s="142" t="str">
        <f t="shared" si="95"/>
        <v/>
      </c>
      <c r="AC172" s="142" t="str">
        <f t="shared" si="96"/>
        <v/>
      </c>
      <c r="AD172" s="142" t="str">
        <f t="shared" si="97"/>
        <v/>
      </c>
      <c r="AE172" s="143" t="str">
        <f t="shared" si="98"/>
        <v/>
      </c>
      <c r="AF172" s="63"/>
      <c r="AG172" s="10"/>
    </row>
    <row r="173" spans="1:33" hidden="1" x14ac:dyDescent="0.2">
      <c r="A173" s="70">
        <f>VLOOKUP(B173,Annuaire_roster!B:F,5,0)</f>
        <v>952</v>
      </c>
      <c r="B173" s="165" t="s">
        <v>87</v>
      </c>
      <c r="C173" s="61" t="str">
        <f>IFERROR(IF(COUNTIFS(Connexions!$K:$K,$Q173,Connexions!$E:$E,VLOOKUP($B173,Mapping_Noms!$A:$B,2,0))=0,"",_xlfn.MINIFS(Connexions!$M:$M,Connexions!$K:$K,$Q173,Connexions!$E:$E,VLOOKUP($B173,Mapping_Noms!$A:$B,2,0))-TIME(1,0,0)),"")</f>
        <v/>
      </c>
      <c r="D173" s="61" t="str">
        <f t="array" ref="D173">IFERROR(INDEX(Planning2[],MATCH(1,(Planning2[Nom]=B173)*(Planning2[Date]=Q173),0),3),"-")</f>
        <v>OFF</v>
      </c>
      <c r="E173" s="38" t="str">
        <f>IFERROR(IF(COUNTIFS(Connexions!$K:$K,$Q173,Connexions!$E:$E,VLOOKUP($B173,Mapping_Noms!$A:$B,2,0))=0,"",_xlfn.MAXIFS(Connexions!$O:$O,Connexions!$K:$K,$Q173,Connexions!$E:$E,VLOOKUP($B173,Mapping_Noms!$A:$B,2,0))-TIME(1,0,0)),"")</f>
        <v/>
      </c>
      <c r="F173" s="38" t="str">
        <f t="array" ref="F173">IFERROR(INDEX(Planning2[],MATCH(1,(Planning2[Nom]=B173)*(Planning2[Date]=Q173),0),4),"-")</f>
        <v>OFF</v>
      </c>
      <c r="G173" s="88"/>
      <c r="H173" s="88"/>
      <c r="I173" s="235" t="str">
        <f t="shared" si="83"/>
        <v/>
      </c>
      <c r="J173" s="88"/>
      <c r="K173" s="89">
        <f t="shared" si="84"/>
        <v>0</v>
      </c>
      <c r="L173" s="88">
        <f t="shared" si="85"/>
        <v>0</v>
      </c>
      <c r="M173" s="62">
        <f t="shared" si="86"/>
        <v>0</v>
      </c>
      <c r="N173" s="102" t="str">
        <f t="shared" si="87"/>
        <v/>
      </c>
      <c r="O173" s="90">
        <f t="shared" si="88"/>
        <v>0</v>
      </c>
      <c r="P173" s="91" t="str">
        <f>IFERROR(VLOOKUP($B173,Annuaire_roster!$B:$G,MATCH(P$1,Annuaire_roster!$B$1:$G$1,0),0),"-")</f>
        <v>Google Leads</v>
      </c>
      <c r="Q173" s="100">
        <v>44766</v>
      </c>
      <c r="R173" s="10">
        <f t="shared" si="89"/>
        <v>0</v>
      </c>
      <c r="S173" s="10">
        <f t="shared" si="90"/>
        <v>0</v>
      </c>
      <c r="T173" s="16" t="str">
        <f t="shared" si="91"/>
        <v>Sem - 30</v>
      </c>
      <c r="U173" s="16" t="str">
        <f t="shared" si="92"/>
        <v>Juillet</v>
      </c>
      <c r="V173" s="11" t="str">
        <f t="shared" si="93"/>
        <v>2026</v>
      </c>
      <c r="W173" s="9"/>
      <c r="X173" s="5">
        <f t="shared" si="94"/>
        <v>0</v>
      </c>
      <c r="Y173" s="12" t="str">
        <f>IFERROR(VLOOKUP(B173,Annuaire_roster!B:E,4,0),"-")</f>
        <v>OUAQERROUCH Nour-El Houda</v>
      </c>
      <c r="Z173" s="12" t="str">
        <f>IFERROR(VLOOKUP(B173,Annuaire_roster!B:F,3,0),"-")</f>
        <v>Google Leads</v>
      </c>
      <c r="AA173" s="12" t="str">
        <f>IFERROR(VLOOKUP(B173,Annuaire_roster!B:I,6,0),"-")</f>
        <v>Forfaitaire</v>
      </c>
      <c r="AB173" s="142" t="str">
        <f t="shared" si="95"/>
        <v/>
      </c>
      <c r="AC173" s="142" t="str">
        <f t="shared" si="96"/>
        <v/>
      </c>
      <c r="AD173" s="142" t="str">
        <f t="shared" si="97"/>
        <v/>
      </c>
      <c r="AE173" s="143" t="str">
        <f t="shared" si="98"/>
        <v/>
      </c>
      <c r="AF173" s="63"/>
      <c r="AG173" s="10"/>
    </row>
    <row r="174" spans="1:33" hidden="1" x14ac:dyDescent="0.2">
      <c r="A174" s="70">
        <f>VLOOKUP(B174,Annuaire_roster!B:F,5,0)</f>
        <v>894</v>
      </c>
      <c r="B174" s="165" t="s">
        <v>80</v>
      </c>
      <c r="C174" s="61" t="str">
        <f>IFERROR(IF(COUNTIFS(Connexions!$K:$K,$Q174,Connexions!$E:$E,VLOOKUP($B174,Mapping_Noms!$A:$B,2,0))=0,"",_xlfn.MINIFS(Connexions!$M:$M,Connexions!$K:$K,$Q174,Connexions!$E:$E,VLOOKUP($B174,Mapping_Noms!$A:$B,2,0))-TIME(1,0,0)),"")</f>
        <v/>
      </c>
      <c r="D174" s="61" t="str">
        <f t="array" ref="D174">IFERROR(INDEX(Planning2[],MATCH(1,(Planning2[Nom]=B174)*(Planning2[Date]=Q174),0),3),"-")</f>
        <v>Missionnée</v>
      </c>
      <c r="E174" s="38" t="str">
        <f>IFERROR(IF(COUNTIFS(Connexions!$K:$K,$Q174,Connexions!$E:$E,VLOOKUP($B174,Mapping_Noms!$A:$B,2,0))=0,"",_xlfn.MAXIFS(Connexions!$O:$O,Connexions!$K:$K,$Q174,Connexions!$E:$E,VLOOKUP($B174,Mapping_Noms!$A:$B,2,0))-TIME(1,0,0)),"")</f>
        <v/>
      </c>
      <c r="F174" s="38" t="str">
        <f t="array" ref="F174">IFERROR(INDEX(Planning2[],MATCH(1,(Planning2[Nom]=B174)*(Planning2[Date]=Q174),0),4),"-")</f>
        <v>Missionnée</v>
      </c>
      <c r="G174" s="88"/>
      <c r="H174" s="88"/>
      <c r="I174" s="235" t="str">
        <f t="shared" si="83"/>
        <v/>
      </c>
      <c r="J174" s="88"/>
      <c r="K174" s="89">
        <f t="shared" si="84"/>
        <v>0</v>
      </c>
      <c r="L174" s="88" t="e">
        <f t="shared" si="85"/>
        <v>#VALUE!</v>
      </c>
      <c r="M174" s="62" t="e">
        <f t="shared" si="86"/>
        <v>#VALUE!</v>
      </c>
      <c r="N174" s="102" t="str">
        <f t="shared" si="87"/>
        <v/>
      </c>
      <c r="O174" s="90" t="e">
        <f t="shared" si="88"/>
        <v>#VALUE!</v>
      </c>
      <c r="P174" s="91" t="str">
        <f>IFERROR(VLOOKUP($B174,Annuaire_roster!$B:$G,MATCH(P$1,Annuaire_roster!$B$1:$G$1,0),0),"-")</f>
        <v>Google Leads</v>
      </c>
      <c r="Q174" s="100">
        <v>44766</v>
      </c>
      <c r="R174" s="10" t="e">
        <f t="shared" si="89"/>
        <v>#VALUE!</v>
      </c>
      <c r="S174" s="10" t="e">
        <f t="shared" si="90"/>
        <v>#VALUE!</v>
      </c>
      <c r="T174" s="16" t="str">
        <f t="shared" si="91"/>
        <v>Sem - 30</v>
      </c>
      <c r="U174" s="16" t="str">
        <f t="shared" si="92"/>
        <v>Juillet</v>
      </c>
      <c r="V174" s="11" t="str">
        <f t="shared" si="93"/>
        <v>2026</v>
      </c>
      <c r="W174" s="9"/>
      <c r="X174" s="5">
        <f t="shared" si="94"/>
        <v>0</v>
      </c>
      <c r="Y174" s="12" t="str">
        <f>IFERROR(VLOOKUP(B174,Annuaire_roster!B:E,4,0),"-")</f>
        <v>OUAQERROUCH Nour-El Houda</v>
      </c>
      <c r="Z174" s="12" t="str">
        <f>IFERROR(VLOOKUP(B174,Annuaire_roster!B:F,3,0),"-")</f>
        <v>Google Leads</v>
      </c>
      <c r="AA174" s="12" t="str">
        <f>IFERROR(VLOOKUP(B174,Annuaire_roster!B:I,6,0),"-")</f>
        <v>Forfaitaire</v>
      </c>
      <c r="AB174" s="142" t="str">
        <f t="shared" si="95"/>
        <v/>
      </c>
      <c r="AC174" s="142" t="str">
        <f t="shared" si="96"/>
        <v/>
      </c>
      <c r="AD174" s="142" t="str">
        <f t="shared" si="97"/>
        <v/>
      </c>
      <c r="AE174" s="143" t="str">
        <f t="shared" si="98"/>
        <v/>
      </c>
      <c r="AF174" s="63"/>
      <c r="AG174" s="10"/>
    </row>
    <row r="175" spans="1:33" hidden="1" x14ac:dyDescent="0.2">
      <c r="A175" s="70">
        <f>VLOOKUP(B175,Annuaire_roster!B:F,5,0)</f>
        <v>0</v>
      </c>
      <c r="B175" s="165" t="s">
        <v>197</v>
      </c>
      <c r="C175" s="61" t="str">
        <f>IFERROR(IF(COUNTIFS(Connexions!$K:$K,$Q175,Connexions!$E:$E,VLOOKUP($B175,Mapping_Noms!$A:$B,2,0))=0,"",_xlfn.MINIFS(Connexions!$M:$M,Connexions!$K:$K,$Q175,Connexions!$E:$E,VLOOKUP($B175,Mapping_Noms!$A:$B,2,0))-TIME(1,0,0)),"")</f>
        <v/>
      </c>
      <c r="D175" s="61">
        <f t="array" ref="D175">IFERROR(INDEX(Planning2[],MATCH(1,(Planning2[Nom]=B175)*(Planning2[Date]=Q175),0),3),"-")</f>
        <v>0.41666666666666669</v>
      </c>
      <c r="E175" s="38" t="str">
        <f>IFERROR(IF(COUNTIFS(Connexions!$K:$K,$Q175,Connexions!$E:$E,VLOOKUP($B175,Mapping_Noms!$A:$B,2,0))=0,"",_xlfn.MAXIFS(Connexions!$O:$O,Connexions!$K:$K,$Q175,Connexions!$E:$E,VLOOKUP($B175,Mapping_Noms!$A:$B,2,0))-TIME(1,0,0)),"")</f>
        <v/>
      </c>
      <c r="F175" s="38">
        <f t="array" ref="F175">IFERROR(INDEX(Planning2[],MATCH(1,(Planning2[Nom]=B175)*(Planning2[Date]=Q175),0),4),"-")</f>
        <v>0.83333333333333337</v>
      </c>
      <c r="G175" s="88"/>
      <c r="H175" s="88"/>
      <c r="I175" s="235" t="str">
        <f t="shared" si="83"/>
        <v/>
      </c>
      <c r="J175" s="88"/>
      <c r="K175" s="89">
        <f t="shared" si="84"/>
        <v>0</v>
      </c>
      <c r="L175" s="88">
        <f t="shared" si="85"/>
        <v>0</v>
      </c>
      <c r="M175" s="62" t="str">
        <f t="shared" si="86"/>
        <v>Abs</v>
      </c>
      <c r="N175" s="102" t="str">
        <f t="shared" si="87"/>
        <v/>
      </c>
      <c r="O175" s="90">
        <f t="shared" si="88"/>
        <v>0.375</v>
      </c>
      <c r="P175" s="91" t="str">
        <f>IFERROR(VLOOKUP($B175,Annuaire_roster!$B:$G,MATCH(P$1,Annuaire_roster!$B$1:$G$1,0),0),"-")</f>
        <v>Google Leads</v>
      </c>
      <c r="Q175" s="100">
        <v>44766</v>
      </c>
      <c r="R175" s="10">
        <f t="shared" si="89"/>
        <v>0.375</v>
      </c>
      <c r="S175" s="10">
        <f t="shared" si="90"/>
        <v>0.375</v>
      </c>
      <c r="T175" s="16" t="str">
        <f t="shared" si="91"/>
        <v>Sem - 30</v>
      </c>
      <c r="U175" s="16" t="str">
        <f t="shared" si="92"/>
        <v>Juillet</v>
      </c>
      <c r="V175" s="11" t="str">
        <f t="shared" si="93"/>
        <v>2026</v>
      </c>
      <c r="W175" s="9"/>
      <c r="X175" s="5">
        <f t="shared" si="94"/>
        <v>0</v>
      </c>
      <c r="Y175" s="12">
        <f>IFERROR(VLOOKUP(B175,Annuaire_roster!B:E,4,0),"-")</f>
        <v>0</v>
      </c>
      <c r="Z175" s="12" t="str">
        <f>IFERROR(VLOOKUP(B175,Annuaire_roster!B:F,3,0),"-")</f>
        <v>Google Leads</v>
      </c>
      <c r="AA175" s="12">
        <f>IFERROR(VLOOKUP(B175,Annuaire_roster!B:I,6,0),"-")</f>
        <v>0</v>
      </c>
      <c r="AB175" s="142" t="str">
        <f t="shared" si="95"/>
        <v/>
      </c>
      <c r="AC175" s="142" t="str">
        <f t="shared" si="96"/>
        <v/>
      </c>
      <c r="AD175" s="142" t="str">
        <f t="shared" si="97"/>
        <v/>
      </c>
      <c r="AE175" s="143" t="str">
        <f t="shared" si="98"/>
        <v/>
      </c>
      <c r="AF175" s="63"/>
      <c r="AG175" s="10"/>
    </row>
    <row r="176" spans="1:33" hidden="1" x14ac:dyDescent="0.2">
      <c r="A176" s="70">
        <f>VLOOKUP(B176,Annuaire_roster!B:F,5,0)</f>
        <v>971</v>
      </c>
      <c r="B176" s="165" t="s">
        <v>83</v>
      </c>
      <c r="C176" s="61" t="str">
        <f>IFERROR(IF(COUNTIFS(Connexions!$K:$K,$Q176,Connexions!$E:$E,VLOOKUP($B176,Mapping_Noms!$A:$B,2,0))=0,"",_xlfn.MINIFS(Connexions!$M:$M,Connexions!$K:$K,$Q176,Connexions!$E:$E,VLOOKUP($B176,Mapping_Noms!$A:$B,2,0))-TIME(1,0,0)),"")</f>
        <v/>
      </c>
      <c r="D176" s="61" t="str">
        <f t="array" ref="D176">IFERROR(INDEX(Planning2[],MATCH(1,(Planning2[Nom]=B176)*(Planning2[Date]=Q176),0),3),"-")</f>
        <v>OFF</v>
      </c>
      <c r="E176" s="38" t="str">
        <f>IFERROR(IF(COUNTIFS(Connexions!$K:$K,$Q176,Connexions!$E:$E,VLOOKUP($B176,Mapping_Noms!$A:$B,2,0))=0,"",_xlfn.MAXIFS(Connexions!$O:$O,Connexions!$K:$K,$Q176,Connexions!$E:$E,VLOOKUP($B176,Mapping_Noms!$A:$B,2,0))-TIME(1,0,0)),"")</f>
        <v/>
      </c>
      <c r="F176" s="38" t="str">
        <f t="array" ref="F176">IFERROR(INDEX(Planning2[],MATCH(1,(Planning2[Nom]=B176)*(Planning2[Date]=Q176),0),4),"-")</f>
        <v>OFF</v>
      </c>
      <c r="G176" s="88"/>
      <c r="H176" s="88"/>
      <c r="I176" s="235" t="str">
        <f t="shared" si="83"/>
        <v/>
      </c>
      <c r="J176" s="88"/>
      <c r="K176" s="89">
        <f t="shared" si="84"/>
        <v>0</v>
      </c>
      <c r="L176" s="88">
        <f t="shared" si="85"/>
        <v>0</v>
      </c>
      <c r="M176" s="62">
        <f t="shared" si="86"/>
        <v>0</v>
      </c>
      <c r="N176" s="102" t="str">
        <f t="shared" si="87"/>
        <v/>
      </c>
      <c r="O176" s="90">
        <f t="shared" si="88"/>
        <v>0</v>
      </c>
      <c r="P176" s="91" t="str">
        <f>IFERROR(VLOOKUP($B176,Annuaire_roster!$B:$G,MATCH(P$1,Annuaire_roster!$B$1:$G$1,0),0),"-")</f>
        <v>Google Leads</v>
      </c>
      <c r="Q176" s="100">
        <v>44766</v>
      </c>
      <c r="R176" s="10">
        <f t="shared" si="89"/>
        <v>0</v>
      </c>
      <c r="S176" s="10">
        <f t="shared" si="90"/>
        <v>0</v>
      </c>
      <c r="T176" s="16" t="str">
        <f t="shared" si="91"/>
        <v>Sem - 30</v>
      </c>
      <c r="U176" s="16" t="str">
        <f t="shared" si="92"/>
        <v>Juillet</v>
      </c>
      <c r="V176" s="11" t="str">
        <f t="shared" si="93"/>
        <v>2026</v>
      </c>
      <c r="W176" s="9"/>
      <c r="X176" s="5">
        <f t="shared" si="94"/>
        <v>0</v>
      </c>
      <c r="Y176" s="12" t="str">
        <f>IFERROR(VLOOKUP(B176,Annuaire_roster!B:E,4,0),"-")</f>
        <v>CHOUIFI Mustapha</v>
      </c>
      <c r="Z176" s="12" t="str">
        <f>IFERROR(VLOOKUP(B176,Annuaire_roster!B:F,3,0),"-")</f>
        <v>Google Leads</v>
      </c>
      <c r="AA176" s="12" t="str">
        <f>IFERROR(VLOOKUP(B176,Annuaire_roster!B:I,6,0),"-")</f>
        <v>Forfaitaire</v>
      </c>
      <c r="AB176" s="142" t="str">
        <f t="shared" si="95"/>
        <v/>
      </c>
      <c r="AC176" s="142" t="str">
        <f t="shared" si="96"/>
        <v/>
      </c>
      <c r="AD176" s="142" t="str">
        <f t="shared" si="97"/>
        <v/>
      </c>
      <c r="AE176" s="143" t="str">
        <f t="shared" si="98"/>
        <v/>
      </c>
      <c r="AF176" s="63"/>
      <c r="AG176" s="10"/>
    </row>
    <row r="177" spans="1:33" hidden="1" x14ac:dyDescent="0.2">
      <c r="A177" s="70">
        <f>VLOOKUP(B177,Annuaire_roster!B:F,5,0)</f>
        <v>1145</v>
      </c>
      <c r="B177" s="165" t="s">
        <v>102</v>
      </c>
      <c r="C177" s="61" t="str">
        <f>IFERROR(IF(COUNTIFS(Connexions!$K:$K,$Q177,Connexions!$E:$E,VLOOKUP($B177,Mapping_Noms!$A:$B,2,0))=0,"",_xlfn.MINIFS(Connexions!$M:$M,Connexions!$K:$K,$Q177,Connexions!$E:$E,VLOOKUP($B177,Mapping_Noms!$A:$B,2,0))-TIME(1,0,0)),"")</f>
        <v/>
      </c>
      <c r="D177" s="61" t="str">
        <f t="array" ref="D177">IFERROR(INDEX(Planning2[],MATCH(1,(Planning2[Nom]=B177)*(Planning2[Date]=Q177),0),3),"-")</f>
        <v>OFF</v>
      </c>
      <c r="E177" s="38" t="str">
        <f>IFERROR(IF(COUNTIFS(Connexions!$K:$K,$Q177,Connexions!$E:$E,VLOOKUP($B177,Mapping_Noms!$A:$B,2,0))=0,"",_xlfn.MAXIFS(Connexions!$O:$O,Connexions!$K:$K,$Q177,Connexions!$E:$E,VLOOKUP($B177,Mapping_Noms!$A:$B,2,0))-TIME(1,0,0)),"")</f>
        <v/>
      </c>
      <c r="F177" s="38" t="str">
        <f t="array" ref="F177">IFERROR(INDEX(Planning2[],MATCH(1,(Planning2[Nom]=B177)*(Planning2[Date]=Q177),0),4),"-")</f>
        <v>OFF</v>
      </c>
      <c r="G177" s="88"/>
      <c r="H177" s="88"/>
      <c r="I177" s="235" t="str">
        <f t="shared" si="83"/>
        <v/>
      </c>
      <c r="J177" s="88"/>
      <c r="K177" s="89">
        <f t="shared" si="84"/>
        <v>0</v>
      </c>
      <c r="L177" s="88">
        <f t="shared" si="85"/>
        <v>0</v>
      </c>
      <c r="M177" s="62">
        <f t="shared" si="86"/>
        <v>0</v>
      </c>
      <c r="N177" s="102" t="str">
        <f t="shared" si="87"/>
        <v/>
      </c>
      <c r="O177" s="90">
        <f t="shared" si="88"/>
        <v>0</v>
      </c>
      <c r="P177" s="91" t="str">
        <f>IFERROR(VLOOKUP($B177,Annuaire_roster!$B:$G,MATCH(P$1,Annuaire_roster!$B$1:$G$1,0),0),"-")</f>
        <v>Google Leads</v>
      </c>
      <c r="Q177" s="100">
        <v>44766</v>
      </c>
      <c r="R177" s="10">
        <f t="shared" si="89"/>
        <v>0</v>
      </c>
      <c r="S177" s="10">
        <f t="shared" si="90"/>
        <v>0</v>
      </c>
      <c r="T177" s="16" t="str">
        <f t="shared" si="91"/>
        <v>Sem - 30</v>
      </c>
      <c r="U177" s="16" t="str">
        <f t="shared" si="92"/>
        <v>Juillet</v>
      </c>
      <c r="V177" s="11" t="str">
        <f t="shared" si="93"/>
        <v>2026</v>
      </c>
      <c r="W177" s="9"/>
      <c r="X177" s="5">
        <f t="shared" si="94"/>
        <v>0</v>
      </c>
      <c r="Y177" s="12" t="str">
        <f>IFERROR(VLOOKUP(B177,Annuaire_roster!B:E,4,0),"-")</f>
        <v>CHOUIFI Mustapha</v>
      </c>
      <c r="Z177" s="12" t="str">
        <f>IFERROR(VLOOKUP(B177,Annuaire_roster!B:F,3,0),"-")</f>
        <v>Google Leads</v>
      </c>
      <c r="AA177" s="12" t="str">
        <f>IFERROR(VLOOKUP(B177,Annuaire_roster!B:I,6,0),"-")</f>
        <v>Forfaitaire</v>
      </c>
      <c r="AB177" s="142" t="str">
        <f t="shared" si="95"/>
        <v/>
      </c>
      <c r="AC177" s="142" t="str">
        <f t="shared" si="96"/>
        <v/>
      </c>
      <c r="AD177" s="142" t="str">
        <f t="shared" si="97"/>
        <v/>
      </c>
      <c r="AE177" s="143" t="str">
        <f t="shared" si="98"/>
        <v/>
      </c>
      <c r="AF177" s="63"/>
      <c r="AG177" s="10"/>
    </row>
    <row r="178" spans="1:33" hidden="1" x14ac:dyDescent="0.2">
      <c r="A178" s="70">
        <f>VLOOKUP(B178,Annuaire_roster!B:F,5,0)</f>
        <v>1132</v>
      </c>
      <c r="B178" s="165" t="s">
        <v>88</v>
      </c>
      <c r="C178" s="61" t="str">
        <f>IFERROR(IF(COUNTIFS(Connexions!$K:$K,$Q178,Connexions!$E:$E,VLOOKUP($B178,Mapping_Noms!$A:$B,2,0))=0,"",_xlfn.MINIFS(Connexions!$M:$M,Connexions!$K:$K,$Q178,Connexions!$E:$E,VLOOKUP($B178,Mapping_Noms!$A:$B,2,0))-TIME(1,0,0)),"")</f>
        <v/>
      </c>
      <c r="D178" s="61">
        <f t="array" ref="D178">IFERROR(INDEX(Planning2[],MATCH(1,(Planning2[Nom]=B178)*(Planning2[Date]=Q178),0),3),"-")</f>
        <v>0.41666666666666669</v>
      </c>
      <c r="E178" s="38" t="str">
        <f>IFERROR(IF(COUNTIFS(Connexions!$K:$K,$Q178,Connexions!$E:$E,VLOOKUP($B178,Mapping_Noms!$A:$B,2,0))=0,"",_xlfn.MAXIFS(Connexions!$O:$O,Connexions!$K:$K,$Q178,Connexions!$E:$E,VLOOKUP($B178,Mapping_Noms!$A:$B,2,0))-TIME(1,0,0)),"")</f>
        <v/>
      </c>
      <c r="F178" s="38">
        <f t="array" ref="F178">IFERROR(INDEX(Planning2[],MATCH(1,(Planning2[Nom]=B178)*(Planning2[Date]=Q178),0),4),"-")</f>
        <v>0.83333333333333337</v>
      </c>
      <c r="G178" s="88"/>
      <c r="H178" s="88"/>
      <c r="I178" s="235" t="str">
        <f t="shared" si="83"/>
        <v/>
      </c>
      <c r="J178" s="88"/>
      <c r="K178" s="89">
        <f t="shared" si="84"/>
        <v>0</v>
      </c>
      <c r="L178" s="88">
        <f t="shared" si="85"/>
        <v>0</v>
      </c>
      <c r="M178" s="62" t="str">
        <f t="shared" si="86"/>
        <v>Abs</v>
      </c>
      <c r="N178" s="102" t="str">
        <f t="shared" si="87"/>
        <v/>
      </c>
      <c r="O178" s="90">
        <f t="shared" si="88"/>
        <v>0.375</v>
      </c>
      <c r="P178" s="91" t="str">
        <f>IFERROR(VLOOKUP($B178,Annuaire_roster!$B:$G,MATCH(P$1,Annuaire_roster!$B$1:$G$1,0),0),"-")</f>
        <v>Google Leads</v>
      </c>
      <c r="Q178" s="100">
        <v>44766</v>
      </c>
      <c r="R178" s="10">
        <f t="shared" si="89"/>
        <v>0.375</v>
      </c>
      <c r="S178" s="10">
        <f t="shared" si="90"/>
        <v>0.375</v>
      </c>
      <c r="T178" s="16" t="str">
        <f t="shared" si="91"/>
        <v>Sem - 30</v>
      </c>
      <c r="U178" s="16" t="str">
        <f t="shared" si="92"/>
        <v>Juillet</v>
      </c>
      <c r="V178" s="11" t="str">
        <f t="shared" si="93"/>
        <v>2026</v>
      </c>
      <c r="W178" s="9"/>
      <c r="X178" s="5">
        <f t="shared" si="94"/>
        <v>0</v>
      </c>
      <c r="Y178" s="12" t="str">
        <f>IFERROR(VLOOKUP(B178,Annuaire_roster!B:E,4,0),"-")</f>
        <v>CHOUIFI Mustapha</v>
      </c>
      <c r="Z178" s="12" t="str">
        <f>IFERROR(VLOOKUP(B178,Annuaire_roster!B:F,3,0),"-")</f>
        <v>Google Leads</v>
      </c>
      <c r="AA178" s="12" t="str">
        <f>IFERROR(VLOOKUP(B178,Annuaire_roster!B:I,6,0),"-")</f>
        <v>Forfaitaire</v>
      </c>
      <c r="AB178" s="142" t="str">
        <f t="shared" si="95"/>
        <v/>
      </c>
      <c r="AC178" s="142" t="str">
        <f t="shared" si="96"/>
        <v/>
      </c>
      <c r="AD178" s="142" t="str">
        <f t="shared" si="97"/>
        <v/>
      </c>
      <c r="AE178" s="143" t="str">
        <f t="shared" si="98"/>
        <v/>
      </c>
      <c r="AF178" s="63"/>
      <c r="AG178" s="10"/>
    </row>
    <row r="179" spans="1:33" hidden="1" x14ac:dyDescent="0.2">
      <c r="A179" s="70">
        <f>VLOOKUP(B179,Annuaire_roster!B:F,5,0)</f>
        <v>0</v>
      </c>
      <c r="B179" s="165" t="s">
        <v>220</v>
      </c>
      <c r="C179" s="61" t="str">
        <f>IFERROR(IF(COUNTIFS(Connexions!$K:$K,$Q179,Connexions!$E:$E,VLOOKUP($B179,Mapping_Noms!$A:$B,2,0))=0,"",_xlfn.MINIFS(Connexions!$M:$M,Connexions!$K:$K,$Q179,Connexions!$E:$E,VLOOKUP($B179,Mapping_Noms!$A:$B,2,0))-TIME(1,0,0)),"")</f>
        <v/>
      </c>
      <c r="D179" s="61">
        <f t="array" ref="D179">IFERROR(INDEX(Planning2[],MATCH(1,(Planning2[Nom]=B179)*(Planning2[Date]=Q179),0),3),"-")</f>
        <v>0.29166666666666669</v>
      </c>
      <c r="E179" s="38" t="str">
        <f>IFERROR(IF(COUNTIFS(Connexions!$K:$K,$Q179,Connexions!$E:$E,VLOOKUP($B179,Mapping_Noms!$A:$B,2,0))=0,"",_xlfn.MAXIFS(Connexions!$O:$O,Connexions!$K:$K,$Q179,Connexions!$E:$E,VLOOKUP($B179,Mapping_Noms!$A:$B,2,0))-TIME(1,0,0)),"")</f>
        <v/>
      </c>
      <c r="F179" s="38">
        <f t="array" ref="F179">IFERROR(INDEX(Planning2[],MATCH(1,(Planning2[Nom]=B179)*(Planning2[Date]=Q179),0),4),"-")</f>
        <v>0.66666666666666663</v>
      </c>
      <c r="G179" s="88"/>
      <c r="H179" s="88"/>
      <c r="I179" s="235" t="str">
        <f t="shared" si="83"/>
        <v/>
      </c>
      <c r="J179" s="88"/>
      <c r="K179" s="89">
        <f t="shared" si="84"/>
        <v>0</v>
      </c>
      <c r="L179" s="88">
        <f t="shared" si="85"/>
        <v>0</v>
      </c>
      <c r="M179" s="62" t="str">
        <f t="shared" si="86"/>
        <v>Abs</v>
      </c>
      <c r="N179" s="102" t="str">
        <f t="shared" si="87"/>
        <v/>
      </c>
      <c r="O179" s="90">
        <f t="shared" si="88"/>
        <v>0.33333333333333326</v>
      </c>
      <c r="P179" s="91" t="str">
        <f>IFERROR(VLOOKUP($B179,Annuaire_roster!$B:$G,MATCH(P$1,Annuaire_roster!$B$1:$G$1,0),0),"-")</f>
        <v>Google Leads</v>
      </c>
      <c r="Q179" s="100">
        <v>44766</v>
      </c>
      <c r="R179" s="10">
        <f t="shared" si="89"/>
        <v>0.33333333333333326</v>
      </c>
      <c r="S179" s="10">
        <f t="shared" si="90"/>
        <v>0.33333333333333326</v>
      </c>
      <c r="T179" s="16" t="str">
        <f t="shared" si="91"/>
        <v>Sem - 30</v>
      </c>
      <c r="U179" s="16" t="str">
        <f t="shared" si="92"/>
        <v>Juillet</v>
      </c>
      <c r="V179" s="11" t="str">
        <f t="shared" si="93"/>
        <v>2026</v>
      </c>
      <c r="W179" s="9"/>
      <c r="X179" s="5">
        <f t="shared" si="94"/>
        <v>0</v>
      </c>
      <c r="Y179" s="12">
        <f>IFERROR(VLOOKUP(B179,Annuaire_roster!B:E,4,0),"-")</f>
        <v>0</v>
      </c>
      <c r="Z179" s="12" t="str">
        <f>IFERROR(VLOOKUP(B179,Annuaire_roster!B:F,3,0),"-")</f>
        <v>Google Leads</v>
      </c>
      <c r="AA179" s="12">
        <f>IFERROR(VLOOKUP(B179,Annuaire_roster!B:I,6,0),"-")</f>
        <v>0</v>
      </c>
      <c r="AB179" s="142" t="str">
        <f t="shared" si="95"/>
        <v/>
      </c>
      <c r="AC179" s="142" t="str">
        <f t="shared" si="96"/>
        <v/>
      </c>
      <c r="AD179" s="142" t="str">
        <f t="shared" si="97"/>
        <v/>
      </c>
      <c r="AE179" s="143" t="str">
        <f t="shared" si="98"/>
        <v/>
      </c>
      <c r="AF179" s="63"/>
      <c r="AG179" s="10"/>
    </row>
    <row r="180" spans="1:33" hidden="1" x14ac:dyDescent="0.2">
      <c r="A180" s="70">
        <f>VLOOKUP(B180,Annuaire_roster!B:F,5,0)</f>
        <v>0</v>
      </c>
      <c r="B180" s="165" t="s">
        <v>221</v>
      </c>
      <c r="C180" s="61" t="str">
        <f>IFERROR(IF(COUNTIFS(Connexions!$K:$K,$Q180,Connexions!$E:$E,VLOOKUP($B180,Mapping_Noms!$A:$B,2,0))=0,"",_xlfn.MINIFS(Connexions!$M:$M,Connexions!$K:$K,$Q180,Connexions!$E:$E,VLOOKUP($B180,Mapping_Noms!$A:$B,2,0))-TIME(1,0,0)),"")</f>
        <v/>
      </c>
      <c r="D180" s="61" t="str">
        <f t="array" ref="D180">IFERROR(INDEX(Planning2[],MATCH(1,(Planning2[Nom]=B180)*(Planning2[Date]=Q180),0),3),"-")</f>
        <v>OFF</v>
      </c>
      <c r="E180" s="38" t="str">
        <f>IFERROR(IF(COUNTIFS(Connexions!$K:$K,$Q180,Connexions!$E:$E,VLOOKUP($B180,Mapping_Noms!$A:$B,2,0))=0,"",_xlfn.MAXIFS(Connexions!$O:$O,Connexions!$K:$K,$Q180,Connexions!$E:$E,VLOOKUP($B180,Mapping_Noms!$A:$B,2,0))-TIME(1,0,0)),"")</f>
        <v/>
      </c>
      <c r="F180" s="38" t="str">
        <f t="array" ref="F180">IFERROR(INDEX(Planning2[],MATCH(1,(Planning2[Nom]=B180)*(Planning2[Date]=Q180),0),4),"-")</f>
        <v>OFF</v>
      </c>
      <c r="G180" s="88"/>
      <c r="H180" s="88"/>
      <c r="I180" s="235" t="str">
        <f t="shared" si="83"/>
        <v/>
      </c>
      <c r="J180" s="88"/>
      <c r="K180" s="89">
        <f t="shared" si="84"/>
        <v>0</v>
      </c>
      <c r="L180" s="88">
        <f t="shared" si="85"/>
        <v>0</v>
      </c>
      <c r="M180" s="62">
        <f t="shared" si="86"/>
        <v>0</v>
      </c>
      <c r="N180" s="102" t="str">
        <f t="shared" si="87"/>
        <v/>
      </c>
      <c r="O180" s="90">
        <f t="shared" si="88"/>
        <v>0</v>
      </c>
      <c r="P180" s="91" t="str">
        <f>IFERROR(VLOOKUP($B180,Annuaire_roster!$B:$G,MATCH(P$1,Annuaire_roster!$B$1:$G$1,0),0),"-")</f>
        <v>Google Leads</v>
      </c>
      <c r="Q180" s="100">
        <v>44766</v>
      </c>
      <c r="R180" s="10">
        <f t="shared" si="89"/>
        <v>0</v>
      </c>
      <c r="S180" s="10">
        <f t="shared" si="90"/>
        <v>0</v>
      </c>
      <c r="T180" s="16" t="str">
        <f t="shared" si="91"/>
        <v>Sem - 30</v>
      </c>
      <c r="U180" s="16" t="str">
        <f t="shared" si="92"/>
        <v>Juillet</v>
      </c>
      <c r="V180" s="11" t="str">
        <f t="shared" si="93"/>
        <v>2026</v>
      </c>
      <c r="W180" s="9"/>
      <c r="X180" s="5">
        <f t="shared" si="94"/>
        <v>0</v>
      </c>
      <c r="Y180" s="12">
        <f>IFERROR(VLOOKUP(B180,Annuaire_roster!B:E,4,0),"-")</f>
        <v>0</v>
      </c>
      <c r="Z180" s="12" t="str">
        <f>IFERROR(VLOOKUP(B180,Annuaire_roster!B:F,3,0),"-")</f>
        <v>Google Leads</v>
      </c>
      <c r="AA180" s="12">
        <f>IFERROR(VLOOKUP(B180,Annuaire_roster!B:I,6,0),"-")</f>
        <v>0</v>
      </c>
      <c r="AB180" s="142" t="str">
        <f t="shared" si="95"/>
        <v/>
      </c>
      <c r="AC180" s="142" t="str">
        <f t="shared" si="96"/>
        <v/>
      </c>
      <c r="AD180" s="142" t="str">
        <f t="shared" si="97"/>
        <v/>
      </c>
      <c r="AE180" s="143" t="str">
        <f t="shared" si="98"/>
        <v/>
      </c>
      <c r="AF180" s="63"/>
      <c r="AG180" s="10"/>
    </row>
    <row r="181" spans="1:33" hidden="1" x14ac:dyDescent="0.2">
      <c r="A181" s="70">
        <f>VLOOKUP(B181,Annuaire_roster!B:F,5,0)</f>
        <v>0</v>
      </c>
      <c r="B181" s="165" t="s">
        <v>217</v>
      </c>
      <c r="C181" s="61" t="str">
        <f>IFERROR(IF(COUNTIFS(Connexions!$K:$K,$Q181,Connexions!$E:$E,VLOOKUP($B181,Mapping_Noms!$A:$B,2,0))=0,"",_xlfn.MINIFS(Connexions!$M:$M,Connexions!$K:$K,$Q181,Connexions!$E:$E,VLOOKUP($B181,Mapping_Noms!$A:$B,2,0))-TIME(1,0,0)),"")</f>
        <v/>
      </c>
      <c r="D181" s="61">
        <f t="array" ref="D181">IFERROR(INDEX(Planning2[],MATCH(1,(Planning2[Nom]=B181)*(Planning2[Date]=Q181),0),3),"-")</f>
        <v>0.41666666666666669</v>
      </c>
      <c r="E181" s="38" t="str">
        <f>IFERROR(IF(COUNTIFS(Connexions!$K:$K,$Q181,Connexions!$E:$E,VLOOKUP($B181,Mapping_Noms!$A:$B,2,0))=0,"",_xlfn.MAXIFS(Connexions!$O:$O,Connexions!$K:$K,$Q181,Connexions!$E:$E,VLOOKUP($B181,Mapping_Noms!$A:$B,2,0))-TIME(1,0,0)),"")</f>
        <v/>
      </c>
      <c r="F181" s="38">
        <f t="array" ref="F181">IFERROR(INDEX(Planning2[],MATCH(1,(Planning2[Nom]=B181)*(Planning2[Date]=Q181),0),4),"-")</f>
        <v>0.83333333333333337</v>
      </c>
      <c r="G181" s="88"/>
      <c r="H181" s="88"/>
      <c r="I181" s="235" t="str">
        <f t="shared" si="83"/>
        <v/>
      </c>
      <c r="J181" s="88"/>
      <c r="K181" s="89">
        <f t="shared" si="84"/>
        <v>0</v>
      </c>
      <c r="L181" s="88">
        <f t="shared" si="85"/>
        <v>0</v>
      </c>
      <c r="M181" s="62" t="str">
        <f t="shared" si="86"/>
        <v>Abs</v>
      </c>
      <c r="N181" s="102" t="str">
        <f t="shared" si="87"/>
        <v/>
      </c>
      <c r="O181" s="90">
        <f t="shared" si="88"/>
        <v>0.375</v>
      </c>
      <c r="P181" s="91" t="str">
        <f>IFERROR(VLOOKUP($B181,Annuaire_roster!$B:$G,MATCH(P$1,Annuaire_roster!$B$1:$G$1,0),0),"-")</f>
        <v>Google Leads</v>
      </c>
      <c r="Q181" s="100">
        <v>44766</v>
      </c>
      <c r="R181" s="10">
        <f t="shared" si="89"/>
        <v>0.375</v>
      </c>
      <c r="S181" s="10">
        <f t="shared" si="90"/>
        <v>0.375</v>
      </c>
      <c r="T181" s="16" t="str">
        <f t="shared" si="91"/>
        <v>Sem - 30</v>
      </c>
      <c r="U181" s="16" t="str">
        <f t="shared" si="92"/>
        <v>Juillet</v>
      </c>
      <c r="V181" s="11" t="str">
        <f t="shared" si="93"/>
        <v>2026</v>
      </c>
      <c r="W181" s="9"/>
      <c r="X181" s="5">
        <f t="shared" si="94"/>
        <v>0</v>
      </c>
      <c r="Y181" s="12">
        <f>IFERROR(VLOOKUP(B181,Annuaire_roster!B:E,4,0),"-")</f>
        <v>0</v>
      </c>
      <c r="Z181" s="12" t="str">
        <f>IFERROR(VLOOKUP(B181,Annuaire_roster!B:F,3,0),"-")</f>
        <v>Google Leads</v>
      </c>
      <c r="AA181" s="12">
        <f>IFERROR(VLOOKUP(B181,Annuaire_roster!B:I,6,0),"-")</f>
        <v>0</v>
      </c>
      <c r="AB181" s="142" t="str">
        <f t="shared" si="95"/>
        <v/>
      </c>
      <c r="AC181" s="142" t="str">
        <f t="shared" si="96"/>
        <v/>
      </c>
      <c r="AD181" s="142" t="str">
        <f t="shared" si="97"/>
        <v/>
      </c>
      <c r="AE181" s="143" t="str">
        <f t="shared" si="98"/>
        <v/>
      </c>
      <c r="AF181" s="63"/>
      <c r="AG181" s="10"/>
    </row>
    <row r="182" spans="1:33" hidden="1" x14ac:dyDescent="0.2">
      <c r="A182" s="70">
        <f>VLOOKUP(B182,Annuaire_roster!B:F,5,0)</f>
        <v>1154</v>
      </c>
      <c r="B182" s="165" t="s">
        <v>110</v>
      </c>
      <c r="C182" s="61" t="str">
        <f>IFERROR(IF(COUNTIFS(Connexions!$K:$K,$Q182,Connexions!$E:$E,VLOOKUP($B182,Mapping_Noms!$A:$B,2,0))=0,"",_xlfn.MINIFS(Connexions!$M:$M,Connexions!$K:$K,$Q182,Connexions!$E:$E,VLOOKUP($B182,Mapping_Noms!$A:$B,2,0))-TIME(1,0,0)),"")</f>
        <v/>
      </c>
      <c r="D182" s="61">
        <f t="array" ref="D182">IFERROR(INDEX(Planning2[],MATCH(1,(Planning2[Nom]=B182)*(Planning2[Date]=Q182),0),3),"-")</f>
        <v>0.41666666666666669</v>
      </c>
      <c r="E182" s="38" t="str">
        <f>IFERROR(IF(COUNTIFS(Connexions!$K:$K,$Q182,Connexions!$E:$E,VLOOKUP($B182,Mapping_Noms!$A:$B,2,0))=0,"",_xlfn.MAXIFS(Connexions!$O:$O,Connexions!$K:$K,$Q182,Connexions!$E:$E,VLOOKUP($B182,Mapping_Noms!$A:$B,2,0))-TIME(1,0,0)),"")</f>
        <v/>
      </c>
      <c r="F182" s="38">
        <f t="array" ref="F182">IFERROR(INDEX(Planning2[],MATCH(1,(Planning2[Nom]=B182)*(Planning2[Date]=Q182),0),4),"-")</f>
        <v>0.83333333333333337</v>
      </c>
      <c r="G182" s="88"/>
      <c r="H182" s="88"/>
      <c r="I182" s="235" t="str">
        <f t="shared" si="83"/>
        <v/>
      </c>
      <c r="J182" s="88"/>
      <c r="K182" s="89">
        <f t="shared" si="84"/>
        <v>0</v>
      </c>
      <c r="L182" s="88">
        <f t="shared" si="85"/>
        <v>0</v>
      </c>
      <c r="M182" s="62" t="str">
        <f t="shared" si="86"/>
        <v>Abs</v>
      </c>
      <c r="N182" s="102" t="str">
        <f t="shared" si="87"/>
        <v/>
      </c>
      <c r="O182" s="90">
        <f t="shared" si="88"/>
        <v>0.375</v>
      </c>
      <c r="P182" s="91" t="str">
        <f>IFERROR(VLOOKUP($B182,Annuaire_roster!$B:$G,MATCH(P$1,Annuaire_roster!$B$1:$G$1,0),0),"-")</f>
        <v>Google Leads</v>
      </c>
      <c r="Q182" s="100">
        <v>44766</v>
      </c>
      <c r="R182" s="10">
        <f t="shared" si="89"/>
        <v>0.375</v>
      </c>
      <c r="S182" s="10">
        <f t="shared" si="90"/>
        <v>0.375</v>
      </c>
      <c r="T182" s="16" t="str">
        <f t="shared" si="91"/>
        <v>Sem - 30</v>
      </c>
      <c r="U182" s="16" t="str">
        <f t="shared" si="92"/>
        <v>Juillet</v>
      </c>
      <c r="V182" s="11" t="str">
        <f t="shared" si="93"/>
        <v>2026</v>
      </c>
      <c r="W182" s="9"/>
      <c r="X182" s="5">
        <f t="shared" si="94"/>
        <v>0</v>
      </c>
      <c r="Y182" s="12" t="str">
        <f>IFERROR(VLOOKUP(B182,Annuaire_roster!B:E,4,0),"-")</f>
        <v>CHOUIFI Mustapha</v>
      </c>
      <c r="Z182" s="12" t="str">
        <f>IFERROR(VLOOKUP(B182,Annuaire_roster!B:F,3,0),"-")</f>
        <v>Google Leads</v>
      </c>
      <c r="AA182" s="12" t="str">
        <f>IFERROR(VLOOKUP(B182,Annuaire_roster!B:I,6,0),"-")</f>
        <v>Forfaitaire</v>
      </c>
      <c r="AB182" s="142" t="str">
        <f t="shared" si="95"/>
        <v/>
      </c>
      <c r="AC182" s="142" t="str">
        <f t="shared" si="96"/>
        <v/>
      </c>
      <c r="AD182" s="142" t="str">
        <f t="shared" si="97"/>
        <v/>
      </c>
      <c r="AE182" s="143" t="str">
        <f t="shared" si="98"/>
        <v/>
      </c>
      <c r="AF182" s="63"/>
      <c r="AG182" s="10"/>
    </row>
    <row r="183" spans="1:33" hidden="1" x14ac:dyDescent="0.2">
      <c r="A183" s="70">
        <f>VLOOKUP(B183,Annuaire_roster!B:F,5,0)</f>
        <v>742</v>
      </c>
      <c r="B183" s="165" t="s">
        <v>76</v>
      </c>
      <c r="C183" s="61" t="str">
        <f>IFERROR(IF(COUNTIFS(Connexions!$K:$K,$Q183,Connexions!$E:$E,VLOOKUP($B183,Mapping_Noms!$A:$B,2,0))=0,"",_xlfn.MINIFS(Connexions!$M:$M,Connexions!$K:$K,$Q183,Connexions!$E:$E,VLOOKUP($B183,Mapping_Noms!$A:$B,2,0))-TIME(1,0,0)),"")</f>
        <v/>
      </c>
      <c r="D183" s="61" t="str">
        <f t="array" ref="D183">IFERROR(INDEX(Planning2[],MATCH(1,(Planning2[Nom]=B183)*(Planning2[Date]=Q183),0),3),"-")</f>
        <v>OFF</v>
      </c>
      <c r="E183" s="38" t="str">
        <f>IFERROR(IF(COUNTIFS(Connexions!$K:$K,$Q183,Connexions!$E:$E,VLOOKUP($B183,Mapping_Noms!$A:$B,2,0))=0,"",_xlfn.MAXIFS(Connexions!$O:$O,Connexions!$K:$K,$Q183,Connexions!$E:$E,VLOOKUP($B183,Mapping_Noms!$A:$B,2,0))-TIME(1,0,0)),"")</f>
        <v/>
      </c>
      <c r="F183" s="38" t="str">
        <f t="array" ref="F183">IFERROR(INDEX(Planning2[],MATCH(1,(Planning2[Nom]=B183)*(Planning2[Date]=Q183),0),4),"-")</f>
        <v>OFF</v>
      </c>
      <c r="G183" s="88"/>
      <c r="H183" s="88"/>
      <c r="I183" s="235" t="str">
        <f t="shared" si="83"/>
        <v/>
      </c>
      <c r="J183" s="88"/>
      <c r="K183" s="89">
        <f t="shared" si="84"/>
        <v>0</v>
      </c>
      <c r="L183" s="88">
        <f t="shared" si="85"/>
        <v>0</v>
      </c>
      <c r="M183" s="62">
        <f t="shared" si="86"/>
        <v>0</v>
      </c>
      <c r="N183" s="102" t="str">
        <f t="shared" si="87"/>
        <v/>
      </c>
      <c r="O183" s="90">
        <f t="shared" si="88"/>
        <v>0</v>
      </c>
      <c r="P183" s="91" t="str">
        <f>IFERROR(VLOOKUP($B183,Annuaire_roster!$B:$G,MATCH(P$1,Annuaire_roster!$B$1:$G$1,0),0),"-")</f>
        <v>Google Leads</v>
      </c>
      <c r="Q183" s="100">
        <v>44766</v>
      </c>
      <c r="R183" s="10">
        <f t="shared" si="89"/>
        <v>0</v>
      </c>
      <c r="S183" s="10">
        <f t="shared" si="90"/>
        <v>0</v>
      </c>
      <c r="T183" s="16" t="str">
        <f t="shared" si="91"/>
        <v>Sem - 30</v>
      </c>
      <c r="U183" s="16" t="str">
        <f t="shared" si="92"/>
        <v>Juillet</v>
      </c>
      <c r="V183" s="11" t="str">
        <f t="shared" si="93"/>
        <v>2026</v>
      </c>
      <c r="W183" s="9"/>
      <c r="X183" s="5">
        <f t="shared" si="94"/>
        <v>0</v>
      </c>
      <c r="Y183" s="12" t="str">
        <f>IFERROR(VLOOKUP(B183,Annuaire_roster!B:E,4,0),"-")</f>
        <v>OUAQERROUCH Nour-El Houda</v>
      </c>
      <c r="Z183" s="12" t="str">
        <f>IFERROR(VLOOKUP(B183,Annuaire_roster!B:F,3,0),"-")</f>
        <v>Google Leads</v>
      </c>
      <c r="AA183" s="12" t="str">
        <f>IFERROR(VLOOKUP(B183,Annuaire_roster!B:I,6,0),"-")</f>
        <v>Forfaitaire</v>
      </c>
      <c r="AB183" s="142" t="str">
        <f t="shared" si="95"/>
        <v/>
      </c>
      <c r="AC183" s="142" t="str">
        <f t="shared" si="96"/>
        <v/>
      </c>
      <c r="AD183" s="142" t="str">
        <f t="shared" si="97"/>
        <v/>
      </c>
      <c r="AE183" s="143" t="str">
        <f t="shared" si="98"/>
        <v/>
      </c>
      <c r="AF183" s="63"/>
      <c r="AG183" s="10"/>
    </row>
    <row r="184" spans="1:33" hidden="1" x14ac:dyDescent="0.2">
      <c r="A184" s="70">
        <f>VLOOKUP(B184,Annuaire_roster!B:F,5,0)</f>
        <v>1131</v>
      </c>
      <c r="B184" s="165" t="s">
        <v>214</v>
      </c>
      <c r="C184" s="61" t="str">
        <f>IFERROR(IF(COUNTIFS(Connexions!$K:$K,$Q184,Connexions!$E:$E,VLOOKUP($B184,Mapping_Noms!$A:$B,2,0))=0,"",_xlfn.MINIFS(Connexions!$M:$M,Connexions!$K:$K,$Q184,Connexions!$E:$E,VLOOKUP($B184,Mapping_Noms!$A:$B,2,0))-TIME(1,0,0)),"")</f>
        <v/>
      </c>
      <c r="D184" s="61">
        <f t="array" ref="D184">IFERROR(INDEX(Planning2[],MATCH(1,(Planning2[Nom]=B184)*(Planning2[Date]=Q184),0),3),"-")</f>
        <v>0.29166666666666669</v>
      </c>
      <c r="E184" s="38" t="str">
        <f>IFERROR(IF(COUNTIFS(Connexions!$K:$K,$Q184,Connexions!$E:$E,VLOOKUP($B184,Mapping_Noms!$A:$B,2,0))=0,"",_xlfn.MAXIFS(Connexions!$O:$O,Connexions!$K:$K,$Q184,Connexions!$E:$E,VLOOKUP($B184,Mapping_Noms!$A:$B,2,0))-TIME(1,0,0)),"")</f>
        <v/>
      </c>
      <c r="F184" s="38">
        <f t="array" ref="F184">IFERROR(INDEX(Planning2[],MATCH(1,(Planning2[Nom]=B184)*(Planning2[Date]=Q184),0),4),"-")</f>
        <v>0.66666666666666663</v>
      </c>
      <c r="G184" s="88"/>
      <c r="H184" s="88"/>
      <c r="I184" s="235" t="str">
        <f t="shared" si="83"/>
        <v/>
      </c>
      <c r="J184" s="88"/>
      <c r="K184" s="89">
        <f t="shared" si="84"/>
        <v>0</v>
      </c>
      <c r="L184" s="88">
        <f t="shared" si="85"/>
        <v>0</v>
      </c>
      <c r="M184" s="62" t="str">
        <f t="shared" si="86"/>
        <v>Abs</v>
      </c>
      <c r="N184" s="102" t="str">
        <f t="shared" si="87"/>
        <v/>
      </c>
      <c r="O184" s="90">
        <f t="shared" si="88"/>
        <v>0.33333333333333326</v>
      </c>
      <c r="P184" s="91" t="str">
        <f>IFERROR(VLOOKUP($B184,Annuaire_roster!$B:$G,MATCH(P$1,Annuaire_roster!$B$1:$G$1,0),0),"-")</f>
        <v>Google Leads</v>
      </c>
      <c r="Q184" s="100">
        <v>44766</v>
      </c>
      <c r="R184" s="10">
        <f t="shared" si="89"/>
        <v>0.33333333333333326</v>
      </c>
      <c r="S184" s="10">
        <f t="shared" si="90"/>
        <v>0.33333333333333326</v>
      </c>
      <c r="T184" s="16" t="str">
        <f t="shared" si="91"/>
        <v>Sem - 30</v>
      </c>
      <c r="U184" s="16" t="str">
        <f t="shared" si="92"/>
        <v>Juillet</v>
      </c>
      <c r="V184" s="11" t="str">
        <f t="shared" si="93"/>
        <v>2026</v>
      </c>
      <c r="W184" s="9"/>
      <c r="X184" s="5">
        <f t="shared" si="94"/>
        <v>0</v>
      </c>
      <c r="Y184" s="12" t="str">
        <f>IFERROR(VLOOKUP(B184,Annuaire_roster!B:E,4,0),"-")</f>
        <v>CHOUIFI Mustapha</v>
      </c>
      <c r="Z184" s="12" t="str">
        <f>IFERROR(VLOOKUP(B184,Annuaire_roster!B:F,3,0),"-")</f>
        <v>Google Leads</v>
      </c>
      <c r="AA184" s="12" t="str">
        <f>IFERROR(VLOOKUP(B184,Annuaire_roster!B:I,6,0),"-")</f>
        <v>Forfaitaire</v>
      </c>
      <c r="AB184" s="142" t="str">
        <f t="shared" si="95"/>
        <v/>
      </c>
      <c r="AC184" s="142" t="str">
        <f t="shared" si="96"/>
        <v/>
      </c>
      <c r="AD184" s="142" t="str">
        <f t="shared" si="97"/>
        <v/>
      </c>
      <c r="AE184" s="143" t="str">
        <f t="shared" si="98"/>
        <v/>
      </c>
      <c r="AF184" s="63"/>
      <c r="AG184" s="10"/>
    </row>
    <row r="185" spans="1:33" hidden="1" x14ac:dyDescent="0.2">
      <c r="A185" s="70">
        <f>VLOOKUP(B185,Annuaire_roster!B:F,5,0)</f>
        <v>0</v>
      </c>
      <c r="B185" s="165" t="s">
        <v>198</v>
      </c>
      <c r="C185" s="61" t="str">
        <f>IFERROR(IF(COUNTIFS(Connexions!$K:$K,$Q185,Connexions!$E:$E,VLOOKUP($B185,Mapping_Noms!$A:$B,2,0))=0,"",_xlfn.MINIFS(Connexions!$M:$M,Connexions!$K:$K,$Q185,Connexions!$E:$E,VLOOKUP($B185,Mapping_Noms!$A:$B,2,0))-TIME(1,0,0)),"")</f>
        <v/>
      </c>
      <c r="D185" s="61" t="str">
        <f t="array" ref="D185">IFERROR(INDEX(Planning2[],MATCH(1,(Planning2[Nom]=B185)*(Planning2[Date]=Q185),0),3),"-")</f>
        <v>OFF</v>
      </c>
      <c r="E185" s="38" t="str">
        <f>IFERROR(IF(COUNTIFS(Connexions!$K:$K,$Q185,Connexions!$E:$E,VLOOKUP($B185,Mapping_Noms!$A:$B,2,0))=0,"",_xlfn.MAXIFS(Connexions!$O:$O,Connexions!$K:$K,$Q185,Connexions!$E:$E,VLOOKUP($B185,Mapping_Noms!$A:$B,2,0))-TIME(1,0,0)),"")</f>
        <v/>
      </c>
      <c r="F185" s="38" t="str">
        <f t="array" ref="F185">IFERROR(INDEX(Planning2[],MATCH(1,(Planning2[Nom]=B185)*(Planning2[Date]=Q185),0),4),"-")</f>
        <v>OFF</v>
      </c>
      <c r="G185" s="88"/>
      <c r="H185" s="88"/>
      <c r="I185" s="235" t="str">
        <f t="shared" si="83"/>
        <v/>
      </c>
      <c r="J185" s="88"/>
      <c r="K185" s="89">
        <f t="shared" si="84"/>
        <v>0</v>
      </c>
      <c r="L185" s="88">
        <f t="shared" si="85"/>
        <v>0</v>
      </c>
      <c r="M185" s="62">
        <f t="shared" si="86"/>
        <v>0</v>
      </c>
      <c r="N185" s="102" t="str">
        <f t="shared" si="87"/>
        <v/>
      </c>
      <c r="O185" s="90">
        <f t="shared" si="88"/>
        <v>0</v>
      </c>
      <c r="P185" s="91" t="str">
        <f>IFERROR(VLOOKUP($B185,Annuaire_roster!$B:$G,MATCH(P$1,Annuaire_roster!$B$1:$G$1,0),0),"-")</f>
        <v>Google Leads</v>
      </c>
      <c r="Q185" s="100">
        <v>44766</v>
      </c>
      <c r="R185" s="10">
        <f t="shared" si="89"/>
        <v>0</v>
      </c>
      <c r="S185" s="10">
        <f t="shared" si="90"/>
        <v>0</v>
      </c>
      <c r="T185" s="16" t="str">
        <f t="shared" si="91"/>
        <v>Sem - 30</v>
      </c>
      <c r="U185" s="16" t="str">
        <f t="shared" si="92"/>
        <v>Juillet</v>
      </c>
      <c r="V185" s="11" t="str">
        <f t="shared" si="93"/>
        <v>2026</v>
      </c>
      <c r="W185" s="9"/>
      <c r="X185" s="5">
        <f t="shared" si="94"/>
        <v>0</v>
      </c>
      <c r="Y185" s="12">
        <f>IFERROR(VLOOKUP(B185,Annuaire_roster!B:E,4,0),"-")</f>
        <v>0</v>
      </c>
      <c r="Z185" s="12" t="str">
        <f>IFERROR(VLOOKUP(B185,Annuaire_roster!B:F,3,0),"-")</f>
        <v>Google Leads</v>
      </c>
      <c r="AA185" s="12">
        <f>IFERROR(VLOOKUP(B185,Annuaire_roster!B:I,6,0),"-")</f>
        <v>0</v>
      </c>
      <c r="AB185" s="142" t="str">
        <f t="shared" si="95"/>
        <v/>
      </c>
      <c r="AC185" s="142" t="str">
        <f t="shared" si="96"/>
        <v/>
      </c>
      <c r="AD185" s="142" t="str">
        <f t="shared" si="97"/>
        <v/>
      </c>
      <c r="AE185" s="143" t="str">
        <f t="shared" si="98"/>
        <v/>
      </c>
      <c r="AF185" s="63"/>
      <c r="AG185" s="10"/>
    </row>
    <row r="186" spans="1:33" hidden="1" x14ac:dyDescent="0.2">
      <c r="A186" s="70">
        <f>VLOOKUP(B186,Annuaire_roster!B:F,5,0)</f>
        <v>0</v>
      </c>
      <c r="B186" s="165" t="s">
        <v>210</v>
      </c>
      <c r="C186" s="61" t="str">
        <f>IFERROR(IF(COUNTIFS(Connexions!$K:$K,$Q186,Connexions!$E:$E,VLOOKUP($B186,Mapping_Noms!$A:$B,2,0))=0,"",_xlfn.MINIFS(Connexions!$M:$M,Connexions!$K:$K,$Q186,Connexions!$E:$E,VLOOKUP($B186,Mapping_Noms!$A:$B,2,0))-TIME(1,0,0)),"")</f>
        <v/>
      </c>
      <c r="D186" s="61">
        <f t="array" ref="D186">IFERROR(INDEX(Planning2[],MATCH(1,(Planning2[Nom]=B186)*(Planning2[Date]=Q186),0),3),"-")</f>
        <v>0.41666666666666669</v>
      </c>
      <c r="E186" s="38" t="str">
        <f>IFERROR(IF(COUNTIFS(Connexions!$K:$K,$Q186,Connexions!$E:$E,VLOOKUP($B186,Mapping_Noms!$A:$B,2,0))=0,"",_xlfn.MAXIFS(Connexions!$O:$O,Connexions!$K:$K,$Q186,Connexions!$E:$E,VLOOKUP($B186,Mapping_Noms!$A:$B,2,0))-TIME(1,0,0)),"")</f>
        <v/>
      </c>
      <c r="F186" s="38">
        <f t="array" ref="F186">IFERROR(INDEX(Planning2[],MATCH(1,(Planning2[Nom]=B186)*(Planning2[Date]=Q186),0),4),"-")</f>
        <v>0.83333333333333337</v>
      </c>
      <c r="G186" s="88"/>
      <c r="H186" s="88"/>
      <c r="I186" s="235" t="str">
        <f t="shared" si="83"/>
        <v/>
      </c>
      <c r="J186" s="88"/>
      <c r="K186" s="89">
        <f t="shared" si="84"/>
        <v>0</v>
      </c>
      <c r="L186" s="88">
        <f t="shared" si="85"/>
        <v>0</v>
      </c>
      <c r="M186" s="62" t="str">
        <f t="shared" si="86"/>
        <v>Abs</v>
      </c>
      <c r="N186" s="102" t="str">
        <f t="shared" si="87"/>
        <v/>
      </c>
      <c r="O186" s="90">
        <f t="shared" si="88"/>
        <v>0.375</v>
      </c>
      <c r="P186" s="91" t="str">
        <f>IFERROR(VLOOKUP($B186,Annuaire_roster!$B:$G,MATCH(P$1,Annuaire_roster!$B$1:$G$1,0),0),"-")</f>
        <v>Google Leads</v>
      </c>
      <c r="Q186" s="100">
        <v>44766</v>
      </c>
      <c r="R186" s="10">
        <f t="shared" si="89"/>
        <v>0.375</v>
      </c>
      <c r="S186" s="10">
        <f t="shared" si="90"/>
        <v>0.375</v>
      </c>
      <c r="T186" s="16" t="str">
        <f t="shared" si="91"/>
        <v>Sem - 30</v>
      </c>
      <c r="U186" s="16" t="str">
        <f t="shared" si="92"/>
        <v>Juillet</v>
      </c>
      <c r="V186" s="11" t="str">
        <f t="shared" si="93"/>
        <v>2026</v>
      </c>
      <c r="W186" s="9"/>
      <c r="X186" s="5">
        <f t="shared" si="94"/>
        <v>0</v>
      </c>
      <c r="Y186" s="12">
        <f>IFERROR(VLOOKUP(B186,Annuaire_roster!B:E,4,0),"-")</f>
        <v>0</v>
      </c>
      <c r="Z186" s="12" t="str">
        <f>IFERROR(VLOOKUP(B186,Annuaire_roster!B:F,3,0),"-")</f>
        <v>Google Leads</v>
      </c>
      <c r="AA186" s="12">
        <f>IFERROR(VLOOKUP(B186,Annuaire_roster!B:I,6,0),"-")</f>
        <v>0</v>
      </c>
      <c r="AB186" s="142" t="str">
        <f t="shared" si="95"/>
        <v/>
      </c>
      <c r="AC186" s="142" t="str">
        <f t="shared" si="96"/>
        <v/>
      </c>
      <c r="AD186" s="142" t="str">
        <f t="shared" si="97"/>
        <v/>
      </c>
      <c r="AE186" s="143" t="str">
        <f t="shared" si="98"/>
        <v/>
      </c>
      <c r="AF186" s="63"/>
      <c r="AG186" s="10"/>
    </row>
    <row r="187" spans="1:33" hidden="1" x14ac:dyDescent="0.2">
      <c r="A187" s="70">
        <f>VLOOKUP(B187,Annuaire_roster!B:F,5,0)</f>
        <v>0</v>
      </c>
      <c r="B187" s="165" t="s">
        <v>223</v>
      </c>
      <c r="C187" s="61" t="str">
        <f>IFERROR(IF(COUNTIFS(Connexions!$K:$K,$Q187,Connexions!$E:$E,VLOOKUP($B187,Mapping_Noms!$A:$B,2,0))=0,"",_xlfn.MINIFS(Connexions!$M:$M,Connexions!$K:$K,$Q187,Connexions!$E:$E,VLOOKUP($B187,Mapping_Noms!$A:$B,2,0))-TIME(1,0,0)),"")</f>
        <v/>
      </c>
      <c r="D187" s="61">
        <f t="array" ref="D187">IFERROR(INDEX(Planning2[],MATCH(1,(Planning2[Nom]=B187)*(Planning2[Date]=Q187),0),3),"-")</f>
        <v>0.29166666666666669</v>
      </c>
      <c r="E187" s="38" t="str">
        <f>IFERROR(IF(COUNTIFS(Connexions!$K:$K,$Q187,Connexions!$E:$E,VLOOKUP($B187,Mapping_Noms!$A:$B,2,0))=0,"",_xlfn.MAXIFS(Connexions!$O:$O,Connexions!$K:$K,$Q187,Connexions!$E:$E,VLOOKUP($B187,Mapping_Noms!$A:$B,2,0))-TIME(1,0,0)),"")</f>
        <v/>
      </c>
      <c r="F187" s="38">
        <f t="array" ref="F187">IFERROR(INDEX(Planning2[],MATCH(1,(Planning2[Nom]=B187)*(Planning2[Date]=Q187),0),4),"-")</f>
        <v>0.66666666666666663</v>
      </c>
      <c r="G187" s="88"/>
      <c r="H187" s="88"/>
      <c r="I187" s="235" t="str">
        <f t="shared" si="83"/>
        <v/>
      </c>
      <c r="J187" s="88"/>
      <c r="K187" s="89">
        <f t="shared" si="84"/>
        <v>0</v>
      </c>
      <c r="L187" s="88">
        <f t="shared" si="85"/>
        <v>0</v>
      </c>
      <c r="M187" s="62" t="str">
        <f t="shared" si="86"/>
        <v>Abs</v>
      </c>
      <c r="N187" s="102" t="str">
        <f t="shared" si="87"/>
        <v/>
      </c>
      <c r="O187" s="90">
        <f t="shared" si="88"/>
        <v>0.33333333333333326</v>
      </c>
      <c r="P187" s="91" t="str">
        <f>IFERROR(VLOOKUP($B187,Annuaire_roster!$B:$G,MATCH(P$1,Annuaire_roster!$B$1:$G$1,0),0),"-")</f>
        <v>Google Leads</v>
      </c>
      <c r="Q187" s="100">
        <v>44766</v>
      </c>
      <c r="R187" s="10">
        <f t="shared" si="89"/>
        <v>0.33333333333333326</v>
      </c>
      <c r="S187" s="10">
        <f t="shared" si="90"/>
        <v>0.33333333333333326</v>
      </c>
      <c r="T187" s="16" t="str">
        <f t="shared" si="91"/>
        <v>Sem - 30</v>
      </c>
      <c r="U187" s="16" t="str">
        <f t="shared" si="92"/>
        <v>Juillet</v>
      </c>
      <c r="V187" s="11" t="str">
        <f t="shared" si="93"/>
        <v>2026</v>
      </c>
      <c r="W187" s="9"/>
      <c r="X187" s="5">
        <f t="shared" si="94"/>
        <v>0</v>
      </c>
      <c r="Y187" s="12">
        <f>IFERROR(VLOOKUP(B187,Annuaire_roster!B:E,4,0),"-")</f>
        <v>0</v>
      </c>
      <c r="Z187" s="12" t="str">
        <f>IFERROR(VLOOKUP(B187,Annuaire_roster!B:F,3,0),"-")</f>
        <v>Google Leads</v>
      </c>
      <c r="AA187" s="12">
        <f>IFERROR(VLOOKUP(B187,Annuaire_roster!B:I,6,0),"-")</f>
        <v>0</v>
      </c>
      <c r="AB187" s="142" t="str">
        <f t="shared" si="95"/>
        <v/>
      </c>
      <c r="AC187" s="142" t="str">
        <f t="shared" si="96"/>
        <v/>
      </c>
      <c r="AD187" s="142" t="str">
        <f t="shared" si="97"/>
        <v/>
      </c>
      <c r="AE187" s="143" t="str">
        <f t="shared" si="98"/>
        <v/>
      </c>
      <c r="AF187" s="63"/>
      <c r="AG187" s="10"/>
    </row>
    <row r="188" spans="1:33" hidden="1" x14ac:dyDescent="0.2">
      <c r="A188" s="70">
        <f>VLOOKUP(B188,Annuaire_roster!B:F,5,0)</f>
        <v>1167</v>
      </c>
      <c r="B188" s="165" t="s">
        <v>126</v>
      </c>
      <c r="C188" s="61" t="str">
        <f>IFERROR(IF(COUNTIFS(Connexions!$K:$K,$Q188,Connexions!$E:$E,VLOOKUP($B188,Mapping_Noms!$A:$B,2,0))=0,"",_xlfn.MINIFS(Connexions!$M:$M,Connexions!$K:$K,$Q188,Connexions!$E:$E,VLOOKUP($B188,Mapping_Noms!$A:$B,2,0))-TIME(1,0,0)),"")</f>
        <v/>
      </c>
      <c r="D188" s="61">
        <f t="array" ref="D188">IFERROR(INDEX(Planning2[],MATCH(1,(Planning2[Nom]=B188)*(Planning2[Date]=Q188),0),3),"-")</f>
        <v>0.41666666666666669</v>
      </c>
      <c r="E188" s="38" t="str">
        <f>IFERROR(IF(COUNTIFS(Connexions!$K:$K,$Q188,Connexions!$E:$E,VLOOKUP($B188,Mapping_Noms!$A:$B,2,0))=0,"",_xlfn.MAXIFS(Connexions!$O:$O,Connexions!$K:$K,$Q188,Connexions!$E:$E,VLOOKUP($B188,Mapping_Noms!$A:$B,2,0))-TIME(1,0,0)),"")</f>
        <v/>
      </c>
      <c r="F188" s="38">
        <f t="array" ref="F188">IFERROR(INDEX(Planning2[],MATCH(1,(Planning2[Nom]=B188)*(Planning2[Date]=Q188),0),4),"-")</f>
        <v>0.83333333333333337</v>
      </c>
      <c r="G188" s="88"/>
      <c r="H188" s="88"/>
      <c r="I188" s="235" t="str">
        <f t="shared" si="83"/>
        <v/>
      </c>
      <c r="J188" s="88"/>
      <c r="K188" s="89">
        <f t="shared" si="84"/>
        <v>0</v>
      </c>
      <c r="L188" s="88">
        <f t="shared" si="85"/>
        <v>0</v>
      </c>
      <c r="M188" s="62" t="str">
        <f t="shared" si="86"/>
        <v>Abs</v>
      </c>
      <c r="N188" s="102" t="str">
        <f t="shared" si="87"/>
        <v/>
      </c>
      <c r="O188" s="90">
        <f t="shared" si="88"/>
        <v>0.375</v>
      </c>
      <c r="P188" s="91" t="str">
        <f>IFERROR(VLOOKUP($B188,Annuaire_roster!$B:$G,MATCH(P$1,Annuaire_roster!$B$1:$G$1,0),0),"-")</f>
        <v>Google Leads</v>
      </c>
      <c r="Q188" s="100">
        <v>44766</v>
      </c>
      <c r="R188" s="10">
        <f t="shared" si="89"/>
        <v>0.375</v>
      </c>
      <c r="S188" s="10">
        <f t="shared" si="90"/>
        <v>0.375</v>
      </c>
      <c r="T188" s="16" t="str">
        <f t="shared" si="91"/>
        <v>Sem - 30</v>
      </c>
      <c r="U188" s="16" t="str">
        <f t="shared" si="92"/>
        <v>Juillet</v>
      </c>
      <c r="V188" s="11" t="str">
        <f t="shared" si="93"/>
        <v>2026</v>
      </c>
      <c r="W188" s="9"/>
      <c r="X188" s="5">
        <f t="shared" si="94"/>
        <v>0</v>
      </c>
      <c r="Y188" s="12" t="str">
        <f>IFERROR(VLOOKUP(B188,Annuaire_roster!B:E,4,0),"-")</f>
        <v>OUAQERROUCH Nour-El Houda</v>
      </c>
      <c r="Z188" s="12" t="str">
        <f>IFERROR(VLOOKUP(B188,Annuaire_roster!B:F,3,0),"-")</f>
        <v>Google Leads</v>
      </c>
      <c r="AA188" s="12" t="str">
        <f>IFERROR(VLOOKUP(B188,Annuaire_roster!B:I,6,0),"-")</f>
        <v>Forfaitaire</v>
      </c>
      <c r="AB188" s="142" t="str">
        <f t="shared" si="95"/>
        <v/>
      </c>
      <c r="AC188" s="142" t="str">
        <f t="shared" si="96"/>
        <v/>
      </c>
      <c r="AD188" s="142" t="str">
        <f t="shared" si="97"/>
        <v/>
      </c>
      <c r="AE188" s="143" t="str">
        <f t="shared" si="98"/>
        <v/>
      </c>
      <c r="AF188" s="63"/>
      <c r="AG188" s="10"/>
    </row>
    <row r="189" spans="1:33" hidden="1" x14ac:dyDescent="0.2">
      <c r="A189" s="70">
        <f>VLOOKUP(B189,Annuaire_roster!B:F,5,0)</f>
        <v>1165</v>
      </c>
      <c r="B189" s="165" t="s">
        <v>120</v>
      </c>
      <c r="C189" s="61" t="str">
        <f>IFERROR(IF(COUNTIFS(Connexions!$K:$K,$Q189,Connexions!$E:$E,VLOOKUP($B189,Mapping_Noms!$A:$B,2,0))=0,"",_xlfn.MINIFS(Connexions!$M:$M,Connexions!$K:$K,$Q189,Connexions!$E:$E,VLOOKUP($B189,Mapping_Noms!$A:$B,2,0))-TIME(1,0,0)),"")</f>
        <v/>
      </c>
      <c r="D189" s="61" t="str">
        <f t="array" ref="D189">IFERROR(INDEX(Planning2[],MATCH(1,(Planning2[Nom]=B189)*(Planning2[Date]=Q189),0),3),"-")</f>
        <v>OFF</v>
      </c>
      <c r="E189" s="38" t="str">
        <f>IFERROR(IF(COUNTIFS(Connexions!$K:$K,$Q189,Connexions!$E:$E,VLOOKUP($B189,Mapping_Noms!$A:$B,2,0))=0,"",_xlfn.MAXIFS(Connexions!$O:$O,Connexions!$K:$K,$Q189,Connexions!$E:$E,VLOOKUP($B189,Mapping_Noms!$A:$B,2,0))-TIME(1,0,0)),"")</f>
        <v/>
      </c>
      <c r="F189" s="38" t="str">
        <f t="array" ref="F189">IFERROR(INDEX(Planning2[],MATCH(1,(Planning2[Nom]=B189)*(Planning2[Date]=Q189),0),4),"-")</f>
        <v>OFF</v>
      </c>
      <c r="G189" s="88"/>
      <c r="H189" s="88"/>
      <c r="I189" s="235" t="str">
        <f t="shared" si="83"/>
        <v/>
      </c>
      <c r="J189" s="88"/>
      <c r="K189" s="89">
        <f t="shared" si="84"/>
        <v>0</v>
      </c>
      <c r="L189" s="88">
        <f t="shared" si="85"/>
        <v>0</v>
      </c>
      <c r="M189" s="62">
        <f t="shared" si="86"/>
        <v>0</v>
      </c>
      <c r="N189" s="102" t="str">
        <f t="shared" si="87"/>
        <v/>
      </c>
      <c r="O189" s="90">
        <f t="shared" si="88"/>
        <v>0</v>
      </c>
      <c r="P189" s="91" t="str">
        <f>IFERROR(VLOOKUP($B189,Annuaire_roster!$B:$G,MATCH(P$1,Annuaire_roster!$B$1:$G$1,0),0),"-")</f>
        <v>Google Leads</v>
      </c>
      <c r="Q189" s="100">
        <v>44766</v>
      </c>
      <c r="R189" s="10">
        <f t="shared" si="89"/>
        <v>0</v>
      </c>
      <c r="S189" s="10">
        <f t="shared" si="90"/>
        <v>0</v>
      </c>
      <c r="T189" s="16" t="str">
        <f t="shared" si="91"/>
        <v>Sem - 30</v>
      </c>
      <c r="U189" s="16" t="str">
        <f t="shared" si="92"/>
        <v>Juillet</v>
      </c>
      <c r="V189" s="11" t="str">
        <f t="shared" si="93"/>
        <v>2026</v>
      </c>
      <c r="W189" s="9"/>
      <c r="X189" s="5">
        <f t="shared" si="94"/>
        <v>0</v>
      </c>
      <c r="Y189" s="12" t="str">
        <f>IFERROR(VLOOKUP(B189,Annuaire_roster!B:E,4,0),"-")</f>
        <v>OUAQERROUCH Nour-El Houda</v>
      </c>
      <c r="Z189" s="12" t="str">
        <f>IFERROR(VLOOKUP(B189,Annuaire_roster!B:F,3,0),"-")</f>
        <v>Google Leads</v>
      </c>
      <c r="AA189" s="12" t="str">
        <f>IFERROR(VLOOKUP(B189,Annuaire_roster!B:I,6,0),"-")</f>
        <v>Forfaitaire</v>
      </c>
      <c r="AB189" s="142" t="str">
        <f t="shared" si="95"/>
        <v/>
      </c>
      <c r="AC189" s="142" t="str">
        <f t="shared" si="96"/>
        <v/>
      </c>
      <c r="AD189" s="142" t="str">
        <f t="shared" si="97"/>
        <v/>
      </c>
      <c r="AE189" s="143" t="str">
        <f t="shared" si="98"/>
        <v/>
      </c>
      <c r="AF189" s="63"/>
      <c r="AG189" s="10"/>
    </row>
    <row r="190" spans="1:33" hidden="1" x14ac:dyDescent="0.2">
      <c r="A190" s="70">
        <f>VLOOKUP(B190,Annuaire_roster!B:F,5,0)</f>
        <v>0</v>
      </c>
      <c r="B190" s="165" t="s">
        <v>216</v>
      </c>
      <c r="C190" s="61" t="str">
        <f>IFERROR(IF(COUNTIFS(Connexions!$K:$K,$Q190,Connexions!$E:$E,VLOOKUP($B190,Mapping_Noms!$A:$B,2,0))=0,"",_xlfn.MINIFS(Connexions!$M:$M,Connexions!$K:$K,$Q190,Connexions!$E:$E,VLOOKUP($B190,Mapping_Noms!$A:$B,2,0))-TIME(1,0,0)),"")</f>
        <v/>
      </c>
      <c r="D190" s="61">
        <f t="array" ref="D190">IFERROR(INDEX(Planning2[],MATCH(1,(Planning2[Nom]=B190)*(Planning2[Date]=Q190),0),3),"-")</f>
        <v>0.29166666666666669</v>
      </c>
      <c r="E190" s="38" t="str">
        <f>IFERROR(IF(COUNTIFS(Connexions!$K:$K,$Q190,Connexions!$E:$E,VLOOKUP($B190,Mapping_Noms!$A:$B,2,0))=0,"",_xlfn.MAXIFS(Connexions!$O:$O,Connexions!$K:$K,$Q190,Connexions!$E:$E,VLOOKUP($B190,Mapping_Noms!$A:$B,2,0))-TIME(1,0,0)),"")</f>
        <v/>
      </c>
      <c r="F190" s="38">
        <f t="array" ref="F190">IFERROR(INDEX(Planning2[],MATCH(1,(Planning2[Nom]=B190)*(Planning2[Date]=Q190),0),4),"-")</f>
        <v>0.66666666666666663</v>
      </c>
      <c r="G190" s="88"/>
      <c r="H190" s="88"/>
      <c r="I190" s="235" t="str">
        <f t="shared" si="83"/>
        <v/>
      </c>
      <c r="J190" s="88"/>
      <c r="K190" s="89">
        <f t="shared" si="84"/>
        <v>0</v>
      </c>
      <c r="L190" s="88">
        <f t="shared" si="85"/>
        <v>0</v>
      </c>
      <c r="M190" s="62" t="str">
        <f t="shared" si="86"/>
        <v>Abs</v>
      </c>
      <c r="N190" s="102" t="str">
        <f t="shared" si="87"/>
        <v/>
      </c>
      <c r="O190" s="90">
        <f t="shared" si="88"/>
        <v>0.33333333333333326</v>
      </c>
      <c r="P190" s="91" t="str">
        <f>IFERROR(VLOOKUP($B190,Annuaire_roster!$B:$G,MATCH(P$1,Annuaire_roster!$B$1:$G$1,0),0),"-")</f>
        <v>Google Leads</v>
      </c>
      <c r="Q190" s="100">
        <v>44766</v>
      </c>
      <c r="R190" s="10">
        <f t="shared" si="89"/>
        <v>0.33333333333333326</v>
      </c>
      <c r="S190" s="10">
        <f t="shared" si="90"/>
        <v>0.33333333333333326</v>
      </c>
      <c r="T190" s="16" t="str">
        <f t="shared" si="91"/>
        <v>Sem - 30</v>
      </c>
      <c r="U190" s="16" t="str">
        <f t="shared" si="92"/>
        <v>Juillet</v>
      </c>
      <c r="V190" s="11" t="str">
        <f t="shared" si="93"/>
        <v>2026</v>
      </c>
      <c r="W190" s="9"/>
      <c r="X190" s="5">
        <f t="shared" si="94"/>
        <v>0</v>
      </c>
      <c r="Y190" s="12">
        <f>IFERROR(VLOOKUP(B190,Annuaire_roster!B:E,4,0),"-")</f>
        <v>0</v>
      </c>
      <c r="Z190" s="12" t="str">
        <f>IFERROR(VLOOKUP(B190,Annuaire_roster!B:F,3,0),"-")</f>
        <v>Google Leads</v>
      </c>
      <c r="AA190" s="12">
        <f>IFERROR(VLOOKUP(B190,Annuaire_roster!B:I,6,0),"-")</f>
        <v>0</v>
      </c>
      <c r="AB190" s="142" t="str">
        <f t="shared" si="95"/>
        <v/>
      </c>
      <c r="AC190" s="142" t="str">
        <f t="shared" si="96"/>
        <v/>
      </c>
      <c r="AD190" s="142" t="str">
        <f t="shared" si="97"/>
        <v/>
      </c>
      <c r="AE190" s="143" t="str">
        <f t="shared" si="98"/>
        <v/>
      </c>
      <c r="AF190" s="63"/>
      <c r="AG190" s="10"/>
    </row>
    <row r="191" spans="1:33" hidden="1" x14ac:dyDescent="0.2">
      <c r="A191" s="70">
        <f>VLOOKUP(B191,Annuaire_roster!B:F,5,0)</f>
        <v>0</v>
      </c>
      <c r="B191" s="165" t="s">
        <v>219</v>
      </c>
      <c r="C191" s="61" t="str">
        <f>IFERROR(IF(COUNTIFS(Connexions!$K:$K,$Q191,Connexions!$E:$E,VLOOKUP($B191,Mapping_Noms!$A:$B,2,0))=0,"",_xlfn.MINIFS(Connexions!$M:$M,Connexions!$K:$K,$Q191,Connexions!$E:$E,VLOOKUP($B191,Mapping_Noms!$A:$B,2,0))-TIME(1,0,0)),"")</f>
        <v/>
      </c>
      <c r="D191" s="61">
        <f t="array" ref="D191">IFERROR(INDEX(Planning2[],MATCH(1,(Planning2[Nom]=B191)*(Planning2[Date]=Q191),0),3),"-")</f>
        <v>0.29166666666666669</v>
      </c>
      <c r="E191" s="38" t="str">
        <f>IFERROR(IF(COUNTIFS(Connexions!$K:$K,$Q191,Connexions!$E:$E,VLOOKUP($B191,Mapping_Noms!$A:$B,2,0))=0,"",_xlfn.MAXIFS(Connexions!$O:$O,Connexions!$K:$K,$Q191,Connexions!$E:$E,VLOOKUP($B191,Mapping_Noms!$A:$B,2,0))-TIME(1,0,0)),"")</f>
        <v/>
      </c>
      <c r="F191" s="38">
        <f t="array" ref="F191">IFERROR(INDEX(Planning2[],MATCH(1,(Planning2[Nom]=B191)*(Planning2[Date]=Q191),0),4),"-")</f>
        <v>0.66666666666666663</v>
      </c>
      <c r="G191" s="88"/>
      <c r="H191" s="88"/>
      <c r="I191" s="235" t="str">
        <f t="shared" si="83"/>
        <v/>
      </c>
      <c r="J191" s="88"/>
      <c r="K191" s="89">
        <f t="shared" si="84"/>
        <v>0</v>
      </c>
      <c r="L191" s="88">
        <f t="shared" si="85"/>
        <v>0</v>
      </c>
      <c r="M191" s="62" t="str">
        <f t="shared" si="86"/>
        <v>Abs</v>
      </c>
      <c r="N191" s="102" t="str">
        <f t="shared" si="87"/>
        <v/>
      </c>
      <c r="O191" s="90">
        <f t="shared" si="88"/>
        <v>0.33333333333333326</v>
      </c>
      <c r="P191" s="91" t="str">
        <f>IFERROR(VLOOKUP($B191,Annuaire_roster!$B:$G,MATCH(P$1,Annuaire_roster!$B$1:$G$1,0),0),"-")</f>
        <v>Google Leads</v>
      </c>
      <c r="Q191" s="100">
        <v>44766</v>
      </c>
      <c r="R191" s="10">
        <f t="shared" si="89"/>
        <v>0.33333333333333326</v>
      </c>
      <c r="S191" s="10">
        <f t="shared" si="90"/>
        <v>0.33333333333333326</v>
      </c>
      <c r="T191" s="16" t="str">
        <f t="shared" si="91"/>
        <v>Sem - 30</v>
      </c>
      <c r="U191" s="16" t="str">
        <f t="shared" si="92"/>
        <v>Juillet</v>
      </c>
      <c r="V191" s="11" t="str">
        <f t="shared" si="93"/>
        <v>2026</v>
      </c>
      <c r="W191" s="9"/>
      <c r="X191" s="5">
        <f t="shared" si="94"/>
        <v>0</v>
      </c>
      <c r="Y191" s="12">
        <f>IFERROR(VLOOKUP(B191,Annuaire_roster!B:E,4,0),"-")</f>
        <v>0</v>
      </c>
      <c r="Z191" s="12" t="str">
        <f>IFERROR(VLOOKUP(B191,Annuaire_roster!B:F,3,0),"-")</f>
        <v>Google Leads</v>
      </c>
      <c r="AA191" s="12">
        <f>IFERROR(VLOOKUP(B191,Annuaire_roster!B:I,6,0),"-")</f>
        <v>0</v>
      </c>
      <c r="AB191" s="142" t="str">
        <f t="shared" si="95"/>
        <v/>
      </c>
      <c r="AC191" s="142" t="str">
        <f t="shared" si="96"/>
        <v/>
      </c>
      <c r="AD191" s="142" t="str">
        <f t="shared" si="97"/>
        <v/>
      </c>
      <c r="AE191" s="143" t="str">
        <f t="shared" si="98"/>
        <v/>
      </c>
      <c r="AF191" s="63"/>
      <c r="AG191" s="10"/>
    </row>
    <row r="192" spans="1:33" hidden="1" x14ac:dyDescent="0.2">
      <c r="A192" s="70">
        <f>VLOOKUP(B192,Annuaire_roster!B:F,5,0)</f>
        <v>397</v>
      </c>
      <c r="B192" s="165" t="s">
        <v>215</v>
      </c>
      <c r="C192" s="61" t="str">
        <f>IFERROR(IF(COUNTIFS(Connexions!$K:$K,$Q192,Connexions!$E:$E,VLOOKUP($B192,Mapping_Noms!$A:$B,2,0))=0,"",_xlfn.MINIFS(Connexions!$M:$M,Connexions!$K:$K,$Q192,Connexions!$E:$E,VLOOKUP($B192,Mapping_Noms!$A:$B,2,0))-TIME(1,0,0)),"")</f>
        <v/>
      </c>
      <c r="D192" s="61" t="str">
        <f t="array" ref="D192">IFERROR(INDEX(Planning2[],MATCH(1,(Planning2[Nom]=B192)*(Planning2[Date]=Q192),0),3),"-")</f>
        <v>OFF</v>
      </c>
      <c r="E192" s="38" t="str">
        <f>IFERROR(IF(COUNTIFS(Connexions!$K:$K,$Q192,Connexions!$E:$E,VLOOKUP($B192,Mapping_Noms!$A:$B,2,0))=0,"",_xlfn.MAXIFS(Connexions!$O:$O,Connexions!$K:$K,$Q192,Connexions!$E:$E,VLOOKUP($B192,Mapping_Noms!$A:$B,2,0))-TIME(1,0,0)),"")</f>
        <v/>
      </c>
      <c r="F192" s="38" t="str">
        <f t="array" ref="F192">IFERROR(INDEX(Planning2[],MATCH(1,(Planning2[Nom]=B192)*(Planning2[Date]=Q192),0),4),"-")</f>
        <v>OFF</v>
      </c>
      <c r="G192" s="88"/>
      <c r="H192" s="88"/>
      <c r="I192" s="235" t="str">
        <f t="shared" si="83"/>
        <v/>
      </c>
      <c r="J192" s="88"/>
      <c r="K192" s="89">
        <f t="shared" si="84"/>
        <v>0</v>
      </c>
      <c r="L192" s="88">
        <f t="shared" si="85"/>
        <v>0</v>
      </c>
      <c r="M192" s="62">
        <f t="shared" si="86"/>
        <v>0</v>
      </c>
      <c r="N192" s="102" t="str">
        <f t="shared" si="87"/>
        <v/>
      </c>
      <c r="O192" s="90">
        <f t="shared" si="88"/>
        <v>0</v>
      </c>
      <c r="P192" s="91" t="str">
        <f>IFERROR(VLOOKUP($B192,Annuaire_roster!$B:$G,MATCH(P$1,Annuaire_roster!$B$1:$G$1,0),0),"-")</f>
        <v>Google Leads</v>
      </c>
      <c r="Q192" s="100">
        <v>44766</v>
      </c>
      <c r="R192" s="10">
        <f t="shared" si="89"/>
        <v>0</v>
      </c>
      <c r="S192" s="10">
        <f t="shared" si="90"/>
        <v>0</v>
      </c>
      <c r="T192" s="16" t="str">
        <f t="shared" si="91"/>
        <v>Sem - 30</v>
      </c>
      <c r="U192" s="16" t="str">
        <f t="shared" si="92"/>
        <v>Juillet</v>
      </c>
      <c r="V192" s="11" t="str">
        <f t="shared" si="93"/>
        <v>2026</v>
      </c>
      <c r="W192" s="9"/>
      <c r="X192" s="5">
        <f t="shared" si="94"/>
        <v>0</v>
      </c>
      <c r="Y192" s="12" t="str">
        <f>IFERROR(VLOOKUP(B192,Annuaire_roster!B:E,4,0),"-")</f>
        <v>OUAQERROUCH Nour-El Houda</v>
      </c>
      <c r="Z192" s="12" t="str">
        <f>IFERROR(VLOOKUP(B192,Annuaire_roster!B:F,3,0),"-")</f>
        <v>Google Leads</v>
      </c>
      <c r="AA192" s="12" t="str">
        <f>IFERROR(VLOOKUP(B192,Annuaire_roster!B:I,6,0),"-")</f>
        <v>Forfaitaire</v>
      </c>
      <c r="AB192" s="142" t="str">
        <f t="shared" si="95"/>
        <v/>
      </c>
      <c r="AC192" s="142" t="str">
        <f t="shared" si="96"/>
        <v/>
      </c>
      <c r="AD192" s="142" t="str">
        <f t="shared" si="97"/>
        <v/>
      </c>
      <c r="AE192" s="143" t="str">
        <f t="shared" si="98"/>
        <v/>
      </c>
      <c r="AF192" s="63"/>
      <c r="AG192" s="10"/>
    </row>
    <row r="193" spans="1:33" hidden="1" x14ac:dyDescent="0.2">
      <c r="A193" s="70">
        <f>VLOOKUP(B193,Annuaire_roster!B:F,5,0)</f>
        <v>0</v>
      </c>
      <c r="B193" s="165" t="s">
        <v>209</v>
      </c>
      <c r="C193" s="61" t="str">
        <f>IFERROR(IF(COUNTIFS(Connexions!$K:$K,$Q193,Connexions!$E:$E,VLOOKUP($B193,Mapping_Noms!$A:$B,2,0))=0,"",_xlfn.MINIFS(Connexions!$M:$M,Connexions!$K:$K,$Q193,Connexions!$E:$E,VLOOKUP($B193,Mapping_Noms!$A:$B,2,0))-TIME(1,0,0)),"")</f>
        <v/>
      </c>
      <c r="D193" s="61" t="str">
        <f t="array" ref="D193">IFERROR(INDEX(Planning2[],MATCH(1,(Planning2[Nom]=B193)*(Planning2[Date]=Q193),0),3),"-")</f>
        <v>OFF</v>
      </c>
      <c r="E193" s="38" t="str">
        <f>IFERROR(IF(COUNTIFS(Connexions!$K:$K,$Q193,Connexions!$E:$E,VLOOKUP($B193,Mapping_Noms!$A:$B,2,0))=0,"",_xlfn.MAXIFS(Connexions!$O:$O,Connexions!$K:$K,$Q193,Connexions!$E:$E,VLOOKUP($B193,Mapping_Noms!$A:$B,2,0))-TIME(1,0,0)),"")</f>
        <v/>
      </c>
      <c r="F193" s="38" t="str">
        <f t="array" ref="F193">IFERROR(INDEX(Planning2[],MATCH(1,(Planning2[Nom]=B193)*(Planning2[Date]=Q193),0),4),"-")</f>
        <v>OFF</v>
      </c>
      <c r="G193" s="88"/>
      <c r="H193" s="88"/>
      <c r="I193" s="235" t="str">
        <f t="shared" si="83"/>
        <v/>
      </c>
      <c r="J193" s="88"/>
      <c r="K193" s="89">
        <f t="shared" si="84"/>
        <v>0</v>
      </c>
      <c r="L193" s="88">
        <f t="shared" si="85"/>
        <v>0</v>
      </c>
      <c r="M193" s="62">
        <f t="shared" si="86"/>
        <v>0</v>
      </c>
      <c r="N193" s="102" t="str">
        <f t="shared" si="87"/>
        <v/>
      </c>
      <c r="O193" s="90">
        <f t="shared" si="88"/>
        <v>0</v>
      </c>
      <c r="P193" s="91" t="str">
        <f>IFERROR(VLOOKUP($B193,Annuaire_roster!$B:$G,MATCH(P$1,Annuaire_roster!$B$1:$G$1,0),0),"-")</f>
        <v>Google Leads</v>
      </c>
      <c r="Q193" s="100">
        <v>44766</v>
      </c>
      <c r="R193" s="10">
        <f t="shared" si="89"/>
        <v>0</v>
      </c>
      <c r="S193" s="10">
        <f t="shared" si="90"/>
        <v>0</v>
      </c>
      <c r="T193" s="16" t="str">
        <f t="shared" si="91"/>
        <v>Sem - 30</v>
      </c>
      <c r="U193" s="16" t="str">
        <f t="shared" si="92"/>
        <v>Juillet</v>
      </c>
      <c r="V193" s="11" t="str">
        <f t="shared" si="93"/>
        <v>2026</v>
      </c>
      <c r="W193" s="9"/>
      <c r="X193" s="5">
        <f t="shared" si="94"/>
        <v>0</v>
      </c>
      <c r="Y193" s="12">
        <f>IFERROR(VLOOKUP(B193,Annuaire_roster!B:E,4,0),"-")</f>
        <v>0</v>
      </c>
      <c r="Z193" s="12" t="str">
        <f>IFERROR(VLOOKUP(B193,Annuaire_roster!B:F,3,0),"-")</f>
        <v>Google Leads</v>
      </c>
      <c r="AA193" s="12">
        <f>IFERROR(VLOOKUP(B193,Annuaire_roster!B:I,6,0),"-")</f>
        <v>0</v>
      </c>
      <c r="AB193" s="142" t="str">
        <f t="shared" si="95"/>
        <v/>
      </c>
      <c r="AC193" s="142" t="str">
        <f t="shared" si="96"/>
        <v/>
      </c>
      <c r="AD193" s="142" t="str">
        <f t="shared" si="97"/>
        <v/>
      </c>
      <c r="AE193" s="143" t="str">
        <f t="shared" si="98"/>
        <v/>
      </c>
      <c r="AF193" s="63"/>
      <c r="AG193" s="10"/>
    </row>
    <row r="194" spans="1:33" hidden="1" x14ac:dyDescent="0.2">
      <c r="A194" s="70">
        <f>VLOOKUP(B194,Annuaire_roster!B:F,5,0)</f>
        <v>364</v>
      </c>
      <c r="B194" s="165" t="s">
        <v>213</v>
      </c>
      <c r="C194" s="61" t="str">
        <f>IFERROR(IF(COUNTIFS(Connexions!$K:$K,$Q194,Connexions!$E:$E,VLOOKUP($B194,Mapping_Noms!$A:$B,2,0))=0,"",_xlfn.MINIFS(Connexions!$M:$M,Connexions!$K:$K,$Q194,Connexions!$E:$E,VLOOKUP($B194,Mapping_Noms!$A:$B,2,0))-TIME(1,0,0)),"")</f>
        <v/>
      </c>
      <c r="D194" s="61">
        <f t="array" ref="D194">IFERROR(INDEX(Planning2[],MATCH(1,(Planning2[Nom]=B194)*(Planning2[Date]=Q194),0),3),"-")</f>
        <v>0.45833333333333331</v>
      </c>
      <c r="E194" s="38" t="str">
        <f>IFERROR(IF(COUNTIFS(Connexions!$K:$K,$Q194,Connexions!$E:$E,VLOOKUP($B194,Mapping_Noms!$A:$B,2,0))=0,"",_xlfn.MAXIFS(Connexions!$O:$O,Connexions!$K:$K,$Q194,Connexions!$E:$E,VLOOKUP($B194,Mapping_Noms!$A:$B,2,0))-TIME(1,0,0)),"")</f>
        <v/>
      </c>
      <c r="F194" s="38">
        <f t="array" ref="F194">IFERROR(INDEX(Planning2[],MATCH(1,(Planning2[Nom]=B194)*(Planning2[Date]=Q194),0),4),"-")</f>
        <v>0.83333333333333337</v>
      </c>
      <c r="G194" s="88"/>
      <c r="H194" s="88"/>
      <c r="I194" s="235" t="str">
        <f t="shared" ref="I194:I214" si="99">IF(IF(OR(C194="",D194="Congé",D194="OFF",D194="Congé spécial"),"",IF(D194&gt;F194,D194-C194,IF(C194-D194&lt;0,0,C194-D194)))&lt;0.00068287037037037,"",IF(OR(D194="Congé",D194="OFF",C194="",D194="Congé spécial"),"",IF(D194&gt;F194,D194-C194,IF(C194-D194&lt;0,0,C194-D194))))</f>
        <v/>
      </c>
      <c r="J194" s="88"/>
      <c r="K194" s="89">
        <f t="shared" ref="K194:K214" si="100">IF(SUM(H194:J194)&lt;0.00068287037037037,0,SUM(H194:J194))</f>
        <v>0</v>
      </c>
      <c r="L194" s="88">
        <f t="shared" ref="L194:L225" si="101">IF(OR(F194="Congé",F194="OFF",M194="Abs",F194="Congé sans solde",F194="Férié",F194="Congé spécial",D194="Congé spécial"),0,IF(F194-E194&lt;0,0,IF(F194-E194&lt;=0.00068287037037037,0,F194-E194)))</f>
        <v>0</v>
      </c>
      <c r="M194" s="62" t="str">
        <f t="shared" ref="M194:M214" si="102">IF(AND(O194&lt;&gt;0,C194=""),"Abs",0)</f>
        <v>Abs</v>
      </c>
      <c r="N194" s="102" t="str">
        <f t="shared" ref="N194:N214" si="103">IFERROR(IF(OR(D194="OFF",D194="Congé",M194="Abs",D194="Congé sans solde",D194="Férié"),"",IF(O194-K194-L194&gt;O194,O194,IF(O194-K194-L194&lt;0,"",O194-K194-L194))),"")</f>
        <v/>
      </c>
      <c r="O194" s="90">
        <f t="shared" ref="O194:O214" si="104">IF(AG194="2H Pause déjeuner",IF(F194-D194-0.0833333333333333&lt;0,F194-D194-0.0833333333333333+1,F194-D194-0.0833333333333333),IF(OR(AND(F194="OFF",D194="OFF"),AND(F194="Congé",D194="Congé"),AND(F194="Congé sans solde",D194="Congé sans solde"),AND(F194="Congé spécial",D194="Congé spécial"),AND(F194="Férié",D194="Férié"),AND(F194="OFF",D194="Congé"),AND(F194="OFF",D194="Congé sans solde"),AND(F194="OFF",D194="Congé spécial"),AND(F194="OFF",D194="Férié"),AND(F194="Congé",D194="OFF"),AND(F194="Congé",D194="Congé sans solde"),AND(F194="Congé",D194="Congé spécial"),AND(F194="Congé",D194="Férié"),AND(F194="Congé sans solde",D194="OFF"),AND(F194="Congé sans solde",D194="Congé"),AND(F194="Congé sans solde",D194="Congé spécial"),AND(F194="Congé sans solde",D194="Férié"),AND(F194="Congé spécial",D194="OFF"),AND(F194="Congé spécial",D194="Congé"),AND(F194="Congé spécial",D194="Congé sans solde"),AND(F194="Congé spécial",D194="Férié"),AND(F194="Férié",D194="OFF"),AND(F194="Férié",D194="Congé"),AND(F194="Férié",D194="Congé sans solde"),AND(F194="Férié",D194="Congé spécial")),0,IF(OR(F194="OFF",F194="Congé",F194="Congé spécial",F194="Congé sans solde",D194="OFF",D194="Congé",D194="Congé spécial",D194="Congé sans solde"),0.208333333333334,IF(AND(AG194="",F194-D194&lt;0),("24:00:00"-D194)+("00:00:00"+F194)-0.0416666666666667,IF(AND(OR(AG194="Allaitement",AG194="Sans déjeuner"),F194-D194&lt;0),("24:00:00"-D194)+("00:00:00"+F194),IF(AND(AG194="",F194-D194&gt;0.166666666666667),F194-D194-0.0416666666666667,IF(AND(OR(AG194="Allaitement",AG194="Sans déjeuner"),F194-D194&gt;0.166666666666667),F194-D194,F194-D194)))))))</f>
        <v>0.33333333333333337</v>
      </c>
      <c r="P194" s="91" t="str">
        <f>IFERROR(VLOOKUP($B194,Annuaire_roster!$B:$G,MATCH(P$1,Annuaire_roster!$B$1:$G$1,0),0),"-")</f>
        <v>Google Leads</v>
      </c>
      <c r="Q194" s="100">
        <v>44767</v>
      </c>
      <c r="R194" s="10">
        <f t="shared" ref="R194:R214" si="105">IF(M194="Abs",O194,0)</f>
        <v>0.33333333333333337</v>
      </c>
      <c r="S194" s="10">
        <f t="shared" ref="S194:S214" si="106">SUM(R194,L194,I194,J194,W194,H194)</f>
        <v>0.33333333333333337</v>
      </c>
      <c r="T194" s="16" t="str">
        <f t="shared" ref="T194:T214" si="107">"Sem - "&amp;WEEKNUM(Q194,21)</f>
        <v>Sem - 30</v>
      </c>
      <c r="U194" s="16" t="str">
        <f t="shared" ref="U194:U214" si="108">PROPER(TEXT(Q194,"mmmm"))</f>
        <v>Juillet</v>
      </c>
      <c r="V194" s="11" t="str">
        <f t="shared" ref="V194:V214" si="109">+TEXT(Q194,"aaa")</f>
        <v>2026</v>
      </c>
      <c r="W194" s="9"/>
      <c r="X194" s="5">
        <f t="shared" ref="X194:X214" si="110">IFERROR(IF(M194="Abs",0,IF((D194-C194+E194-F194)&lt;0.000694444444444444,0,(D194-C194+E194-F194))),0)</f>
        <v>0</v>
      </c>
      <c r="Y194" s="12" t="str">
        <f>IFERROR(VLOOKUP(B194,Annuaire_roster!B:E,4,0),"-")</f>
        <v>OUAQERROUCH Nour-El Houda</v>
      </c>
      <c r="Z194" s="12" t="str">
        <f>IFERROR(VLOOKUP(B194,Annuaire_roster!B:F,3,0),"-")</f>
        <v>Google Leads</v>
      </c>
      <c r="AA194" s="12" t="str">
        <f>IFERROR(VLOOKUP(B194,Annuaire_roster!B:I,6,0),"-")</f>
        <v>Forfaitaire</v>
      </c>
      <c r="AB194" s="142" t="str">
        <f t="shared" ref="AB194:AB214" si="111">IF(AND(D194="Congé",F194="Congé"),0.333333333333333,IF(OR(AND(D194="Congé",F194&lt;&gt;"Congé"),(AND(F194="Congé",D194&lt;&gt;"Congé"))),0.166666666666667,""))</f>
        <v/>
      </c>
      <c r="AC194" s="142" t="str">
        <f t="shared" ref="AC194:AC214" si="112">IF(AND(D194="Congé sans solde",F194="Congé sans solde"),0.333333333333333,IF(OR(AND(D194="Congé sans solde",F194&lt;&gt;"Congé sans solde"),(AND(F194="Congé sans solde",D194&lt;&gt;"Congé sans solde"))),0.166666666666667,""))</f>
        <v/>
      </c>
      <c r="AD194" s="142" t="str">
        <f t="shared" ref="AD194:AD214" si="113">IF(AND(D194="Congé spécial",F194="Congé spécial"),0.333333333333333,IF(OR(AND(D194="Congé spécial",F194&lt;&gt;"Congé décès"),(AND(F194="Congé spécial",D194&lt;&gt;"Congé spécial"))),0.166666666666667,""))</f>
        <v/>
      </c>
      <c r="AE194" s="143" t="str">
        <f t="shared" ref="AE194:AE214" si="114">IF(AND(D194="Férié",F194="Férié"),0.333333333333333,IF(OR(AND(D194="Férié",F194&lt;&gt;"Férié"),(AND(F194="Férié",D194&lt;&gt;"Férié"))),0.166666666666667,""))</f>
        <v/>
      </c>
      <c r="AF194" s="63"/>
      <c r="AG194" s="10"/>
    </row>
    <row r="195" spans="1:33" hidden="1" x14ac:dyDescent="0.2">
      <c r="A195" s="70">
        <f>VLOOKUP(B195,Annuaire_roster!B:F,5,0)</f>
        <v>894</v>
      </c>
      <c r="B195" s="165" t="s">
        <v>80</v>
      </c>
      <c r="C195" s="61" t="str">
        <f>IFERROR(IF(COUNTIFS(Connexions!$K:$K,$Q195,Connexions!$E:$E,VLOOKUP($B195,Mapping_Noms!$A:$B,2,0))=0,"",_xlfn.MINIFS(Connexions!$M:$M,Connexions!$K:$K,$Q195,Connexions!$E:$E,VLOOKUP($B195,Mapping_Noms!$A:$B,2,0))-TIME(1,0,0)),"")</f>
        <v/>
      </c>
      <c r="D195" s="61" t="str">
        <f t="array" ref="D195">IFERROR(INDEX(Planning2[],MATCH(1,(Planning2[Nom]=B195)*(Planning2[Date]=Q195),0),3),"-")</f>
        <v>Missionnée</v>
      </c>
      <c r="E195" s="38" t="str">
        <f>IFERROR(IF(COUNTIFS(Connexions!$K:$K,$Q195,Connexions!$E:$E,VLOOKUP($B195,Mapping_Noms!$A:$B,2,0))=0,"",_xlfn.MAXIFS(Connexions!$O:$O,Connexions!$K:$K,$Q195,Connexions!$E:$E,VLOOKUP($B195,Mapping_Noms!$A:$B,2,0))-TIME(1,0,0)),"")</f>
        <v/>
      </c>
      <c r="F195" s="38" t="str">
        <f t="array" ref="F195">IFERROR(INDEX(Planning2[],MATCH(1,(Planning2[Nom]=B195)*(Planning2[Date]=Q195),0),4),"-")</f>
        <v>Missionnée</v>
      </c>
      <c r="G195" s="88"/>
      <c r="H195" s="88"/>
      <c r="I195" s="235" t="str">
        <f t="shared" si="99"/>
        <v/>
      </c>
      <c r="J195" s="88"/>
      <c r="K195" s="89">
        <f t="shared" si="100"/>
        <v>0</v>
      </c>
      <c r="L195" s="88" t="e">
        <f t="shared" si="101"/>
        <v>#VALUE!</v>
      </c>
      <c r="M195" s="62" t="e">
        <f t="shared" si="102"/>
        <v>#VALUE!</v>
      </c>
      <c r="N195" s="102" t="str">
        <f t="shared" si="103"/>
        <v/>
      </c>
      <c r="O195" s="90" t="e">
        <f t="shared" si="104"/>
        <v>#VALUE!</v>
      </c>
      <c r="P195" s="91" t="str">
        <f>IFERROR(VLOOKUP($B195,Annuaire_roster!$B:$G,MATCH(P$1,Annuaire_roster!$B$1:$G$1,0),0),"-")</f>
        <v>Google Leads</v>
      </c>
      <c r="Q195" s="100">
        <v>44767</v>
      </c>
      <c r="R195" s="10" t="e">
        <f t="shared" si="105"/>
        <v>#VALUE!</v>
      </c>
      <c r="S195" s="10" t="e">
        <f t="shared" si="106"/>
        <v>#VALUE!</v>
      </c>
      <c r="T195" s="16" t="str">
        <f t="shared" si="107"/>
        <v>Sem - 30</v>
      </c>
      <c r="U195" s="16" t="str">
        <f t="shared" si="108"/>
        <v>Juillet</v>
      </c>
      <c r="V195" s="11" t="str">
        <f t="shared" si="109"/>
        <v>2026</v>
      </c>
      <c r="W195" s="9"/>
      <c r="X195" s="5">
        <f t="shared" si="110"/>
        <v>0</v>
      </c>
      <c r="Y195" s="12" t="str">
        <f>IFERROR(VLOOKUP(B195,Annuaire_roster!B:E,4,0),"-")</f>
        <v>OUAQERROUCH Nour-El Houda</v>
      </c>
      <c r="Z195" s="12" t="str">
        <f>IFERROR(VLOOKUP(B195,Annuaire_roster!B:F,3,0),"-")</f>
        <v>Google Leads</v>
      </c>
      <c r="AA195" s="12" t="str">
        <f>IFERROR(VLOOKUP(B195,Annuaire_roster!B:I,6,0),"-")</f>
        <v>Forfaitaire</v>
      </c>
      <c r="AB195" s="142" t="str">
        <f t="shared" si="111"/>
        <v/>
      </c>
      <c r="AC195" s="142" t="str">
        <f t="shared" si="112"/>
        <v/>
      </c>
      <c r="AD195" s="142" t="str">
        <f t="shared" si="113"/>
        <v/>
      </c>
      <c r="AE195" s="143" t="str">
        <f t="shared" si="114"/>
        <v/>
      </c>
      <c r="AF195" s="63"/>
      <c r="AG195" s="10"/>
    </row>
    <row r="196" spans="1:33" hidden="1" x14ac:dyDescent="0.2">
      <c r="A196" s="70">
        <f>VLOOKUP(B196,Annuaire_roster!B:F,5,0)</f>
        <v>669</v>
      </c>
      <c r="B196" s="165" t="s">
        <v>45</v>
      </c>
      <c r="C196" s="61" t="str">
        <f>IFERROR(IF(COUNTIFS(Connexions!$K:$K,$Q196,Connexions!$E:$E,VLOOKUP($B196,Mapping_Noms!$A:$B,2,0))=0,"",_xlfn.MINIFS(Connexions!$M:$M,Connexions!$K:$K,$Q196,Connexions!$E:$E,VLOOKUP($B196,Mapping_Noms!$A:$B,2,0))-TIME(1,0,0)),"")</f>
        <v/>
      </c>
      <c r="D196" s="61" t="str">
        <f t="array" ref="D196">IFERROR(INDEX(Planning2[],MATCH(1,(Planning2[Nom]=B196)*(Planning2[Date]=Q196),0),3),"-")</f>
        <v>OFF</v>
      </c>
      <c r="E196" s="38" t="str">
        <f>IFERROR(IF(COUNTIFS(Connexions!$K:$K,$Q196,Connexions!$E:$E,VLOOKUP($B196,Mapping_Noms!$A:$B,2,0))=0,"",_xlfn.MAXIFS(Connexions!$O:$O,Connexions!$K:$K,$Q196,Connexions!$E:$E,VLOOKUP($B196,Mapping_Noms!$A:$B,2,0))-TIME(1,0,0)),"")</f>
        <v/>
      </c>
      <c r="F196" s="38" t="str">
        <f t="array" ref="F196">IFERROR(INDEX(Planning2[],MATCH(1,(Planning2[Nom]=B196)*(Planning2[Date]=Q196),0),4),"-")</f>
        <v>OFF</v>
      </c>
      <c r="G196" s="88"/>
      <c r="H196" s="88"/>
      <c r="I196" s="235" t="str">
        <f t="shared" si="99"/>
        <v/>
      </c>
      <c r="J196" s="88"/>
      <c r="K196" s="89">
        <f t="shared" si="100"/>
        <v>0</v>
      </c>
      <c r="L196" s="88">
        <f t="shared" si="101"/>
        <v>0</v>
      </c>
      <c r="M196" s="62">
        <f t="shared" si="102"/>
        <v>0</v>
      </c>
      <c r="N196" s="102" t="str">
        <f t="shared" si="103"/>
        <v/>
      </c>
      <c r="O196" s="90">
        <f t="shared" si="104"/>
        <v>0</v>
      </c>
      <c r="P196" s="91" t="str">
        <f>IFERROR(VLOOKUP($B196,Annuaire_roster!$B:$G,MATCH(P$1,Annuaire_roster!$B$1:$G$1,0),0),"-")</f>
        <v>Google Leads</v>
      </c>
      <c r="Q196" s="100">
        <v>44767</v>
      </c>
      <c r="R196" s="10">
        <f t="shared" si="105"/>
        <v>0</v>
      </c>
      <c r="S196" s="10">
        <f t="shared" si="106"/>
        <v>0</v>
      </c>
      <c r="T196" s="16" t="str">
        <f t="shared" si="107"/>
        <v>Sem - 30</v>
      </c>
      <c r="U196" s="16" t="str">
        <f t="shared" si="108"/>
        <v>Juillet</v>
      </c>
      <c r="V196" s="11" t="str">
        <f t="shared" si="109"/>
        <v>2026</v>
      </c>
      <c r="W196" s="9"/>
      <c r="X196" s="5">
        <f t="shared" si="110"/>
        <v>0</v>
      </c>
      <c r="Y196" s="12" t="str">
        <f>IFERROR(VLOOKUP(B196,Annuaire_roster!B:E,4,0),"-")</f>
        <v>CHOUIFI Mustapha</v>
      </c>
      <c r="Z196" s="12" t="str">
        <f>IFERROR(VLOOKUP(B196,Annuaire_roster!B:F,3,0),"-")</f>
        <v>Google Leads</v>
      </c>
      <c r="AA196" s="12" t="str">
        <f>IFERROR(VLOOKUP(B196,Annuaire_roster!B:I,6,0),"-")</f>
        <v>Forfaitaire</v>
      </c>
      <c r="AB196" s="142" t="str">
        <f t="shared" si="111"/>
        <v/>
      </c>
      <c r="AC196" s="142" t="str">
        <f t="shared" si="112"/>
        <v/>
      </c>
      <c r="AD196" s="142" t="str">
        <f t="shared" si="113"/>
        <v/>
      </c>
      <c r="AE196" s="143" t="str">
        <f t="shared" si="114"/>
        <v/>
      </c>
      <c r="AF196" s="63"/>
      <c r="AG196" s="10"/>
    </row>
    <row r="197" spans="1:33" hidden="1" x14ac:dyDescent="0.2">
      <c r="A197" s="70">
        <f>VLOOKUP(B197,Annuaire_roster!B:F,5,0)</f>
        <v>742</v>
      </c>
      <c r="B197" s="165" t="s">
        <v>76</v>
      </c>
      <c r="C197" s="61" t="str">
        <f>IFERROR(IF(COUNTIFS(Connexions!$K:$K,$Q197,Connexions!$E:$E,VLOOKUP($B197,Mapping_Noms!$A:$B,2,0))=0,"",_xlfn.MINIFS(Connexions!$M:$M,Connexions!$K:$K,$Q197,Connexions!$E:$E,VLOOKUP($B197,Mapping_Noms!$A:$B,2,0))-TIME(1,0,0)),"")</f>
        <v/>
      </c>
      <c r="D197" s="61" t="str">
        <f t="array" ref="D197">IFERROR(INDEX(Planning2[],MATCH(1,(Planning2[Nom]=B197)*(Planning2[Date]=Q197),0),3),"-")</f>
        <v>OFF</v>
      </c>
      <c r="E197" s="38" t="str">
        <f>IFERROR(IF(COUNTIFS(Connexions!$K:$K,$Q197,Connexions!$E:$E,VLOOKUP($B197,Mapping_Noms!$A:$B,2,0))=0,"",_xlfn.MAXIFS(Connexions!$O:$O,Connexions!$K:$K,$Q197,Connexions!$E:$E,VLOOKUP($B197,Mapping_Noms!$A:$B,2,0))-TIME(1,0,0)),"")</f>
        <v/>
      </c>
      <c r="F197" s="38" t="str">
        <f t="array" ref="F197">IFERROR(INDEX(Planning2[],MATCH(1,(Planning2[Nom]=B197)*(Planning2[Date]=Q197),0),4),"-")</f>
        <v>OFF</v>
      </c>
      <c r="G197" s="88"/>
      <c r="H197" s="88"/>
      <c r="I197" s="235" t="str">
        <f t="shared" si="99"/>
        <v/>
      </c>
      <c r="J197" s="88"/>
      <c r="K197" s="89">
        <f t="shared" si="100"/>
        <v>0</v>
      </c>
      <c r="L197" s="88">
        <f t="shared" si="101"/>
        <v>0</v>
      </c>
      <c r="M197" s="62">
        <f t="shared" si="102"/>
        <v>0</v>
      </c>
      <c r="N197" s="102" t="str">
        <f t="shared" si="103"/>
        <v/>
      </c>
      <c r="O197" s="90">
        <f t="shared" si="104"/>
        <v>0</v>
      </c>
      <c r="P197" s="91" t="str">
        <f>IFERROR(VLOOKUP($B197,Annuaire_roster!$B:$G,MATCH(P$1,Annuaire_roster!$B$1:$G$1,0),0),"-")</f>
        <v>Google Leads</v>
      </c>
      <c r="Q197" s="100">
        <v>44767</v>
      </c>
      <c r="R197" s="10">
        <f t="shared" si="105"/>
        <v>0</v>
      </c>
      <c r="S197" s="10">
        <f t="shared" si="106"/>
        <v>0</v>
      </c>
      <c r="T197" s="16" t="str">
        <f t="shared" si="107"/>
        <v>Sem - 30</v>
      </c>
      <c r="U197" s="16" t="str">
        <f t="shared" si="108"/>
        <v>Juillet</v>
      </c>
      <c r="V197" s="11" t="str">
        <f t="shared" si="109"/>
        <v>2026</v>
      </c>
      <c r="W197" s="9"/>
      <c r="X197" s="5">
        <f t="shared" si="110"/>
        <v>0</v>
      </c>
      <c r="Y197" s="12" t="str">
        <f>IFERROR(VLOOKUP(B197,Annuaire_roster!B:E,4,0),"-")</f>
        <v>OUAQERROUCH Nour-El Houda</v>
      </c>
      <c r="Z197" s="12" t="str">
        <f>IFERROR(VLOOKUP(B197,Annuaire_roster!B:F,3,0),"-")</f>
        <v>Google Leads</v>
      </c>
      <c r="AA197" s="12" t="str">
        <f>IFERROR(VLOOKUP(B197,Annuaire_roster!B:I,6,0),"-")</f>
        <v>Forfaitaire</v>
      </c>
      <c r="AB197" s="142" t="str">
        <f t="shared" si="111"/>
        <v/>
      </c>
      <c r="AC197" s="142" t="str">
        <f t="shared" si="112"/>
        <v/>
      </c>
      <c r="AD197" s="142" t="str">
        <f t="shared" si="113"/>
        <v/>
      </c>
      <c r="AE197" s="143" t="str">
        <f t="shared" si="114"/>
        <v/>
      </c>
      <c r="AF197" s="63"/>
      <c r="AG197" s="10"/>
    </row>
    <row r="198" spans="1:33" hidden="1" x14ac:dyDescent="0.2">
      <c r="A198" s="70">
        <f>VLOOKUP(B198,Annuaire_roster!B:F,5,0)</f>
        <v>971</v>
      </c>
      <c r="B198" s="165" t="s">
        <v>83</v>
      </c>
      <c r="C198" s="61" t="str">
        <f>IFERROR(IF(COUNTIFS(Connexions!$K:$K,$Q198,Connexions!$E:$E,VLOOKUP($B198,Mapping_Noms!$A:$B,2,0))=0,"",_xlfn.MINIFS(Connexions!$M:$M,Connexions!$K:$K,$Q198,Connexions!$E:$E,VLOOKUP($B198,Mapping_Noms!$A:$B,2,0))-TIME(1,0,0)),"")</f>
        <v/>
      </c>
      <c r="D198" s="61" t="str">
        <f t="array" ref="D198">IFERROR(INDEX(Planning2[],MATCH(1,(Planning2[Nom]=B198)*(Planning2[Date]=Q198),0),3),"-")</f>
        <v>OFF</v>
      </c>
      <c r="E198" s="38" t="str">
        <f>IFERROR(IF(COUNTIFS(Connexions!$K:$K,$Q198,Connexions!$E:$E,VLOOKUP($B198,Mapping_Noms!$A:$B,2,0))=0,"",_xlfn.MAXIFS(Connexions!$O:$O,Connexions!$K:$K,$Q198,Connexions!$E:$E,VLOOKUP($B198,Mapping_Noms!$A:$B,2,0))-TIME(1,0,0)),"")</f>
        <v/>
      </c>
      <c r="F198" s="38" t="str">
        <f t="array" ref="F198">IFERROR(INDEX(Planning2[],MATCH(1,(Planning2[Nom]=B198)*(Planning2[Date]=Q198),0),4),"-")</f>
        <v>OFF</v>
      </c>
      <c r="G198" s="88"/>
      <c r="H198" s="88"/>
      <c r="I198" s="235" t="str">
        <f t="shared" si="99"/>
        <v/>
      </c>
      <c r="J198" s="88"/>
      <c r="K198" s="89">
        <f t="shared" si="100"/>
        <v>0</v>
      </c>
      <c r="L198" s="88">
        <f t="shared" si="101"/>
        <v>0</v>
      </c>
      <c r="M198" s="62">
        <f t="shared" si="102"/>
        <v>0</v>
      </c>
      <c r="N198" s="102" t="str">
        <f t="shared" si="103"/>
        <v/>
      </c>
      <c r="O198" s="90">
        <f t="shared" si="104"/>
        <v>0</v>
      </c>
      <c r="P198" s="91" t="str">
        <f>IFERROR(VLOOKUP($B198,Annuaire_roster!$B:$G,MATCH(P$1,Annuaire_roster!$B$1:$G$1,0),0),"-")</f>
        <v>Google Leads</v>
      </c>
      <c r="Q198" s="100">
        <v>44767</v>
      </c>
      <c r="R198" s="10">
        <f t="shared" si="105"/>
        <v>0</v>
      </c>
      <c r="S198" s="10">
        <f t="shared" si="106"/>
        <v>0</v>
      </c>
      <c r="T198" s="16" t="str">
        <f t="shared" si="107"/>
        <v>Sem - 30</v>
      </c>
      <c r="U198" s="16" t="str">
        <f t="shared" si="108"/>
        <v>Juillet</v>
      </c>
      <c r="V198" s="11" t="str">
        <f t="shared" si="109"/>
        <v>2026</v>
      </c>
      <c r="W198" s="9"/>
      <c r="X198" s="5">
        <f t="shared" si="110"/>
        <v>0</v>
      </c>
      <c r="Y198" s="12" t="str">
        <f>IFERROR(VLOOKUP(B198,Annuaire_roster!B:E,4,0),"-")</f>
        <v>CHOUIFI Mustapha</v>
      </c>
      <c r="Z198" s="12" t="str">
        <f>IFERROR(VLOOKUP(B198,Annuaire_roster!B:F,3,0),"-")</f>
        <v>Google Leads</v>
      </c>
      <c r="AA198" s="12" t="str">
        <f>IFERROR(VLOOKUP(B198,Annuaire_roster!B:I,6,0),"-")</f>
        <v>Forfaitaire</v>
      </c>
      <c r="AB198" s="142" t="str">
        <f t="shared" si="111"/>
        <v/>
      </c>
      <c r="AC198" s="142" t="str">
        <f t="shared" si="112"/>
        <v/>
      </c>
      <c r="AD198" s="142" t="str">
        <f t="shared" si="113"/>
        <v/>
      </c>
      <c r="AE198" s="143" t="str">
        <f t="shared" si="114"/>
        <v/>
      </c>
      <c r="AF198" s="63"/>
      <c r="AG198" s="10"/>
    </row>
    <row r="199" spans="1:33" hidden="1" x14ac:dyDescent="0.2">
      <c r="A199" s="70">
        <f>VLOOKUP(B199,Annuaire_roster!B:F,5,0)</f>
        <v>952</v>
      </c>
      <c r="B199" s="165" t="s">
        <v>87</v>
      </c>
      <c r="C199" s="61" t="str">
        <f>IFERROR(IF(COUNTIFS(Connexions!$K:$K,$Q199,Connexions!$E:$E,VLOOKUP($B199,Mapping_Noms!$A:$B,2,0))=0,"",_xlfn.MINIFS(Connexions!$M:$M,Connexions!$K:$K,$Q199,Connexions!$E:$E,VLOOKUP($B199,Mapping_Noms!$A:$B,2,0))-TIME(1,0,0)),"")</f>
        <v/>
      </c>
      <c r="D199" s="61" t="str">
        <f t="array" ref="D199">IFERROR(INDEX(Planning2[],MATCH(1,(Planning2[Nom]=B199)*(Planning2[Date]=Q199),0),3),"-")</f>
        <v>OFF</v>
      </c>
      <c r="E199" s="38" t="str">
        <f>IFERROR(IF(COUNTIFS(Connexions!$K:$K,$Q199,Connexions!$E:$E,VLOOKUP($B199,Mapping_Noms!$A:$B,2,0))=0,"",_xlfn.MAXIFS(Connexions!$O:$O,Connexions!$K:$K,$Q199,Connexions!$E:$E,VLOOKUP($B199,Mapping_Noms!$A:$B,2,0))-TIME(1,0,0)),"")</f>
        <v/>
      </c>
      <c r="F199" s="38" t="str">
        <f t="array" ref="F199">IFERROR(INDEX(Planning2[],MATCH(1,(Planning2[Nom]=B199)*(Planning2[Date]=Q199),0),4),"-")</f>
        <v>OFF</v>
      </c>
      <c r="G199" s="88"/>
      <c r="H199" s="88"/>
      <c r="I199" s="235" t="str">
        <f t="shared" si="99"/>
        <v/>
      </c>
      <c r="J199" s="88"/>
      <c r="K199" s="89">
        <f t="shared" si="100"/>
        <v>0</v>
      </c>
      <c r="L199" s="88">
        <f t="shared" si="101"/>
        <v>0</v>
      </c>
      <c r="M199" s="62">
        <f t="shared" si="102"/>
        <v>0</v>
      </c>
      <c r="N199" s="102" t="str">
        <f t="shared" si="103"/>
        <v/>
      </c>
      <c r="O199" s="90">
        <f t="shared" si="104"/>
        <v>0</v>
      </c>
      <c r="P199" s="91" t="str">
        <f>IFERROR(VLOOKUP($B199,Annuaire_roster!$B:$G,MATCH(P$1,Annuaire_roster!$B$1:$G$1,0),0),"-")</f>
        <v>Google Leads</v>
      </c>
      <c r="Q199" s="100">
        <v>44767</v>
      </c>
      <c r="R199" s="10">
        <f t="shared" si="105"/>
        <v>0</v>
      </c>
      <c r="S199" s="10">
        <f t="shared" si="106"/>
        <v>0</v>
      </c>
      <c r="T199" s="16" t="str">
        <f t="shared" si="107"/>
        <v>Sem - 30</v>
      </c>
      <c r="U199" s="16" t="str">
        <f t="shared" si="108"/>
        <v>Juillet</v>
      </c>
      <c r="V199" s="11" t="str">
        <f t="shared" si="109"/>
        <v>2026</v>
      </c>
      <c r="W199" s="9"/>
      <c r="X199" s="5">
        <f t="shared" si="110"/>
        <v>0</v>
      </c>
      <c r="Y199" s="12" t="str">
        <f>IFERROR(VLOOKUP(B199,Annuaire_roster!B:E,4,0),"-")</f>
        <v>OUAQERROUCH Nour-El Houda</v>
      </c>
      <c r="Z199" s="12" t="str">
        <f>IFERROR(VLOOKUP(B199,Annuaire_roster!B:F,3,0),"-")</f>
        <v>Google Leads</v>
      </c>
      <c r="AA199" s="12" t="str">
        <f>IFERROR(VLOOKUP(B199,Annuaire_roster!B:I,6,0),"-")</f>
        <v>Forfaitaire</v>
      </c>
      <c r="AB199" s="142" t="str">
        <f t="shared" si="111"/>
        <v/>
      </c>
      <c r="AC199" s="142" t="str">
        <f t="shared" si="112"/>
        <v/>
      </c>
      <c r="AD199" s="142" t="str">
        <f t="shared" si="113"/>
        <v/>
      </c>
      <c r="AE199" s="143" t="str">
        <f t="shared" si="114"/>
        <v/>
      </c>
      <c r="AF199" s="63"/>
      <c r="AG199" s="10"/>
    </row>
    <row r="200" spans="1:33" hidden="1" x14ac:dyDescent="0.2">
      <c r="A200" s="70">
        <f>VLOOKUP(B200,Annuaire_roster!B:F,5,0)</f>
        <v>949</v>
      </c>
      <c r="B200" s="165" t="s">
        <v>85</v>
      </c>
      <c r="C200" s="61" t="str">
        <f>IFERROR(IF(COUNTIFS(Connexions!$K:$K,$Q200,Connexions!$E:$E,VLOOKUP($B200,Mapping_Noms!$A:$B,2,0))=0,"",_xlfn.MINIFS(Connexions!$M:$M,Connexions!$K:$K,$Q200,Connexions!$E:$E,VLOOKUP($B200,Mapping_Noms!$A:$B,2,0))-TIME(1,0,0)),"")</f>
        <v/>
      </c>
      <c r="D200" s="61" t="str">
        <f t="array" ref="D200">IFERROR(INDEX(Planning2[],MATCH(1,(Planning2[Nom]=B200)*(Planning2[Date]=Q200),0),3),"-")</f>
        <v>OFF</v>
      </c>
      <c r="E200" s="38" t="str">
        <f>IFERROR(IF(COUNTIFS(Connexions!$K:$K,$Q200,Connexions!$E:$E,VLOOKUP($B200,Mapping_Noms!$A:$B,2,0))=0,"",_xlfn.MAXIFS(Connexions!$O:$O,Connexions!$K:$K,$Q200,Connexions!$E:$E,VLOOKUP($B200,Mapping_Noms!$A:$B,2,0))-TIME(1,0,0)),"")</f>
        <v/>
      </c>
      <c r="F200" s="38" t="str">
        <f t="array" ref="F200">IFERROR(INDEX(Planning2[],MATCH(1,(Planning2[Nom]=B200)*(Planning2[Date]=Q200),0),4),"-")</f>
        <v>OFF</v>
      </c>
      <c r="G200" s="88"/>
      <c r="H200" s="88"/>
      <c r="I200" s="235" t="str">
        <f t="shared" si="99"/>
        <v/>
      </c>
      <c r="J200" s="88"/>
      <c r="K200" s="89">
        <f t="shared" si="100"/>
        <v>0</v>
      </c>
      <c r="L200" s="88">
        <f t="shared" si="101"/>
        <v>0</v>
      </c>
      <c r="M200" s="62">
        <f t="shared" si="102"/>
        <v>0</v>
      </c>
      <c r="N200" s="102" t="str">
        <f t="shared" si="103"/>
        <v/>
      </c>
      <c r="O200" s="90">
        <f t="shared" si="104"/>
        <v>0</v>
      </c>
      <c r="P200" s="91" t="str">
        <f>IFERROR(VLOOKUP($B200,Annuaire_roster!$B:$G,MATCH(P$1,Annuaire_roster!$B$1:$G$1,0),0),"-")</f>
        <v>Google Leads</v>
      </c>
      <c r="Q200" s="100">
        <v>44767</v>
      </c>
      <c r="R200" s="10">
        <f t="shared" si="105"/>
        <v>0</v>
      </c>
      <c r="S200" s="10">
        <f t="shared" si="106"/>
        <v>0</v>
      </c>
      <c r="T200" s="16" t="str">
        <f t="shared" si="107"/>
        <v>Sem - 30</v>
      </c>
      <c r="U200" s="16" t="str">
        <f t="shared" si="108"/>
        <v>Juillet</v>
      </c>
      <c r="V200" s="11" t="str">
        <f t="shared" si="109"/>
        <v>2026</v>
      </c>
      <c r="W200" s="9"/>
      <c r="X200" s="5">
        <f t="shared" si="110"/>
        <v>0</v>
      </c>
      <c r="Y200" s="12" t="str">
        <f>IFERROR(VLOOKUP(B200,Annuaire_roster!B:E,4,0),"-")</f>
        <v>CHOUIFI Mustapha</v>
      </c>
      <c r="Z200" s="12" t="str">
        <f>IFERROR(VLOOKUP(B200,Annuaire_roster!B:F,3,0),"-")</f>
        <v>Google Leads</v>
      </c>
      <c r="AA200" s="12" t="str">
        <f>IFERROR(VLOOKUP(B200,Annuaire_roster!B:I,6,0),"-")</f>
        <v>Forfaitaire</v>
      </c>
      <c r="AB200" s="142" t="str">
        <f t="shared" si="111"/>
        <v/>
      </c>
      <c r="AC200" s="142" t="str">
        <f t="shared" si="112"/>
        <v/>
      </c>
      <c r="AD200" s="142" t="str">
        <f t="shared" si="113"/>
        <v/>
      </c>
      <c r="AE200" s="143" t="str">
        <f t="shared" si="114"/>
        <v/>
      </c>
      <c r="AF200" s="63"/>
      <c r="AG200" s="10"/>
    </row>
    <row r="201" spans="1:33" hidden="1" x14ac:dyDescent="0.2">
      <c r="A201" s="70">
        <f>VLOOKUP(B201,Annuaire_roster!B:F,5,0)</f>
        <v>1007</v>
      </c>
      <c r="B201" s="165" t="s">
        <v>89</v>
      </c>
      <c r="C201" s="61" t="str">
        <f>IFERROR(IF(COUNTIFS(Connexions!$K:$K,$Q201,Connexions!$E:$E,VLOOKUP($B201,Mapping_Noms!$A:$B,2,0))=0,"",_xlfn.MINIFS(Connexions!$M:$M,Connexions!$K:$K,$Q201,Connexions!$E:$E,VLOOKUP($B201,Mapping_Noms!$A:$B,2,0))-TIME(1,0,0)),"")</f>
        <v/>
      </c>
      <c r="D201" s="61" t="str">
        <f t="array" ref="D201">IFERROR(INDEX(Planning2[],MATCH(1,(Planning2[Nom]=B201)*(Planning2[Date]=Q201),0),3),"-")</f>
        <v>OFF</v>
      </c>
      <c r="E201" s="38" t="str">
        <f>IFERROR(IF(COUNTIFS(Connexions!$K:$K,$Q201,Connexions!$E:$E,VLOOKUP($B201,Mapping_Noms!$A:$B,2,0))=0,"",_xlfn.MAXIFS(Connexions!$O:$O,Connexions!$K:$K,$Q201,Connexions!$E:$E,VLOOKUP($B201,Mapping_Noms!$A:$B,2,0))-TIME(1,0,0)),"")</f>
        <v/>
      </c>
      <c r="F201" s="38" t="str">
        <f t="array" ref="F201">IFERROR(INDEX(Planning2[],MATCH(1,(Planning2[Nom]=B201)*(Planning2[Date]=Q201),0),4),"-")</f>
        <v>OFF</v>
      </c>
      <c r="G201" s="88"/>
      <c r="H201" s="88"/>
      <c r="I201" s="235" t="str">
        <f t="shared" si="99"/>
        <v/>
      </c>
      <c r="J201" s="88"/>
      <c r="K201" s="89">
        <f t="shared" si="100"/>
        <v>0</v>
      </c>
      <c r="L201" s="88">
        <f t="shared" si="101"/>
        <v>0</v>
      </c>
      <c r="M201" s="62">
        <f t="shared" si="102"/>
        <v>0</v>
      </c>
      <c r="N201" s="102" t="str">
        <f t="shared" si="103"/>
        <v/>
      </c>
      <c r="O201" s="90">
        <f t="shared" si="104"/>
        <v>0</v>
      </c>
      <c r="P201" s="91" t="str">
        <f>IFERROR(VLOOKUP($B201,Annuaire_roster!$B:$G,MATCH(P$1,Annuaire_roster!$B$1:$G$1,0),0),"-")</f>
        <v>Google Leads</v>
      </c>
      <c r="Q201" s="100">
        <v>44767</v>
      </c>
      <c r="R201" s="10">
        <f t="shared" si="105"/>
        <v>0</v>
      </c>
      <c r="S201" s="10">
        <f t="shared" si="106"/>
        <v>0</v>
      </c>
      <c r="T201" s="16" t="str">
        <f t="shared" si="107"/>
        <v>Sem - 30</v>
      </c>
      <c r="U201" s="16" t="str">
        <f t="shared" si="108"/>
        <v>Juillet</v>
      </c>
      <c r="V201" s="11" t="str">
        <f t="shared" si="109"/>
        <v>2026</v>
      </c>
      <c r="W201" s="9"/>
      <c r="X201" s="5">
        <f t="shared" si="110"/>
        <v>0</v>
      </c>
      <c r="Y201" s="12" t="str">
        <f>IFERROR(VLOOKUP(B201,Annuaire_roster!B:E,4,0),"-")</f>
        <v>OUAQERROUCH Nour-El Houda</v>
      </c>
      <c r="Z201" s="12" t="str">
        <f>IFERROR(VLOOKUP(B201,Annuaire_roster!B:F,3,0),"-")</f>
        <v>Google Leads</v>
      </c>
      <c r="AA201" s="12" t="str">
        <f>IFERROR(VLOOKUP(B201,Annuaire_roster!B:I,6,0),"-")</f>
        <v>Forfaitaire</v>
      </c>
      <c r="AB201" s="142" t="str">
        <f t="shared" si="111"/>
        <v/>
      </c>
      <c r="AC201" s="142" t="str">
        <f t="shared" si="112"/>
        <v/>
      </c>
      <c r="AD201" s="142" t="str">
        <f t="shared" si="113"/>
        <v/>
      </c>
      <c r="AE201" s="143" t="str">
        <f t="shared" si="114"/>
        <v/>
      </c>
      <c r="AF201" s="63"/>
      <c r="AG201" s="10"/>
    </row>
    <row r="202" spans="1:33" hidden="1" x14ac:dyDescent="0.2">
      <c r="A202" s="70">
        <f>VLOOKUP(B202,Annuaire_roster!B:F,5,0)</f>
        <v>1008</v>
      </c>
      <c r="B202" s="165" t="s">
        <v>94</v>
      </c>
      <c r="C202" s="61" t="str">
        <f>IFERROR(IF(COUNTIFS(Connexions!$K:$K,$Q202,Connexions!$E:$E,VLOOKUP($B202,Mapping_Noms!$A:$B,2,0))=0,"",_xlfn.MINIFS(Connexions!$M:$M,Connexions!$K:$K,$Q202,Connexions!$E:$E,VLOOKUP($B202,Mapping_Noms!$A:$B,2,0))-TIME(1,0,0)),"")</f>
        <v/>
      </c>
      <c r="D202" s="61">
        <f t="array" ref="D202">IFERROR(INDEX(Planning2[],MATCH(1,(Planning2[Nom]=B202)*(Planning2[Date]=Q202),0),3),"-")</f>
        <v>0.29166666666666669</v>
      </c>
      <c r="E202" s="38" t="str">
        <f>IFERROR(IF(COUNTIFS(Connexions!$K:$K,$Q202,Connexions!$E:$E,VLOOKUP($B202,Mapping_Noms!$A:$B,2,0))=0,"",_xlfn.MAXIFS(Connexions!$O:$O,Connexions!$K:$K,$Q202,Connexions!$E:$E,VLOOKUP($B202,Mapping_Noms!$A:$B,2,0))-TIME(1,0,0)),"")</f>
        <v/>
      </c>
      <c r="F202" s="38">
        <f t="array" ref="F202">IFERROR(INDEX(Planning2[],MATCH(1,(Planning2[Nom]=B202)*(Planning2[Date]=Q202),0),4),"-")</f>
        <v>0.70833333333333337</v>
      </c>
      <c r="G202" s="88"/>
      <c r="H202" s="88"/>
      <c r="I202" s="235" t="str">
        <f t="shared" si="99"/>
        <v/>
      </c>
      <c r="J202" s="88"/>
      <c r="K202" s="89">
        <f t="shared" si="100"/>
        <v>0</v>
      </c>
      <c r="L202" s="88">
        <f t="shared" si="101"/>
        <v>0</v>
      </c>
      <c r="M202" s="62" t="str">
        <f t="shared" si="102"/>
        <v>Abs</v>
      </c>
      <c r="N202" s="102" t="str">
        <f t="shared" si="103"/>
        <v/>
      </c>
      <c r="O202" s="90">
        <f t="shared" si="104"/>
        <v>0.375</v>
      </c>
      <c r="P202" s="91" t="str">
        <f>IFERROR(VLOOKUP($B202,Annuaire_roster!$B:$G,MATCH(P$1,Annuaire_roster!$B$1:$G$1,0),0),"-")</f>
        <v>Google Leads</v>
      </c>
      <c r="Q202" s="100">
        <v>44767</v>
      </c>
      <c r="R202" s="10">
        <f t="shared" si="105"/>
        <v>0.375</v>
      </c>
      <c r="S202" s="10">
        <f t="shared" si="106"/>
        <v>0.375</v>
      </c>
      <c r="T202" s="16" t="str">
        <f t="shared" si="107"/>
        <v>Sem - 30</v>
      </c>
      <c r="U202" s="16" t="str">
        <f t="shared" si="108"/>
        <v>Juillet</v>
      </c>
      <c r="V202" s="11" t="str">
        <f t="shared" si="109"/>
        <v>2026</v>
      </c>
      <c r="W202" s="9"/>
      <c r="X202" s="5">
        <f t="shared" si="110"/>
        <v>0</v>
      </c>
      <c r="Y202" s="12" t="str">
        <f>IFERROR(VLOOKUP(B202,Annuaire_roster!B:E,4,0),"-")</f>
        <v>CHOUIFI Mustapha</v>
      </c>
      <c r="Z202" s="12" t="str">
        <f>IFERROR(VLOOKUP(B202,Annuaire_roster!B:F,3,0),"-")</f>
        <v>Google Leads</v>
      </c>
      <c r="AA202" s="12" t="str">
        <f>IFERROR(VLOOKUP(B202,Annuaire_roster!B:I,6,0),"-")</f>
        <v>Forfaitaire</v>
      </c>
      <c r="AB202" s="142" t="str">
        <f t="shared" si="111"/>
        <v/>
      </c>
      <c r="AC202" s="142" t="str">
        <f t="shared" si="112"/>
        <v/>
      </c>
      <c r="AD202" s="142" t="str">
        <f t="shared" si="113"/>
        <v/>
      </c>
      <c r="AE202" s="143" t="str">
        <f t="shared" si="114"/>
        <v/>
      </c>
      <c r="AF202" s="63"/>
      <c r="AG202" s="10"/>
    </row>
    <row r="203" spans="1:33" hidden="1" x14ac:dyDescent="0.2">
      <c r="A203" s="70">
        <f>VLOOKUP(B203,Annuaire_roster!B:F,5,0)</f>
        <v>1009</v>
      </c>
      <c r="B203" s="165" t="s">
        <v>91</v>
      </c>
      <c r="C203" s="61" t="str">
        <f>IFERROR(IF(COUNTIFS(Connexions!$K:$K,$Q203,Connexions!$E:$E,VLOOKUP($B203,Mapping_Noms!$A:$B,2,0))=0,"",_xlfn.MINIFS(Connexions!$M:$M,Connexions!$K:$K,$Q203,Connexions!$E:$E,VLOOKUP($B203,Mapping_Noms!$A:$B,2,0))-TIME(1,0,0)),"")</f>
        <v/>
      </c>
      <c r="D203" s="61">
        <f t="array" ref="D203">IFERROR(INDEX(Planning2[],MATCH(1,(Planning2[Nom]=B203)*(Planning2[Date]=Q203),0),3),"-")</f>
        <v>0.29166666666666669</v>
      </c>
      <c r="E203" s="38" t="str">
        <f>IFERROR(IF(COUNTIFS(Connexions!$K:$K,$Q203,Connexions!$E:$E,VLOOKUP($B203,Mapping_Noms!$A:$B,2,0))=0,"",_xlfn.MAXIFS(Connexions!$O:$O,Connexions!$K:$K,$Q203,Connexions!$E:$E,VLOOKUP($B203,Mapping_Noms!$A:$B,2,0))-TIME(1,0,0)),"")</f>
        <v/>
      </c>
      <c r="F203" s="38">
        <f t="array" ref="F203">IFERROR(INDEX(Planning2[],MATCH(1,(Planning2[Nom]=B203)*(Planning2[Date]=Q203),0),4),"-")</f>
        <v>0.66666666666666663</v>
      </c>
      <c r="G203" s="88"/>
      <c r="H203" s="88"/>
      <c r="I203" s="235" t="str">
        <f t="shared" si="99"/>
        <v/>
      </c>
      <c r="J203" s="88"/>
      <c r="K203" s="89">
        <f t="shared" si="100"/>
        <v>0</v>
      </c>
      <c r="L203" s="88">
        <f t="shared" si="101"/>
        <v>0</v>
      </c>
      <c r="M203" s="62" t="str">
        <f t="shared" si="102"/>
        <v>Abs</v>
      </c>
      <c r="N203" s="102" t="str">
        <f t="shared" si="103"/>
        <v/>
      </c>
      <c r="O203" s="90">
        <f t="shared" si="104"/>
        <v>0.33333333333333326</v>
      </c>
      <c r="P203" s="91" t="str">
        <f>IFERROR(VLOOKUP($B203,Annuaire_roster!$B:$G,MATCH(P$1,Annuaire_roster!$B$1:$G$1,0),0),"-")</f>
        <v>Google Leads</v>
      </c>
      <c r="Q203" s="100">
        <v>44767</v>
      </c>
      <c r="R203" s="10">
        <f t="shared" si="105"/>
        <v>0.33333333333333326</v>
      </c>
      <c r="S203" s="10">
        <f t="shared" si="106"/>
        <v>0.33333333333333326</v>
      </c>
      <c r="T203" s="16" t="str">
        <f t="shared" si="107"/>
        <v>Sem - 30</v>
      </c>
      <c r="U203" s="16" t="str">
        <f t="shared" si="108"/>
        <v>Juillet</v>
      </c>
      <c r="V203" s="11" t="str">
        <f t="shared" si="109"/>
        <v>2026</v>
      </c>
      <c r="W203" s="9"/>
      <c r="X203" s="5">
        <f t="shared" si="110"/>
        <v>0</v>
      </c>
      <c r="Y203" s="12" t="str">
        <f>IFERROR(VLOOKUP(B203,Annuaire_roster!B:E,4,0),"-")</f>
        <v>OUAQERROUCH Nour-El Houda</v>
      </c>
      <c r="Z203" s="12" t="str">
        <f>IFERROR(VLOOKUP(B203,Annuaire_roster!B:F,3,0),"-")</f>
        <v>Google Leads</v>
      </c>
      <c r="AA203" s="12" t="str">
        <f>IFERROR(VLOOKUP(B203,Annuaire_roster!B:I,6,0),"-")</f>
        <v>Forfaitaire</v>
      </c>
      <c r="AB203" s="142" t="str">
        <f t="shared" si="111"/>
        <v/>
      </c>
      <c r="AC203" s="142" t="str">
        <f t="shared" si="112"/>
        <v/>
      </c>
      <c r="AD203" s="142" t="str">
        <f t="shared" si="113"/>
        <v/>
      </c>
      <c r="AE203" s="143" t="str">
        <f t="shared" si="114"/>
        <v/>
      </c>
      <c r="AF203" s="63"/>
      <c r="AG203" s="10"/>
    </row>
    <row r="204" spans="1:33" hidden="1" x14ac:dyDescent="0.2">
      <c r="A204" s="70">
        <f>VLOOKUP(B204,Annuaire_roster!B:F,5,0)</f>
        <v>1131</v>
      </c>
      <c r="B204" s="165" t="s">
        <v>214</v>
      </c>
      <c r="C204" s="61" t="str">
        <f>IFERROR(IF(COUNTIFS(Connexions!$K:$K,$Q204,Connexions!$E:$E,VLOOKUP($B204,Mapping_Noms!$A:$B,2,0))=0,"",_xlfn.MINIFS(Connexions!$M:$M,Connexions!$K:$K,$Q204,Connexions!$E:$E,VLOOKUP($B204,Mapping_Noms!$A:$B,2,0))-TIME(1,0,0)),"")</f>
        <v/>
      </c>
      <c r="D204" s="61" t="str">
        <f t="array" ref="D204">IFERROR(INDEX(Planning2[],MATCH(1,(Planning2[Nom]=B204)*(Planning2[Date]=Q204),0),3),"-")</f>
        <v>OFF</v>
      </c>
      <c r="E204" s="38" t="str">
        <f>IFERROR(IF(COUNTIFS(Connexions!$K:$K,$Q204,Connexions!$E:$E,VLOOKUP($B204,Mapping_Noms!$A:$B,2,0))=0,"",_xlfn.MAXIFS(Connexions!$O:$O,Connexions!$K:$K,$Q204,Connexions!$E:$E,VLOOKUP($B204,Mapping_Noms!$A:$B,2,0))-TIME(1,0,0)),"")</f>
        <v/>
      </c>
      <c r="F204" s="38" t="str">
        <f t="array" ref="F204">IFERROR(INDEX(Planning2[],MATCH(1,(Planning2[Nom]=B204)*(Planning2[Date]=Q204),0),4),"-")</f>
        <v>OFF</v>
      </c>
      <c r="G204" s="88"/>
      <c r="H204" s="88"/>
      <c r="I204" s="235" t="str">
        <f t="shared" si="99"/>
        <v/>
      </c>
      <c r="J204" s="23"/>
      <c r="K204" s="89">
        <f t="shared" si="100"/>
        <v>0</v>
      </c>
      <c r="L204" s="88">
        <f t="shared" si="101"/>
        <v>0</v>
      </c>
      <c r="M204" s="62">
        <f t="shared" si="102"/>
        <v>0</v>
      </c>
      <c r="N204" s="102" t="str">
        <f t="shared" si="103"/>
        <v/>
      </c>
      <c r="O204" s="90">
        <f t="shared" si="104"/>
        <v>0</v>
      </c>
      <c r="P204" s="91" t="str">
        <f>IFERROR(VLOOKUP($B204,Annuaire_roster!$B:$G,MATCH(P$1,Annuaire_roster!$B$1:$G$1,0),0),"-")</f>
        <v>Google Leads</v>
      </c>
      <c r="Q204" s="100">
        <v>44767</v>
      </c>
      <c r="R204" s="10">
        <f t="shared" si="105"/>
        <v>0</v>
      </c>
      <c r="S204" s="10">
        <f t="shared" si="106"/>
        <v>0</v>
      </c>
      <c r="T204" s="16" t="str">
        <f t="shared" si="107"/>
        <v>Sem - 30</v>
      </c>
      <c r="U204" s="16" t="str">
        <f t="shared" si="108"/>
        <v>Juillet</v>
      </c>
      <c r="V204" s="11" t="str">
        <f t="shared" si="109"/>
        <v>2026</v>
      </c>
      <c r="W204" s="9"/>
      <c r="X204" s="5">
        <f t="shared" si="110"/>
        <v>0</v>
      </c>
      <c r="Y204" s="12" t="str">
        <f>IFERROR(VLOOKUP(B204,Annuaire_roster!B:E,4,0),"-")</f>
        <v>CHOUIFI Mustapha</v>
      </c>
      <c r="Z204" s="12" t="str">
        <f>IFERROR(VLOOKUP(B204,Annuaire_roster!B:F,3,0),"-")</f>
        <v>Google Leads</v>
      </c>
      <c r="AA204" s="12" t="str">
        <f>IFERROR(VLOOKUP(B204,Annuaire_roster!B:I,6,0),"-")</f>
        <v>Forfaitaire</v>
      </c>
      <c r="AB204" s="142" t="str">
        <f t="shared" si="111"/>
        <v/>
      </c>
      <c r="AC204" s="142" t="str">
        <f t="shared" si="112"/>
        <v/>
      </c>
      <c r="AD204" s="142" t="str">
        <f t="shared" si="113"/>
        <v/>
      </c>
      <c r="AE204" s="143" t="str">
        <f t="shared" si="114"/>
        <v/>
      </c>
      <c r="AF204" s="63"/>
      <c r="AG204" s="10"/>
    </row>
    <row r="205" spans="1:33" hidden="1" x14ac:dyDescent="0.2">
      <c r="A205" s="70">
        <f>VLOOKUP(B205,Annuaire_roster!B:F,5,0)</f>
        <v>1145</v>
      </c>
      <c r="B205" s="165" t="s">
        <v>102</v>
      </c>
      <c r="C205" s="61" t="str">
        <f>IFERROR(IF(COUNTIFS(Connexions!$K:$K,$Q205,Connexions!$E:$E,VLOOKUP($B205,Mapping_Noms!$A:$B,2,0))=0,"",_xlfn.MINIFS(Connexions!$M:$M,Connexions!$K:$K,$Q205,Connexions!$E:$E,VLOOKUP($B205,Mapping_Noms!$A:$B,2,0))-TIME(1,0,0)),"")</f>
        <v/>
      </c>
      <c r="D205" s="61" t="str">
        <f t="array" ref="D205">IFERROR(INDEX(Planning2[],MATCH(1,(Planning2[Nom]=B205)*(Planning2[Date]=Q205),0),3),"-")</f>
        <v>OFF</v>
      </c>
      <c r="E205" s="38" t="str">
        <f>IFERROR(IF(COUNTIFS(Connexions!$K:$K,$Q205,Connexions!$E:$E,VLOOKUP($B205,Mapping_Noms!$A:$B,2,0))=0,"",_xlfn.MAXIFS(Connexions!$O:$O,Connexions!$K:$K,$Q205,Connexions!$E:$E,VLOOKUP($B205,Mapping_Noms!$A:$B,2,0))-TIME(1,0,0)),"")</f>
        <v/>
      </c>
      <c r="F205" s="38" t="str">
        <f t="array" ref="F205">IFERROR(INDEX(Planning2[],MATCH(1,(Planning2[Nom]=B205)*(Planning2[Date]=Q205),0),4),"-")</f>
        <v>OFF</v>
      </c>
      <c r="G205" s="88"/>
      <c r="H205" s="88"/>
      <c r="I205" s="235" t="str">
        <f t="shared" si="99"/>
        <v/>
      </c>
      <c r="J205" s="23"/>
      <c r="K205" s="89">
        <f t="shared" si="100"/>
        <v>0</v>
      </c>
      <c r="L205" s="88">
        <f t="shared" si="101"/>
        <v>0</v>
      </c>
      <c r="M205" s="62">
        <f t="shared" si="102"/>
        <v>0</v>
      </c>
      <c r="N205" s="102" t="str">
        <f t="shared" si="103"/>
        <v/>
      </c>
      <c r="O205" s="90">
        <f t="shared" si="104"/>
        <v>0</v>
      </c>
      <c r="P205" s="91" t="str">
        <f>IFERROR(VLOOKUP($B205,Annuaire_roster!$B:$G,MATCH(P$1,Annuaire_roster!$B$1:$G$1,0),0),"-")</f>
        <v>Google Leads</v>
      </c>
      <c r="Q205" s="100">
        <v>44767</v>
      </c>
      <c r="R205" s="10">
        <f t="shared" si="105"/>
        <v>0</v>
      </c>
      <c r="S205" s="10">
        <f t="shared" si="106"/>
        <v>0</v>
      </c>
      <c r="T205" s="16" t="str">
        <f t="shared" si="107"/>
        <v>Sem - 30</v>
      </c>
      <c r="U205" s="16" t="str">
        <f t="shared" si="108"/>
        <v>Juillet</v>
      </c>
      <c r="V205" s="11" t="str">
        <f t="shared" si="109"/>
        <v>2026</v>
      </c>
      <c r="W205" s="9"/>
      <c r="X205" s="5">
        <f t="shared" si="110"/>
        <v>0</v>
      </c>
      <c r="Y205" s="12" t="str">
        <f>IFERROR(VLOOKUP(B205,Annuaire_roster!B:E,4,0),"-")</f>
        <v>CHOUIFI Mustapha</v>
      </c>
      <c r="Z205" s="12" t="str">
        <f>IFERROR(VLOOKUP(B205,Annuaire_roster!B:F,3,0),"-")</f>
        <v>Google Leads</v>
      </c>
      <c r="AA205" s="12" t="str">
        <f>IFERROR(VLOOKUP(B205,Annuaire_roster!B:I,6,0),"-")</f>
        <v>Forfaitaire</v>
      </c>
      <c r="AB205" s="142" t="str">
        <f t="shared" si="111"/>
        <v/>
      </c>
      <c r="AC205" s="142" t="str">
        <f t="shared" si="112"/>
        <v/>
      </c>
      <c r="AD205" s="142" t="str">
        <f t="shared" si="113"/>
        <v/>
      </c>
      <c r="AE205" s="143" t="str">
        <f t="shared" si="114"/>
        <v/>
      </c>
      <c r="AF205" s="63"/>
      <c r="AG205" s="10"/>
    </row>
    <row r="206" spans="1:33" hidden="1" x14ac:dyDescent="0.2">
      <c r="A206" s="70">
        <f>VLOOKUP(B206,Annuaire_roster!B:F,5,0)</f>
        <v>397</v>
      </c>
      <c r="B206" s="165" t="s">
        <v>215</v>
      </c>
      <c r="C206" s="61" t="str">
        <f>IFERROR(IF(COUNTIFS(Connexions!$K:$K,$Q206,Connexions!$E:$E,VLOOKUP($B206,Mapping_Noms!$A:$B,2,0))=0,"",_xlfn.MINIFS(Connexions!$M:$M,Connexions!$K:$K,$Q206,Connexions!$E:$E,VLOOKUP($B206,Mapping_Noms!$A:$B,2,0))-TIME(1,0,0)),"")</f>
        <v/>
      </c>
      <c r="D206" s="61" t="str">
        <f t="array" ref="D206">IFERROR(INDEX(Planning2[],MATCH(1,(Planning2[Nom]=B206)*(Planning2[Date]=Q206),0),3),"-")</f>
        <v>OFF</v>
      </c>
      <c r="E206" s="38" t="str">
        <f>IFERROR(IF(COUNTIFS(Connexions!$K:$K,$Q206,Connexions!$E:$E,VLOOKUP($B206,Mapping_Noms!$A:$B,2,0))=0,"",_xlfn.MAXIFS(Connexions!$O:$O,Connexions!$K:$K,$Q206,Connexions!$E:$E,VLOOKUP($B206,Mapping_Noms!$A:$B,2,0))-TIME(1,0,0)),"")</f>
        <v/>
      </c>
      <c r="F206" s="38" t="str">
        <f t="array" ref="F206">IFERROR(INDEX(Planning2[],MATCH(1,(Planning2[Nom]=B206)*(Planning2[Date]=Q206),0),4),"-")</f>
        <v>OFF</v>
      </c>
      <c r="G206" s="88"/>
      <c r="H206" s="88"/>
      <c r="I206" s="235" t="str">
        <f t="shared" si="99"/>
        <v/>
      </c>
      <c r="J206" s="23"/>
      <c r="K206" s="89">
        <f t="shared" si="100"/>
        <v>0</v>
      </c>
      <c r="L206" s="88">
        <f t="shared" si="101"/>
        <v>0</v>
      </c>
      <c r="M206" s="62">
        <f t="shared" si="102"/>
        <v>0</v>
      </c>
      <c r="N206" s="102" t="str">
        <f t="shared" si="103"/>
        <v/>
      </c>
      <c r="O206" s="90">
        <f t="shared" si="104"/>
        <v>0</v>
      </c>
      <c r="P206" s="91" t="str">
        <f>IFERROR(VLOOKUP($B206,Annuaire_roster!$B:$G,MATCH(P$1,Annuaire_roster!$B$1:$G$1,0),0),"-")</f>
        <v>Google Leads</v>
      </c>
      <c r="Q206" s="100">
        <v>44767</v>
      </c>
      <c r="R206" s="10">
        <f t="shared" si="105"/>
        <v>0</v>
      </c>
      <c r="S206" s="10">
        <f t="shared" si="106"/>
        <v>0</v>
      </c>
      <c r="T206" s="16" t="str">
        <f t="shared" si="107"/>
        <v>Sem - 30</v>
      </c>
      <c r="U206" s="16" t="str">
        <f t="shared" si="108"/>
        <v>Juillet</v>
      </c>
      <c r="V206" s="11" t="str">
        <f t="shared" si="109"/>
        <v>2026</v>
      </c>
      <c r="W206" s="9"/>
      <c r="X206" s="5">
        <f t="shared" si="110"/>
        <v>0</v>
      </c>
      <c r="Y206" s="12" t="str">
        <f>IFERROR(VLOOKUP(B206,Annuaire_roster!B:E,4,0),"-")</f>
        <v>OUAQERROUCH Nour-El Houda</v>
      </c>
      <c r="Z206" s="12" t="str">
        <f>IFERROR(VLOOKUP(B206,Annuaire_roster!B:F,3,0),"-")</f>
        <v>Google Leads</v>
      </c>
      <c r="AA206" s="12" t="str">
        <f>IFERROR(VLOOKUP(B206,Annuaire_roster!B:I,6,0),"-")</f>
        <v>Forfaitaire</v>
      </c>
      <c r="AB206" s="142" t="str">
        <f t="shared" si="111"/>
        <v/>
      </c>
      <c r="AC206" s="142" t="str">
        <f t="shared" si="112"/>
        <v/>
      </c>
      <c r="AD206" s="142" t="str">
        <f t="shared" si="113"/>
        <v/>
      </c>
      <c r="AE206" s="143" t="str">
        <f t="shared" si="114"/>
        <v/>
      </c>
      <c r="AF206" s="63"/>
      <c r="AG206" s="10"/>
    </row>
    <row r="207" spans="1:33" hidden="1" x14ac:dyDescent="0.2">
      <c r="A207" s="70">
        <f>VLOOKUP(B207,Annuaire_roster!B:F,5,0)</f>
        <v>1132</v>
      </c>
      <c r="B207" s="165" t="s">
        <v>88</v>
      </c>
      <c r="C207" s="61" t="str">
        <f>IFERROR(IF(COUNTIFS(Connexions!$K:$K,$Q207,Connexions!$E:$E,VLOOKUP($B207,Mapping_Noms!$A:$B,2,0))=0,"",_xlfn.MINIFS(Connexions!$M:$M,Connexions!$K:$K,$Q207,Connexions!$E:$E,VLOOKUP($B207,Mapping_Noms!$A:$B,2,0))-TIME(1,0,0)),"")</f>
        <v/>
      </c>
      <c r="D207" s="61">
        <f t="array" ref="D207">IFERROR(INDEX(Planning2[],MATCH(1,(Planning2[Nom]=B207)*(Planning2[Date]=Q207),0),3),"-")</f>
        <v>0.41666666666666669</v>
      </c>
      <c r="E207" s="38" t="str">
        <f>IFERROR(IF(COUNTIFS(Connexions!$K:$K,$Q207,Connexions!$E:$E,VLOOKUP($B207,Mapping_Noms!$A:$B,2,0))=0,"",_xlfn.MAXIFS(Connexions!$O:$O,Connexions!$K:$K,$Q207,Connexions!$E:$E,VLOOKUP($B207,Mapping_Noms!$A:$B,2,0))-TIME(1,0,0)),"")</f>
        <v/>
      </c>
      <c r="F207" s="38">
        <f t="array" ref="F207">IFERROR(INDEX(Planning2[],MATCH(1,(Planning2[Nom]=B207)*(Planning2[Date]=Q207),0),4),"-")</f>
        <v>0.83333333333333337</v>
      </c>
      <c r="G207" s="88"/>
      <c r="H207" s="88"/>
      <c r="I207" s="235" t="str">
        <f t="shared" si="99"/>
        <v/>
      </c>
      <c r="J207" s="23"/>
      <c r="K207" s="89">
        <f t="shared" si="100"/>
        <v>0</v>
      </c>
      <c r="L207" s="88">
        <f t="shared" si="101"/>
        <v>0</v>
      </c>
      <c r="M207" s="62" t="str">
        <f t="shared" si="102"/>
        <v>Abs</v>
      </c>
      <c r="N207" s="102" t="str">
        <f t="shared" si="103"/>
        <v/>
      </c>
      <c r="O207" s="90">
        <f t="shared" si="104"/>
        <v>0.375</v>
      </c>
      <c r="P207" s="91" t="str">
        <f>IFERROR(VLOOKUP($B207,Annuaire_roster!$B:$G,MATCH(P$1,Annuaire_roster!$B$1:$G$1,0),0),"-")</f>
        <v>Google Leads</v>
      </c>
      <c r="Q207" s="100">
        <v>44767</v>
      </c>
      <c r="R207" s="10">
        <f t="shared" si="105"/>
        <v>0.375</v>
      </c>
      <c r="S207" s="10">
        <f t="shared" si="106"/>
        <v>0.375</v>
      </c>
      <c r="T207" s="16" t="str">
        <f t="shared" si="107"/>
        <v>Sem - 30</v>
      </c>
      <c r="U207" s="16" t="str">
        <f t="shared" si="108"/>
        <v>Juillet</v>
      </c>
      <c r="V207" s="11" t="str">
        <f t="shared" si="109"/>
        <v>2026</v>
      </c>
      <c r="W207" s="9"/>
      <c r="X207" s="5">
        <f t="shared" si="110"/>
        <v>0</v>
      </c>
      <c r="Y207" s="12" t="str">
        <f>IFERROR(VLOOKUP(B207,Annuaire_roster!B:E,4,0),"-")</f>
        <v>CHOUIFI Mustapha</v>
      </c>
      <c r="Z207" s="12" t="str">
        <f>IFERROR(VLOOKUP(B207,Annuaire_roster!B:F,3,0),"-")</f>
        <v>Google Leads</v>
      </c>
      <c r="AA207" s="12" t="str">
        <f>IFERROR(VLOOKUP(B207,Annuaire_roster!B:I,6,0),"-")</f>
        <v>Forfaitaire</v>
      </c>
      <c r="AB207" s="142" t="str">
        <f t="shared" si="111"/>
        <v/>
      </c>
      <c r="AC207" s="142" t="str">
        <f t="shared" si="112"/>
        <v/>
      </c>
      <c r="AD207" s="142" t="str">
        <f t="shared" si="113"/>
        <v/>
      </c>
      <c r="AE207" s="143" t="str">
        <f t="shared" si="114"/>
        <v/>
      </c>
      <c r="AF207" s="63"/>
      <c r="AG207" s="10"/>
    </row>
    <row r="208" spans="1:33" hidden="1" x14ac:dyDescent="0.2">
      <c r="A208" s="70">
        <f>VLOOKUP(B208,Annuaire_roster!B:F,5,0)</f>
        <v>1170</v>
      </c>
      <c r="B208" s="165" t="s">
        <v>106</v>
      </c>
      <c r="C208" s="61" t="str">
        <f>IFERROR(IF(COUNTIFS(Connexions!$K:$K,$Q208,Connexions!$E:$E,VLOOKUP($B208,Mapping_Noms!$A:$B,2,0))=0,"",_xlfn.MINIFS(Connexions!$M:$M,Connexions!$K:$K,$Q208,Connexions!$E:$E,VLOOKUP($B208,Mapping_Noms!$A:$B,2,0))-TIME(1,0,0)),"")</f>
        <v/>
      </c>
      <c r="D208" s="61" t="str">
        <f t="array" ref="D208">IFERROR(INDEX(Planning2[],MATCH(1,(Planning2[Nom]=B208)*(Planning2[Date]=Q208),0),3),"-")</f>
        <v>OFF</v>
      </c>
      <c r="E208" s="38" t="str">
        <f>IFERROR(IF(COUNTIFS(Connexions!$K:$K,$Q208,Connexions!$E:$E,VLOOKUP($B208,Mapping_Noms!$A:$B,2,0))=0,"",_xlfn.MAXIFS(Connexions!$O:$O,Connexions!$K:$K,$Q208,Connexions!$E:$E,VLOOKUP($B208,Mapping_Noms!$A:$B,2,0))-TIME(1,0,0)),"")</f>
        <v/>
      </c>
      <c r="F208" s="38" t="str">
        <f t="array" ref="F208">IFERROR(INDEX(Planning2[],MATCH(1,(Planning2[Nom]=B208)*(Planning2[Date]=Q208),0),4),"-")</f>
        <v>OFF</v>
      </c>
      <c r="G208" s="88"/>
      <c r="H208" s="88"/>
      <c r="I208" s="235" t="str">
        <f t="shared" si="99"/>
        <v/>
      </c>
      <c r="J208" s="23"/>
      <c r="K208" s="89">
        <f t="shared" si="100"/>
        <v>0</v>
      </c>
      <c r="L208" s="88">
        <f t="shared" si="101"/>
        <v>0</v>
      </c>
      <c r="M208" s="62">
        <f t="shared" si="102"/>
        <v>0</v>
      </c>
      <c r="N208" s="102" t="str">
        <f t="shared" si="103"/>
        <v/>
      </c>
      <c r="O208" s="90">
        <f t="shared" si="104"/>
        <v>0</v>
      </c>
      <c r="P208" s="91" t="str">
        <f>IFERROR(VLOOKUP($B208,Annuaire_roster!$B:$G,MATCH(P$1,Annuaire_roster!$B$1:$G$1,0),0),"-")</f>
        <v>Google Leads</v>
      </c>
      <c r="Q208" s="100">
        <v>44767</v>
      </c>
      <c r="R208" s="10">
        <f t="shared" si="105"/>
        <v>0</v>
      </c>
      <c r="S208" s="10">
        <f t="shared" si="106"/>
        <v>0</v>
      </c>
      <c r="T208" s="16" t="str">
        <f t="shared" si="107"/>
        <v>Sem - 30</v>
      </c>
      <c r="U208" s="16" t="str">
        <f t="shared" si="108"/>
        <v>Juillet</v>
      </c>
      <c r="V208" s="11" t="str">
        <f t="shared" si="109"/>
        <v>2026</v>
      </c>
      <c r="W208" s="9"/>
      <c r="X208" s="5">
        <f t="shared" si="110"/>
        <v>0</v>
      </c>
      <c r="Y208" s="12" t="str">
        <f>IFERROR(VLOOKUP(B208,Annuaire_roster!B:E,4,0),"-")</f>
        <v>CHOUIFI Mustapha</v>
      </c>
      <c r="Z208" s="12" t="str">
        <f>IFERROR(VLOOKUP(B208,Annuaire_roster!B:F,3,0),"-")</f>
        <v>Google Leads</v>
      </c>
      <c r="AA208" s="12" t="str">
        <f>IFERROR(VLOOKUP(B208,Annuaire_roster!B:I,6,0),"-")</f>
        <v>Forfaitaire</v>
      </c>
      <c r="AB208" s="142" t="str">
        <f t="shared" si="111"/>
        <v/>
      </c>
      <c r="AC208" s="142" t="str">
        <f t="shared" si="112"/>
        <v/>
      </c>
      <c r="AD208" s="142" t="str">
        <f t="shared" si="113"/>
        <v/>
      </c>
      <c r="AE208" s="143" t="str">
        <f t="shared" si="114"/>
        <v/>
      </c>
      <c r="AF208" s="63"/>
      <c r="AG208" s="10"/>
    </row>
    <row r="209" spans="1:33" hidden="1" x14ac:dyDescent="0.2">
      <c r="A209" s="70">
        <f>VLOOKUP(B209,Annuaire_roster!B:F,5,0)</f>
        <v>1154</v>
      </c>
      <c r="B209" s="165" t="s">
        <v>110</v>
      </c>
      <c r="C209" s="61" t="str">
        <f>IFERROR(IF(COUNTIFS(Connexions!$K:$K,$Q209,Connexions!$E:$E,VLOOKUP($B209,Mapping_Noms!$A:$B,2,0))=0,"",_xlfn.MINIFS(Connexions!$M:$M,Connexions!$K:$K,$Q209,Connexions!$E:$E,VLOOKUP($B209,Mapping_Noms!$A:$B,2,0))-TIME(1,0,0)),"")</f>
        <v/>
      </c>
      <c r="D209" s="61">
        <f t="array" ref="D209">IFERROR(INDEX(Planning2[],MATCH(1,(Planning2[Nom]=B209)*(Planning2[Date]=Q209),0),3),"-")</f>
        <v>0.45833333333333331</v>
      </c>
      <c r="E209" s="38" t="str">
        <f>IFERROR(IF(COUNTIFS(Connexions!$K:$K,$Q209,Connexions!$E:$E,VLOOKUP($B209,Mapping_Noms!$A:$B,2,0))=0,"",_xlfn.MAXIFS(Connexions!$O:$O,Connexions!$K:$K,$Q209,Connexions!$E:$E,VLOOKUP($B209,Mapping_Noms!$A:$B,2,0))-TIME(1,0,0)),"")</f>
        <v/>
      </c>
      <c r="F209" s="38">
        <f t="array" ref="F209">IFERROR(INDEX(Planning2[],MATCH(1,(Planning2[Nom]=B209)*(Planning2[Date]=Q209),0),4),"-")</f>
        <v>0.83333333333333337</v>
      </c>
      <c r="G209" s="88"/>
      <c r="H209" s="88"/>
      <c r="I209" s="235" t="str">
        <f t="shared" si="99"/>
        <v/>
      </c>
      <c r="J209" s="23"/>
      <c r="K209" s="89">
        <f t="shared" si="100"/>
        <v>0</v>
      </c>
      <c r="L209" s="88">
        <f t="shared" si="101"/>
        <v>0</v>
      </c>
      <c r="M209" s="62" t="str">
        <f t="shared" si="102"/>
        <v>Abs</v>
      </c>
      <c r="N209" s="102" t="str">
        <f t="shared" si="103"/>
        <v/>
      </c>
      <c r="O209" s="90">
        <f t="shared" si="104"/>
        <v>0.33333333333333337</v>
      </c>
      <c r="P209" s="91" t="str">
        <f>IFERROR(VLOOKUP($B209,Annuaire_roster!$B:$G,MATCH(P$1,Annuaire_roster!$B$1:$G$1,0),0),"-")</f>
        <v>Google Leads</v>
      </c>
      <c r="Q209" s="100">
        <v>44767</v>
      </c>
      <c r="R209" s="10">
        <f t="shared" si="105"/>
        <v>0.33333333333333337</v>
      </c>
      <c r="S209" s="10">
        <f t="shared" si="106"/>
        <v>0.33333333333333337</v>
      </c>
      <c r="T209" s="16" t="str">
        <f t="shared" si="107"/>
        <v>Sem - 30</v>
      </c>
      <c r="U209" s="16" t="str">
        <f t="shared" si="108"/>
        <v>Juillet</v>
      </c>
      <c r="V209" s="11" t="str">
        <f t="shared" si="109"/>
        <v>2026</v>
      </c>
      <c r="W209" s="9"/>
      <c r="X209" s="5">
        <f t="shared" si="110"/>
        <v>0</v>
      </c>
      <c r="Y209" s="12" t="str">
        <f>IFERROR(VLOOKUP(B209,Annuaire_roster!B:E,4,0),"-")</f>
        <v>CHOUIFI Mustapha</v>
      </c>
      <c r="Z209" s="12" t="str">
        <f>IFERROR(VLOOKUP(B209,Annuaire_roster!B:F,3,0),"-")</f>
        <v>Google Leads</v>
      </c>
      <c r="AA209" s="12" t="str">
        <f>IFERROR(VLOOKUP(B209,Annuaire_roster!B:I,6,0),"-")</f>
        <v>Forfaitaire</v>
      </c>
      <c r="AB209" s="142" t="str">
        <f t="shared" si="111"/>
        <v/>
      </c>
      <c r="AC209" s="142" t="str">
        <f t="shared" si="112"/>
        <v/>
      </c>
      <c r="AD209" s="142" t="str">
        <f t="shared" si="113"/>
        <v/>
      </c>
      <c r="AE209" s="143" t="str">
        <f t="shared" si="114"/>
        <v/>
      </c>
      <c r="AF209" s="63"/>
      <c r="AG209" s="10"/>
    </row>
    <row r="210" spans="1:33" hidden="1" x14ac:dyDescent="0.2">
      <c r="A210" s="70">
        <f>VLOOKUP(B210,Annuaire_roster!B:F,5,0)</f>
        <v>1167</v>
      </c>
      <c r="B210" s="165" t="s">
        <v>126</v>
      </c>
      <c r="C210" s="61" t="str">
        <f>IFERROR(IF(COUNTIFS(Connexions!$K:$K,$Q210,Connexions!$E:$E,VLOOKUP($B210,Mapping_Noms!$A:$B,2,0))=0,"",_xlfn.MINIFS(Connexions!$M:$M,Connexions!$K:$K,$Q210,Connexions!$E:$E,VLOOKUP($B210,Mapping_Noms!$A:$B,2,0))-TIME(1,0,0)),"")</f>
        <v/>
      </c>
      <c r="D210" s="61">
        <f t="array" ref="D210">IFERROR(INDEX(Planning2[],MATCH(1,(Planning2[Nom]=B210)*(Planning2[Date]=Q210),0),3),"-")</f>
        <v>0.41666666666666669</v>
      </c>
      <c r="E210" s="38" t="str">
        <f>IFERROR(IF(COUNTIFS(Connexions!$K:$K,$Q210,Connexions!$E:$E,VLOOKUP($B210,Mapping_Noms!$A:$B,2,0))=0,"",_xlfn.MAXIFS(Connexions!$O:$O,Connexions!$K:$K,$Q210,Connexions!$E:$E,VLOOKUP($B210,Mapping_Noms!$A:$B,2,0))-TIME(1,0,0)),"")</f>
        <v/>
      </c>
      <c r="F210" s="38">
        <f t="array" ref="F210">IFERROR(INDEX(Planning2[],MATCH(1,(Planning2[Nom]=B210)*(Planning2[Date]=Q210),0),4),"-")</f>
        <v>0.83333333333333337</v>
      </c>
      <c r="G210" s="88"/>
      <c r="H210" s="88"/>
      <c r="I210" s="235" t="str">
        <f t="shared" si="99"/>
        <v/>
      </c>
      <c r="J210" s="23"/>
      <c r="K210" s="89">
        <f t="shared" si="100"/>
        <v>0</v>
      </c>
      <c r="L210" s="88">
        <f t="shared" si="101"/>
        <v>0</v>
      </c>
      <c r="M210" s="62" t="str">
        <f t="shared" si="102"/>
        <v>Abs</v>
      </c>
      <c r="N210" s="102" t="str">
        <f t="shared" si="103"/>
        <v/>
      </c>
      <c r="O210" s="90">
        <f t="shared" si="104"/>
        <v>0.375</v>
      </c>
      <c r="P210" s="91" t="str">
        <f>IFERROR(VLOOKUP($B210,Annuaire_roster!$B:$G,MATCH(P$1,Annuaire_roster!$B$1:$G$1,0),0),"-")</f>
        <v>Google Leads</v>
      </c>
      <c r="Q210" s="100">
        <v>44767</v>
      </c>
      <c r="R210" s="10">
        <f t="shared" si="105"/>
        <v>0.375</v>
      </c>
      <c r="S210" s="10">
        <f t="shared" si="106"/>
        <v>0.375</v>
      </c>
      <c r="T210" s="16" t="str">
        <f t="shared" si="107"/>
        <v>Sem - 30</v>
      </c>
      <c r="U210" s="16" t="str">
        <f t="shared" si="108"/>
        <v>Juillet</v>
      </c>
      <c r="V210" s="11" t="str">
        <f t="shared" si="109"/>
        <v>2026</v>
      </c>
      <c r="W210" s="9"/>
      <c r="X210" s="5">
        <f t="shared" si="110"/>
        <v>0</v>
      </c>
      <c r="Y210" s="12" t="str">
        <f>IFERROR(VLOOKUP(B210,Annuaire_roster!B:E,4,0),"-")</f>
        <v>OUAQERROUCH Nour-El Houda</v>
      </c>
      <c r="Z210" s="12" t="str">
        <f>IFERROR(VLOOKUP(B210,Annuaire_roster!B:F,3,0),"-")</f>
        <v>Google Leads</v>
      </c>
      <c r="AA210" s="12" t="str">
        <f>IFERROR(VLOOKUP(B210,Annuaire_roster!B:I,6,0),"-")</f>
        <v>Forfaitaire</v>
      </c>
      <c r="AB210" s="142" t="str">
        <f t="shared" si="111"/>
        <v/>
      </c>
      <c r="AC210" s="142" t="str">
        <f t="shared" si="112"/>
        <v/>
      </c>
      <c r="AD210" s="142" t="str">
        <f t="shared" si="113"/>
        <v/>
      </c>
      <c r="AE210" s="143" t="str">
        <f t="shared" si="114"/>
        <v/>
      </c>
      <c r="AF210" s="63"/>
      <c r="AG210" s="10"/>
    </row>
    <row r="211" spans="1:33" hidden="1" x14ac:dyDescent="0.2">
      <c r="A211" s="70">
        <f>VLOOKUP(B211,Annuaire_roster!B:F,5,0)</f>
        <v>1274</v>
      </c>
      <c r="B211" s="165" t="s">
        <v>141</v>
      </c>
      <c r="C211" s="61" t="str">
        <f>IFERROR(IF(COUNTIFS(Connexions!$K:$K,$Q211,Connexions!$E:$E,VLOOKUP($B211,Mapping_Noms!$A:$B,2,0))=0,"",_xlfn.MINIFS(Connexions!$M:$M,Connexions!$K:$K,$Q211,Connexions!$E:$E,VLOOKUP($B211,Mapping_Noms!$A:$B,2,0))-TIME(1,0,0)),"")</f>
        <v/>
      </c>
      <c r="D211" s="61" t="str">
        <f t="array" ref="D211">IFERROR(INDEX(Planning2[],MATCH(1,(Planning2[Nom]=B211)*(Planning2[Date]=Q211),0),3),"-")</f>
        <v>OFF</v>
      </c>
      <c r="E211" s="38" t="str">
        <f>IFERROR(IF(COUNTIFS(Connexions!$K:$K,$Q211,Connexions!$E:$E,VLOOKUP($B211,Mapping_Noms!$A:$B,2,0))=0,"",_xlfn.MAXIFS(Connexions!$O:$O,Connexions!$K:$K,$Q211,Connexions!$E:$E,VLOOKUP($B211,Mapping_Noms!$A:$B,2,0))-TIME(1,0,0)),"")</f>
        <v/>
      </c>
      <c r="F211" s="38" t="str">
        <f t="array" ref="F211">IFERROR(INDEX(Planning2[],MATCH(1,(Planning2[Nom]=B211)*(Planning2[Date]=Q211),0),4),"-")</f>
        <v>OFF</v>
      </c>
      <c r="G211" s="88"/>
      <c r="H211" s="88"/>
      <c r="I211" s="235" t="str">
        <f t="shared" si="99"/>
        <v/>
      </c>
      <c r="J211" s="23"/>
      <c r="K211" s="89">
        <f t="shared" si="100"/>
        <v>0</v>
      </c>
      <c r="L211" s="88">
        <f t="shared" si="101"/>
        <v>0</v>
      </c>
      <c r="M211" s="62">
        <f t="shared" si="102"/>
        <v>0</v>
      </c>
      <c r="N211" s="102" t="str">
        <f t="shared" si="103"/>
        <v/>
      </c>
      <c r="O211" s="90">
        <f t="shared" si="104"/>
        <v>0</v>
      </c>
      <c r="P211" s="91" t="str">
        <f>IFERROR(VLOOKUP($B211,Annuaire_roster!$B:$G,MATCH(P$1,Annuaire_roster!$B$1:$G$1,0),0),"-")</f>
        <v>Google Leads</v>
      </c>
      <c r="Q211" s="100">
        <v>44767</v>
      </c>
      <c r="R211" s="10">
        <f t="shared" si="105"/>
        <v>0</v>
      </c>
      <c r="S211" s="10">
        <f t="shared" si="106"/>
        <v>0</v>
      </c>
      <c r="T211" s="16" t="str">
        <f t="shared" si="107"/>
        <v>Sem - 30</v>
      </c>
      <c r="U211" s="16" t="str">
        <f t="shared" si="108"/>
        <v>Juillet</v>
      </c>
      <c r="V211" s="11" t="str">
        <f t="shared" si="109"/>
        <v>2026</v>
      </c>
      <c r="W211" s="9"/>
      <c r="X211" s="5">
        <f t="shared" si="110"/>
        <v>0</v>
      </c>
      <c r="Y211" s="12" t="str">
        <f>IFERROR(VLOOKUP(B211,Annuaire_roster!B:E,4,0),"-")</f>
        <v>OUAQERROUCH Nour-El Houda</v>
      </c>
      <c r="Z211" s="12" t="str">
        <f>IFERROR(VLOOKUP(B211,Annuaire_roster!B:F,3,0),"-")</f>
        <v>Google Leads</v>
      </c>
      <c r="AA211" s="12" t="str">
        <f>IFERROR(VLOOKUP(B211,Annuaire_roster!B:I,6,0),"-")</f>
        <v>Forfaitaire</v>
      </c>
      <c r="AB211" s="142" t="str">
        <f t="shared" si="111"/>
        <v/>
      </c>
      <c r="AC211" s="142" t="str">
        <f t="shared" si="112"/>
        <v/>
      </c>
      <c r="AD211" s="142" t="str">
        <f t="shared" si="113"/>
        <v/>
      </c>
      <c r="AE211" s="143" t="str">
        <f t="shared" si="114"/>
        <v/>
      </c>
      <c r="AF211" s="63"/>
      <c r="AG211" s="10"/>
    </row>
    <row r="212" spans="1:33" hidden="1" x14ac:dyDescent="0.2">
      <c r="A212" s="70">
        <f>VLOOKUP(B212,Annuaire_roster!B:F,5,0)</f>
        <v>1165</v>
      </c>
      <c r="B212" s="165" t="s">
        <v>120</v>
      </c>
      <c r="C212" s="61" t="str">
        <f>IFERROR(IF(COUNTIFS(Connexions!$K:$K,$Q212,Connexions!$E:$E,VLOOKUP($B212,Mapping_Noms!$A:$B,2,0))=0,"",_xlfn.MINIFS(Connexions!$M:$M,Connexions!$K:$K,$Q212,Connexions!$E:$E,VLOOKUP($B212,Mapping_Noms!$A:$B,2,0))-TIME(1,0,0)),"")</f>
        <v/>
      </c>
      <c r="D212" s="61" t="str">
        <f t="array" ref="D212">IFERROR(INDEX(Planning2[],MATCH(1,(Planning2[Nom]=B212)*(Planning2[Date]=Q212),0),3),"-")</f>
        <v>OFF</v>
      </c>
      <c r="E212" s="38" t="str">
        <f>IFERROR(IF(COUNTIFS(Connexions!$K:$K,$Q212,Connexions!$E:$E,VLOOKUP($B212,Mapping_Noms!$A:$B,2,0))=0,"",_xlfn.MAXIFS(Connexions!$O:$O,Connexions!$K:$K,$Q212,Connexions!$E:$E,VLOOKUP($B212,Mapping_Noms!$A:$B,2,0))-TIME(1,0,0)),"")</f>
        <v/>
      </c>
      <c r="F212" s="38" t="str">
        <f t="array" ref="F212">IFERROR(INDEX(Planning2[],MATCH(1,(Planning2[Nom]=B212)*(Planning2[Date]=Q212),0),4),"-")</f>
        <v>OFF</v>
      </c>
      <c r="G212" s="88"/>
      <c r="H212" s="88"/>
      <c r="I212" s="235" t="str">
        <f t="shared" si="99"/>
        <v/>
      </c>
      <c r="J212" s="23"/>
      <c r="K212" s="89">
        <f t="shared" si="100"/>
        <v>0</v>
      </c>
      <c r="L212" s="88">
        <f t="shared" si="101"/>
        <v>0</v>
      </c>
      <c r="M212" s="62">
        <f t="shared" si="102"/>
        <v>0</v>
      </c>
      <c r="N212" s="102" t="str">
        <f t="shared" si="103"/>
        <v/>
      </c>
      <c r="O212" s="90">
        <f t="shared" si="104"/>
        <v>0</v>
      </c>
      <c r="P212" s="91" t="str">
        <f>IFERROR(VLOOKUP($B212,Annuaire_roster!$B:$G,MATCH(P$1,Annuaire_roster!$B$1:$G$1,0),0),"-")</f>
        <v>Google Leads</v>
      </c>
      <c r="Q212" s="100">
        <v>44767</v>
      </c>
      <c r="R212" s="10">
        <f t="shared" si="105"/>
        <v>0</v>
      </c>
      <c r="S212" s="10">
        <f t="shared" si="106"/>
        <v>0</v>
      </c>
      <c r="T212" s="16" t="str">
        <f t="shared" si="107"/>
        <v>Sem - 30</v>
      </c>
      <c r="U212" s="16" t="str">
        <f t="shared" si="108"/>
        <v>Juillet</v>
      </c>
      <c r="V212" s="11" t="str">
        <f t="shared" si="109"/>
        <v>2026</v>
      </c>
      <c r="W212" s="9"/>
      <c r="X212" s="5">
        <f t="shared" si="110"/>
        <v>0</v>
      </c>
      <c r="Y212" s="12" t="str">
        <f>IFERROR(VLOOKUP(B212,Annuaire_roster!B:E,4,0),"-")</f>
        <v>OUAQERROUCH Nour-El Houda</v>
      </c>
      <c r="Z212" s="12" t="str">
        <f>IFERROR(VLOOKUP(B212,Annuaire_roster!B:F,3,0),"-")</f>
        <v>Google Leads</v>
      </c>
      <c r="AA212" s="12" t="str">
        <f>IFERROR(VLOOKUP(B212,Annuaire_roster!B:I,6,0),"-")</f>
        <v>Forfaitaire</v>
      </c>
      <c r="AB212" s="142" t="str">
        <f t="shared" si="111"/>
        <v/>
      </c>
      <c r="AC212" s="142" t="str">
        <f t="shared" si="112"/>
        <v/>
      </c>
      <c r="AD212" s="142" t="str">
        <f t="shared" si="113"/>
        <v/>
      </c>
      <c r="AE212" s="143" t="str">
        <f t="shared" si="114"/>
        <v/>
      </c>
      <c r="AF212" s="63"/>
      <c r="AG212" s="10"/>
    </row>
    <row r="213" spans="1:33" hidden="1" x14ac:dyDescent="0.2">
      <c r="A213" s="70">
        <f>VLOOKUP(B213,Annuaire_roster!B:F,5,0)</f>
        <v>0</v>
      </c>
      <c r="B213" s="165" t="s">
        <v>144</v>
      </c>
      <c r="C213" s="61" t="str">
        <f>IFERROR(IF(COUNTIFS(Connexions!$K:$K,$Q213,Connexions!$E:$E,VLOOKUP($B213,Mapping_Noms!$A:$B,2,0))=0,"",_xlfn.MINIFS(Connexions!$M:$M,Connexions!$K:$K,$Q213,Connexions!$E:$E,VLOOKUP($B213,Mapping_Noms!$A:$B,2,0))-TIME(1,0,0)),"")</f>
        <v/>
      </c>
      <c r="D213" s="61" t="str">
        <f t="array" ref="D213">IFERROR(INDEX(Planning2[],MATCH(1,(Planning2[Nom]=B213)*(Planning2[Date]=Q213),0),3),"-")</f>
        <v>OFF</v>
      </c>
      <c r="E213" s="38" t="str">
        <f>IFERROR(IF(COUNTIFS(Connexions!$K:$K,$Q213,Connexions!$E:$E,VLOOKUP($B213,Mapping_Noms!$A:$B,2,0))=0,"",_xlfn.MAXIFS(Connexions!$O:$O,Connexions!$K:$K,$Q213,Connexions!$E:$E,VLOOKUP($B213,Mapping_Noms!$A:$B,2,0))-TIME(1,0,0)),"")</f>
        <v/>
      </c>
      <c r="F213" s="38" t="str">
        <f t="array" ref="F213">IFERROR(INDEX(Planning2[],MATCH(1,(Planning2[Nom]=B213)*(Planning2[Date]=Q213),0),4),"-")</f>
        <v>OFF</v>
      </c>
      <c r="G213" s="88"/>
      <c r="H213" s="88"/>
      <c r="I213" s="235" t="str">
        <f t="shared" si="99"/>
        <v/>
      </c>
      <c r="J213" s="23"/>
      <c r="K213" s="89">
        <f t="shared" si="100"/>
        <v>0</v>
      </c>
      <c r="L213" s="88">
        <f t="shared" si="101"/>
        <v>0</v>
      </c>
      <c r="M213" s="62">
        <f t="shared" si="102"/>
        <v>0</v>
      </c>
      <c r="N213" s="102" t="str">
        <f t="shared" si="103"/>
        <v/>
      </c>
      <c r="O213" s="90">
        <f t="shared" si="104"/>
        <v>0</v>
      </c>
      <c r="P213" s="91" t="str">
        <f>IFERROR(VLOOKUP($B213,Annuaire_roster!$B:$G,MATCH(P$1,Annuaire_roster!$B$1:$G$1,0),0),"-")</f>
        <v>Google Leads</v>
      </c>
      <c r="Q213" s="100">
        <v>44767</v>
      </c>
      <c r="R213" s="10">
        <f t="shared" si="105"/>
        <v>0</v>
      </c>
      <c r="S213" s="10">
        <f t="shared" si="106"/>
        <v>0</v>
      </c>
      <c r="T213" s="16" t="str">
        <f t="shared" si="107"/>
        <v>Sem - 30</v>
      </c>
      <c r="U213" s="16" t="str">
        <f t="shared" si="108"/>
        <v>Juillet</v>
      </c>
      <c r="V213" s="11" t="str">
        <f t="shared" si="109"/>
        <v>2026</v>
      </c>
      <c r="W213" s="9"/>
      <c r="X213" s="5">
        <f t="shared" si="110"/>
        <v>0</v>
      </c>
      <c r="Y213" s="12" t="str">
        <f>IFERROR(VLOOKUP(B213,Annuaire_roster!B:E,4,0),"-")</f>
        <v>CHOUIFI Mustapha</v>
      </c>
      <c r="Z213" s="12" t="str">
        <f>IFERROR(VLOOKUP(B213,Annuaire_roster!B:F,3,0),"-")</f>
        <v>Google Leads</v>
      </c>
      <c r="AA213" s="12" t="str">
        <f>IFERROR(VLOOKUP(B213,Annuaire_roster!B:I,6,0),"-")</f>
        <v>Forfaitaire</v>
      </c>
      <c r="AB213" s="142" t="str">
        <f t="shared" si="111"/>
        <v/>
      </c>
      <c r="AC213" s="142" t="str">
        <f t="shared" si="112"/>
        <v/>
      </c>
      <c r="AD213" s="142" t="str">
        <f t="shared" si="113"/>
        <v/>
      </c>
      <c r="AE213" s="143" t="str">
        <f t="shared" si="114"/>
        <v/>
      </c>
      <c r="AF213" s="63"/>
      <c r="AG213" s="10"/>
    </row>
    <row r="214" spans="1:33" hidden="1" x14ac:dyDescent="0.2">
      <c r="A214" s="70">
        <f>VLOOKUP(B214,Annuaire_roster!B:F,5,0)</f>
        <v>0</v>
      </c>
      <c r="B214" s="165" t="s">
        <v>196</v>
      </c>
      <c r="C214" s="61" t="str">
        <f>IFERROR(IF(COUNTIFS(Connexions!$K:$K,$Q214,Connexions!$E:$E,VLOOKUP($B214,Mapping_Noms!$A:$B,2,0))=0,"",_xlfn.MINIFS(Connexions!$M:$M,Connexions!$K:$K,$Q214,Connexions!$E:$E,VLOOKUP($B214,Mapping_Noms!$A:$B,2,0))-TIME(1,0,0)),"")</f>
        <v/>
      </c>
      <c r="D214" s="61" t="str">
        <f t="array" ref="D214">IFERROR(INDEX(Planning2[],MATCH(1,(Planning2[Nom]=B214)*(Planning2[Date]=Q214),0),3),"-")</f>
        <v>OFF</v>
      </c>
      <c r="E214" s="38" t="str">
        <f>IFERROR(IF(COUNTIFS(Connexions!$K:$K,$Q214,Connexions!$E:$E,VLOOKUP($B214,Mapping_Noms!$A:$B,2,0))=0,"",_xlfn.MAXIFS(Connexions!$O:$O,Connexions!$K:$K,$Q214,Connexions!$E:$E,VLOOKUP($B214,Mapping_Noms!$A:$B,2,0))-TIME(1,0,0)),"")</f>
        <v/>
      </c>
      <c r="F214" s="38" t="str">
        <f t="array" ref="F214">IFERROR(INDEX(Planning2[],MATCH(1,(Planning2[Nom]=B214)*(Planning2[Date]=Q214),0),4),"-")</f>
        <v>OFF</v>
      </c>
      <c r="G214" s="88"/>
      <c r="H214" s="88"/>
      <c r="I214" s="235" t="str">
        <f t="shared" si="99"/>
        <v/>
      </c>
      <c r="J214" s="23"/>
      <c r="K214" s="89">
        <f t="shared" si="100"/>
        <v>0</v>
      </c>
      <c r="L214" s="88">
        <f t="shared" si="101"/>
        <v>0</v>
      </c>
      <c r="M214" s="62">
        <f t="shared" si="102"/>
        <v>0</v>
      </c>
      <c r="N214" s="102" t="str">
        <f t="shared" si="103"/>
        <v/>
      </c>
      <c r="O214" s="90">
        <f t="shared" si="104"/>
        <v>0</v>
      </c>
      <c r="P214" s="91" t="str">
        <f>IFERROR(VLOOKUP($B214,Annuaire_roster!$B:$G,MATCH(P$1,Annuaire_roster!$B$1:$G$1,0),0),"-")</f>
        <v>Google Leads</v>
      </c>
      <c r="Q214" s="100">
        <v>44767</v>
      </c>
      <c r="R214" s="10">
        <f t="shared" si="105"/>
        <v>0</v>
      </c>
      <c r="S214" s="10">
        <f t="shared" si="106"/>
        <v>0</v>
      </c>
      <c r="T214" s="16" t="str">
        <f t="shared" si="107"/>
        <v>Sem - 30</v>
      </c>
      <c r="U214" s="16" t="str">
        <f t="shared" si="108"/>
        <v>Juillet</v>
      </c>
      <c r="V214" s="11" t="str">
        <f t="shared" si="109"/>
        <v>2026</v>
      </c>
      <c r="W214" s="9"/>
      <c r="X214" s="5">
        <f t="shared" si="110"/>
        <v>0</v>
      </c>
      <c r="Y214" s="12">
        <f>IFERROR(VLOOKUP(B214,Annuaire_roster!B:E,4,0),"-")</f>
        <v>0</v>
      </c>
      <c r="Z214" s="12" t="str">
        <f>IFERROR(VLOOKUP(B214,Annuaire_roster!B:F,3,0),"-")</f>
        <v>Google Leads</v>
      </c>
      <c r="AA214" s="12">
        <f>IFERROR(VLOOKUP(B214,Annuaire_roster!B:I,6,0),"-")</f>
        <v>0</v>
      </c>
      <c r="AB214" s="142" t="str">
        <f t="shared" si="111"/>
        <v/>
      </c>
      <c r="AC214" s="142" t="str">
        <f t="shared" si="112"/>
        <v/>
      </c>
      <c r="AD214" s="142" t="str">
        <f t="shared" si="113"/>
        <v/>
      </c>
      <c r="AE214" s="143" t="str">
        <f t="shared" si="114"/>
        <v/>
      </c>
      <c r="AF214" s="63"/>
      <c r="AG214" s="10"/>
    </row>
    <row r="215" spans="1:33" hidden="1" x14ac:dyDescent="0.2">
      <c r="A215" s="70">
        <f>VLOOKUP(B215,Annuaire_roster!B:F,5,0)</f>
        <v>0</v>
      </c>
      <c r="B215" s="165" t="s">
        <v>197</v>
      </c>
      <c r="C215" s="61" t="str">
        <f>IFERROR(IF(COUNTIFS(Connexions!$K:$K,$Q215,Connexions!$E:$E,VLOOKUP($B215,Mapping_Noms!$A:$B,2,0))=0,"",_xlfn.MINIFS(Connexions!$M:$M,Connexions!$K:$K,$Q215,Connexions!$E:$E,VLOOKUP($B215,Mapping_Noms!$A:$B,2,0))-TIME(1,0,0)),"")</f>
        <v/>
      </c>
      <c r="D215" s="61">
        <f t="array" ref="D215">IFERROR(INDEX(Planning2[],MATCH(1,(Planning2[Nom]=B215)*(Planning2[Date]=Q215),0),3),"-")</f>
        <v>0.29166666666666669</v>
      </c>
      <c r="E215" s="38" t="str">
        <f>IFERROR(IF(COUNTIFS(Connexions!$K:$K,$Q215,Connexions!$E:$E,VLOOKUP($B215,Mapping_Noms!$A:$B,2,0))=0,"",_xlfn.MAXIFS(Connexions!$O:$O,Connexions!$K:$K,$Q215,Connexions!$E:$E,VLOOKUP($B215,Mapping_Noms!$A:$B,2,0))-TIME(1,0,0)),"")</f>
        <v/>
      </c>
      <c r="F215" s="38">
        <f t="array" ref="F215">IFERROR(INDEX(Planning2[],MATCH(1,(Planning2[Nom]=B215)*(Planning2[Date]=Q215),0),4),"-")</f>
        <v>0.70833333333333337</v>
      </c>
      <c r="G215" s="88"/>
      <c r="H215" s="88"/>
      <c r="I215" s="235" t="str">
        <f t="shared" ref="I215:I225" si="115">IF(IF(OR(C215="",D215="Congé",D215="OFF",D215="Congé spécial"),"",IF(D215&gt;F215,D215-C215,IF(C215-D215&lt;0,0,C215-D215)))&lt;0.00068287037037037,"",IF(OR(D215="Congé",D215="OFF",C215="",D215="Congé spécial"),"",IF(D215&gt;F215,D215-C215,IF(C215-D215&lt;0,0,C215-D215))))</f>
        <v/>
      </c>
      <c r="J215" s="23"/>
      <c r="K215" s="89">
        <f t="shared" ref="K215:K225" si="116">IF(SUM(H215:J215)&lt;0.00068287037037037,0,SUM(H215:J215))</f>
        <v>0</v>
      </c>
      <c r="L215" s="88">
        <f t="shared" si="101"/>
        <v>0</v>
      </c>
      <c r="M215" s="62" t="str">
        <f t="shared" ref="M215:M225" si="117">IF(AND(O215&lt;&gt;0,C215=""),"Abs",0)</f>
        <v>Abs</v>
      </c>
      <c r="N215" s="102" t="str">
        <f t="shared" ref="N215:N225" si="118">IFERROR(IF(OR(D215="OFF",D215="Congé",M215="Abs",D215="Congé sans solde",D215="Férié"),"",IF(O215-K215-L215&gt;O215,O215,IF(O215-K215-L215&lt;0,"",O215-K215-L215))),"")</f>
        <v/>
      </c>
      <c r="O215" s="90">
        <f t="shared" ref="O215:O225" si="119">IF(AG215="2H Pause déjeuner",IF(F215-D215-0.0833333333333333&lt;0,F215-D215-0.0833333333333333+1,F215-D215-0.0833333333333333),IF(OR(AND(F215="OFF",D215="OFF"),AND(F215="Congé",D215="Congé"),AND(F215="Congé sans solde",D215="Congé sans solde"),AND(F215="Congé spécial",D215="Congé spécial"),AND(F215="Férié",D215="Férié"),AND(F215="OFF",D215="Congé"),AND(F215="OFF",D215="Congé sans solde"),AND(F215="OFF",D215="Congé spécial"),AND(F215="OFF",D215="Férié"),AND(F215="Congé",D215="OFF"),AND(F215="Congé",D215="Congé sans solde"),AND(F215="Congé",D215="Congé spécial"),AND(F215="Congé",D215="Férié"),AND(F215="Congé sans solde",D215="OFF"),AND(F215="Congé sans solde",D215="Congé"),AND(F215="Congé sans solde",D215="Congé spécial"),AND(F215="Congé sans solde",D215="Férié"),AND(F215="Congé spécial",D215="OFF"),AND(F215="Congé spécial",D215="Congé"),AND(F215="Congé spécial",D215="Congé sans solde"),AND(F215="Congé spécial",D215="Férié"),AND(F215="Férié",D215="OFF"),AND(F215="Férié",D215="Congé"),AND(F215="Férié",D215="Congé sans solde"),AND(F215="Férié",D215="Congé spécial")),0,IF(OR(F215="OFF",F215="Congé",F215="Congé spécial",F215="Congé sans solde",D215="OFF",D215="Congé",D215="Congé spécial",D215="Congé sans solde"),0.208333333333334,IF(AND(AG215="",F215-D215&lt;0),("24:00:00"-D215)+("00:00:00"+F215)-0.0416666666666667,IF(AND(OR(AG215="Allaitement",AG215="Sans déjeuner"),F215-D215&lt;0),("24:00:00"-D215)+("00:00:00"+F215),IF(AND(AG215="",F215-D215&gt;0.166666666666667),F215-D215-0.0416666666666667,IF(AND(OR(AG215="Allaitement",AG215="Sans déjeuner"),F215-D215&gt;0.166666666666667),F215-D215,F215-D215)))))))</f>
        <v>0.375</v>
      </c>
      <c r="P215" s="91" t="str">
        <f>IFERROR(VLOOKUP($B215,Annuaire_roster!$B:$G,MATCH(P$1,Annuaire_roster!$B$1:$G$1,0),0),"-")</f>
        <v>Google Leads</v>
      </c>
      <c r="Q215" s="100">
        <v>44767</v>
      </c>
      <c r="R215" s="10">
        <f t="shared" ref="R215:R225" si="120">IF(M215="Abs",O215,0)</f>
        <v>0.375</v>
      </c>
      <c r="S215" s="10">
        <f t="shared" ref="S215:S225" si="121">SUM(R215,L215,I215,J215,W215,H215)</f>
        <v>0.375</v>
      </c>
      <c r="T215" s="16" t="str">
        <f t="shared" ref="T215:T225" si="122">"Sem - "&amp;WEEKNUM(Q215,21)</f>
        <v>Sem - 30</v>
      </c>
      <c r="U215" s="16" t="str">
        <f t="shared" ref="U215:U225" si="123">PROPER(TEXT(Q215,"mmmm"))</f>
        <v>Juillet</v>
      </c>
      <c r="V215" s="11" t="str">
        <f t="shared" ref="V215:V225" si="124">+TEXT(Q215,"aaa")</f>
        <v>2026</v>
      </c>
      <c r="W215" s="9"/>
      <c r="X215" s="5">
        <f t="shared" ref="X215:X225" si="125">IFERROR(IF(M215="Abs",0,IF((D215-C215+E215-F215)&lt;0.000694444444444444,0,(D215-C215+E215-F215))),0)</f>
        <v>0</v>
      </c>
      <c r="Y215" s="12">
        <f>IFERROR(VLOOKUP(B215,Annuaire_roster!B:E,4,0),"-")</f>
        <v>0</v>
      </c>
      <c r="Z215" s="12" t="str">
        <f>IFERROR(VLOOKUP(B215,Annuaire_roster!B:F,3,0),"-")</f>
        <v>Google Leads</v>
      </c>
      <c r="AA215" s="12">
        <f>IFERROR(VLOOKUP(B215,Annuaire_roster!B:I,6,0),"-")</f>
        <v>0</v>
      </c>
      <c r="AB215" s="142" t="str">
        <f t="shared" ref="AB215:AB225" si="126">IF(AND(D215="Congé",F215="Congé"),0.333333333333333,IF(OR(AND(D215="Congé",F215&lt;&gt;"Congé"),(AND(F215="Congé",D215&lt;&gt;"Congé"))),0.166666666666667,""))</f>
        <v/>
      </c>
      <c r="AC215" s="142" t="str">
        <f t="shared" ref="AC215:AC225" si="127">IF(AND(D215="Congé sans solde",F215="Congé sans solde"),0.333333333333333,IF(OR(AND(D215="Congé sans solde",F215&lt;&gt;"Congé sans solde"),(AND(F215="Congé sans solde",D215&lt;&gt;"Congé sans solde"))),0.166666666666667,""))</f>
        <v/>
      </c>
      <c r="AD215" s="142" t="str">
        <f t="shared" ref="AD215:AD225" si="128">IF(AND(D215="Congé spécial",F215="Congé spécial"),0.333333333333333,IF(OR(AND(D215="Congé spécial",F215&lt;&gt;"Congé décès"),(AND(F215="Congé spécial",D215&lt;&gt;"Congé spécial"))),0.166666666666667,""))</f>
        <v/>
      </c>
      <c r="AE215" s="143" t="str">
        <f t="shared" ref="AE215:AE225" si="129">IF(AND(D215="Férié",F215="Férié"),0.333333333333333,IF(OR(AND(D215="Férié",F215&lt;&gt;"Férié"),(AND(F215="Férié",D215&lt;&gt;"Férié"))),0.166666666666667,""))</f>
        <v/>
      </c>
      <c r="AF215" s="63"/>
      <c r="AG215" s="10"/>
    </row>
    <row r="216" spans="1:33" hidden="1" x14ac:dyDescent="0.2">
      <c r="A216" s="70">
        <f>VLOOKUP(B216,Annuaire_roster!B:F,5,0)</f>
        <v>0</v>
      </c>
      <c r="B216" s="165" t="s">
        <v>198</v>
      </c>
      <c r="C216" s="61" t="str">
        <f>IFERROR(IF(COUNTIFS(Connexions!$K:$K,$Q216,Connexions!$E:$E,VLOOKUP($B216,Mapping_Noms!$A:$B,2,0))=0,"",_xlfn.MINIFS(Connexions!$M:$M,Connexions!$K:$K,$Q216,Connexions!$E:$E,VLOOKUP($B216,Mapping_Noms!$A:$B,2,0))-TIME(1,0,0)),"")</f>
        <v/>
      </c>
      <c r="D216" s="61" t="str">
        <f t="array" ref="D216">IFERROR(INDEX(Planning2[],MATCH(1,(Planning2[Nom]=B216)*(Planning2[Date]=Q216),0),3),"-")</f>
        <v>OFF</v>
      </c>
      <c r="E216" s="38" t="str">
        <f>IFERROR(IF(COUNTIFS(Connexions!$K:$K,$Q216,Connexions!$E:$E,VLOOKUP($B216,Mapping_Noms!$A:$B,2,0))=0,"",_xlfn.MAXIFS(Connexions!$O:$O,Connexions!$K:$K,$Q216,Connexions!$E:$E,VLOOKUP($B216,Mapping_Noms!$A:$B,2,0))-TIME(1,0,0)),"")</f>
        <v/>
      </c>
      <c r="F216" s="38" t="str">
        <f t="array" ref="F216">IFERROR(INDEX(Planning2[],MATCH(1,(Planning2[Nom]=B216)*(Planning2[Date]=Q216),0),4),"-")</f>
        <v>OFF</v>
      </c>
      <c r="G216" s="88"/>
      <c r="H216" s="88"/>
      <c r="I216" s="235" t="str">
        <f t="shared" si="115"/>
        <v/>
      </c>
      <c r="J216" s="23"/>
      <c r="K216" s="89">
        <f t="shared" si="116"/>
        <v>0</v>
      </c>
      <c r="L216" s="88">
        <f t="shared" si="101"/>
        <v>0</v>
      </c>
      <c r="M216" s="62">
        <f t="shared" si="117"/>
        <v>0</v>
      </c>
      <c r="N216" s="102" t="str">
        <f t="shared" si="118"/>
        <v/>
      </c>
      <c r="O216" s="90">
        <f t="shared" si="119"/>
        <v>0</v>
      </c>
      <c r="P216" s="91" t="str">
        <f>IFERROR(VLOOKUP($B216,Annuaire_roster!$B:$G,MATCH(P$1,Annuaire_roster!$B$1:$G$1,0),0),"-")</f>
        <v>Google Leads</v>
      </c>
      <c r="Q216" s="100">
        <v>44767</v>
      </c>
      <c r="R216" s="10">
        <f t="shared" si="120"/>
        <v>0</v>
      </c>
      <c r="S216" s="10">
        <f t="shared" si="121"/>
        <v>0</v>
      </c>
      <c r="T216" s="16" t="str">
        <f t="shared" si="122"/>
        <v>Sem - 30</v>
      </c>
      <c r="U216" s="16" t="str">
        <f t="shared" si="123"/>
        <v>Juillet</v>
      </c>
      <c r="V216" s="11" t="str">
        <f t="shared" si="124"/>
        <v>2026</v>
      </c>
      <c r="W216" s="9"/>
      <c r="X216" s="5">
        <f t="shared" si="125"/>
        <v>0</v>
      </c>
      <c r="Y216" s="12">
        <f>IFERROR(VLOOKUP(B216,Annuaire_roster!B:E,4,0),"-")</f>
        <v>0</v>
      </c>
      <c r="Z216" s="12" t="str">
        <f>IFERROR(VLOOKUP(B216,Annuaire_roster!B:F,3,0),"-")</f>
        <v>Google Leads</v>
      </c>
      <c r="AA216" s="12">
        <f>IFERROR(VLOOKUP(B216,Annuaire_roster!B:I,6,0),"-")</f>
        <v>0</v>
      </c>
      <c r="AB216" s="142" t="str">
        <f t="shared" si="126"/>
        <v/>
      </c>
      <c r="AC216" s="142" t="str">
        <f t="shared" si="127"/>
        <v/>
      </c>
      <c r="AD216" s="142" t="str">
        <f t="shared" si="128"/>
        <v/>
      </c>
      <c r="AE216" s="143" t="str">
        <f t="shared" si="129"/>
        <v/>
      </c>
      <c r="AF216" s="63"/>
      <c r="AG216" s="10"/>
    </row>
    <row r="217" spans="1:33" hidden="1" x14ac:dyDescent="0.2">
      <c r="A217" s="70">
        <f>VLOOKUP(B217,Annuaire_roster!B:F,5,0)</f>
        <v>0</v>
      </c>
      <c r="B217" s="165" t="s">
        <v>209</v>
      </c>
      <c r="C217" s="61" t="str">
        <f>IFERROR(IF(COUNTIFS(Connexions!$K:$K,$Q217,Connexions!$E:$E,VLOOKUP($B217,Mapping_Noms!$A:$B,2,0))=0,"",_xlfn.MINIFS(Connexions!$M:$M,Connexions!$K:$K,$Q217,Connexions!$E:$E,VLOOKUP($B217,Mapping_Noms!$A:$B,2,0))-TIME(1,0,0)),"")</f>
        <v/>
      </c>
      <c r="D217" s="61">
        <f t="array" ref="D217">IFERROR(INDEX(Planning2[],MATCH(1,(Planning2[Nom]=B217)*(Planning2[Date]=Q217),0),3),"-")</f>
        <v>0.29166666666666669</v>
      </c>
      <c r="E217" s="38" t="str">
        <f>IFERROR(IF(COUNTIFS(Connexions!$K:$K,$Q217,Connexions!$E:$E,VLOOKUP($B217,Mapping_Noms!$A:$B,2,0))=0,"",_xlfn.MAXIFS(Connexions!$O:$O,Connexions!$K:$K,$Q217,Connexions!$E:$E,VLOOKUP($B217,Mapping_Noms!$A:$B,2,0))-TIME(1,0,0)),"")</f>
        <v/>
      </c>
      <c r="F217" s="38">
        <f t="array" ref="F217">IFERROR(INDEX(Planning2[],MATCH(1,(Planning2[Nom]=B217)*(Planning2[Date]=Q217),0),4),"-")</f>
        <v>0.66666666666666663</v>
      </c>
      <c r="G217" s="88"/>
      <c r="H217" s="88"/>
      <c r="I217" s="235" t="str">
        <f t="shared" si="115"/>
        <v/>
      </c>
      <c r="J217" s="23"/>
      <c r="K217" s="89">
        <f t="shared" si="116"/>
        <v>0</v>
      </c>
      <c r="L217" s="88">
        <f t="shared" si="101"/>
        <v>0</v>
      </c>
      <c r="M217" s="62" t="str">
        <f t="shared" si="117"/>
        <v>Abs</v>
      </c>
      <c r="N217" s="102" t="str">
        <f t="shared" si="118"/>
        <v/>
      </c>
      <c r="O217" s="90">
        <f t="shared" si="119"/>
        <v>0.33333333333333326</v>
      </c>
      <c r="P217" s="91" t="str">
        <f>IFERROR(VLOOKUP($B217,Annuaire_roster!$B:$G,MATCH(P$1,Annuaire_roster!$B$1:$G$1,0),0),"-")</f>
        <v>Google Leads</v>
      </c>
      <c r="Q217" s="100">
        <v>44767</v>
      </c>
      <c r="R217" s="10">
        <f t="shared" si="120"/>
        <v>0.33333333333333326</v>
      </c>
      <c r="S217" s="10">
        <f t="shared" si="121"/>
        <v>0.33333333333333326</v>
      </c>
      <c r="T217" s="16" t="str">
        <f t="shared" si="122"/>
        <v>Sem - 30</v>
      </c>
      <c r="U217" s="16" t="str">
        <f t="shared" si="123"/>
        <v>Juillet</v>
      </c>
      <c r="V217" s="11" t="str">
        <f t="shared" si="124"/>
        <v>2026</v>
      </c>
      <c r="W217" s="9"/>
      <c r="X217" s="5">
        <f t="shared" si="125"/>
        <v>0</v>
      </c>
      <c r="Y217" s="12">
        <f>IFERROR(VLOOKUP(B217,Annuaire_roster!B:E,4,0),"-")</f>
        <v>0</v>
      </c>
      <c r="Z217" s="12" t="str">
        <f>IFERROR(VLOOKUP(B217,Annuaire_roster!B:F,3,0),"-")</f>
        <v>Google Leads</v>
      </c>
      <c r="AA217" s="12">
        <f>IFERROR(VLOOKUP(B217,Annuaire_roster!B:I,6,0),"-")</f>
        <v>0</v>
      </c>
      <c r="AB217" s="142" t="str">
        <f t="shared" si="126"/>
        <v/>
      </c>
      <c r="AC217" s="142" t="str">
        <f t="shared" si="127"/>
        <v/>
      </c>
      <c r="AD217" s="142" t="str">
        <f t="shared" si="128"/>
        <v/>
      </c>
      <c r="AE217" s="143" t="str">
        <f t="shared" si="129"/>
        <v/>
      </c>
      <c r="AF217" s="63"/>
      <c r="AG217" s="10"/>
    </row>
    <row r="218" spans="1:33" hidden="1" x14ac:dyDescent="0.2">
      <c r="A218" s="70">
        <f>VLOOKUP(B218,Annuaire_roster!B:F,5,0)</f>
        <v>0</v>
      </c>
      <c r="B218" s="165" t="s">
        <v>210</v>
      </c>
      <c r="C218" s="61" t="str">
        <f>IFERROR(IF(COUNTIFS(Connexions!$K:$K,$Q218,Connexions!$E:$E,VLOOKUP($B218,Mapping_Noms!$A:$B,2,0))=0,"",_xlfn.MINIFS(Connexions!$M:$M,Connexions!$K:$K,$Q218,Connexions!$E:$E,VLOOKUP($B218,Mapping_Noms!$A:$B,2,0))-TIME(1,0,0)),"")</f>
        <v/>
      </c>
      <c r="D218" s="61" t="str">
        <f t="array" ref="D218">IFERROR(INDEX(Planning2[],MATCH(1,(Planning2[Nom]=B218)*(Planning2[Date]=Q218),0),3),"-")</f>
        <v>OFF</v>
      </c>
      <c r="E218" s="38" t="str">
        <f>IFERROR(IF(COUNTIFS(Connexions!$K:$K,$Q218,Connexions!$E:$E,VLOOKUP($B218,Mapping_Noms!$A:$B,2,0))=0,"",_xlfn.MAXIFS(Connexions!$O:$O,Connexions!$K:$K,$Q218,Connexions!$E:$E,VLOOKUP($B218,Mapping_Noms!$A:$B,2,0))-TIME(1,0,0)),"")</f>
        <v/>
      </c>
      <c r="F218" s="38" t="str">
        <f t="array" ref="F218">IFERROR(INDEX(Planning2[],MATCH(1,(Planning2[Nom]=B218)*(Planning2[Date]=Q218),0),4),"-")</f>
        <v>OFF</v>
      </c>
      <c r="G218" s="88"/>
      <c r="H218" s="88"/>
      <c r="I218" s="208" t="str">
        <f t="shared" si="115"/>
        <v/>
      </c>
      <c r="J218" s="23"/>
      <c r="K218" s="89">
        <f t="shared" si="116"/>
        <v>0</v>
      </c>
      <c r="L218" s="88">
        <f t="shared" si="101"/>
        <v>0</v>
      </c>
      <c r="M218" s="62">
        <f t="shared" si="117"/>
        <v>0</v>
      </c>
      <c r="N218" s="102" t="str">
        <f t="shared" si="118"/>
        <v/>
      </c>
      <c r="O218" s="90">
        <f t="shared" si="119"/>
        <v>0</v>
      </c>
      <c r="P218" s="91" t="str">
        <f>IFERROR(VLOOKUP($B218,Annuaire_roster!$B:$G,MATCH(P$1,Annuaire_roster!$B$1:$G$1,0),0),"-")</f>
        <v>Google Leads</v>
      </c>
      <c r="Q218" s="100">
        <v>44767</v>
      </c>
      <c r="R218" s="10">
        <f t="shared" si="120"/>
        <v>0</v>
      </c>
      <c r="S218" s="10">
        <f t="shared" si="121"/>
        <v>0</v>
      </c>
      <c r="T218" s="16" t="str">
        <f t="shared" si="122"/>
        <v>Sem - 30</v>
      </c>
      <c r="U218" s="16" t="str">
        <f t="shared" si="123"/>
        <v>Juillet</v>
      </c>
      <c r="V218" s="11" t="str">
        <f t="shared" si="124"/>
        <v>2026</v>
      </c>
      <c r="W218" s="9"/>
      <c r="X218" s="5">
        <f t="shared" si="125"/>
        <v>0</v>
      </c>
      <c r="Y218" s="12">
        <f>IFERROR(VLOOKUP(B218,Annuaire_roster!B:E,4,0),"-")</f>
        <v>0</v>
      </c>
      <c r="Z218" s="12" t="str">
        <f>IFERROR(VLOOKUP(B218,Annuaire_roster!B:F,3,0),"-")</f>
        <v>Google Leads</v>
      </c>
      <c r="AA218" s="12">
        <f>IFERROR(VLOOKUP(B218,Annuaire_roster!B:I,6,0),"-")</f>
        <v>0</v>
      </c>
      <c r="AB218" s="142" t="str">
        <f t="shared" si="126"/>
        <v/>
      </c>
      <c r="AC218" s="142" t="str">
        <f t="shared" si="127"/>
        <v/>
      </c>
      <c r="AD218" s="142" t="str">
        <f t="shared" si="128"/>
        <v/>
      </c>
      <c r="AE218" s="143" t="str">
        <f t="shared" si="129"/>
        <v/>
      </c>
      <c r="AF218" s="63"/>
      <c r="AG218" s="10"/>
    </row>
    <row r="219" spans="1:33" hidden="1" x14ac:dyDescent="0.2">
      <c r="A219" s="70">
        <f>VLOOKUP(B219,Annuaire_roster!B:F,5,0)</f>
        <v>0</v>
      </c>
      <c r="B219" s="165" t="s">
        <v>212</v>
      </c>
      <c r="C219" s="61" t="str">
        <f>IFERROR(IF(COUNTIFS(Connexions!$K:$K,$Q219,Connexions!$E:$E,VLOOKUP($B219,Mapping_Noms!$A:$B,2,0))=0,"",_xlfn.MINIFS(Connexions!$M:$M,Connexions!$K:$K,$Q219,Connexions!$E:$E,VLOOKUP($B219,Mapping_Noms!$A:$B,2,0))-TIME(1,0,0)),"")</f>
        <v/>
      </c>
      <c r="D219" s="61" t="str">
        <f t="array" ref="D219">IFERROR(INDEX(Planning2[],MATCH(1,(Planning2[Nom]=B219)*(Planning2[Date]=Q219),0),3),"-")</f>
        <v>OFF</v>
      </c>
      <c r="E219" s="38" t="str">
        <f>IFERROR(IF(COUNTIFS(Connexions!$K:$K,$Q219,Connexions!$E:$E,VLOOKUP($B219,Mapping_Noms!$A:$B,2,0))=0,"",_xlfn.MAXIFS(Connexions!$O:$O,Connexions!$K:$K,$Q219,Connexions!$E:$E,VLOOKUP($B219,Mapping_Noms!$A:$B,2,0))-TIME(1,0,0)),"")</f>
        <v/>
      </c>
      <c r="F219" s="38" t="str">
        <f t="array" ref="F219">IFERROR(INDEX(Planning2[],MATCH(1,(Planning2[Nom]=B219)*(Planning2[Date]=Q219),0),4),"-")</f>
        <v>OFF</v>
      </c>
      <c r="G219" s="88"/>
      <c r="H219" s="88"/>
      <c r="I219" s="208" t="str">
        <f t="shared" si="115"/>
        <v/>
      </c>
      <c r="J219" s="23"/>
      <c r="K219" s="89">
        <f t="shared" si="116"/>
        <v>0</v>
      </c>
      <c r="L219" s="88">
        <f t="shared" si="101"/>
        <v>0</v>
      </c>
      <c r="M219" s="62">
        <f t="shared" si="117"/>
        <v>0</v>
      </c>
      <c r="N219" s="102" t="str">
        <f t="shared" si="118"/>
        <v/>
      </c>
      <c r="O219" s="90">
        <f t="shared" si="119"/>
        <v>0</v>
      </c>
      <c r="P219" s="91" t="str">
        <f>IFERROR(VLOOKUP($B219,Annuaire_roster!$B:$G,MATCH(P$1,Annuaire_roster!$B$1:$G$1,0),0),"-")</f>
        <v>Google Leads</v>
      </c>
      <c r="Q219" s="100">
        <v>44767</v>
      </c>
      <c r="R219" s="10">
        <f t="shared" si="120"/>
        <v>0</v>
      </c>
      <c r="S219" s="10">
        <f t="shared" si="121"/>
        <v>0</v>
      </c>
      <c r="T219" s="16" t="str">
        <f t="shared" si="122"/>
        <v>Sem - 30</v>
      </c>
      <c r="U219" s="16" t="str">
        <f t="shared" si="123"/>
        <v>Juillet</v>
      </c>
      <c r="V219" s="11" t="str">
        <f t="shared" si="124"/>
        <v>2026</v>
      </c>
      <c r="W219" s="9"/>
      <c r="X219" s="5">
        <f t="shared" si="125"/>
        <v>0</v>
      </c>
      <c r="Y219" s="12">
        <f>IFERROR(VLOOKUP(B219,Annuaire_roster!B:E,4,0),"-")</f>
        <v>0</v>
      </c>
      <c r="Z219" s="12" t="str">
        <f>IFERROR(VLOOKUP(B219,Annuaire_roster!B:F,3,0),"-")</f>
        <v>Google Leads</v>
      </c>
      <c r="AA219" s="12">
        <f>IFERROR(VLOOKUP(B219,Annuaire_roster!B:I,6,0),"-")</f>
        <v>0</v>
      </c>
      <c r="AB219" s="142" t="str">
        <f t="shared" si="126"/>
        <v/>
      </c>
      <c r="AC219" s="142" t="str">
        <f t="shared" si="127"/>
        <v/>
      </c>
      <c r="AD219" s="142" t="str">
        <f t="shared" si="128"/>
        <v/>
      </c>
      <c r="AE219" s="143" t="str">
        <f t="shared" si="129"/>
        <v/>
      </c>
      <c r="AF219" s="63"/>
      <c r="AG219" s="10"/>
    </row>
    <row r="220" spans="1:33" hidden="1" x14ac:dyDescent="0.2">
      <c r="A220" s="70">
        <f>VLOOKUP(B220,Annuaire_roster!B:F,5,0)</f>
        <v>0</v>
      </c>
      <c r="B220" s="165" t="s">
        <v>216</v>
      </c>
      <c r="C220" s="61" t="str">
        <f>IFERROR(IF(COUNTIFS(Connexions!$K:$K,$Q220,Connexions!$E:$E,VLOOKUP($B220,Mapping_Noms!$A:$B,2,0))=0,"",_xlfn.MINIFS(Connexions!$M:$M,Connexions!$K:$K,$Q220,Connexions!$E:$E,VLOOKUP($B220,Mapping_Noms!$A:$B,2,0))-TIME(1,0,0)),"")</f>
        <v/>
      </c>
      <c r="D220" s="61">
        <f t="array" ref="D220">IFERROR(INDEX(Planning2[],MATCH(1,(Planning2[Nom]=B220)*(Planning2[Date]=Q220),0),3),"-")</f>
        <v>0.29166666666666669</v>
      </c>
      <c r="E220" s="38" t="str">
        <f>IFERROR(IF(COUNTIFS(Connexions!$K:$K,$Q220,Connexions!$E:$E,VLOOKUP($B220,Mapping_Noms!$A:$B,2,0))=0,"",_xlfn.MAXIFS(Connexions!$O:$O,Connexions!$K:$K,$Q220,Connexions!$E:$E,VLOOKUP($B220,Mapping_Noms!$A:$B,2,0))-TIME(1,0,0)),"")</f>
        <v/>
      </c>
      <c r="F220" s="38">
        <f t="array" ref="F220">IFERROR(INDEX(Planning2[],MATCH(1,(Planning2[Nom]=B220)*(Planning2[Date]=Q220),0),4),"-")</f>
        <v>0.70833333333333337</v>
      </c>
      <c r="G220" s="88"/>
      <c r="H220" s="88"/>
      <c r="I220" s="208" t="str">
        <f t="shared" si="115"/>
        <v/>
      </c>
      <c r="J220" s="23"/>
      <c r="K220" s="89">
        <f t="shared" si="116"/>
        <v>0</v>
      </c>
      <c r="L220" s="88">
        <f t="shared" si="101"/>
        <v>0</v>
      </c>
      <c r="M220" s="62" t="str">
        <f t="shared" si="117"/>
        <v>Abs</v>
      </c>
      <c r="N220" s="102" t="str">
        <f t="shared" si="118"/>
        <v/>
      </c>
      <c r="O220" s="90">
        <f t="shared" si="119"/>
        <v>0.375</v>
      </c>
      <c r="P220" s="91" t="str">
        <f>IFERROR(VLOOKUP($B220,Annuaire_roster!$B:$G,MATCH(P$1,Annuaire_roster!$B$1:$G$1,0),0),"-")</f>
        <v>Google Leads</v>
      </c>
      <c r="Q220" s="100">
        <v>44767</v>
      </c>
      <c r="R220" s="10">
        <f t="shared" si="120"/>
        <v>0.375</v>
      </c>
      <c r="S220" s="10">
        <f t="shared" si="121"/>
        <v>0.375</v>
      </c>
      <c r="T220" s="16" t="str">
        <f t="shared" si="122"/>
        <v>Sem - 30</v>
      </c>
      <c r="U220" s="16" t="str">
        <f t="shared" si="123"/>
        <v>Juillet</v>
      </c>
      <c r="V220" s="11" t="str">
        <f t="shared" si="124"/>
        <v>2026</v>
      </c>
      <c r="W220" s="9"/>
      <c r="X220" s="5">
        <f t="shared" si="125"/>
        <v>0</v>
      </c>
      <c r="Y220" s="12">
        <f>IFERROR(VLOOKUP(B220,Annuaire_roster!B:E,4,0),"-")</f>
        <v>0</v>
      </c>
      <c r="Z220" s="12" t="str">
        <f>IFERROR(VLOOKUP(B220,Annuaire_roster!B:F,3,0),"-")</f>
        <v>Google Leads</v>
      </c>
      <c r="AA220" s="12">
        <f>IFERROR(VLOOKUP(B220,Annuaire_roster!B:I,6,0),"-")</f>
        <v>0</v>
      </c>
      <c r="AB220" s="142" t="str">
        <f t="shared" si="126"/>
        <v/>
      </c>
      <c r="AC220" s="142" t="str">
        <f t="shared" si="127"/>
        <v/>
      </c>
      <c r="AD220" s="142" t="str">
        <f t="shared" si="128"/>
        <v/>
      </c>
      <c r="AE220" s="143" t="str">
        <f t="shared" si="129"/>
        <v/>
      </c>
      <c r="AF220" s="63"/>
      <c r="AG220" s="10"/>
    </row>
    <row r="221" spans="1:33" hidden="1" x14ac:dyDescent="0.2">
      <c r="A221" s="70">
        <f>VLOOKUP(B221,Annuaire_roster!B:F,5,0)</f>
        <v>0</v>
      </c>
      <c r="B221" s="165" t="s">
        <v>217</v>
      </c>
      <c r="C221" s="61" t="str">
        <f>IFERROR(IF(COUNTIFS(Connexions!$K:$K,$Q221,Connexions!$E:$E,VLOOKUP($B221,Mapping_Noms!$A:$B,2,0))=0,"",_xlfn.MINIFS(Connexions!$M:$M,Connexions!$K:$K,$Q221,Connexions!$E:$E,VLOOKUP($B221,Mapping_Noms!$A:$B,2,0))-TIME(1,0,0)),"")</f>
        <v/>
      </c>
      <c r="D221" s="61">
        <f t="array" ref="D221">IFERROR(INDEX(Planning2[],MATCH(1,(Planning2[Nom]=B221)*(Planning2[Date]=Q221),0),3),"-")</f>
        <v>0.45833333333333331</v>
      </c>
      <c r="E221" s="38" t="str">
        <f>IFERROR(IF(COUNTIFS(Connexions!$K:$K,$Q221,Connexions!$E:$E,VLOOKUP($B221,Mapping_Noms!$A:$B,2,0))=0,"",_xlfn.MAXIFS(Connexions!$O:$O,Connexions!$K:$K,$Q221,Connexions!$E:$E,VLOOKUP($B221,Mapping_Noms!$A:$B,2,0))-TIME(1,0,0)),"")</f>
        <v/>
      </c>
      <c r="F221" s="38">
        <f t="array" ref="F221">IFERROR(INDEX(Planning2[],MATCH(1,(Planning2[Nom]=B221)*(Planning2[Date]=Q221),0),4),"-")</f>
        <v>0.83333333333333337</v>
      </c>
      <c r="G221" s="88"/>
      <c r="H221" s="88"/>
      <c r="I221" s="208" t="str">
        <f t="shared" si="115"/>
        <v/>
      </c>
      <c r="J221" s="23"/>
      <c r="K221" s="89">
        <f t="shared" si="116"/>
        <v>0</v>
      </c>
      <c r="L221" s="88">
        <f t="shared" si="101"/>
        <v>0</v>
      </c>
      <c r="M221" s="62" t="str">
        <f t="shared" si="117"/>
        <v>Abs</v>
      </c>
      <c r="N221" s="102" t="str">
        <f t="shared" si="118"/>
        <v/>
      </c>
      <c r="O221" s="90">
        <f t="shared" si="119"/>
        <v>0.33333333333333337</v>
      </c>
      <c r="P221" s="91" t="str">
        <f>IFERROR(VLOOKUP($B221,Annuaire_roster!$B:$G,MATCH(P$1,Annuaire_roster!$B$1:$G$1,0),0),"-")</f>
        <v>Google Leads</v>
      </c>
      <c r="Q221" s="100">
        <v>44767</v>
      </c>
      <c r="R221" s="10">
        <f t="shared" si="120"/>
        <v>0.33333333333333337</v>
      </c>
      <c r="S221" s="10">
        <f t="shared" si="121"/>
        <v>0.33333333333333337</v>
      </c>
      <c r="T221" s="16" t="str">
        <f t="shared" si="122"/>
        <v>Sem - 30</v>
      </c>
      <c r="U221" s="16" t="str">
        <f t="shared" si="123"/>
        <v>Juillet</v>
      </c>
      <c r="V221" s="11" t="str">
        <f t="shared" si="124"/>
        <v>2026</v>
      </c>
      <c r="W221" s="9"/>
      <c r="X221" s="5">
        <f t="shared" si="125"/>
        <v>0</v>
      </c>
      <c r="Y221" s="12">
        <f>IFERROR(VLOOKUP(B221,Annuaire_roster!B:E,4,0),"-")</f>
        <v>0</v>
      </c>
      <c r="Z221" s="12" t="str">
        <f>IFERROR(VLOOKUP(B221,Annuaire_roster!B:F,3,0),"-")</f>
        <v>Google Leads</v>
      </c>
      <c r="AA221" s="12">
        <f>IFERROR(VLOOKUP(B221,Annuaire_roster!B:I,6,0),"-")</f>
        <v>0</v>
      </c>
      <c r="AB221" s="142" t="str">
        <f t="shared" si="126"/>
        <v/>
      </c>
      <c r="AC221" s="142" t="str">
        <f t="shared" si="127"/>
        <v/>
      </c>
      <c r="AD221" s="142" t="str">
        <f t="shared" si="128"/>
        <v/>
      </c>
      <c r="AE221" s="143" t="str">
        <f t="shared" si="129"/>
        <v/>
      </c>
      <c r="AF221" s="63"/>
      <c r="AG221" s="10"/>
    </row>
    <row r="222" spans="1:33" hidden="1" x14ac:dyDescent="0.2">
      <c r="A222" s="70">
        <f>VLOOKUP(B222,Annuaire_roster!B:F,5,0)</f>
        <v>0</v>
      </c>
      <c r="B222" s="165" t="s">
        <v>219</v>
      </c>
      <c r="C222" s="61" t="str">
        <f>IFERROR(IF(COUNTIFS(Connexions!$K:$K,$Q222,Connexions!$E:$E,VLOOKUP($B222,Mapping_Noms!$A:$B,2,0))=0,"",_xlfn.MINIFS(Connexions!$M:$M,Connexions!$K:$K,$Q222,Connexions!$E:$E,VLOOKUP($B222,Mapping_Noms!$A:$B,2,0))-TIME(1,0,0)),"")</f>
        <v/>
      </c>
      <c r="D222" s="61" t="str">
        <f t="array" ref="D222">IFERROR(INDEX(Planning2[],MATCH(1,(Planning2[Nom]=B222)*(Planning2[Date]=Q222),0),3),"-")</f>
        <v>OFF</v>
      </c>
      <c r="E222" s="38" t="str">
        <f>IFERROR(IF(COUNTIFS(Connexions!$K:$K,$Q222,Connexions!$E:$E,VLOOKUP($B222,Mapping_Noms!$A:$B,2,0))=0,"",_xlfn.MAXIFS(Connexions!$O:$O,Connexions!$K:$K,$Q222,Connexions!$E:$E,VLOOKUP($B222,Mapping_Noms!$A:$B,2,0))-TIME(1,0,0)),"")</f>
        <v/>
      </c>
      <c r="F222" s="38" t="str">
        <f t="array" ref="F222">IFERROR(INDEX(Planning2[],MATCH(1,(Planning2[Nom]=B222)*(Planning2[Date]=Q222),0),4),"-")</f>
        <v>OFF</v>
      </c>
      <c r="G222" s="88"/>
      <c r="H222" s="88"/>
      <c r="I222" s="208" t="str">
        <f t="shared" si="115"/>
        <v/>
      </c>
      <c r="J222" s="23"/>
      <c r="K222" s="89">
        <f t="shared" si="116"/>
        <v>0</v>
      </c>
      <c r="L222" s="88">
        <f t="shared" si="101"/>
        <v>0</v>
      </c>
      <c r="M222" s="62">
        <f t="shared" si="117"/>
        <v>0</v>
      </c>
      <c r="N222" s="102" t="str">
        <f t="shared" si="118"/>
        <v/>
      </c>
      <c r="O222" s="90">
        <f t="shared" si="119"/>
        <v>0</v>
      </c>
      <c r="P222" s="91" t="str">
        <f>IFERROR(VLOOKUP($B222,Annuaire_roster!$B:$G,MATCH(P$1,Annuaire_roster!$B$1:$G$1,0),0),"-")</f>
        <v>Google Leads</v>
      </c>
      <c r="Q222" s="100">
        <v>44767</v>
      </c>
      <c r="R222" s="10">
        <f t="shared" si="120"/>
        <v>0</v>
      </c>
      <c r="S222" s="10">
        <f t="shared" si="121"/>
        <v>0</v>
      </c>
      <c r="T222" s="16" t="str">
        <f t="shared" si="122"/>
        <v>Sem - 30</v>
      </c>
      <c r="U222" s="16" t="str">
        <f t="shared" si="123"/>
        <v>Juillet</v>
      </c>
      <c r="V222" s="11" t="str">
        <f t="shared" si="124"/>
        <v>2026</v>
      </c>
      <c r="W222" s="9"/>
      <c r="X222" s="5">
        <f t="shared" si="125"/>
        <v>0</v>
      </c>
      <c r="Y222" s="12">
        <f>IFERROR(VLOOKUP(B222,Annuaire_roster!B:E,4,0),"-")</f>
        <v>0</v>
      </c>
      <c r="Z222" s="12" t="str">
        <f>IFERROR(VLOOKUP(B222,Annuaire_roster!B:F,3,0),"-")</f>
        <v>Google Leads</v>
      </c>
      <c r="AA222" s="12">
        <f>IFERROR(VLOOKUP(B222,Annuaire_roster!B:I,6,0),"-")</f>
        <v>0</v>
      </c>
      <c r="AB222" s="142" t="str">
        <f t="shared" si="126"/>
        <v/>
      </c>
      <c r="AC222" s="142" t="str">
        <f t="shared" si="127"/>
        <v/>
      </c>
      <c r="AD222" s="142" t="str">
        <f t="shared" si="128"/>
        <v/>
      </c>
      <c r="AE222" s="143" t="str">
        <f t="shared" si="129"/>
        <v/>
      </c>
      <c r="AF222" s="63"/>
      <c r="AG222" s="10"/>
    </row>
    <row r="223" spans="1:33" hidden="1" x14ac:dyDescent="0.2">
      <c r="A223" s="70">
        <f>VLOOKUP(B223,Annuaire_roster!B:F,5,0)</f>
        <v>0</v>
      </c>
      <c r="B223" s="165" t="s">
        <v>220</v>
      </c>
      <c r="C223" s="61" t="str">
        <f>IFERROR(IF(COUNTIFS(Connexions!$K:$K,$Q223,Connexions!$E:$E,VLOOKUP($B223,Mapping_Noms!$A:$B,2,0))=0,"",_xlfn.MINIFS(Connexions!$M:$M,Connexions!$K:$K,$Q223,Connexions!$E:$E,VLOOKUP($B223,Mapping_Noms!$A:$B,2,0))-TIME(1,0,0)),"")</f>
        <v/>
      </c>
      <c r="D223" s="61" t="str">
        <f t="array" ref="D223">IFERROR(INDEX(Planning2[],MATCH(1,(Planning2[Nom]=B223)*(Planning2[Date]=Q223),0),3),"-")</f>
        <v>OFF</v>
      </c>
      <c r="E223" s="38" t="str">
        <f>IFERROR(IF(COUNTIFS(Connexions!$K:$K,$Q223,Connexions!$E:$E,VLOOKUP($B223,Mapping_Noms!$A:$B,2,0))=0,"",_xlfn.MAXIFS(Connexions!$O:$O,Connexions!$K:$K,$Q223,Connexions!$E:$E,VLOOKUP($B223,Mapping_Noms!$A:$B,2,0))-TIME(1,0,0)),"")</f>
        <v/>
      </c>
      <c r="F223" s="38" t="str">
        <f t="array" ref="F223">IFERROR(INDEX(Planning2[],MATCH(1,(Planning2[Nom]=B223)*(Planning2[Date]=Q223),0),4),"-")</f>
        <v>OFF</v>
      </c>
      <c r="G223" s="88"/>
      <c r="H223" s="88"/>
      <c r="I223" s="208" t="str">
        <f t="shared" si="115"/>
        <v/>
      </c>
      <c r="J223" s="23"/>
      <c r="K223" s="89">
        <f t="shared" si="116"/>
        <v>0</v>
      </c>
      <c r="L223" s="88">
        <f t="shared" si="101"/>
        <v>0</v>
      </c>
      <c r="M223" s="62">
        <f t="shared" si="117"/>
        <v>0</v>
      </c>
      <c r="N223" s="102" t="str">
        <f t="shared" si="118"/>
        <v/>
      </c>
      <c r="O223" s="90">
        <f t="shared" si="119"/>
        <v>0</v>
      </c>
      <c r="P223" s="91" t="str">
        <f>IFERROR(VLOOKUP($B223,Annuaire_roster!$B:$G,MATCH(P$1,Annuaire_roster!$B$1:$G$1,0),0),"-")</f>
        <v>Google Leads</v>
      </c>
      <c r="Q223" s="100">
        <v>44767</v>
      </c>
      <c r="R223" s="10">
        <f t="shared" si="120"/>
        <v>0</v>
      </c>
      <c r="S223" s="10">
        <f t="shared" si="121"/>
        <v>0</v>
      </c>
      <c r="T223" s="16" t="str">
        <f t="shared" si="122"/>
        <v>Sem - 30</v>
      </c>
      <c r="U223" s="16" t="str">
        <f t="shared" si="123"/>
        <v>Juillet</v>
      </c>
      <c r="V223" s="11" t="str">
        <f t="shared" si="124"/>
        <v>2026</v>
      </c>
      <c r="W223" s="9"/>
      <c r="X223" s="5">
        <f t="shared" si="125"/>
        <v>0</v>
      </c>
      <c r="Y223" s="12">
        <f>IFERROR(VLOOKUP(B223,Annuaire_roster!B:E,4,0),"-")</f>
        <v>0</v>
      </c>
      <c r="Z223" s="12" t="str">
        <f>IFERROR(VLOOKUP(B223,Annuaire_roster!B:F,3,0),"-")</f>
        <v>Google Leads</v>
      </c>
      <c r="AA223" s="12">
        <f>IFERROR(VLOOKUP(B223,Annuaire_roster!B:I,6,0),"-")</f>
        <v>0</v>
      </c>
      <c r="AB223" s="142" t="str">
        <f t="shared" si="126"/>
        <v/>
      </c>
      <c r="AC223" s="142" t="str">
        <f t="shared" si="127"/>
        <v/>
      </c>
      <c r="AD223" s="142" t="str">
        <f t="shared" si="128"/>
        <v/>
      </c>
      <c r="AE223" s="143" t="str">
        <f t="shared" si="129"/>
        <v/>
      </c>
      <c r="AF223" s="63"/>
      <c r="AG223" s="10"/>
    </row>
    <row r="224" spans="1:33" hidden="1" x14ac:dyDescent="0.2">
      <c r="A224" s="70">
        <f>VLOOKUP(B224,Annuaire_roster!B:F,5,0)</f>
        <v>0</v>
      </c>
      <c r="B224" s="165" t="s">
        <v>221</v>
      </c>
      <c r="C224" s="61" t="str">
        <f>IFERROR(IF(COUNTIFS(Connexions!$K:$K,$Q224,Connexions!$E:$E,VLOOKUP($B224,Mapping_Noms!$A:$B,2,0))=0,"",_xlfn.MINIFS(Connexions!$M:$M,Connexions!$K:$K,$Q224,Connexions!$E:$E,VLOOKUP($B224,Mapping_Noms!$A:$B,2,0))-TIME(1,0,0)),"")</f>
        <v/>
      </c>
      <c r="D224" s="61" t="str">
        <f t="array" ref="D224">IFERROR(INDEX(Planning2[],MATCH(1,(Planning2[Nom]=B224)*(Planning2[Date]=Q224),0),3),"-")</f>
        <v>OFF</v>
      </c>
      <c r="E224" s="38" t="str">
        <f>IFERROR(IF(COUNTIFS(Connexions!$K:$K,$Q224,Connexions!$E:$E,VLOOKUP($B224,Mapping_Noms!$A:$B,2,0))=0,"",_xlfn.MAXIFS(Connexions!$O:$O,Connexions!$K:$K,$Q224,Connexions!$E:$E,VLOOKUP($B224,Mapping_Noms!$A:$B,2,0))-TIME(1,0,0)),"")</f>
        <v/>
      </c>
      <c r="F224" s="38" t="str">
        <f t="array" ref="F224">IFERROR(INDEX(Planning2[],MATCH(1,(Planning2[Nom]=B224)*(Planning2[Date]=Q224),0),4),"-")</f>
        <v>OFF</v>
      </c>
      <c r="G224" s="88"/>
      <c r="H224" s="88"/>
      <c r="I224" s="208" t="str">
        <f t="shared" si="115"/>
        <v/>
      </c>
      <c r="J224" s="23"/>
      <c r="K224" s="89">
        <f t="shared" si="116"/>
        <v>0</v>
      </c>
      <c r="L224" s="88">
        <f t="shared" si="101"/>
        <v>0</v>
      </c>
      <c r="M224" s="62">
        <f t="shared" si="117"/>
        <v>0</v>
      </c>
      <c r="N224" s="102" t="str">
        <f t="shared" si="118"/>
        <v/>
      </c>
      <c r="O224" s="90">
        <f t="shared" si="119"/>
        <v>0</v>
      </c>
      <c r="P224" s="91" t="str">
        <f>IFERROR(VLOOKUP($B224,Annuaire_roster!$B:$G,MATCH(P$1,Annuaire_roster!$B$1:$G$1,0),0),"-")</f>
        <v>Google Leads</v>
      </c>
      <c r="Q224" s="100">
        <v>44767</v>
      </c>
      <c r="R224" s="10">
        <f t="shared" si="120"/>
        <v>0</v>
      </c>
      <c r="S224" s="10">
        <f t="shared" si="121"/>
        <v>0</v>
      </c>
      <c r="T224" s="16" t="str">
        <f t="shared" si="122"/>
        <v>Sem - 30</v>
      </c>
      <c r="U224" s="16" t="str">
        <f t="shared" si="123"/>
        <v>Juillet</v>
      </c>
      <c r="V224" s="11" t="str">
        <f t="shared" si="124"/>
        <v>2026</v>
      </c>
      <c r="W224" s="9"/>
      <c r="X224" s="5">
        <f t="shared" si="125"/>
        <v>0</v>
      </c>
      <c r="Y224" s="12">
        <f>IFERROR(VLOOKUP(B224,Annuaire_roster!B:E,4,0),"-")</f>
        <v>0</v>
      </c>
      <c r="Z224" s="12" t="str">
        <f>IFERROR(VLOOKUP(B224,Annuaire_roster!B:F,3,0),"-")</f>
        <v>Google Leads</v>
      </c>
      <c r="AA224" s="12">
        <f>IFERROR(VLOOKUP(B224,Annuaire_roster!B:I,6,0),"-")</f>
        <v>0</v>
      </c>
      <c r="AB224" s="142" t="str">
        <f t="shared" si="126"/>
        <v/>
      </c>
      <c r="AC224" s="142" t="str">
        <f t="shared" si="127"/>
        <v/>
      </c>
      <c r="AD224" s="142" t="str">
        <f t="shared" si="128"/>
        <v/>
      </c>
      <c r="AE224" s="143" t="str">
        <f t="shared" si="129"/>
        <v/>
      </c>
      <c r="AF224" s="63"/>
      <c r="AG224" s="10"/>
    </row>
    <row r="225" spans="1:33" hidden="1" x14ac:dyDescent="0.2">
      <c r="A225" s="70">
        <f>VLOOKUP(B225,Annuaire_roster!B:F,5,0)</f>
        <v>0</v>
      </c>
      <c r="B225" s="165" t="s">
        <v>223</v>
      </c>
      <c r="C225" s="61" t="str">
        <f>IFERROR(IF(COUNTIFS(Connexions!$K:$K,$Q225,Connexions!$E:$E,VLOOKUP($B225,Mapping_Noms!$A:$B,2,0))=0,"",_xlfn.MINIFS(Connexions!$M:$M,Connexions!$K:$K,$Q225,Connexions!$E:$E,VLOOKUP($B225,Mapping_Noms!$A:$B,2,0))-TIME(1,0,0)),"")</f>
        <v/>
      </c>
      <c r="D225" s="61" t="str">
        <f t="array" ref="D225">IFERROR(INDEX(Planning2[],MATCH(1,(Planning2[Nom]=B225)*(Planning2[Date]=Q225),0),3),"-")</f>
        <v>OFF</v>
      </c>
      <c r="E225" s="38" t="str">
        <f>IFERROR(IF(COUNTIFS(Connexions!$K:$K,$Q225,Connexions!$E:$E,VLOOKUP($B225,Mapping_Noms!$A:$B,2,0))=0,"",_xlfn.MAXIFS(Connexions!$O:$O,Connexions!$K:$K,$Q225,Connexions!$E:$E,VLOOKUP($B225,Mapping_Noms!$A:$B,2,0))-TIME(1,0,0)),"")</f>
        <v/>
      </c>
      <c r="F225" s="38" t="str">
        <f t="array" ref="F225">IFERROR(INDEX(Planning2[],MATCH(1,(Planning2[Nom]=B225)*(Planning2[Date]=Q225),0),4),"-")</f>
        <v>OFF</v>
      </c>
      <c r="G225" s="88"/>
      <c r="H225" s="88"/>
      <c r="I225" s="208" t="str">
        <f t="shared" si="115"/>
        <v/>
      </c>
      <c r="J225" s="23"/>
      <c r="K225" s="89">
        <f t="shared" si="116"/>
        <v>0</v>
      </c>
      <c r="L225" s="88">
        <f t="shared" si="101"/>
        <v>0</v>
      </c>
      <c r="M225" s="62">
        <f t="shared" si="117"/>
        <v>0</v>
      </c>
      <c r="N225" s="102" t="str">
        <f t="shared" si="118"/>
        <v/>
      </c>
      <c r="O225" s="90">
        <f t="shared" si="119"/>
        <v>0</v>
      </c>
      <c r="P225" s="91" t="str">
        <f>IFERROR(VLOOKUP($B225,Annuaire_roster!$B:$G,MATCH(P$1,Annuaire_roster!$B$1:$G$1,0),0),"-")</f>
        <v>Google Leads</v>
      </c>
      <c r="Q225" s="100">
        <v>44767</v>
      </c>
      <c r="R225" s="10">
        <f t="shared" si="120"/>
        <v>0</v>
      </c>
      <c r="S225" s="10">
        <f t="shared" si="121"/>
        <v>0</v>
      </c>
      <c r="T225" s="16" t="str">
        <f t="shared" si="122"/>
        <v>Sem - 30</v>
      </c>
      <c r="U225" s="16" t="str">
        <f t="shared" si="123"/>
        <v>Juillet</v>
      </c>
      <c r="V225" s="11" t="str">
        <f t="shared" si="124"/>
        <v>2026</v>
      </c>
      <c r="W225" s="9"/>
      <c r="X225" s="5">
        <f t="shared" si="125"/>
        <v>0</v>
      </c>
      <c r="Y225" s="12">
        <f>IFERROR(VLOOKUP(B225,Annuaire_roster!B:E,4,0),"-")</f>
        <v>0</v>
      </c>
      <c r="Z225" s="12" t="str">
        <f>IFERROR(VLOOKUP(B225,Annuaire_roster!B:F,3,0),"-")</f>
        <v>Google Leads</v>
      </c>
      <c r="AA225" s="12">
        <f>IFERROR(VLOOKUP(B225,Annuaire_roster!B:I,6,0),"-")</f>
        <v>0</v>
      </c>
      <c r="AB225" s="142" t="str">
        <f t="shared" si="126"/>
        <v/>
      </c>
      <c r="AC225" s="142" t="str">
        <f t="shared" si="127"/>
        <v/>
      </c>
      <c r="AD225" s="142" t="str">
        <f t="shared" si="128"/>
        <v/>
      </c>
      <c r="AE225" s="143" t="str">
        <f t="shared" si="129"/>
        <v/>
      </c>
      <c r="AF225" s="63"/>
      <c r="AG225" s="10"/>
    </row>
  </sheetData>
  <autoFilter ref="A1:AG225" xr:uid="{00000000-0001-0000-0000-000000000000}">
    <filterColumn colId="16">
      <filters>
        <dateGroupItem year="2026" month="7" day="20" dateTimeGrouping="day"/>
      </filters>
    </filterColumn>
    <sortState xmlns:xlrd2="http://schemas.microsoft.com/office/spreadsheetml/2017/richdata2" ref="A34:AG65">
      <sortCondition ref="D1:D225"/>
    </sortState>
  </autoFilter>
  <sortState xmlns:xlrd2="http://schemas.microsoft.com/office/spreadsheetml/2017/richdata2" ref="B2:AA527">
    <sortCondition ref="B1"/>
  </sortState>
  <conditionalFormatting sqref="G1:M2 G71:H77 G26:K26 G65:H69 J65:K69 J71:K77 G3:K24 G79:H91 J79:K91 I65:I91 G92:K225 L3:M225 G28:K64 O2:O225">
    <cfRule type="cellIs" dxfId="156" priority="1245" operator="equal">
      <formula>0</formula>
    </cfRule>
  </conditionalFormatting>
  <conditionalFormatting sqref="B2 B60:B160 C1:F225">
    <cfRule type="cellIs" dxfId="155" priority="1246" operator="equal">
      <formula>"OFF"</formula>
    </cfRule>
  </conditionalFormatting>
  <conditionalFormatting sqref="X2:X24 X71:X77 X26 X28:X69 X79:X225">
    <cfRule type="cellIs" dxfId="154" priority="564" operator="equal">
      <formula>0</formula>
    </cfRule>
  </conditionalFormatting>
  <conditionalFormatting sqref="G70:H70 J70:K70">
    <cfRule type="cellIs" dxfId="153" priority="25" operator="equal">
      <formula>0</formula>
    </cfRule>
  </conditionalFormatting>
  <conditionalFormatting sqref="X70">
    <cfRule type="cellIs" dxfId="151" priority="24" operator="equal">
      <formula>0</formula>
    </cfRule>
  </conditionalFormatting>
  <conditionalFormatting sqref="G78:H78 J78:K78">
    <cfRule type="cellIs" dxfId="150" priority="22" operator="equal">
      <formula>0</formula>
    </cfRule>
  </conditionalFormatting>
  <conditionalFormatting sqref="X78">
    <cfRule type="cellIs" dxfId="148" priority="21" operator="equal">
      <formula>0</formula>
    </cfRule>
  </conditionalFormatting>
  <conditionalFormatting sqref="G25:K25">
    <cfRule type="cellIs" dxfId="147" priority="16" operator="equal">
      <formula>0</formula>
    </cfRule>
  </conditionalFormatting>
  <conditionalFormatting sqref="X25">
    <cfRule type="cellIs" dxfId="145" priority="15" operator="equal">
      <formula>0</formula>
    </cfRule>
  </conditionalFormatting>
  <conditionalFormatting sqref="G27:K27">
    <cfRule type="cellIs" dxfId="144" priority="13" operator="equal">
      <formula>0</formula>
    </cfRule>
  </conditionalFormatting>
  <conditionalFormatting sqref="X27">
    <cfRule type="cellIs" dxfId="142" priority="12" operator="equal">
      <formula>0</formula>
    </cfRule>
  </conditionalFormatting>
  <conditionalFormatting sqref="B37:B40 B157:B225">
    <cfRule type="cellIs" dxfId="141" priority="5" operator="equal">
      <formula>"OFF"</formula>
    </cfRule>
  </conditionalFormatting>
  <conditionalFormatting sqref="B3:B36">
    <cfRule type="cellIs" dxfId="140" priority="4" operator="equal">
      <formula>"OFF"</formula>
    </cfRule>
  </conditionalFormatting>
  <conditionalFormatting sqref="B41:B59">
    <cfRule type="cellIs" dxfId="139" priority="1" operator="equal">
      <formula>"OFF"</formula>
    </cfRule>
  </conditionalFormatting>
  <dataValidations disablePrompts="1" count="1">
    <dataValidation type="list" allowBlank="1" showInputMessage="1" showErrorMessage="1" sqref="AG2:AG225" xr:uid="{00000000-0002-0000-0000-000000000000}">
      <formula1>"2H Pause déjeuner,Sans déjeuner,Allaitement"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workbookViewId="0">
      <selection activeCell="D26" sqref="D26"/>
    </sheetView>
  </sheetViews>
  <sheetFormatPr baseColWidth="10" defaultRowHeight="15" x14ac:dyDescent="0.25"/>
  <cols>
    <col min="1" max="1" width="24.42578125" customWidth="1"/>
  </cols>
  <sheetData>
    <row r="1" spans="1:2" x14ac:dyDescent="0.25">
      <c r="A1" s="106"/>
      <c r="B1" s="106" t="s">
        <v>81</v>
      </c>
    </row>
    <row r="2" spans="1:2" ht="19.5" customHeight="1" x14ac:dyDescent="0.25">
      <c r="A2" s="107" t="s">
        <v>226</v>
      </c>
      <c r="B2" s="108">
        <v>0.32222222222222224</v>
      </c>
    </row>
    <row r="3" spans="1:2" ht="19.5" customHeight="1" x14ac:dyDescent="0.25">
      <c r="A3" s="107" t="s">
        <v>222</v>
      </c>
      <c r="B3" s="108">
        <v>0.33055555555555555</v>
      </c>
    </row>
    <row r="4" spans="1:2" ht="19.5" customHeight="1" x14ac:dyDescent="0.25">
      <c r="A4" s="107" t="s">
        <v>242</v>
      </c>
      <c r="B4" s="108">
        <v>0.33402777777777776</v>
      </c>
    </row>
    <row r="5" spans="1:2" ht="19.5" customHeight="1" x14ac:dyDescent="0.25">
      <c r="A5" s="107" t="s">
        <v>128</v>
      </c>
      <c r="B5" s="108">
        <v>0.33263888888888887</v>
      </c>
    </row>
    <row r="6" spans="1:2" ht="19.5" customHeight="1" x14ac:dyDescent="0.25">
      <c r="A6" s="107" t="s">
        <v>227</v>
      </c>
      <c r="B6" s="108">
        <v>0.3347222222222222</v>
      </c>
    </row>
    <row r="7" spans="1:2" ht="19.5" customHeight="1" x14ac:dyDescent="0.25">
      <c r="A7" s="107" t="s">
        <v>245</v>
      </c>
      <c r="B7" s="108">
        <v>1.7361111111111112E-2</v>
      </c>
    </row>
    <row r="8" spans="1:2" ht="19.5" customHeight="1" x14ac:dyDescent="0.25">
      <c r="A8" s="107" t="s">
        <v>246</v>
      </c>
      <c r="B8" s="108">
        <v>0.33402777777777776</v>
      </c>
    </row>
    <row r="9" spans="1:2" ht="19.5" customHeight="1" x14ac:dyDescent="0.25">
      <c r="A9" s="107" t="s">
        <v>228</v>
      </c>
      <c r="B9" s="108">
        <v>0.32222222222222224</v>
      </c>
    </row>
    <row r="10" spans="1:2" ht="19.5" customHeight="1" x14ac:dyDescent="0.25">
      <c r="A10" s="107" t="s">
        <v>129</v>
      </c>
      <c r="B10" s="108">
        <v>0.3347222222222222</v>
      </c>
    </row>
    <row r="11" spans="1:2" ht="19.5" customHeight="1" x14ac:dyDescent="0.25">
      <c r="A11" s="107" t="s">
        <v>229</v>
      </c>
      <c r="B11" s="108">
        <v>0.33263888888888887</v>
      </c>
    </row>
    <row r="12" spans="1:2" x14ac:dyDescent="0.25">
      <c r="A12" s="107" t="s">
        <v>230</v>
      </c>
      <c r="B12" s="108">
        <v>0.32777777777777778</v>
      </c>
    </row>
    <row r="13" spans="1:2" x14ac:dyDescent="0.25">
      <c r="A13" s="107" t="s">
        <v>231</v>
      </c>
      <c r="B13" s="108">
        <v>0.33055555555555555</v>
      </c>
    </row>
    <row r="14" spans="1:2" x14ac:dyDescent="0.25">
      <c r="A14" s="107" t="s">
        <v>232</v>
      </c>
      <c r="B14" s="108">
        <v>0.31944444444444442</v>
      </c>
    </row>
    <row r="15" spans="1:2" x14ac:dyDescent="0.25">
      <c r="A15" s="107" t="s">
        <v>249</v>
      </c>
      <c r="B15" s="108">
        <v>0.33541666666666664</v>
      </c>
    </row>
    <row r="16" spans="1:2" x14ac:dyDescent="0.25">
      <c r="A16" s="107" t="s">
        <v>247</v>
      </c>
      <c r="B16" s="108">
        <v>0.3263888888888889</v>
      </c>
    </row>
    <row r="17" spans="1:2" x14ac:dyDescent="0.25">
      <c r="A17" s="107" t="s">
        <v>250</v>
      </c>
      <c r="B17" s="108">
        <v>0.32777777777777778</v>
      </c>
    </row>
    <row r="18" spans="1:2" x14ac:dyDescent="0.25">
      <c r="A18" s="107" t="s">
        <v>248</v>
      </c>
      <c r="B18" s="108">
        <v>0.3347222222222222</v>
      </c>
    </row>
    <row r="19" spans="1:2" x14ac:dyDescent="0.25">
      <c r="A19" s="107" t="s">
        <v>130</v>
      </c>
      <c r="B19" s="108">
        <v>0.31874999999999998</v>
      </c>
    </row>
    <row r="20" spans="1:2" x14ac:dyDescent="0.25">
      <c r="A20" s="107" t="s">
        <v>131</v>
      </c>
      <c r="B20" s="108">
        <v>0.33124999999999999</v>
      </c>
    </row>
    <row r="21" spans="1:2" x14ac:dyDescent="0.25">
      <c r="A21" s="107" t="s">
        <v>233</v>
      </c>
      <c r="B21" s="108">
        <v>0.3215277777777778</v>
      </c>
    </row>
    <row r="22" spans="1:2" x14ac:dyDescent="0.25">
      <c r="A22" s="107" t="s">
        <v>152</v>
      </c>
      <c r="B22" s="108">
        <v>0.3215277777777778</v>
      </c>
    </row>
    <row r="23" spans="1:2" x14ac:dyDescent="0.25">
      <c r="A23" s="107" t="s">
        <v>234</v>
      </c>
      <c r="B23" s="108">
        <v>0.31874999999999998</v>
      </c>
    </row>
    <row r="24" spans="1:2" x14ac:dyDescent="0.25">
      <c r="A24" s="107" t="s">
        <v>235</v>
      </c>
      <c r="B24" s="108">
        <v>0.3263888888888889</v>
      </c>
    </row>
    <row r="25" spans="1:2" x14ac:dyDescent="0.25">
      <c r="A25" s="107" t="s">
        <v>236</v>
      </c>
      <c r="B25" s="108">
        <v>0.33263888888888887</v>
      </c>
    </row>
    <row r="26" spans="1:2" x14ac:dyDescent="0.25">
      <c r="A26" s="107" t="s">
        <v>132</v>
      </c>
      <c r="B26" s="108">
        <v>0.32430555555555557</v>
      </c>
    </row>
    <row r="27" spans="1:2" x14ac:dyDescent="0.25">
      <c r="A27" s="107" t="s">
        <v>237</v>
      </c>
      <c r="B27" s="108">
        <v>0.33194444444444443</v>
      </c>
    </row>
    <row r="28" spans="1:2" x14ac:dyDescent="0.25">
      <c r="A28" s="107" t="s">
        <v>238</v>
      </c>
      <c r="B28" s="108">
        <v>0.3215277777777778</v>
      </c>
    </row>
    <row r="29" spans="1:2" x14ac:dyDescent="0.25">
      <c r="A29" s="107" t="s">
        <v>134</v>
      </c>
      <c r="B29" s="108">
        <v>0.33263888888888887</v>
      </c>
    </row>
    <row r="30" spans="1:2" x14ac:dyDescent="0.25">
      <c r="A30" s="107" t="s">
        <v>136</v>
      </c>
      <c r="B30" s="108">
        <v>0.33333333333333331</v>
      </c>
    </row>
    <row r="31" spans="1:2" x14ac:dyDescent="0.25">
      <c r="A31" s="107" t="s">
        <v>239</v>
      </c>
      <c r="B31" s="108">
        <v>0.33402777777777776</v>
      </c>
    </row>
    <row r="32" spans="1:2" x14ac:dyDescent="0.25">
      <c r="A32" s="107" t="s">
        <v>240</v>
      </c>
      <c r="B32" s="108">
        <v>0.33263888888888887</v>
      </c>
    </row>
    <row r="33" spans="1:2" x14ac:dyDescent="0.25">
      <c r="A33" s="107" t="s">
        <v>243</v>
      </c>
      <c r="B33" s="108">
        <v>0.33124999999999999</v>
      </c>
    </row>
    <row r="34" spans="1:2" x14ac:dyDescent="0.25">
      <c r="A34" s="107" t="s">
        <v>221</v>
      </c>
      <c r="B34" s="108">
        <v>0.3347222222222222</v>
      </c>
    </row>
    <row r="35" spans="1:2" x14ac:dyDescent="0.25">
      <c r="A35" s="107" t="s">
        <v>138</v>
      </c>
      <c r="B35" s="108">
        <v>0.32916666666666666</v>
      </c>
    </row>
    <row r="36" spans="1:2" x14ac:dyDescent="0.25">
      <c r="A36" s="107" t="s">
        <v>251</v>
      </c>
      <c r="B36" s="108">
        <v>0.33402777777777776</v>
      </c>
    </row>
    <row r="37" spans="1:2" x14ac:dyDescent="0.25">
      <c r="A37" s="107" t="s">
        <v>140</v>
      </c>
      <c r="B37" s="108">
        <v>0.33263888888888887</v>
      </c>
    </row>
    <row r="38" spans="1:2" x14ac:dyDescent="0.25">
      <c r="A38" s="107" t="s">
        <v>244</v>
      </c>
      <c r="B38" s="108">
        <v>0.33263888888888887</v>
      </c>
    </row>
    <row r="39" spans="1:2" x14ac:dyDescent="0.25">
      <c r="A39" s="107" t="s">
        <v>241</v>
      </c>
      <c r="B39" s="108">
        <v>0.3298611111111111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7"/>
  <dimension ref="A1:T33"/>
  <sheetViews>
    <sheetView zoomScaleNormal="100" workbookViewId="0">
      <selection activeCell="B2" sqref="B2:B24"/>
    </sheetView>
  </sheetViews>
  <sheetFormatPr baseColWidth="10" defaultRowHeight="15" x14ac:dyDescent="0.25"/>
  <cols>
    <col min="1" max="1" width="28.42578125" customWidth="1"/>
    <col min="2" max="2" width="13.7109375" customWidth="1"/>
    <col min="3" max="3" width="17.28515625" customWidth="1"/>
    <col min="4" max="4" width="14.42578125" customWidth="1"/>
    <col min="5" max="5" width="13.28515625" style="14" customWidth="1"/>
    <col min="6" max="6" width="12.42578125" customWidth="1"/>
    <col min="7" max="7" width="15.7109375" customWidth="1"/>
    <col min="8" max="8" width="15" customWidth="1"/>
    <col min="9" max="9" width="30.28515625" customWidth="1"/>
    <col min="11" max="11" width="35.7109375" customWidth="1"/>
  </cols>
  <sheetData>
    <row r="1" spans="1:20" ht="33" customHeight="1" x14ac:dyDescent="0.25">
      <c r="A1" s="219" t="s">
        <v>12</v>
      </c>
      <c r="B1" s="220" t="s">
        <v>5</v>
      </c>
      <c r="C1" s="220" t="s">
        <v>1</v>
      </c>
      <c r="D1" s="220" t="s">
        <v>2</v>
      </c>
      <c r="E1" s="220" t="s">
        <v>84</v>
      </c>
      <c r="F1" s="220" t="s">
        <v>9</v>
      </c>
      <c r="G1" s="220" t="s">
        <v>24</v>
      </c>
      <c r="H1" s="220" t="s">
        <v>4</v>
      </c>
      <c r="I1" s="220" t="s">
        <v>59</v>
      </c>
    </row>
    <row r="2" spans="1:20" s="135" customFormat="1" x14ac:dyDescent="0.25">
      <c r="A2" s="221" t="s">
        <v>141</v>
      </c>
      <c r="B2" s="222">
        <v>0.28888888888888886</v>
      </c>
      <c r="C2" s="222">
        <v>0.29166666666666669</v>
      </c>
      <c r="D2" s="222">
        <v>0.70833333333333337</v>
      </c>
      <c r="E2" s="223"/>
      <c r="F2" s="224"/>
      <c r="G2" s="225" t="s">
        <v>37</v>
      </c>
      <c r="H2" s="226">
        <v>44762</v>
      </c>
      <c r="I2" s="227"/>
      <c r="T2" s="123"/>
    </row>
    <row r="3" spans="1:20" x14ac:dyDescent="0.25">
      <c r="A3" s="221" t="s">
        <v>209</v>
      </c>
      <c r="B3" s="222">
        <v>0.28958333333333336</v>
      </c>
      <c r="C3" s="222">
        <v>0.29166666666666669</v>
      </c>
      <c r="D3" s="222">
        <v>0.70833333333333337</v>
      </c>
      <c r="E3" s="223"/>
      <c r="F3" s="224"/>
      <c r="G3" s="225" t="s">
        <v>37</v>
      </c>
      <c r="H3" s="226">
        <v>44762</v>
      </c>
      <c r="I3" s="227"/>
      <c r="K3" s="144"/>
      <c r="L3" s="145"/>
      <c r="M3" s="104"/>
      <c r="N3" s="104"/>
      <c r="O3" s="104"/>
      <c r="P3" s="104"/>
      <c r="Q3" s="104"/>
      <c r="R3" s="104"/>
      <c r="S3" s="104"/>
      <c r="T3" s="123"/>
    </row>
    <row r="4" spans="1:20" x14ac:dyDescent="0.25">
      <c r="A4" s="221" t="s">
        <v>88</v>
      </c>
      <c r="B4" s="222">
        <v>0.29097222222222224</v>
      </c>
      <c r="C4" s="222">
        <v>0.29166666666666669</v>
      </c>
      <c r="D4" s="222">
        <v>0.70833333333333337</v>
      </c>
      <c r="E4" s="223"/>
      <c r="F4" s="229"/>
      <c r="G4" s="225" t="s">
        <v>37</v>
      </c>
      <c r="H4" s="226">
        <v>44762</v>
      </c>
      <c r="I4" s="227"/>
      <c r="K4" s="144"/>
      <c r="L4" s="146"/>
      <c r="M4" s="104"/>
      <c r="N4" s="104"/>
      <c r="O4" s="104"/>
      <c r="P4" s="104"/>
      <c r="Q4" s="104"/>
      <c r="R4" s="104"/>
      <c r="S4" s="104"/>
      <c r="T4" s="123"/>
    </row>
    <row r="5" spans="1:20" x14ac:dyDescent="0.25">
      <c r="A5" s="238" t="s">
        <v>76</v>
      </c>
      <c r="B5" s="222">
        <v>0.29166666666666669</v>
      </c>
      <c r="C5" s="222">
        <v>0.29166666666666669</v>
      </c>
      <c r="D5" s="222">
        <v>0.70833333333333337</v>
      </c>
      <c r="E5" s="223"/>
      <c r="F5" s="232"/>
      <c r="G5" s="225" t="s">
        <v>37</v>
      </c>
      <c r="H5" s="226">
        <v>44762</v>
      </c>
      <c r="I5" s="231"/>
      <c r="K5" s="144"/>
      <c r="L5" s="145"/>
      <c r="M5" s="104"/>
      <c r="N5" s="104"/>
      <c r="O5" s="104"/>
      <c r="P5" s="104"/>
      <c r="Q5" s="104"/>
      <c r="R5" s="104"/>
      <c r="S5" s="104"/>
      <c r="T5" s="123"/>
    </row>
    <row r="6" spans="1:20" x14ac:dyDescent="0.25">
      <c r="A6" s="237" t="s">
        <v>196</v>
      </c>
      <c r="B6" s="222"/>
      <c r="C6" s="222">
        <v>0.29166666666666669</v>
      </c>
      <c r="D6" s="222">
        <v>0.70833333333333337</v>
      </c>
      <c r="E6" s="228"/>
      <c r="F6" s="229" t="s">
        <v>252</v>
      </c>
      <c r="G6" s="225" t="s">
        <v>37</v>
      </c>
      <c r="H6" s="226">
        <v>44762</v>
      </c>
      <c r="I6" s="227"/>
      <c r="K6" s="144"/>
      <c r="L6" s="145"/>
      <c r="M6" s="104"/>
      <c r="N6" s="104"/>
      <c r="O6" s="104"/>
      <c r="P6" s="104"/>
      <c r="Q6" s="104"/>
      <c r="R6" s="104"/>
      <c r="S6" s="104"/>
      <c r="T6" s="123"/>
    </row>
    <row r="7" spans="1:20" ht="15" customHeight="1" x14ac:dyDescent="0.25">
      <c r="A7" s="221" t="s">
        <v>45</v>
      </c>
      <c r="B7" s="222">
        <v>0.2902777777777778</v>
      </c>
      <c r="C7" s="222">
        <v>0.29166666666666669</v>
      </c>
      <c r="D7" s="222">
        <v>0.70833333333333337</v>
      </c>
      <c r="E7" s="228"/>
      <c r="F7" s="230"/>
      <c r="G7" s="225" t="s">
        <v>37</v>
      </c>
      <c r="H7" s="226">
        <v>44762</v>
      </c>
      <c r="I7" s="227"/>
      <c r="K7" s="144"/>
      <c r="L7" s="145"/>
      <c r="M7" s="104"/>
      <c r="N7" s="104"/>
      <c r="O7" s="104"/>
      <c r="P7" s="104"/>
      <c r="Q7" s="104"/>
      <c r="R7" s="104"/>
      <c r="S7" s="104"/>
      <c r="T7" s="123"/>
    </row>
    <row r="8" spans="1:20" x14ac:dyDescent="0.25">
      <c r="A8" s="221" t="s">
        <v>197</v>
      </c>
      <c r="B8" s="222">
        <v>0.29166666666666669</v>
      </c>
      <c r="C8" s="222">
        <v>0.29166666666666669</v>
      </c>
      <c r="D8" s="222">
        <v>0.70833333333333337</v>
      </c>
      <c r="E8" s="223"/>
      <c r="F8" s="232"/>
      <c r="G8" s="225" t="s">
        <v>37</v>
      </c>
      <c r="H8" s="226">
        <v>44762</v>
      </c>
      <c r="I8" s="227"/>
      <c r="K8" s="144"/>
      <c r="L8" s="145"/>
    </row>
    <row r="9" spans="1:20" x14ac:dyDescent="0.25">
      <c r="A9" s="221" t="s">
        <v>89</v>
      </c>
      <c r="B9" s="222">
        <v>0.2902777777777778</v>
      </c>
      <c r="C9" s="222">
        <v>0.29166666666666669</v>
      </c>
      <c r="D9" s="222">
        <v>0.70833333333333337</v>
      </c>
      <c r="E9" s="223"/>
      <c r="F9" s="232"/>
      <c r="G9" s="225" t="s">
        <v>37</v>
      </c>
      <c r="H9" s="226">
        <v>44762</v>
      </c>
      <c r="I9" s="227"/>
      <c r="K9" s="144"/>
      <c r="L9" s="145"/>
    </row>
    <row r="10" spans="1:20" x14ac:dyDescent="0.25">
      <c r="A10" s="221" t="s">
        <v>102</v>
      </c>
      <c r="B10" s="222">
        <v>0.28888888888888886</v>
      </c>
      <c r="C10" s="222">
        <v>0.29166666666666669</v>
      </c>
      <c r="D10" s="222">
        <v>0.70833333333333337</v>
      </c>
      <c r="E10" s="223"/>
      <c r="F10" s="224"/>
      <c r="G10" s="225" t="s">
        <v>37</v>
      </c>
      <c r="H10" s="226">
        <v>44762</v>
      </c>
      <c r="I10" s="227"/>
      <c r="K10" s="144"/>
      <c r="L10" s="145"/>
    </row>
    <row r="11" spans="1:20" ht="16.5" customHeight="1" x14ac:dyDescent="0.25">
      <c r="A11" s="221" t="s">
        <v>210</v>
      </c>
      <c r="B11" s="222">
        <v>0.2902777777777778</v>
      </c>
      <c r="C11" s="222">
        <v>0.29166666666666669</v>
      </c>
      <c r="D11" s="222">
        <v>0.70833333333333337</v>
      </c>
      <c r="E11" s="223"/>
      <c r="F11" s="224"/>
      <c r="G11" s="225" t="s">
        <v>37</v>
      </c>
      <c r="H11" s="226">
        <v>44762</v>
      </c>
      <c r="I11" s="227"/>
    </row>
    <row r="12" spans="1:20" ht="15.6" customHeight="1" x14ac:dyDescent="0.25">
      <c r="A12" s="221" t="s">
        <v>216</v>
      </c>
      <c r="B12" s="222">
        <v>0.29097222222222224</v>
      </c>
      <c r="C12" s="222">
        <v>0.29166666666666669</v>
      </c>
      <c r="D12" s="222">
        <v>0.70833333333333337</v>
      </c>
      <c r="E12" s="223"/>
      <c r="F12" s="224"/>
      <c r="G12" s="225" t="s">
        <v>37</v>
      </c>
      <c r="H12" s="226">
        <v>44762</v>
      </c>
      <c r="I12" s="227"/>
    </row>
    <row r="13" spans="1:20" x14ac:dyDescent="0.25">
      <c r="A13" s="221" t="s">
        <v>214</v>
      </c>
      <c r="B13" s="222">
        <v>0.29097222222222224</v>
      </c>
      <c r="C13" s="222">
        <v>0.29166666666666669</v>
      </c>
      <c r="D13" s="222">
        <v>0.70833333333333337</v>
      </c>
      <c r="E13" s="223"/>
      <c r="F13" s="224"/>
      <c r="G13" s="225" t="s">
        <v>37</v>
      </c>
      <c r="H13" s="226">
        <v>44762</v>
      </c>
      <c r="I13" s="227"/>
    </row>
    <row r="14" spans="1:20" x14ac:dyDescent="0.25">
      <c r="A14" s="221" t="s">
        <v>223</v>
      </c>
      <c r="B14" s="222">
        <v>0.29166666666666669</v>
      </c>
      <c r="C14" s="222">
        <v>0.29166666666666669</v>
      </c>
      <c r="D14" s="222">
        <v>0.70833333333333337</v>
      </c>
      <c r="E14" s="223"/>
      <c r="F14" s="224"/>
      <c r="G14" s="225" t="s">
        <v>37</v>
      </c>
      <c r="H14" s="226">
        <v>44762</v>
      </c>
      <c r="I14" s="227"/>
    </row>
    <row r="15" spans="1:20" s="141" customFormat="1" x14ac:dyDescent="0.25">
      <c r="A15" s="221" t="s">
        <v>106</v>
      </c>
      <c r="B15" s="222">
        <v>0.37430555555555556</v>
      </c>
      <c r="C15" s="222">
        <v>0.375</v>
      </c>
      <c r="D15" s="222">
        <v>0.75</v>
      </c>
      <c r="E15" s="223"/>
      <c r="F15" s="230"/>
      <c r="G15" s="225" t="s">
        <v>37</v>
      </c>
      <c r="H15" s="226">
        <v>44762</v>
      </c>
      <c r="I15" s="227"/>
    </row>
    <row r="16" spans="1:20" x14ac:dyDescent="0.25">
      <c r="A16" s="221" t="s">
        <v>212</v>
      </c>
      <c r="B16" s="222">
        <v>0.37430555555555556</v>
      </c>
      <c r="C16" s="222">
        <v>0.375</v>
      </c>
      <c r="D16" s="222">
        <v>0.75</v>
      </c>
      <c r="E16" s="223"/>
      <c r="F16" s="224"/>
      <c r="G16" s="225" t="s">
        <v>37</v>
      </c>
      <c r="H16" s="226">
        <v>44762</v>
      </c>
      <c r="I16" s="227"/>
    </row>
    <row r="17" spans="1:11" x14ac:dyDescent="0.25">
      <c r="A17" s="221" t="s">
        <v>220</v>
      </c>
      <c r="B17" s="222">
        <v>0.41666666666666669</v>
      </c>
      <c r="C17" s="222">
        <v>0.41666666666666669</v>
      </c>
      <c r="D17" s="222">
        <v>0.83333333333333337</v>
      </c>
      <c r="E17" s="223"/>
      <c r="F17" s="232"/>
      <c r="G17" s="225" t="s">
        <v>37</v>
      </c>
      <c r="H17" s="226">
        <v>44762</v>
      </c>
      <c r="I17" s="233"/>
    </row>
    <row r="18" spans="1:11" x14ac:dyDescent="0.25">
      <c r="A18" s="221" t="s">
        <v>85</v>
      </c>
      <c r="B18" s="222">
        <v>0.41319444444444442</v>
      </c>
      <c r="C18" s="222">
        <v>0.41666666666666669</v>
      </c>
      <c r="D18" s="222">
        <v>0.83333333333333337</v>
      </c>
      <c r="E18" s="223"/>
      <c r="F18" s="234"/>
      <c r="G18" s="225" t="s">
        <v>37</v>
      </c>
      <c r="H18" s="226">
        <v>44762</v>
      </c>
      <c r="I18" s="233"/>
    </row>
    <row r="19" spans="1:11" x14ac:dyDescent="0.25">
      <c r="A19" s="221" t="s">
        <v>87</v>
      </c>
      <c r="B19" s="222">
        <v>0.40972222222222221</v>
      </c>
      <c r="C19" s="222">
        <v>0.41666666666666669</v>
      </c>
      <c r="D19" s="222">
        <v>0.83333333333333337</v>
      </c>
      <c r="E19" s="228"/>
      <c r="F19" s="224"/>
      <c r="G19" s="225" t="s">
        <v>37</v>
      </c>
      <c r="H19" s="226">
        <v>44762</v>
      </c>
      <c r="I19" s="233"/>
      <c r="K19" s="222" t="s">
        <v>225</v>
      </c>
    </row>
    <row r="20" spans="1:11" x14ac:dyDescent="0.25">
      <c r="A20" s="221" t="s">
        <v>217</v>
      </c>
      <c r="B20" s="222">
        <v>0.41666666666666669</v>
      </c>
      <c r="C20" s="222">
        <v>0.41666666666666669</v>
      </c>
      <c r="D20" s="222">
        <v>0.83333333333333337</v>
      </c>
      <c r="E20" s="228"/>
      <c r="F20" s="224"/>
      <c r="G20" s="225" t="s">
        <v>37</v>
      </c>
      <c r="H20" s="226">
        <v>44762</v>
      </c>
      <c r="I20" s="227"/>
    </row>
    <row r="21" spans="1:11" x14ac:dyDescent="0.25">
      <c r="A21" s="221" t="s">
        <v>83</v>
      </c>
      <c r="B21" s="222">
        <v>0.41597222222222224</v>
      </c>
      <c r="C21" s="222">
        <v>0.41666666666666669</v>
      </c>
      <c r="D21" s="222">
        <v>0.83333333333333337</v>
      </c>
      <c r="E21" s="223"/>
      <c r="F21" s="224"/>
      <c r="G21" s="225" t="s">
        <v>37</v>
      </c>
      <c r="H21" s="226">
        <v>44762</v>
      </c>
      <c r="I21" s="232"/>
    </row>
    <row r="22" spans="1:11" x14ac:dyDescent="0.25">
      <c r="A22" s="221" t="s">
        <v>215</v>
      </c>
      <c r="B22" s="222">
        <v>0.41666666666666669</v>
      </c>
      <c r="C22" s="222">
        <v>0.41666666666666669</v>
      </c>
      <c r="D22" s="222">
        <v>0.83333333333333337</v>
      </c>
      <c r="E22" s="223"/>
      <c r="F22" s="224"/>
      <c r="G22" s="225" t="s">
        <v>37</v>
      </c>
      <c r="H22" s="226">
        <v>44762</v>
      </c>
      <c r="I22" s="232"/>
    </row>
    <row r="23" spans="1:11" x14ac:dyDescent="0.25">
      <c r="A23" s="221" t="s">
        <v>94</v>
      </c>
      <c r="B23" s="222">
        <v>0.4152777777777778</v>
      </c>
      <c r="C23" s="222">
        <v>0.41666666666666669</v>
      </c>
      <c r="D23" s="222">
        <v>0.83333333333333337</v>
      </c>
      <c r="E23" s="223"/>
      <c r="F23" s="224"/>
      <c r="G23" s="225" t="s">
        <v>37</v>
      </c>
      <c r="H23" s="226">
        <v>44762</v>
      </c>
      <c r="I23" s="232"/>
    </row>
    <row r="24" spans="1:11" x14ac:dyDescent="0.25">
      <c r="A24" s="221" t="s">
        <v>221</v>
      </c>
      <c r="B24" s="222">
        <v>0.4152777777777778</v>
      </c>
      <c r="C24" s="222">
        <v>0.41666666666666669</v>
      </c>
      <c r="D24" s="222">
        <v>0.83333333333333337</v>
      </c>
      <c r="E24" s="223"/>
      <c r="F24" s="224"/>
      <c r="G24" s="225" t="s">
        <v>37</v>
      </c>
      <c r="H24" s="226">
        <v>44762</v>
      </c>
      <c r="I24" s="232"/>
    </row>
    <row r="25" spans="1:11" hidden="1" x14ac:dyDescent="0.25">
      <c r="A25" s="221" t="s">
        <v>120</v>
      </c>
      <c r="B25" s="222"/>
      <c r="C25" s="222">
        <v>0.625</v>
      </c>
      <c r="D25" s="222">
        <v>0.70833333333333337</v>
      </c>
      <c r="E25" s="223"/>
      <c r="F25" s="224"/>
      <c r="G25" s="225" t="s">
        <v>37</v>
      </c>
      <c r="H25" s="226">
        <v>44762</v>
      </c>
      <c r="I25" s="232"/>
    </row>
    <row r="26" spans="1:11" x14ac:dyDescent="0.25">
      <c r="A26" s="221" t="s">
        <v>198</v>
      </c>
      <c r="B26" s="222"/>
      <c r="C26" s="222" t="s">
        <v>224</v>
      </c>
      <c r="D26" s="222" t="s">
        <v>224</v>
      </c>
      <c r="E26" s="223"/>
      <c r="F26" s="224"/>
      <c r="G26" s="225" t="s">
        <v>37</v>
      </c>
      <c r="H26" s="226">
        <v>44762</v>
      </c>
      <c r="I26" s="232"/>
    </row>
    <row r="27" spans="1:11" x14ac:dyDescent="0.25">
      <c r="A27" s="221" t="s">
        <v>144</v>
      </c>
      <c r="B27" s="222"/>
      <c r="C27" s="222" t="s">
        <v>224</v>
      </c>
      <c r="D27" s="222" t="s">
        <v>224</v>
      </c>
      <c r="E27" s="223"/>
      <c r="F27" s="224"/>
      <c r="G27" s="225" t="s">
        <v>37</v>
      </c>
      <c r="H27" s="226">
        <v>44762</v>
      </c>
      <c r="I27" s="232"/>
    </row>
    <row r="28" spans="1:11" x14ac:dyDescent="0.25">
      <c r="A28" s="221" t="s">
        <v>80</v>
      </c>
      <c r="B28" s="222"/>
      <c r="C28" s="222" t="s">
        <v>225</v>
      </c>
      <c r="D28" s="222" t="s">
        <v>225</v>
      </c>
      <c r="E28" s="223"/>
      <c r="F28" s="224"/>
      <c r="G28" s="225" t="s">
        <v>37</v>
      </c>
      <c r="H28" s="226">
        <v>44762</v>
      </c>
      <c r="I28" s="232"/>
    </row>
    <row r="29" spans="1:11" x14ac:dyDescent="0.25">
      <c r="A29" s="221" t="s">
        <v>213</v>
      </c>
      <c r="B29" s="222"/>
      <c r="C29" s="222" t="s">
        <v>31</v>
      </c>
      <c r="D29" s="222" t="s">
        <v>31</v>
      </c>
      <c r="E29" s="223"/>
      <c r="F29" s="224"/>
      <c r="G29" s="225" t="s">
        <v>37</v>
      </c>
      <c r="H29" s="226">
        <v>44762</v>
      </c>
      <c r="I29" s="232"/>
    </row>
    <row r="30" spans="1:11" x14ac:dyDescent="0.25">
      <c r="A30" s="221" t="s">
        <v>91</v>
      </c>
      <c r="B30" s="222"/>
      <c r="C30" s="222" t="s">
        <v>31</v>
      </c>
      <c r="D30" s="222" t="s">
        <v>31</v>
      </c>
      <c r="E30" s="223"/>
      <c r="F30" s="224"/>
      <c r="G30" s="225" t="s">
        <v>37</v>
      </c>
      <c r="H30" s="226">
        <v>44762</v>
      </c>
      <c r="I30" s="232"/>
    </row>
    <row r="31" spans="1:11" x14ac:dyDescent="0.25">
      <c r="A31" s="221" t="s">
        <v>110</v>
      </c>
      <c r="B31" s="222"/>
      <c r="C31" s="222" t="s">
        <v>31</v>
      </c>
      <c r="D31" s="222" t="s">
        <v>31</v>
      </c>
      <c r="E31" s="223"/>
      <c r="F31" s="224"/>
      <c r="G31" s="225" t="s">
        <v>37</v>
      </c>
      <c r="H31" s="226">
        <v>44762</v>
      </c>
      <c r="I31" s="232"/>
    </row>
    <row r="32" spans="1:11" x14ac:dyDescent="0.25">
      <c r="A32" s="221" t="s">
        <v>126</v>
      </c>
      <c r="B32" s="222"/>
      <c r="C32" s="222" t="s">
        <v>31</v>
      </c>
      <c r="D32" s="222" t="s">
        <v>31</v>
      </c>
      <c r="E32" s="223"/>
      <c r="F32" s="224"/>
      <c r="G32" s="225" t="s">
        <v>37</v>
      </c>
      <c r="H32" s="226">
        <v>44762</v>
      </c>
      <c r="I32" s="232"/>
    </row>
    <row r="33" spans="1:9" x14ac:dyDescent="0.25">
      <c r="A33" s="221" t="s">
        <v>219</v>
      </c>
      <c r="B33" s="222"/>
      <c r="C33" s="222" t="s">
        <v>31</v>
      </c>
      <c r="D33" s="222" t="s">
        <v>31</v>
      </c>
      <c r="E33" s="223"/>
      <c r="F33" s="224"/>
      <c r="G33" s="225" t="s">
        <v>37</v>
      </c>
      <c r="H33" s="226">
        <v>44762</v>
      </c>
      <c r="I33" s="232"/>
    </row>
  </sheetData>
  <conditionalFormatting sqref="C3:D8 C10:D15 C20:D22 C24:D24 C26:D28">
    <cfRule type="cellIs" dxfId="138" priority="145" operator="equal">
      <formula>"OFF"</formula>
    </cfRule>
  </conditionalFormatting>
  <conditionalFormatting sqref="C16:D18">
    <cfRule type="cellIs" dxfId="137" priority="75" operator="equal">
      <formula>"OFF"</formula>
    </cfRule>
  </conditionalFormatting>
  <conditionalFormatting sqref="B2:D2 B3:B33">
    <cfRule type="cellIs" dxfId="136" priority="65" operator="equal">
      <formula>"OFF"</formula>
    </cfRule>
  </conditionalFormatting>
  <conditionalFormatting sqref="C19">
    <cfRule type="cellIs" dxfId="135" priority="35" operator="equal">
      <formula>"OFF"</formula>
    </cfRule>
  </conditionalFormatting>
  <conditionalFormatting sqref="D19">
    <cfRule type="cellIs" dxfId="134" priority="34" operator="equal">
      <formula>"OFF"</formula>
    </cfRule>
  </conditionalFormatting>
  <conditionalFormatting sqref="C9:D9">
    <cfRule type="cellIs" dxfId="133" priority="21" operator="equal">
      <formula>"OFF"</formula>
    </cfRule>
  </conditionalFormatting>
  <conditionalFormatting sqref="C29:D33">
    <cfRule type="cellIs" dxfId="132" priority="7" operator="equal">
      <formula>"OFF"</formula>
    </cfRule>
  </conditionalFormatting>
  <conditionalFormatting sqref="K19">
    <cfRule type="cellIs" dxfId="131" priority="4" operator="equal">
      <formula>"OFF"</formula>
    </cfRule>
  </conditionalFormatting>
  <conditionalFormatting sqref="C25">
    <cfRule type="cellIs" dxfId="130" priority="3" operator="equal">
      <formula>"OFF"</formula>
    </cfRule>
  </conditionalFormatting>
  <conditionalFormatting sqref="D25">
    <cfRule type="cellIs" dxfId="129" priority="2" operator="equal">
      <formula>"OFF"</formula>
    </cfRule>
  </conditionalFormatting>
  <conditionalFormatting sqref="C23:D23">
    <cfRule type="cellIs" dxfId="128" priority="1" operator="equal">
      <formula>"OFF"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8"/>
  <dimension ref="A1:B55"/>
  <sheetViews>
    <sheetView workbookViewId="0">
      <selection activeCell="B26" sqref="B26"/>
    </sheetView>
  </sheetViews>
  <sheetFormatPr baseColWidth="10" defaultRowHeight="15" x14ac:dyDescent="0.25"/>
  <cols>
    <col min="1" max="1" width="24.28515625" bestFit="1" customWidth="1"/>
  </cols>
  <sheetData>
    <row r="1" spans="1:2" x14ac:dyDescent="0.25">
      <c r="A1" s="106"/>
      <c r="B1" s="106" t="s">
        <v>81</v>
      </c>
    </row>
    <row r="2" spans="1:2" x14ac:dyDescent="0.25">
      <c r="A2" s="107" t="s">
        <v>128</v>
      </c>
      <c r="B2" s="108">
        <v>0.41597222222222219</v>
      </c>
    </row>
    <row r="3" spans="1:2" x14ac:dyDescent="0.25">
      <c r="A3" s="107" t="s">
        <v>129</v>
      </c>
      <c r="B3" s="108">
        <v>0.41597222222222219</v>
      </c>
    </row>
    <row r="4" spans="1:2" x14ac:dyDescent="0.25">
      <c r="A4" s="107" t="s">
        <v>101</v>
      </c>
      <c r="B4" s="108">
        <v>0.33333333333333331</v>
      </c>
    </row>
    <row r="5" spans="1:2" ht="15.75" thickBot="1" x14ac:dyDescent="0.3">
      <c r="A5" s="107" t="s">
        <v>109</v>
      </c>
      <c r="B5" s="108">
        <v>0.33263888888888887</v>
      </c>
    </row>
    <row r="6" spans="1:2" ht="15.75" thickBot="1" x14ac:dyDescent="0.3">
      <c r="A6" s="150" t="s">
        <v>102</v>
      </c>
      <c r="B6" s="108">
        <v>0.33194444444444443</v>
      </c>
    </row>
    <row r="7" spans="1:2" ht="15.75" thickBot="1" x14ac:dyDescent="0.3">
      <c r="A7" s="150" t="s">
        <v>86</v>
      </c>
      <c r="B7" s="108">
        <v>0.3444444444444445</v>
      </c>
    </row>
    <row r="8" spans="1:2" x14ac:dyDescent="0.25">
      <c r="A8" s="107" t="s">
        <v>130</v>
      </c>
      <c r="B8" s="108">
        <v>0.33263888888888887</v>
      </c>
    </row>
    <row r="9" spans="1:2" ht="15.75" thickBot="1" x14ac:dyDescent="0.3">
      <c r="A9" s="107" t="s">
        <v>131</v>
      </c>
      <c r="B9" s="108">
        <v>0.33194444444444443</v>
      </c>
    </row>
    <row r="10" spans="1:2" ht="15.75" thickBot="1" x14ac:dyDescent="0.3">
      <c r="A10" s="150" t="s">
        <v>103</v>
      </c>
      <c r="B10" s="108">
        <v>0.31875000000000003</v>
      </c>
    </row>
    <row r="11" spans="1:2" x14ac:dyDescent="0.25">
      <c r="A11" s="107" t="s">
        <v>132</v>
      </c>
      <c r="B11" s="108">
        <v>0.41388888888888892</v>
      </c>
    </row>
    <row r="12" spans="1:2" x14ac:dyDescent="0.25">
      <c r="A12" s="107" t="s">
        <v>80</v>
      </c>
      <c r="B12" s="108">
        <v>0.33263888888888887</v>
      </c>
    </row>
    <row r="13" spans="1:2" x14ac:dyDescent="0.25">
      <c r="A13" s="107" t="s">
        <v>133</v>
      </c>
      <c r="B13" s="108">
        <v>0.41388888888888892</v>
      </c>
    </row>
    <row r="14" spans="1:2" x14ac:dyDescent="0.25">
      <c r="A14" s="107" t="s">
        <v>134</v>
      </c>
      <c r="B14" s="108">
        <v>0.4152777777777778</v>
      </c>
    </row>
    <row r="15" spans="1:2" x14ac:dyDescent="0.25">
      <c r="A15" s="107" t="s">
        <v>135</v>
      </c>
      <c r="B15" s="108">
        <v>0.41180555555555554</v>
      </c>
    </row>
    <row r="16" spans="1:2" x14ac:dyDescent="0.25">
      <c r="A16" s="107" t="s">
        <v>136</v>
      </c>
      <c r="B16" s="108">
        <v>0.33263888888888887</v>
      </c>
    </row>
    <row r="17" spans="1:2" x14ac:dyDescent="0.25">
      <c r="A17" s="107" t="s">
        <v>137</v>
      </c>
      <c r="B17" s="108">
        <v>0.41597222222222219</v>
      </c>
    </row>
    <row r="18" spans="1:2" x14ac:dyDescent="0.25">
      <c r="A18" s="107" t="s">
        <v>138</v>
      </c>
      <c r="B18" s="108">
        <v>0.41250000000000003</v>
      </c>
    </row>
    <row r="19" spans="1:2" x14ac:dyDescent="0.25">
      <c r="A19" s="107" t="s">
        <v>139</v>
      </c>
      <c r="B19" s="108">
        <v>0.33055555555555555</v>
      </c>
    </row>
    <row r="20" spans="1:2" x14ac:dyDescent="0.25">
      <c r="A20" s="107" t="s">
        <v>140</v>
      </c>
      <c r="B20" s="108">
        <v>0.41250000000000003</v>
      </c>
    </row>
    <row r="21" spans="1:2" x14ac:dyDescent="0.25">
      <c r="B21" s="109"/>
    </row>
    <row r="22" spans="1:2" x14ac:dyDescent="0.25">
      <c r="B22" s="109"/>
    </row>
    <row r="23" spans="1:2" x14ac:dyDescent="0.25">
      <c r="A23" s="93"/>
      <c r="B23" s="109"/>
    </row>
    <row r="24" spans="1:2" x14ac:dyDescent="0.25">
      <c r="A24" s="93"/>
      <c r="B24" s="109"/>
    </row>
    <row r="25" spans="1:2" x14ac:dyDescent="0.25">
      <c r="A25" s="93"/>
      <c r="B25" s="109"/>
    </row>
    <row r="26" spans="1:2" x14ac:dyDescent="0.25">
      <c r="A26" s="93"/>
      <c r="B26" s="109"/>
    </row>
    <row r="27" spans="1:2" x14ac:dyDescent="0.25">
      <c r="A27" s="93"/>
      <c r="B27" s="109"/>
    </row>
    <row r="28" spans="1:2" x14ac:dyDescent="0.25">
      <c r="A28" s="93"/>
      <c r="B28" s="109"/>
    </row>
    <row r="29" spans="1:2" x14ac:dyDescent="0.25">
      <c r="A29" s="93"/>
      <c r="B29" s="109"/>
    </row>
    <row r="30" spans="1:2" x14ac:dyDescent="0.25">
      <c r="B30" s="109"/>
    </row>
    <row r="31" spans="1:2" x14ac:dyDescent="0.25">
      <c r="B31" s="109"/>
    </row>
    <row r="32" spans="1:2" x14ac:dyDescent="0.25">
      <c r="A32" s="93"/>
      <c r="B32" s="109"/>
    </row>
    <row r="33" spans="1:2" x14ac:dyDescent="0.25">
      <c r="B33" s="109"/>
    </row>
    <row r="34" spans="1:2" x14ac:dyDescent="0.25">
      <c r="B34" s="109"/>
    </row>
    <row r="35" spans="1:2" x14ac:dyDescent="0.25">
      <c r="A35" s="93"/>
      <c r="B35" s="109"/>
    </row>
    <row r="36" spans="1:2" x14ac:dyDescent="0.25">
      <c r="B36" s="109"/>
    </row>
    <row r="37" spans="1:2" x14ac:dyDescent="0.25">
      <c r="A37" s="106"/>
      <c r="B37" s="122"/>
    </row>
    <row r="38" spans="1:2" x14ac:dyDescent="0.25">
      <c r="A38" s="93"/>
      <c r="B38" s="108"/>
    </row>
    <row r="39" spans="1:2" x14ac:dyDescent="0.25">
      <c r="A39" s="93"/>
      <c r="B39" s="109"/>
    </row>
    <row r="40" spans="1:2" x14ac:dyDescent="0.25">
      <c r="B40" s="109"/>
    </row>
    <row r="41" spans="1:2" x14ac:dyDescent="0.25">
      <c r="B41" s="109"/>
    </row>
    <row r="42" spans="1:2" x14ac:dyDescent="0.25">
      <c r="B42" s="109"/>
    </row>
    <row r="43" spans="1:2" x14ac:dyDescent="0.25">
      <c r="B43" s="109"/>
    </row>
    <row r="44" spans="1:2" x14ac:dyDescent="0.25">
      <c r="B44" s="109"/>
    </row>
    <row r="45" spans="1:2" x14ac:dyDescent="0.25">
      <c r="B45" s="109"/>
    </row>
    <row r="46" spans="1:2" x14ac:dyDescent="0.25">
      <c r="B46" s="109"/>
    </row>
    <row r="47" spans="1:2" x14ac:dyDescent="0.25">
      <c r="B47" s="109"/>
    </row>
    <row r="48" spans="1:2" x14ac:dyDescent="0.25">
      <c r="B48" s="109"/>
    </row>
    <row r="49" spans="2:2" x14ac:dyDescent="0.25">
      <c r="B49" s="109"/>
    </row>
    <row r="50" spans="2:2" x14ac:dyDescent="0.25">
      <c r="B50" s="109"/>
    </row>
    <row r="51" spans="2:2" x14ac:dyDescent="0.25">
      <c r="B51" s="109"/>
    </row>
    <row r="52" spans="2:2" x14ac:dyDescent="0.25">
      <c r="B52" s="109"/>
    </row>
    <row r="53" spans="2:2" x14ac:dyDescent="0.25">
      <c r="B53" s="109"/>
    </row>
    <row r="54" spans="2:2" x14ac:dyDescent="0.25">
      <c r="B54" s="109"/>
    </row>
    <row r="55" spans="2:2" x14ac:dyDescent="0.25">
      <c r="B55" s="109"/>
    </row>
  </sheetData>
  <conditionalFormatting sqref="A23">
    <cfRule type="cellIs" dxfId="127" priority="320" operator="equal">
      <formula>"OFF"</formula>
    </cfRule>
  </conditionalFormatting>
  <conditionalFormatting sqref="A32">
    <cfRule type="cellIs" dxfId="126" priority="315" operator="equal">
      <formula>"OFF"</formula>
    </cfRule>
  </conditionalFormatting>
  <conditionalFormatting sqref="A28">
    <cfRule type="cellIs" dxfId="125" priority="312" operator="equal">
      <formula>"OFF"</formula>
    </cfRule>
  </conditionalFormatting>
  <conditionalFormatting sqref="A25">
    <cfRule type="cellIs" dxfId="124" priority="311" operator="equal">
      <formula>"OFF"</formula>
    </cfRule>
  </conditionalFormatting>
  <conditionalFormatting sqref="A39">
    <cfRule type="cellIs" dxfId="123" priority="304" operator="equal">
      <formula>"OFF"</formula>
    </cfRule>
  </conditionalFormatting>
  <conditionalFormatting sqref="A24">
    <cfRule type="cellIs" dxfId="122" priority="301" operator="equal">
      <formula>"OFF"</formula>
    </cfRule>
  </conditionalFormatting>
  <conditionalFormatting sqref="A35">
    <cfRule type="cellIs" dxfId="121" priority="294" operator="equal">
      <formula>"OFF"</formula>
    </cfRule>
  </conditionalFormatting>
  <conditionalFormatting sqref="A26">
    <cfRule type="cellIs" dxfId="120" priority="292" operator="equal">
      <formula>"OFF"</formula>
    </cfRule>
  </conditionalFormatting>
  <conditionalFormatting sqref="A29">
    <cfRule type="cellIs" dxfId="119" priority="290" operator="equal">
      <formula>"OFF"</formula>
    </cfRule>
  </conditionalFormatting>
  <conditionalFormatting sqref="A38">
    <cfRule type="cellIs" dxfId="118" priority="289" operator="equal">
      <formula>"OFF"</formula>
    </cfRule>
  </conditionalFormatting>
  <conditionalFormatting sqref="A27">
    <cfRule type="cellIs" dxfId="117" priority="287" operator="equal">
      <formula>"OFF"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2"/>
  <dimension ref="A1:K225"/>
  <sheetViews>
    <sheetView zoomScale="90" zoomScaleNormal="90" workbookViewId="0">
      <pane ySplit="1" topLeftCell="A2" activePane="bottomLeft" state="frozen"/>
      <selection activeCell="C3075" sqref="C3075"/>
      <selection pane="bottomLeft" activeCell="D226" sqref="D226"/>
    </sheetView>
  </sheetViews>
  <sheetFormatPr baseColWidth="10" defaultColWidth="11.42578125" defaultRowHeight="15" x14ac:dyDescent="0.25"/>
  <cols>
    <col min="1" max="1" width="37.7109375" style="45" customWidth="1"/>
    <col min="2" max="2" width="11.7109375" style="46" customWidth="1"/>
    <col min="3" max="3" width="20.28515625" style="47" customWidth="1"/>
    <col min="4" max="4" width="20.42578125" style="48" customWidth="1"/>
    <col min="5" max="5" width="16.42578125" style="46" bestFit="1" customWidth="1"/>
    <col min="6" max="6" width="12.42578125" style="46" bestFit="1" customWidth="1"/>
    <col min="7" max="9" width="11.42578125" style="46"/>
    <col min="10" max="10" width="19.7109375" style="46" bestFit="1" customWidth="1"/>
    <col min="11" max="16384" width="11.42578125" style="46"/>
  </cols>
  <sheetData>
    <row r="1" spans="1:11" x14ac:dyDescent="0.25">
      <c r="A1" s="72" t="s">
        <v>0</v>
      </c>
      <c r="B1" s="73" t="s">
        <v>4</v>
      </c>
      <c r="C1" s="74" t="s">
        <v>25</v>
      </c>
      <c r="D1" s="75" t="s">
        <v>26</v>
      </c>
      <c r="E1" s="74" t="s">
        <v>49</v>
      </c>
      <c r="F1" s="73" t="s">
        <v>24</v>
      </c>
      <c r="G1" s="73" t="s">
        <v>98</v>
      </c>
      <c r="H1" s="73" t="s">
        <v>108</v>
      </c>
    </row>
    <row r="2" spans="1:11" ht="14.65" hidden="1" customHeight="1" x14ac:dyDescent="0.25">
      <c r="A2" s="80" t="s">
        <v>213</v>
      </c>
      <c r="B2" s="80">
        <v>44761</v>
      </c>
      <c r="C2" s="82" t="s">
        <v>31</v>
      </c>
      <c r="D2" s="82" t="s">
        <v>31</v>
      </c>
      <c r="E2" s="86">
        <f>WEEKNUM(Planning2[[#This Row],[Date]],21)</f>
        <v>30</v>
      </c>
      <c r="F2" s="87" t="str">
        <f>VLOOKUP(A2,Annuaire_roster!B:C,2,0)</f>
        <v>Google Leads</v>
      </c>
      <c r="G2" s="73"/>
      <c r="H2" s="73"/>
      <c r="J2" s="166"/>
      <c r="K2" s="239"/>
    </row>
    <row r="3" spans="1:11" ht="14.65" hidden="1" customHeight="1" x14ac:dyDescent="0.25">
      <c r="A3" s="80" t="s">
        <v>80</v>
      </c>
      <c r="B3" s="80">
        <v>44761</v>
      </c>
      <c r="C3" s="82" t="s">
        <v>225</v>
      </c>
      <c r="D3" s="82" t="s">
        <v>225</v>
      </c>
      <c r="E3" s="86">
        <f>WEEKNUM(Planning2[[#This Row],[Date]],21)</f>
        <v>30</v>
      </c>
      <c r="F3" s="87" t="str">
        <f>VLOOKUP(A3,Annuaire_roster!B:C,2,0)</f>
        <v>Google Leads</v>
      </c>
      <c r="G3" s="73"/>
      <c r="H3" s="73"/>
      <c r="J3" s="166"/>
      <c r="K3" s="239"/>
    </row>
    <row r="4" spans="1:11" ht="14.65" hidden="1" customHeight="1" x14ac:dyDescent="0.25">
      <c r="A4" s="80" t="s">
        <v>45</v>
      </c>
      <c r="B4" s="80">
        <v>44761</v>
      </c>
      <c r="C4" s="82">
        <v>0.29166666666666669</v>
      </c>
      <c r="D4" s="82">
        <v>0.70833333333333337</v>
      </c>
      <c r="E4" s="86">
        <f>WEEKNUM(Planning2[[#This Row],[Date]],21)</f>
        <v>30</v>
      </c>
      <c r="F4" s="87" t="str">
        <f>VLOOKUP(A4,Annuaire_roster!B:C,2,0)</f>
        <v>Google Leads</v>
      </c>
      <c r="G4" s="73"/>
      <c r="H4" s="73"/>
    </row>
    <row r="5" spans="1:11" ht="14.65" hidden="1" customHeight="1" x14ac:dyDescent="0.25">
      <c r="A5" s="80" t="s">
        <v>76</v>
      </c>
      <c r="B5" s="80">
        <v>44761</v>
      </c>
      <c r="C5" s="82">
        <v>0.29166666666666669</v>
      </c>
      <c r="D5" s="82">
        <v>0.66666666666666663</v>
      </c>
      <c r="E5" s="76">
        <f>WEEKNUM(Planning2[[#This Row],[Date]],21)</f>
        <v>30</v>
      </c>
      <c r="F5" s="77" t="str">
        <f>VLOOKUP(A5,Annuaire_roster!B:C,2,0)</f>
        <v>Google Leads</v>
      </c>
      <c r="G5" s="73"/>
      <c r="H5" s="73"/>
    </row>
    <row r="6" spans="1:11" ht="14.65" hidden="1" customHeight="1" x14ac:dyDescent="0.25">
      <c r="A6" s="80" t="s">
        <v>83</v>
      </c>
      <c r="B6" s="80">
        <v>44761</v>
      </c>
      <c r="C6" s="82">
        <v>0.41666666666666669</v>
      </c>
      <c r="D6" s="82">
        <v>0.83333333333333337</v>
      </c>
      <c r="E6" s="86">
        <f>WEEKNUM(Planning2[[#This Row],[Date]],21)</f>
        <v>30</v>
      </c>
      <c r="F6" s="87" t="str">
        <f>VLOOKUP(A6,Annuaire_roster!B:C,2,0)</f>
        <v>Google Leads</v>
      </c>
      <c r="G6" s="73"/>
      <c r="H6" s="73"/>
      <c r="J6" s="163"/>
      <c r="K6" s="240"/>
    </row>
    <row r="7" spans="1:11" ht="14.65" hidden="1" customHeight="1" x14ac:dyDescent="0.25">
      <c r="A7" s="80" t="s">
        <v>87</v>
      </c>
      <c r="B7" s="80">
        <v>44761</v>
      </c>
      <c r="C7" s="82">
        <v>0.41666666666666669</v>
      </c>
      <c r="D7" s="82">
        <v>0.83333333333333337</v>
      </c>
      <c r="E7" s="86">
        <f>WEEKNUM(Planning2[[#This Row],[Date]],21)</f>
        <v>30</v>
      </c>
      <c r="F7" s="87" t="str">
        <f>VLOOKUP(A7,Annuaire_roster!B:C,2,0)</f>
        <v>Google Leads</v>
      </c>
      <c r="G7" s="73"/>
      <c r="H7" s="73"/>
      <c r="J7" s="163"/>
      <c r="K7" s="240"/>
    </row>
    <row r="8" spans="1:11" ht="14.65" hidden="1" customHeight="1" x14ac:dyDescent="0.25">
      <c r="A8" s="80" t="s">
        <v>85</v>
      </c>
      <c r="B8" s="80">
        <v>44761</v>
      </c>
      <c r="C8" s="82">
        <v>0.41666666666666669</v>
      </c>
      <c r="D8" s="82">
        <v>0.83333333333333337</v>
      </c>
      <c r="E8" s="86">
        <f>WEEKNUM(Planning2[[#This Row],[Date]],21)</f>
        <v>30</v>
      </c>
      <c r="F8" s="121" t="str">
        <f>VLOOKUP(A8,Annuaire_roster!B:C,2,0)</f>
        <v>Google Leads</v>
      </c>
      <c r="G8" s="73"/>
      <c r="H8" s="73"/>
      <c r="J8" s="163"/>
      <c r="K8" s="240"/>
    </row>
    <row r="9" spans="1:11" ht="14.65" hidden="1" customHeight="1" x14ac:dyDescent="0.25">
      <c r="A9" s="80" t="s">
        <v>89</v>
      </c>
      <c r="B9" s="80">
        <v>44761</v>
      </c>
      <c r="C9" s="82">
        <v>0.29166666666666669</v>
      </c>
      <c r="D9" s="82">
        <v>0.70833333333333337</v>
      </c>
      <c r="E9" s="86">
        <f>WEEKNUM(Planning2[[#This Row],[Date]],21)</f>
        <v>30</v>
      </c>
      <c r="F9" s="121" t="str">
        <f>VLOOKUP(A9,Annuaire_roster!B:C,2,0)</f>
        <v>Google Leads</v>
      </c>
      <c r="G9" s="73"/>
      <c r="H9" s="73"/>
    </row>
    <row r="10" spans="1:11" ht="14.65" hidden="1" customHeight="1" x14ac:dyDescent="0.25">
      <c r="A10" s="80" t="s">
        <v>94</v>
      </c>
      <c r="B10" s="80">
        <v>44761</v>
      </c>
      <c r="C10" s="82">
        <v>0.41666666666666669</v>
      </c>
      <c r="D10" s="82">
        <v>0.83333333333333337</v>
      </c>
      <c r="E10" s="86">
        <f>WEEKNUM(Planning2[[#This Row],[Date]],21)</f>
        <v>30</v>
      </c>
      <c r="F10" s="87" t="str">
        <f>VLOOKUP(A10,Annuaire_roster!B:C,2,0)</f>
        <v>Google Leads</v>
      </c>
      <c r="G10" s="73"/>
      <c r="H10" s="73"/>
      <c r="J10" s="163"/>
    </row>
    <row r="11" spans="1:11" ht="14.65" hidden="1" customHeight="1" x14ac:dyDescent="0.25">
      <c r="A11" s="80" t="s">
        <v>91</v>
      </c>
      <c r="B11" s="80">
        <v>44761</v>
      </c>
      <c r="C11" s="82" t="s">
        <v>31</v>
      </c>
      <c r="D11" s="82" t="s">
        <v>31</v>
      </c>
      <c r="E11" s="86">
        <f>WEEKNUM(Planning2[[#This Row],[Date]],21)</f>
        <v>30</v>
      </c>
      <c r="F11" s="87" t="str">
        <f>VLOOKUP(A11,Annuaire_roster!B:C,2,0)</f>
        <v>Google Leads</v>
      </c>
      <c r="G11" s="73"/>
      <c r="H11" s="73"/>
    </row>
    <row r="12" spans="1:11" ht="14.65" hidden="1" customHeight="1" x14ac:dyDescent="0.25">
      <c r="A12" s="80" t="s">
        <v>214</v>
      </c>
      <c r="B12" s="80">
        <v>44761</v>
      </c>
      <c r="C12" s="82">
        <v>0.29166666666666669</v>
      </c>
      <c r="D12" s="82">
        <v>0.70833333333333337</v>
      </c>
      <c r="E12" s="86">
        <f>WEEKNUM(Planning2[[#This Row],[Date]],21)</f>
        <v>30</v>
      </c>
      <c r="F12" s="87" t="str">
        <f>VLOOKUP(A12,Annuaire_roster!B:C,2,0)</f>
        <v>Google Leads</v>
      </c>
      <c r="G12" s="73"/>
      <c r="H12" s="73"/>
    </row>
    <row r="13" spans="1:11" ht="14.65" hidden="1" customHeight="1" x14ac:dyDescent="0.25">
      <c r="A13" s="80" t="s">
        <v>102</v>
      </c>
      <c r="B13" s="80">
        <v>44761</v>
      </c>
      <c r="C13" s="82">
        <v>0.29166666666666669</v>
      </c>
      <c r="D13" s="82">
        <v>0.70833333333333337</v>
      </c>
      <c r="E13" s="76">
        <f>WEEKNUM(Planning2[[#This Row],[Date]],21)</f>
        <v>30</v>
      </c>
      <c r="F13" s="77" t="str">
        <f>VLOOKUP(A13,Annuaire_roster!B:C,2,0)</f>
        <v>Google Leads</v>
      </c>
      <c r="G13" s="129"/>
      <c r="H13" s="73"/>
    </row>
    <row r="14" spans="1:11" ht="14.65" hidden="1" customHeight="1" x14ac:dyDescent="0.25">
      <c r="A14" s="80" t="s">
        <v>215</v>
      </c>
      <c r="B14" s="80">
        <v>44761</v>
      </c>
      <c r="C14" s="82">
        <v>0.41666666666666669</v>
      </c>
      <c r="D14" s="82">
        <v>0.83333333333333337</v>
      </c>
      <c r="E14" s="76">
        <f>WEEKNUM(Planning2[[#This Row],[Date]],21)</f>
        <v>30</v>
      </c>
      <c r="F14" s="77" t="str">
        <f>VLOOKUP(A14,Annuaire_roster!B:C,2,0)</f>
        <v>Google Leads</v>
      </c>
      <c r="G14" s="129"/>
      <c r="H14" s="73"/>
    </row>
    <row r="15" spans="1:11" ht="14.65" hidden="1" customHeight="1" x14ac:dyDescent="0.25">
      <c r="A15" s="80" t="s">
        <v>88</v>
      </c>
      <c r="B15" s="80">
        <v>44761</v>
      </c>
      <c r="C15" s="82">
        <v>0.625</v>
      </c>
      <c r="D15" s="82">
        <v>0.70833333333333337</v>
      </c>
      <c r="E15" s="76">
        <f>WEEKNUM(Planning2[[#This Row],[Date]],21)</f>
        <v>30</v>
      </c>
      <c r="F15" s="77" t="str">
        <f>VLOOKUP(A15,Annuaire_roster!B:C,2,0)</f>
        <v>Google Leads</v>
      </c>
      <c r="G15" s="129"/>
      <c r="H15" s="73"/>
    </row>
    <row r="16" spans="1:11" ht="14.65" hidden="1" customHeight="1" x14ac:dyDescent="0.25">
      <c r="A16" s="80" t="s">
        <v>106</v>
      </c>
      <c r="B16" s="80">
        <v>44761</v>
      </c>
      <c r="C16" s="82">
        <v>0.375</v>
      </c>
      <c r="D16" s="82">
        <v>0.79166666666666663</v>
      </c>
      <c r="E16" s="76">
        <f>WEEKNUM(Planning2[[#This Row],[Date]],21)</f>
        <v>30</v>
      </c>
      <c r="F16" s="77" t="str">
        <f>VLOOKUP(A16,Annuaire_roster!B:C,2,0)</f>
        <v>Google Leads</v>
      </c>
      <c r="G16" s="129"/>
      <c r="H16" s="73"/>
    </row>
    <row r="17" spans="1:8" ht="14.65" hidden="1" customHeight="1" x14ac:dyDescent="0.25">
      <c r="A17" s="80" t="s">
        <v>110</v>
      </c>
      <c r="B17" s="80">
        <v>44761</v>
      </c>
      <c r="C17" s="82" t="s">
        <v>31</v>
      </c>
      <c r="D17" s="82" t="s">
        <v>31</v>
      </c>
      <c r="E17" s="76">
        <f>WEEKNUM(Planning2[[#This Row],[Date]],21)</f>
        <v>30</v>
      </c>
      <c r="F17" s="77" t="str">
        <f>VLOOKUP(A17,Annuaire_roster!B:C,2,0)</f>
        <v>Google Leads</v>
      </c>
      <c r="G17" s="129"/>
      <c r="H17" s="73"/>
    </row>
    <row r="18" spans="1:8" ht="14.65" hidden="1" customHeight="1" x14ac:dyDescent="0.25">
      <c r="A18" s="80" t="s">
        <v>126</v>
      </c>
      <c r="B18" s="80">
        <v>44761</v>
      </c>
      <c r="C18" s="82" t="s">
        <v>31</v>
      </c>
      <c r="D18" s="82" t="s">
        <v>31</v>
      </c>
      <c r="E18" s="76">
        <f>WEEKNUM(Planning2[[#This Row],[Date]],21)</f>
        <v>30</v>
      </c>
      <c r="F18" s="77" t="str">
        <f>VLOOKUP(A18,Annuaire_roster!B:C,2,0)</f>
        <v>Google Leads</v>
      </c>
      <c r="G18" s="129"/>
      <c r="H18" s="73"/>
    </row>
    <row r="19" spans="1:8" ht="14.65" hidden="1" customHeight="1" x14ac:dyDescent="0.25">
      <c r="A19" s="80" t="s">
        <v>141</v>
      </c>
      <c r="B19" s="80">
        <v>44761</v>
      </c>
      <c r="C19" s="82">
        <v>0.625</v>
      </c>
      <c r="D19" s="82">
        <v>0.70833333333333337</v>
      </c>
      <c r="E19" s="76">
        <f>WEEKNUM(Planning2[[#This Row],[Date]],21)</f>
        <v>30</v>
      </c>
      <c r="F19" s="77" t="str">
        <f>VLOOKUP(A19,Annuaire_roster!B:C,2,0)</f>
        <v>Google Leads</v>
      </c>
      <c r="G19" s="129"/>
      <c r="H19" s="73"/>
    </row>
    <row r="20" spans="1:8" ht="14.65" hidden="1" customHeight="1" x14ac:dyDescent="0.25">
      <c r="A20" s="80" t="s">
        <v>120</v>
      </c>
      <c r="B20" s="80">
        <v>44761</v>
      </c>
      <c r="C20" s="82">
        <v>0.625</v>
      </c>
      <c r="D20" s="82">
        <v>0.70833333333333337</v>
      </c>
      <c r="E20" s="76">
        <f>WEEKNUM(Planning2[[#This Row],[Date]],21)</f>
        <v>30</v>
      </c>
      <c r="F20" s="77" t="str">
        <f>VLOOKUP(A20,Annuaire_roster!B:C,2,0)</f>
        <v>Google Leads</v>
      </c>
      <c r="G20" s="129"/>
      <c r="H20" s="73"/>
    </row>
    <row r="21" spans="1:8" ht="14.65" hidden="1" customHeight="1" x14ac:dyDescent="0.25">
      <c r="A21" s="80" t="s">
        <v>144</v>
      </c>
      <c r="B21" s="80">
        <v>44761</v>
      </c>
      <c r="C21" s="82" t="s">
        <v>224</v>
      </c>
      <c r="D21" s="82" t="s">
        <v>224</v>
      </c>
      <c r="E21" s="76">
        <f>WEEKNUM(Planning2[[#This Row],[Date]],21)</f>
        <v>30</v>
      </c>
      <c r="F21" s="77" t="str">
        <f>VLOOKUP(A21,Annuaire_roster!B:C,2,0)</f>
        <v>Google Leads</v>
      </c>
      <c r="G21" s="129"/>
      <c r="H21" s="73"/>
    </row>
    <row r="22" spans="1:8" ht="14.65" hidden="1" customHeight="1" x14ac:dyDescent="0.25">
      <c r="A22" s="80" t="s">
        <v>196</v>
      </c>
      <c r="B22" s="80">
        <v>44761</v>
      </c>
      <c r="C22" s="82">
        <v>0.29166666666666669</v>
      </c>
      <c r="D22" s="82">
        <v>0.66666666666666663</v>
      </c>
      <c r="E22" s="76">
        <f>WEEKNUM(Planning2[[#This Row],[Date]],21)</f>
        <v>30</v>
      </c>
      <c r="F22" s="77" t="str">
        <f>VLOOKUP(A22,Annuaire_roster!B:C,2,0)</f>
        <v>Google Leads</v>
      </c>
      <c r="G22" s="129"/>
      <c r="H22" s="73"/>
    </row>
    <row r="23" spans="1:8" ht="14.65" hidden="1" customHeight="1" x14ac:dyDescent="0.25">
      <c r="A23" s="80" t="s">
        <v>197</v>
      </c>
      <c r="B23" s="80">
        <v>44761</v>
      </c>
      <c r="C23" s="82">
        <v>0.29166666666666669</v>
      </c>
      <c r="D23" s="82">
        <v>0.70833333333333337</v>
      </c>
      <c r="E23" s="76">
        <f>WEEKNUM(Planning2[[#This Row],[Date]],21)</f>
        <v>30</v>
      </c>
      <c r="F23" s="77" t="str">
        <f>VLOOKUP(A23,Annuaire_roster!B:C,2,0)</f>
        <v>Google Leads</v>
      </c>
      <c r="G23" s="129"/>
      <c r="H23" s="73"/>
    </row>
    <row r="24" spans="1:8" ht="14.65" hidden="1" customHeight="1" x14ac:dyDescent="0.25">
      <c r="A24" s="80" t="s">
        <v>198</v>
      </c>
      <c r="B24" s="80">
        <v>44761</v>
      </c>
      <c r="C24" s="82" t="s">
        <v>224</v>
      </c>
      <c r="D24" s="82" t="s">
        <v>224</v>
      </c>
      <c r="E24" s="76">
        <f>WEEKNUM(Planning2[[#This Row],[Date]],21)</f>
        <v>30</v>
      </c>
      <c r="F24" s="77" t="str">
        <f>VLOOKUP(A24,Annuaire_roster!B:C,2,0)</f>
        <v>Google Leads</v>
      </c>
      <c r="G24" s="129"/>
      <c r="H24" s="73"/>
    </row>
    <row r="25" spans="1:8" ht="14.65" hidden="1" customHeight="1" x14ac:dyDescent="0.25">
      <c r="A25" s="80" t="s">
        <v>209</v>
      </c>
      <c r="B25" s="80">
        <v>44761</v>
      </c>
      <c r="C25" s="158" t="s">
        <v>31</v>
      </c>
      <c r="D25" s="158" t="s">
        <v>31</v>
      </c>
      <c r="E25" s="159">
        <f>WEEKNUM(Planning2[[#This Row],[Date]],21)</f>
        <v>30</v>
      </c>
      <c r="F25" s="160" t="str">
        <f>VLOOKUP(A25,Annuaire_roster!B:C,2,0)</f>
        <v>Google Leads</v>
      </c>
      <c r="G25" s="161"/>
      <c r="H25" s="162"/>
    </row>
    <row r="26" spans="1:8" ht="14.65" hidden="1" customHeight="1" x14ac:dyDescent="0.25">
      <c r="A26" s="80" t="s">
        <v>210</v>
      </c>
      <c r="B26" s="80">
        <v>44761</v>
      </c>
      <c r="C26" s="158">
        <v>0.29166666666666669</v>
      </c>
      <c r="D26" s="158">
        <v>0.70833333333333337</v>
      </c>
      <c r="E26" s="76">
        <f>WEEKNUM(Planning2[[#This Row],[Date]],21)</f>
        <v>30</v>
      </c>
      <c r="F26" s="77" t="str">
        <f>VLOOKUP(A26,Annuaire_roster!B:C,2,0)</f>
        <v>Google Leads</v>
      </c>
      <c r="G26" s="129"/>
      <c r="H26" s="162"/>
    </row>
    <row r="27" spans="1:8" ht="14.65" hidden="1" customHeight="1" x14ac:dyDescent="0.25">
      <c r="A27" s="80" t="s">
        <v>212</v>
      </c>
      <c r="B27" s="80">
        <v>44761</v>
      </c>
      <c r="C27" s="158">
        <v>0.375</v>
      </c>
      <c r="D27" s="158">
        <v>0.79166666666666663</v>
      </c>
      <c r="E27" s="76">
        <f>WEEKNUM(Planning2[[#This Row],[Date]],21)</f>
        <v>30</v>
      </c>
      <c r="F27" s="77" t="str">
        <f>VLOOKUP(A27,Annuaire_roster!B:C,2,0)</f>
        <v>Google Leads</v>
      </c>
      <c r="G27" s="129"/>
      <c r="H27" s="162"/>
    </row>
    <row r="28" spans="1:8" ht="14.65" hidden="1" customHeight="1" x14ac:dyDescent="0.25">
      <c r="A28" s="80" t="s">
        <v>216</v>
      </c>
      <c r="B28" s="80">
        <v>44761</v>
      </c>
      <c r="C28" s="82">
        <v>0.29166666666666669</v>
      </c>
      <c r="D28" s="82">
        <v>0.70833333333333337</v>
      </c>
      <c r="E28" s="76">
        <f>WEEKNUM(Planning2[[#This Row],[Date]],21)</f>
        <v>30</v>
      </c>
      <c r="F28" s="77" t="str">
        <f>VLOOKUP(A28,Annuaire_roster!B:C,2,0)</f>
        <v>Google Leads</v>
      </c>
      <c r="G28" s="73"/>
      <c r="H28" s="73"/>
    </row>
    <row r="29" spans="1:8" ht="14.65" hidden="1" customHeight="1" x14ac:dyDescent="0.25">
      <c r="A29" s="80" t="s">
        <v>217</v>
      </c>
      <c r="B29" s="80">
        <v>44761</v>
      </c>
      <c r="C29" s="82">
        <v>0.41666666666666669</v>
      </c>
      <c r="D29" s="82">
        <v>0.83333333333333337</v>
      </c>
      <c r="E29" s="76">
        <f>WEEKNUM(Planning2[[#This Row],[Date]],21)</f>
        <v>30</v>
      </c>
      <c r="F29" s="77" t="str">
        <f>VLOOKUP(A29,Annuaire_roster!B:C,2,0)</f>
        <v>Google Leads</v>
      </c>
      <c r="G29" s="73"/>
      <c r="H29" s="73"/>
    </row>
    <row r="30" spans="1:8" ht="14.65" hidden="1" customHeight="1" x14ac:dyDescent="0.25">
      <c r="A30" s="80" t="s">
        <v>219</v>
      </c>
      <c r="B30" s="80">
        <v>44761</v>
      </c>
      <c r="C30" s="82">
        <v>0.41666666666666669</v>
      </c>
      <c r="D30" s="82">
        <v>0.83333333333333337</v>
      </c>
      <c r="E30" s="76">
        <f>WEEKNUM(Planning2[[#This Row],[Date]],21)</f>
        <v>30</v>
      </c>
      <c r="F30" s="77" t="str">
        <f>VLOOKUP(A30,Annuaire_roster!B:C,2,0)</f>
        <v>Google Leads</v>
      </c>
      <c r="G30" s="73"/>
      <c r="H30" s="73"/>
    </row>
    <row r="31" spans="1:8" ht="14.65" hidden="1" customHeight="1" x14ac:dyDescent="0.25">
      <c r="A31" s="80" t="s">
        <v>220</v>
      </c>
      <c r="B31" s="80">
        <v>44761</v>
      </c>
      <c r="C31" s="82">
        <v>0.41666666666666669</v>
      </c>
      <c r="D31" s="82">
        <v>0.83333333333333337</v>
      </c>
      <c r="E31" s="76">
        <f>WEEKNUM(Planning2[[#This Row],[Date]],21)</f>
        <v>30</v>
      </c>
      <c r="F31" s="77" t="str">
        <f>VLOOKUP(A31,Annuaire_roster!B:C,2,0)</f>
        <v>Google Leads</v>
      </c>
      <c r="G31" s="73"/>
      <c r="H31" s="73"/>
    </row>
    <row r="32" spans="1:8" ht="14.65" hidden="1" customHeight="1" x14ac:dyDescent="0.25">
      <c r="A32" s="80" t="s">
        <v>221</v>
      </c>
      <c r="B32" s="80">
        <v>44761</v>
      </c>
      <c r="C32" s="82">
        <v>0.41666666666666669</v>
      </c>
      <c r="D32" s="119">
        <v>0.83333333333333337</v>
      </c>
      <c r="E32" s="76">
        <f>WEEKNUM(Planning2[[#This Row],[Date]],21)</f>
        <v>30</v>
      </c>
      <c r="F32" s="77" t="str">
        <f>VLOOKUP(A32,Annuaire_roster!B:C,2,0)</f>
        <v>Google Leads</v>
      </c>
      <c r="G32" s="73"/>
      <c r="H32" s="73"/>
    </row>
    <row r="33" spans="1:8" ht="14.65" hidden="1" customHeight="1" x14ac:dyDescent="0.25">
      <c r="A33" s="124" t="s">
        <v>223</v>
      </c>
      <c r="B33" s="80">
        <v>44761</v>
      </c>
      <c r="C33" s="82">
        <v>0.29166666666666669</v>
      </c>
      <c r="D33" s="82">
        <v>0.70833333333333337</v>
      </c>
      <c r="E33" s="76">
        <f>WEEKNUM(Planning2[[#This Row],[Date]],21)</f>
        <v>30</v>
      </c>
      <c r="F33" s="77" t="str">
        <f>VLOOKUP(A33,Annuaire_roster!B:C,2,0)</f>
        <v>Google Leads</v>
      </c>
      <c r="G33" s="73"/>
      <c r="H33" s="73"/>
    </row>
    <row r="34" spans="1:8" ht="14.65" hidden="1" customHeight="1" x14ac:dyDescent="0.25">
      <c r="A34" s="80" t="s">
        <v>213</v>
      </c>
      <c r="B34" s="80">
        <f>+B2+1</f>
        <v>44762</v>
      </c>
      <c r="C34" s="82" t="s">
        <v>31</v>
      </c>
      <c r="D34" s="82" t="s">
        <v>31</v>
      </c>
      <c r="E34" s="76">
        <f>WEEKNUM(Planning2[[#This Row],[Date]],21)</f>
        <v>30</v>
      </c>
      <c r="F34" s="77" t="str">
        <f>VLOOKUP(A34,Annuaire_roster!B:C,2,0)</f>
        <v>Google Leads</v>
      </c>
      <c r="G34" s="73"/>
      <c r="H34" s="73"/>
    </row>
    <row r="35" spans="1:8" ht="14.65" hidden="1" customHeight="1" x14ac:dyDescent="0.25">
      <c r="A35" s="80" t="s">
        <v>80</v>
      </c>
      <c r="B35" s="80">
        <f t="shared" ref="B35:B98" si="0">+B3+1</f>
        <v>44762</v>
      </c>
      <c r="C35" s="82" t="s">
        <v>225</v>
      </c>
      <c r="D35" s="82" t="s">
        <v>225</v>
      </c>
      <c r="E35" s="76">
        <f>WEEKNUM(Planning2[[#This Row],[Date]],21)</f>
        <v>30</v>
      </c>
      <c r="F35" s="77" t="str">
        <f>VLOOKUP(A35,Annuaire_roster!B:C,2,0)</f>
        <v>Google Leads</v>
      </c>
      <c r="G35" s="73"/>
      <c r="H35" s="73"/>
    </row>
    <row r="36" spans="1:8" ht="14.65" hidden="1" customHeight="1" x14ac:dyDescent="0.25">
      <c r="A36" s="80" t="s">
        <v>45</v>
      </c>
      <c r="B36" s="80">
        <f t="shared" si="0"/>
        <v>44762</v>
      </c>
      <c r="C36" s="82">
        <v>0.29166666666666669</v>
      </c>
      <c r="D36" s="82">
        <v>0.70833333333333337</v>
      </c>
      <c r="E36" s="76">
        <f>WEEKNUM(Planning2[[#This Row],[Date]],21)</f>
        <v>30</v>
      </c>
      <c r="F36" s="77" t="str">
        <f>VLOOKUP(A36,Annuaire_roster!B:C,2,0)</f>
        <v>Google Leads</v>
      </c>
      <c r="G36" s="73"/>
      <c r="H36" s="73"/>
    </row>
    <row r="37" spans="1:8" ht="14.65" hidden="1" customHeight="1" x14ac:dyDescent="0.25">
      <c r="A37" s="80" t="s">
        <v>76</v>
      </c>
      <c r="B37" s="80">
        <f t="shared" si="0"/>
        <v>44762</v>
      </c>
      <c r="C37" s="82">
        <v>0.29166666666666669</v>
      </c>
      <c r="D37" s="82">
        <v>0.70833333333333337</v>
      </c>
      <c r="E37" s="76">
        <f>WEEKNUM(Planning2[[#This Row],[Date]],21)</f>
        <v>30</v>
      </c>
      <c r="F37" s="77" t="str">
        <f>VLOOKUP(A37,Annuaire_roster!B:C,2,0)</f>
        <v>Google Leads</v>
      </c>
      <c r="G37" s="73"/>
      <c r="H37" s="73"/>
    </row>
    <row r="38" spans="1:8" ht="14.65" hidden="1" customHeight="1" x14ac:dyDescent="0.25">
      <c r="A38" s="80" t="s">
        <v>83</v>
      </c>
      <c r="B38" s="80">
        <f t="shared" si="0"/>
        <v>44762</v>
      </c>
      <c r="C38" s="82">
        <v>0.41666666666666669</v>
      </c>
      <c r="D38" s="82">
        <v>0.83333333333333337</v>
      </c>
      <c r="E38" s="76">
        <f>WEEKNUM(Planning2[[#This Row],[Date]],21)</f>
        <v>30</v>
      </c>
      <c r="F38" s="77" t="str">
        <f>VLOOKUP(A38,Annuaire_roster!B:C,2,0)</f>
        <v>Google Leads</v>
      </c>
      <c r="G38" s="73"/>
      <c r="H38" s="73"/>
    </row>
    <row r="39" spans="1:8" ht="14.65" hidden="1" customHeight="1" x14ac:dyDescent="0.25">
      <c r="A39" s="80" t="s">
        <v>87</v>
      </c>
      <c r="B39" s="80">
        <f t="shared" si="0"/>
        <v>44762</v>
      </c>
      <c r="C39" s="82">
        <v>0.41666666666666669</v>
      </c>
      <c r="D39" s="82">
        <v>0.83333333333333337</v>
      </c>
      <c r="E39" s="76">
        <f>WEEKNUM(Planning2[[#This Row],[Date]],21)</f>
        <v>30</v>
      </c>
      <c r="F39" s="77" t="str">
        <f>VLOOKUP(A39,Annuaire_roster!B:C,2,0)</f>
        <v>Google Leads</v>
      </c>
      <c r="G39" s="163"/>
      <c r="H39" s="163"/>
    </row>
    <row r="40" spans="1:8" ht="14.65" hidden="1" customHeight="1" x14ac:dyDescent="0.25">
      <c r="A40" s="80" t="s">
        <v>85</v>
      </c>
      <c r="B40" s="80">
        <f t="shared" si="0"/>
        <v>44762</v>
      </c>
      <c r="C40" s="82">
        <v>0.41666666666666669</v>
      </c>
      <c r="D40" s="82">
        <v>0.83333333333333337</v>
      </c>
      <c r="E40" s="76">
        <f>WEEKNUM(Planning2[[#This Row],[Date]],21)</f>
        <v>30</v>
      </c>
      <c r="F40" s="77" t="str">
        <f>VLOOKUP(A40,Annuaire_roster!B:C,2,0)</f>
        <v>Google Leads</v>
      </c>
      <c r="G40" s="163"/>
      <c r="H40" s="163"/>
    </row>
    <row r="41" spans="1:8" ht="14.65" hidden="1" customHeight="1" x14ac:dyDescent="0.25">
      <c r="A41" s="80" t="s">
        <v>89</v>
      </c>
      <c r="B41" s="80">
        <f t="shared" si="0"/>
        <v>44762</v>
      </c>
      <c r="C41" s="82">
        <v>0.29166666666666669</v>
      </c>
      <c r="D41" s="82">
        <v>0.70833333333333337</v>
      </c>
      <c r="E41" s="76">
        <f>WEEKNUM(Planning2[[#This Row],[Date]],21)</f>
        <v>30</v>
      </c>
      <c r="F41" s="77" t="str">
        <f>VLOOKUP(A41,Annuaire_roster!B:C,2,0)</f>
        <v>Google Leads</v>
      </c>
      <c r="G41" s="73"/>
      <c r="H41" s="73"/>
    </row>
    <row r="42" spans="1:8" ht="14.65" hidden="1" customHeight="1" x14ac:dyDescent="0.25">
      <c r="A42" s="80" t="s">
        <v>94</v>
      </c>
      <c r="B42" s="80">
        <f t="shared" si="0"/>
        <v>44762</v>
      </c>
      <c r="C42" s="82">
        <v>0.41666666666666669</v>
      </c>
      <c r="D42" s="82">
        <v>0.83333333333333337</v>
      </c>
      <c r="E42" s="76">
        <f>WEEKNUM(Planning2[[#This Row],[Date]],21)</f>
        <v>30</v>
      </c>
      <c r="F42" s="77" t="str">
        <f>VLOOKUP(A42,Annuaire_roster!B:C,2,0)</f>
        <v>Google Leads</v>
      </c>
      <c r="G42" s="73"/>
      <c r="H42" s="73"/>
    </row>
    <row r="43" spans="1:8" ht="14.65" hidden="1" customHeight="1" x14ac:dyDescent="0.25">
      <c r="A43" s="80" t="s">
        <v>91</v>
      </c>
      <c r="B43" s="80">
        <f t="shared" si="0"/>
        <v>44762</v>
      </c>
      <c r="C43" s="110" t="s">
        <v>31</v>
      </c>
      <c r="D43" s="82" t="s">
        <v>31</v>
      </c>
      <c r="E43" s="76">
        <f>WEEKNUM(Planning2[[#This Row],[Date]],21)</f>
        <v>30</v>
      </c>
      <c r="F43" s="77" t="str">
        <f>VLOOKUP(A43,Annuaire_roster!B:C,2,0)</f>
        <v>Google Leads</v>
      </c>
      <c r="G43" s="73"/>
      <c r="H43" s="73"/>
    </row>
    <row r="44" spans="1:8" ht="14.65" hidden="1" customHeight="1" x14ac:dyDescent="0.25">
      <c r="A44" s="80" t="s">
        <v>214</v>
      </c>
      <c r="B44" s="80">
        <f t="shared" si="0"/>
        <v>44762</v>
      </c>
      <c r="C44" s="82">
        <v>0.29166666666666669</v>
      </c>
      <c r="D44" s="82">
        <v>0.70833333333333337</v>
      </c>
      <c r="E44" s="76">
        <f>WEEKNUM(Planning2[[#This Row],[Date]],21)</f>
        <v>30</v>
      </c>
      <c r="F44" s="77" t="str">
        <f>VLOOKUP(A44,Annuaire_roster!B:C,2,0)</f>
        <v>Google Leads</v>
      </c>
      <c r="G44" s="73"/>
      <c r="H44" s="73"/>
    </row>
    <row r="45" spans="1:8" ht="14.65" hidden="1" customHeight="1" x14ac:dyDescent="0.25">
      <c r="A45" s="80" t="s">
        <v>102</v>
      </c>
      <c r="B45" s="80">
        <f t="shared" si="0"/>
        <v>44762</v>
      </c>
      <c r="C45" s="82">
        <v>0.29166666666666669</v>
      </c>
      <c r="D45" s="82">
        <v>0.70833333333333337</v>
      </c>
      <c r="E45" s="111">
        <f>WEEKNUM(Planning2[[#This Row],[Date]],21)</f>
        <v>30</v>
      </c>
      <c r="F45" s="112" t="str">
        <f>VLOOKUP(A45,Annuaire_roster!B:C,2,0)</f>
        <v>Google Leads</v>
      </c>
      <c r="G45" s="73"/>
      <c r="H45" s="73"/>
    </row>
    <row r="46" spans="1:8" ht="14.65" hidden="1" customHeight="1" x14ac:dyDescent="0.25">
      <c r="A46" s="80" t="s">
        <v>215</v>
      </c>
      <c r="B46" s="80">
        <f t="shared" si="0"/>
        <v>44762</v>
      </c>
      <c r="C46" s="110">
        <v>0.41666666666666669</v>
      </c>
      <c r="D46" s="82">
        <v>0.83333333333333337</v>
      </c>
      <c r="E46" s="111">
        <f>WEEKNUM(Planning2[[#This Row],[Date]],21)</f>
        <v>30</v>
      </c>
      <c r="F46" s="112" t="str">
        <f>VLOOKUP(A46,Annuaire_roster!B:C,2,0)</f>
        <v>Google Leads</v>
      </c>
      <c r="G46" s="73"/>
      <c r="H46" s="73"/>
    </row>
    <row r="47" spans="1:8" ht="14.65" hidden="1" customHeight="1" x14ac:dyDescent="0.25">
      <c r="A47" s="80" t="s">
        <v>88</v>
      </c>
      <c r="B47" s="80">
        <f t="shared" si="0"/>
        <v>44762</v>
      </c>
      <c r="C47" s="82">
        <v>0.29166666666666669</v>
      </c>
      <c r="D47" s="82">
        <v>0.70833333333333337</v>
      </c>
      <c r="E47" s="111">
        <f>WEEKNUM(Planning2[[#This Row],[Date]],21)</f>
        <v>30</v>
      </c>
      <c r="F47" s="112" t="str">
        <f>VLOOKUP(A47,Annuaire_roster!B:C,2,0)</f>
        <v>Google Leads</v>
      </c>
      <c r="G47" s="73"/>
      <c r="H47" s="73"/>
    </row>
    <row r="48" spans="1:8" ht="14.65" hidden="1" customHeight="1" x14ac:dyDescent="0.25">
      <c r="A48" s="80" t="s">
        <v>106</v>
      </c>
      <c r="B48" s="80">
        <f t="shared" si="0"/>
        <v>44762</v>
      </c>
      <c r="C48" s="82">
        <v>0.375</v>
      </c>
      <c r="D48" s="82">
        <v>0.75</v>
      </c>
      <c r="E48" s="111">
        <f>WEEKNUM(Planning2[[#This Row],[Date]],21)</f>
        <v>30</v>
      </c>
      <c r="F48" s="112" t="str">
        <f>VLOOKUP(A48,Annuaire_roster!B:C,2,0)</f>
        <v>Google Leads</v>
      </c>
      <c r="G48" s="73"/>
      <c r="H48" s="73"/>
    </row>
    <row r="49" spans="1:8" ht="14.65" hidden="1" customHeight="1" x14ac:dyDescent="0.25">
      <c r="A49" s="80" t="s">
        <v>110</v>
      </c>
      <c r="B49" s="80">
        <f t="shared" si="0"/>
        <v>44762</v>
      </c>
      <c r="C49" s="110" t="s">
        <v>31</v>
      </c>
      <c r="D49" s="82" t="s">
        <v>31</v>
      </c>
      <c r="E49" s="111">
        <f>WEEKNUM(Planning2[[#This Row],[Date]],21)</f>
        <v>30</v>
      </c>
      <c r="F49" s="112" t="str">
        <f>VLOOKUP(A49,Annuaire_roster!B:C,2,0)</f>
        <v>Google Leads</v>
      </c>
      <c r="G49" s="73"/>
      <c r="H49" s="73"/>
    </row>
    <row r="50" spans="1:8" ht="14.65" hidden="1" customHeight="1" x14ac:dyDescent="0.25">
      <c r="A50" s="80" t="s">
        <v>126</v>
      </c>
      <c r="B50" s="80">
        <f t="shared" si="0"/>
        <v>44762</v>
      </c>
      <c r="C50" s="82" t="s">
        <v>31</v>
      </c>
      <c r="D50" s="82" t="s">
        <v>31</v>
      </c>
      <c r="E50" s="76">
        <f>WEEKNUM(Planning2[[#This Row],[Date]],21)</f>
        <v>30</v>
      </c>
      <c r="F50" s="77" t="str">
        <f>VLOOKUP(A50,Annuaire_roster!B:C,2,0)</f>
        <v>Google Leads</v>
      </c>
      <c r="G50" s="73"/>
      <c r="H50" s="73"/>
    </row>
    <row r="51" spans="1:8" ht="14.65" hidden="1" customHeight="1" x14ac:dyDescent="0.25">
      <c r="A51" s="80" t="s">
        <v>141</v>
      </c>
      <c r="B51" s="80">
        <f t="shared" si="0"/>
        <v>44762</v>
      </c>
      <c r="C51" s="82">
        <v>0.29166666666666669</v>
      </c>
      <c r="D51" s="82">
        <v>0.70833333333333337</v>
      </c>
      <c r="E51" s="76">
        <f>WEEKNUM(Planning2[[#This Row],[Date]],21)</f>
        <v>30</v>
      </c>
      <c r="F51" s="77" t="str">
        <f>VLOOKUP(A51,Annuaire_roster!B:C,2,0)</f>
        <v>Google Leads</v>
      </c>
      <c r="G51" s="73"/>
      <c r="H51" s="73"/>
    </row>
    <row r="52" spans="1:8" ht="14.65" hidden="1" customHeight="1" x14ac:dyDescent="0.25">
      <c r="A52" s="80" t="s">
        <v>120</v>
      </c>
      <c r="B52" s="80">
        <f t="shared" si="0"/>
        <v>44762</v>
      </c>
      <c r="C52" s="82">
        <v>0.625</v>
      </c>
      <c r="D52" s="82">
        <v>0.70833333333333337</v>
      </c>
      <c r="E52" s="76">
        <f>WEEKNUM(Planning2[[#This Row],[Date]],21)</f>
        <v>30</v>
      </c>
      <c r="F52" s="77" t="str">
        <f>VLOOKUP(A52,Annuaire_roster!B:C,2,0)</f>
        <v>Google Leads</v>
      </c>
      <c r="G52" s="73"/>
      <c r="H52" s="73"/>
    </row>
    <row r="53" spans="1:8" ht="14.65" hidden="1" customHeight="1" x14ac:dyDescent="0.25">
      <c r="A53" s="80" t="s">
        <v>144</v>
      </c>
      <c r="B53" s="80">
        <f t="shared" si="0"/>
        <v>44762</v>
      </c>
      <c r="C53" s="82" t="s">
        <v>224</v>
      </c>
      <c r="D53" s="82" t="s">
        <v>224</v>
      </c>
      <c r="E53" s="76">
        <f>WEEKNUM(Planning2[[#This Row],[Date]],21)</f>
        <v>30</v>
      </c>
      <c r="F53" s="77" t="str">
        <f>VLOOKUP(A53,Annuaire_roster!B:C,2,0)</f>
        <v>Google Leads</v>
      </c>
      <c r="G53" s="73"/>
      <c r="H53" s="164"/>
    </row>
    <row r="54" spans="1:8" ht="14.65" hidden="1" customHeight="1" x14ac:dyDescent="0.25">
      <c r="A54" s="80" t="s">
        <v>196</v>
      </c>
      <c r="B54" s="80">
        <f t="shared" si="0"/>
        <v>44762</v>
      </c>
      <c r="C54" s="82">
        <v>0.29166666666666669</v>
      </c>
      <c r="D54" s="82">
        <v>0.70833333333333337</v>
      </c>
      <c r="E54" s="120">
        <f>WEEKNUM(Planning2[[#This Row],[Date]],21)</f>
        <v>30</v>
      </c>
      <c r="F54" s="121" t="str">
        <f>VLOOKUP(A54,Annuaire_roster!B:C,2,0)</f>
        <v>Google Leads</v>
      </c>
      <c r="G54" s="73"/>
      <c r="H54" s="164"/>
    </row>
    <row r="55" spans="1:8" ht="14.65" hidden="1" customHeight="1" x14ac:dyDescent="0.25">
      <c r="A55" s="80" t="s">
        <v>197</v>
      </c>
      <c r="B55" s="80">
        <f t="shared" si="0"/>
        <v>44762</v>
      </c>
      <c r="C55" s="82">
        <v>0.29166666666666669</v>
      </c>
      <c r="D55" s="82">
        <v>0.70833333333333337</v>
      </c>
      <c r="E55" s="120">
        <f>WEEKNUM(Planning2[[#This Row],[Date]],21)</f>
        <v>30</v>
      </c>
      <c r="F55" s="121" t="str">
        <f>VLOOKUP(A55,Annuaire_roster!B:C,2,0)</f>
        <v>Google Leads</v>
      </c>
      <c r="G55" s="73"/>
      <c r="H55" s="164"/>
    </row>
    <row r="56" spans="1:8" ht="14.65" hidden="1" customHeight="1" x14ac:dyDescent="0.25">
      <c r="A56" s="80" t="s">
        <v>198</v>
      </c>
      <c r="B56" s="80">
        <f t="shared" si="0"/>
        <v>44762</v>
      </c>
      <c r="C56" s="82" t="s">
        <v>224</v>
      </c>
      <c r="D56" s="82" t="s">
        <v>224</v>
      </c>
      <c r="E56" s="120">
        <f>WEEKNUM(Planning2[[#This Row],[Date]],21)</f>
        <v>30</v>
      </c>
      <c r="F56" s="121" t="str">
        <f>VLOOKUP(A56,Annuaire_roster!B:C,2,0)</f>
        <v>Google Leads</v>
      </c>
      <c r="G56" s="73"/>
      <c r="H56" s="164"/>
    </row>
    <row r="57" spans="1:8" ht="14.65" hidden="1" customHeight="1" x14ac:dyDescent="0.25">
      <c r="A57" s="80" t="s">
        <v>209</v>
      </c>
      <c r="B57" s="80">
        <f t="shared" si="0"/>
        <v>44762</v>
      </c>
      <c r="C57" s="82">
        <v>0.29166666666666669</v>
      </c>
      <c r="D57" s="82">
        <v>0.70833333333333337</v>
      </c>
      <c r="E57" s="120">
        <f>WEEKNUM(Planning2[[#This Row],[Date]],21)</f>
        <v>30</v>
      </c>
      <c r="F57" s="121" t="str">
        <f>VLOOKUP(A57,Annuaire_roster!B:C,2,0)</f>
        <v>Google Leads</v>
      </c>
      <c r="G57" s="73"/>
      <c r="H57" s="73"/>
    </row>
    <row r="58" spans="1:8" ht="14.65" hidden="1" customHeight="1" x14ac:dyDescent="0.25">
      <c r="A58" s="80" t="s">
        <v>210</v>
      </c>
      <c r="B58" s="80">
        <f t="shared" si="0"/>
        <v>44762</v>
      </c>
      <c r="C58" s="82">
        <v>0.29166666666666669</v>
      </c>
      <c r="D58" s="82">
        <v>0.70833333333333337</v>
      </c>
      <c r="E58" s="126">
        <f>WEEKNUM(Planning2[[#This Row],[Date]],21)</f>
        <v>30</v>
      </c>
      <c r="F58" s="127" t="str">
        <f>VLOOKUP(A58,Annuaire_roster!B:C,2,0)</f>
        <v>Google Leads</v>
      </c>
      <c r="G58" s="73"/>
      <c r="H58" s="73"/>
    </row>
    <row r="59" spans="1:8" ht="14.65" customHeight="1" x14ac:dyDescent="0.25">
      <c r="A59" s="80" t="s">
        <v>212</v>
      </c>
      <c r="B59" s="80">
        <f t="shared" si="0"/>
        <v>44762</v>
      </c>
      <c r="C59" s="82">
        <v>0.375</v>
      </c>
      <c r="D59" s="82">
        <v>0.75</v>
      </c>
      <c r="E59" s="126">
        <f>WEEKNUM(Planning2[[#This Row],[Date]],21)</f>
        <v>30</v>
      </c>
      <c r="F59" s="127" t="str">
        <f>VLOOKUP(A59,Annuaire_roster!B:C,2,0)</f>
        <v>Google Leads</v>
      </c>
      <c r="G59" s="73"/>
      <c r="H59" s="73"/>
    </row>
    <row r="60" spans="1:8" ht="14.65" hidden="1" customHeight="1" x14ac:dyDescent="0.25">
      <c r="A60" s="80" t="s">
        <v>216</v>
      </c>
      <c r="B60" s="80">
        <f t="shared" si="0"/>
        <v>44762</v>
      </c>
      <c r="C60" s="125">
        <v>0.29166666666666669</v>
      </c>
      <c r="D60" s="82">
        <v>0.70833333333333337</v>
      </c>
      <c r="E60" s="126">
        <f>WEEKNUM(Planning2[[#This Row],[Date]],21)</f>
        <v>30</v>
      </c>
      <c r="F60" s="127" t="str">
        <f>VLOOKUP(A60,Annuaire_roster!B:C,2,0)</f>
        <v>Google Leads</v>
      </c>
      <c r="G60" s="73"/>
      <c r="H60" s="73"/>
    </row>
    <row r="61" spans="1:8" ht="14.65" hidden="1" customHeight="1" x14ac:dyDescent="0.25">
      <c r="A61" s="80" t="s">
        <v>217</v>
      </c>
      <c r="B61" s="80">
        <f t="shared" si="0"/>
        <v>44762</v>
      </c>
      <c r="C61" s="82">
        <v>0.41666666666666669</v>
      </c>
      <c r="D61" s="82">
        <v>0.83333333333333337</v>
      </c>
      <c r="E61" s="126">
        <f>WEEKNUM(Planning2[[#This Row],[Date]],21)</f>
        <v>30</v>
      </c>
      <c r="F61" s="127" t="str">
        <f>VLOOKUP(A61,Annuaire_roster!B:C,2,0)</f>
        <v>Google Leads</v>
      </c>
      <c r="G61" s="73"/>
      <c r="H61" s="73"/>
    </row>
    <row r="62" spans="1:8" ht="14.65" hidden="1" customHeight="1" x14ac:dyDescent="0.25">
      <c r="A62" s="80" t="s">
        <v>219</v>
      </c>
      <c r="B62" s="80">
        <f t="shared" si="0"/>
        <v>44762</v>
      </c>
      <c r="C62" s="125" t="s">
        <v>31</v>
      </c>
      <c r="D62" s="82" t="s">
        <v>31</v>
      </c>
      <c r="E62" s="126">
        <f>WEEKNUM(Planning2[[#This Row],[Date]],21)</f>
        <v>30</v>
      </c>
      <c r="F62" s="127" t="str">
        <f>VLOOKUP(A62,Annuaire_roster!B:C,2,0)</f>
        <v>Google Leads</v>
      </c>
      <c r="G62" s="73"/>
      <c r="H62" s="73"/>
    </row>
    <row r="63" spans="1:8" ht="14.65" hidden="1" customHeight="1" x14ac:dyDescent="0.25">
      <c r="A63" s="80" t="s">
        <v>220</v>
      </c>
      <c r="B63" s="80">
        <f t="shared" si="0"/>
        <v>44762</v>
      </c>
      <c r="C63" s="125">
        <v>0.41666666666666669</v>
      </c>
      <c r="D63" s="82">
        <v>0.83333333333333337</v>
      </c>
      <c r="E63" s="126">
        <f>WEEKNUM(Planning2[[#This Row],[Date]],21)</f>
        <v>30</v>
      </c>
      <c r="F63" s="127" t="str">
        <f>VLOOKUP(A63,Annuaire_roster!B:C,2,0)</f>
        <v>Google Leads</v>
      </c>
      <c r="G63" s="73"/>
      <c r="H63" s="73"/>
    </row>
    <row r="64" spans="1:8" ht="14.65" hidden="1" customHeight="1" x14ac:dyDescent="0.25">
      <c r="A64" s="80" t="s">
        <v>221</v>
      </c>
      <c r="B64" s="80">
        <f t="shared" si="0"/>
        <v>44762</v>
      </c>
      <c r="C64" s="82">
        <v>0.41666666666666669</v>
      </c>
      <c r="D64" s="82">
        <v>0.83333333333333337</v>
      </c>
      <c r="E64" s="126">
        <f>WEEKNUM(Planning2[[#This Row],[Date]],21)</f>
        <v>30</v>
      </c>
      <c r="F64" s="127" t="str">
        <f>VLOOKUP(A64,Annuaire_roster!B:C,2,0)</f>
        <v>Google Leads</v>
      </c>
      <c r="G64" s="73"/>
      <c r="H64" s="73"/>
    </row>
    <row r="65" spans="1:8" ht="14.65" hidden="1" customHeight="1" x14ac:dyDescent="0.25">
      <c r="A65" s="124" t="s">
        <v>223</v>
      </c>
      <c r="B65" s="80">
        <f t="shared" si="0"/>
        <v>44762</v>
      </c>
      <c r="C65" s="82">
        <v>0.29166666666666669</v>
      </c>
      <c r="D65" s="82">
        <v>0.70833333333333337</v>
      </c>
      <c r="E65" s="126">
        <f>WEEKNUM(Planning2[[#This Row],[Date]],21)</f>
        <v>30</v>
      </c>
      <c r="F65" s="127" t="str">
        <f>VLOOKUP(A65,Annuaire_roster!B:C,2,0)</f>
        <v>Google Leads</v>
      </c>
      <c r="G65" s="73"/>
      <c r="H65" s="73"/>
    </row>
    <row r="66" spans="1:8" ht="14.65" hidden="1" customHeight="1" x14ac:dyDescent="0.25">
      <c r="A66" s="80" t="s">
        <v>213</v>
      </c>
      <c r="B66" s="80">
        <f t="shared" si="0"/>
        <v>44763</v>
      </c>
      <c r="C66" s="82">
        <v>0.375</v>
      </c>
      <c r="D66" s="82">
        <v>0.79166666666666663</v>
      </c>
      <c r="E66" s="126">
        <f>WEEKNUM(Planning2[[#This Row],[Date]],21)</f>
        <v>30</v>
      </c>
      <c r="F66" s="127" t="str">
        <f>VLOOKUP(A66,Annuaire_roster!B:C,2,0)</f>
        <v>Google Leads</v>
      </c>
      <c r="G66" s="73"/>
      <c r="H66" s="73"/>
    </row>
    <row r="67" spans="1:8" ht="14.65" hidden="1" customHeight="1" x14ac:dyDescent="0.25">
      <c r="A67" s="80" t="s">
        <v>80</v>
      </c>
      <c r="B67" s="80">
        <f t="shared" si="0"/>
        <v>44763</v>
      </c>
      <c r="C67" s="82">
        <v>0.79166666666666663</v>
      </c>
      <c r="D67" s="82" t="s">
        <v>225</v>
      </c>
      <c r="E67" s="126">
        <f>WEEKNUM(Planning2[[#This Row],[Date]],21)</f>
        <v>30</v>
      </c>
      <c r="F67" s="127" t="str">
        <f>VLOOKUP(A67,Annuaire_roster!B:C,2,0)</f>
        <v>Google Leads</v>
      </c>
      <c r="G67" s="73"/>
      <c r="H67" s="73"/>
    </row>
    <row r="68" spans="1:8" ht="14.65" hidden="1" customHeight="1" x14ac:dyDescent="0.25">
      <c r="A68" s="80" t="s">
        <v>45</v>
      </c>
      <c r="B68" s="80">
        <f t="shared" si="0"/>
        <v>44763</v>
      </c>
      <c r="C68" s="125">
        <v>0.29166666666666669</v>
      </c>
      <c r="D68" s="82">
        <v>0.70833333333333337</v>
      </c>
      <c r="E68" s="126">
        <f>WEEKNUM(Planning2[[#This Row],[Date]],21)</f>
        <v>30</v>
      </c>
      <c r="F68" s="127" t="str">
        <f>VLOOKUP(A68,Annuaire_roster!B:C,2,0)</f>
        <v>Google Leads</v>
      </c>
      <c r="G68" s="73"/>
      <c r="H68" s="73"/>
    </row>
    <row r="69" spans="1:8" ht="14.65" hidden="1" customHeight="1" x14ac:dyDescent="0.25">
      <c r="A69" s="80" t="s">
        <v>76</v>
      </c>
      <c r="B69" s="80">
        <f t="shared" si="0"/>
        <v>44763</v>
      </c>
      <c r="C69" s="125">
        <v>0.29166666666666669</v>
      </c>
      <c r="D69" s="119">
        <v>0.70833333333333337</v>
      </c>
      <c r="E69" s="126">
        <f>WEEKNUM(Planning2[[#This Row],[Date]],21)</f>
        <v>30</v>
      </c>
      <c r="F69" s="127" t="str">
        <f>VLOOKUP(A69,Annuaire_roster!B:C,2,0)</f>
        <v>Google Leads</v>
      </c>
      <c r="G69" s="73"/>
      <c r="H69" s="73"/>
    </row>
    <row r="70" spans="1:8" ht="14.65" hidden="1" customHeight="1" x14ac:dyDescent="0.25">
      <c r="A70" s="80" t="s">
        <v>83</v>
      </c>
      <c r="B70" s="80">
        <f t="shared" si="0"/>
        <v>44763</v>
      </c>
      <c r="C70" s="82">
        <v>0.41666666666666669</v>
      </c>
      <c r="D70" s="82">
        <v>0.83333333333333337</v>
      </c>
      <c r="E70" s="126">
        <f>WEEKNUM(Planning2[[#This Row],[Date]],21)</f>
        <v>30</v>
      </c>
      <c r="F70" s="127" t="str">
        <f>VLOOKUP(A70,Annuaire_roster!B:C,2,0)</f>
        <v>Google Leads</v>
      </c>
      <c r="G70" s="73"/>
      <c r="H70" s="151"/>
    </row>
    <row r="71" spans="1:8" ht="14.65" hidden="1" customHeight="1" x14ac:dyDescent="0.25">
      <c r="A71" s="80" t="s">
        <v>87</v>
      </c>
      <c r="B71" s="80">
        <f t="shared" si="0"/>
        <v>44763</v>
      </c>
      <c r="C71" s="125">
        <v>0.41666666666666669</v>
      </c>
      <c r="D71" s="82">
        <v>0.83333333333333337</v>
      </c>
      <c r="E71" s="126">
        <f>WEEKNUM(Planning2[[#This Row],[Date]],21)</f>
        <v>30</v>
      </c>
      <c r="F71" s="127" t="str">
        <f>VLOOKUP(A71,Annuaire_roster!B:C,2,0)</f>
        <v>Google Leads</v>
      </c>
      <c r="G71" s="73"/>
      <c r="H71" s="73"/>
    </row>
    <row r="72" spans="1:8" ht="14.65" hidden="1" customHeight="1" x14ac:dyDescent="0.25">
      <c r="A72" s="80" t="s">
        <v>85</v>
      </c>
      <c r="B72" s="80">
        <f t="shared" si="0"/>
        <v>44763</v>
      </c>
      <c r="C72" s="125">
        <v>0.41666666666666669</v>
      </c>
      <c r="D72" s="82">
        <v>0.83333333333333337</v>
      </c>
      <c r="E72" s="126">
        <f>WEEKNUM(Planning2[[#This Row],[Date]],21)</f>
        <v>30</v>
      </c>
      <c r="F72" s="127" t="str">
        <f>VLOOKUP(A72,Annuaire_roster!B:C,2,0)</f>
        <v>Google Leads</v>
      </c>
      <c r="G72" s="73"/>
      <c r="H72" s="73"/>
    </row>
    <row r="73" spans="1:8" ht="14.65" hidden="1" customHeight="1" x14ac:dyDescent="0.25">
      <c r="A73" s="80" t="s">
        <v>89</v>
      </c>
      <c r="B73" s="80">
        <f t="shared" si="0"/>
        <v>44763</v>
      </c>
      <c r="C73" s="125">
        <v>0.29166666666666669</v>
      </c>
      <c r="D73" s="82">
        <v>0.70833333333333337</v>
      </c>
      <c r="E73" s="126">
        <f>WEEKNUM(Planning2[[#This Row],[Date]],21)</f>
        <v>30</v>
      </c>
      <c r="F73" s="127" t="str">
        <f>VLOOKUP(A73,Annuaire_roster!B:C,2,0)</f>
        <v>Google Leads</v>
      </c>
      <c r="G73" s="73"/>
      <c r="H73" s="73"/>
    </row>
    <row r="74" spans="1:8" ht="14.65" hidden="1" customHeight="1" x14ac:dyDescent="0.25">
      <c r="A74" s="80" t="s">
        <v>94</v>
      </c>
      <c r="B74" s="80">
        <f t="shared" si="0"/>
        <v>44763</v>
      </c>
      <c r="C74" s="82">
        <v>0.41666666666666669</v>
      </c>
      <c r="D74" s="82">
        <v>0.83333333333333337</v>
      </c>
      <c r="E74" s="126">
        <f>WEEKNUM(Planning2[[#This Row],[Date]],21)</f>
        <v>30</v>
      </c>
      <c r="F74" s="127" t="str">
        <f>VLOOKUP(A74,Annuaire_roster!B:C,2,0)</f>
        <v>Google Leads</v>
      </c>
      <c r="G74" s="73"/>
      <c r="H74" s="73"/>
    </row>
    <row r="75" spans="1:8" ht="14.65" hidden="1" customHeight="1" x14ac:dyDescent="0.25">
      <c r="A75" s="80" t="s">
        <v>91</v>
      </c>
      <c r="B75" s="80">
        <f t="shared" si="0"/>
        <v>44763</v>
      </c>
      <c r="C75" s="125">
        <v>0.375</v>
      </c>
      <c r="D75" s="82">
        <v>0.79166666666666663</v>
      </c>
      <c r="E75" s="126">
        <f>WEEKNUM(Planning2[[#This Row],[Date]],21)</f>
        <v>30</v>
      </c>
      <c r="F75" s="127" t="str">
        <f>VLOOKUP(A75,Annuaire_roster!B:C,2,0)</f>
        <v>Google Leads</v>
      </c>
      <c r="G75" s="73"/>
      <c r="H75" s="73"/>
    </row>
    <row r="76" spans="1:8" ht="14.65" hidden="1" customHeight="1" x14ac:dyDescent="0.25">
      <c r="A76" s="80" t="s">
        <v>214</v>
      </c>
      <c r="B76" s="80">
        <f t="shared" si="0"/>
        <v>44763</v>
      </c>
      <c r="C76" s="82" t="s">
        <v>31</v>
      </c>
      <c r="D76" s="82" t="s">
        <v>31</v>
      </c>
      <c r="E76" s="126">
        <f>WEEKNUM(Planning2[[#This Row],[Date]],21)</f>
        <v>30</v>
      </c>
      <c r="F76" s="127" t="str">
        <f>VLOOKUP(A76,Annuaire_roster!B:C,2,0)</f>
        <v>Google Leads</v>
      </c>
      <c r="G76" s="73"/>
      <c r="H76" s="73"/>
    </row>
    <row r="77" spans="1:8" ht="14.65" hidden="1" customHeight="1" x14ac:dyDescent="0.25">
      <c r="A77" s="80" t="s">
        <v>102</v>
      </c>
      <c r="B77" s="80">
        <f t="shared" si="0"/>
        <v>44763</v>
      </c>
      <c r="C77" s="82">
        <v>0.29166666666666669</v>
      </c>
      <c r="D77" s="82">
        <v>0.70833333333333337</v>
      </c>
      <c r="E77" s="76">
        <f>WEEKNUM(Planning2[[#This Row],[Date]],21)</f>
        <v>30</v>
      </c>
      <c r="F77" s="77" t="str">
        <f>VLOOKUP(A77,Annuaire_roster!B:C,2,0)</f>
        <v>Google Leads</v>
      </c>
      <c r="G77" s="73"/>
      <c r="H77" s="73"/>
    </row>
    <row r="78" spans="1:8" ht="14.65" hidden="1" customHeight="1" x14ac:dyDescent="0.25">
      <c r="A78" s="80" t="s">
        <v>215</v>
      </c>
      <c r="B78" s="80">
        <f t="shared" si="0"/>
        <v>44763</v>
      </c>
      <c r="C78" s="82">
        <v>0.41666666666666669</v>
      </c>
      <c r="D78" s="82">
        <v>0.83333333333333337</v>
      </c>
      <c r="E78" s="76">
        <f>WEEKNUM(Planning2[[#This Row],[Date]],21)</f>
        <v>30</v>
      </c>
      <c r="F78" s="77" t="str">
        <f>VLOOKUP(A78,Annuaire_roster!B:C,2,0)</f>
        <v>Google Leads</v>
      </c>
      <c r="G78" s="73"/>
      <c r="H78" s="73"/>
    </row>
    <row r="79" spans="1:8" ht="14.65" hidden="1" customHeight="1" x14ac:dyDescent="0.25">
      <c r="A79" s="80" t="s">
        <v>88</v>
      </c>
      <c r="B79" s="80">
        <f t="shared" si="0"/>
        <v>44763</v>
      </c>
      <c r="C79" s="82">
        <v>0.29166666666666669</v>
      </c>
      <c r="D79" s="82">
        <v>0.66666666666666663</v>
      </c>
      <c r="E79" s="76">
        <f>WEEKNUM(Planning2[[#This Row],[Date]],21)</f>
        <v>30</v>
      </c>
      <c r="F79" s="77" t="str">
        <f>VLOOKUP(A79,Annuaire_roster!B:C,2,0)</f>
        <v>Google Leads</v>
      </c>
      <c r="G79" s="73"/>
      <c r="H79" s="73"/>
    </row>
    <row r="80" spans="1:8" ht="14.65" hidden="1" customHeight="1" x14ac:dyDescent="0.25">
      <c r="A80" s="80" t="s">
        <v>106</v>
      </c>
      <c r="B80" s="80">
        <f t="shared" si="0"/>
        <v>44763</v>
      </c>
      <c r="C80" s="82">
        <v>0.375</v>
      </c>
      <c r="D80" s="82">
        <v>0.79166666666666663</v>
      </c>
      <c r="E80" s="133">
        <f>WEEKNUM(Planning2[[#This Row],[Date]],21)</f>
        <v>30</v>
      </c>
      <c r="F80" s="134" t="str">
        <f>VLOOKUP(A80,Annuaire_roster!B:C,2,0)</f>
        <v>Google Leads</v>
      </c>
      <c r="G80" s="73"/>
      <c r="H80" s="73"/>
    </row>
    <row r="81" spans="1:8" ht="14.65" hidden="1" customHeight="1" x14ac:dyDescent="0.25">
      <c r="A81" s="80" t="s">
        <v>110</v>
      </c>
      <c r="B81" s="80">
        <f t="shared" si="0"/>
        <v>44763</v>
      </c>
      <c r="C81" s="82">
        <v>0.375</v>
      </c>
      <c r="D81" s="82">
        <v>0.79166666666666663</v>
      </c>
      <c r="E81" s="133">
        <f>WEEKNUM(Planning2[[#This Row],[Date]],21)</f>
        <v>30</v>
      </c>
      <c r="F81" s="134" t="str">
        <f>VLOOKUP(A81,Annuaire_roster!B:C,2,0)</f>
        <v>Google Leads</v>
      </c>
      <c r="G81" s="73"/>
      <c r="H81" s="73"/>
    </row>
    <row r="82" spans="1:8" ht="14.65" hidden="1" customHeight="1" x14ac:dyDescent="0.25">
      <c r="A82" s="80" t="s">
        <v>126</v>
      </c>
      <c r="B82" s="80">
        <f t="shared" si="0"/>
        <v>44763</v>
      </c>
      <c r="C82" s="82">
        <v>0.41666666666666669</v>
      </c>
      <c r="D82" s="82">
        <v>0.83333333333333337</v>
      </c>
      <c r="E82" s="148">
        <f>WEEKNUM(Planning2[[#This Row],[Date]],21)</f>
        <v>30</v>
      </c>
      <c r="F82" s="149" t="str">
        <f>VLOOKUP(A82,Annuaire_roster!B:C,2,0)</f>
        <v>Google Leads</v>
      </c>
      <c r="G82" s="73"/>
      <c r="H82" s="73"/>
    </row>
    <row r="83" spans="1:8" ht="14.65" hidden="1" customHeight="1" x14ac:dyDescent="0.25">
      <c r="A83" s="80" t="s">
        <v>141</v>
      </c>
      <c r="B83" s="80">
        <f t="shared" si="0"/>
        <v>44763</v>
      </c>
      <c r="C83" s="82" t="s">
        <v>31</v>
      </c>
      <c r="D83" s="82" t="s">
        <v>31</v>
      </c>
      <c r="E83" s="148">
        <f>WEEKNUM(Planning2[[#This Row],[Date]],21)</f>
        <v>30</v>
      </c>
      <c r="F83" s="149" t="str">
        <f>VLOOKUP(A83,Annuaire_roster!B:C,2,0)</f>
        <v>Google Leads</v>
      </c>
      <c r="G83" s="73"/>
      <c r="H83" s="73"/>
    </row>
    <row r="84" spans="1:8" ht="14.65" hidden="1" customHeight="1" x14ac:dyDescent="0.25">
      <c r="A84" s="80" t="s">
        <v>120</v>
      </c>
      <c r="B84" s="80">
        <f t="shared" si="0"/>
        <v>44763</v>
      </c>
      <c r="C84" s="147">
        <v>0.29166666666666669</v>
      </c>
      <c r="D84" s="147">
        <v>0.70833333333333337</v>
      </c>
      <c r="E84" s="148">
        <f>WEEKNUM(Planning2[[#This Row],[Date]],21)</f>
        <v>30</v>
      </c>
      <c r="F84" s="149" t="str">
        <f>VLOOKUP(A84,Annuaire_roster!B:C,2,0)</f>
        <v>Google Leads</v>
      </c>
      <c r="G84" s="73"/>
      <c r="H84" s="164"/>
    </row>
    <row r="85" spans="1:8" ht="14.65" hidden="1" customHeight="1" x14ac:dyDescent="0.25">
      <c r="A85" s="80" t="s">
        <v>144</v>
      </c>
      <c r="B85" s="80">
        <f t="shared" si="0"/>
        <v>44763</v>
      </c>
      <c r="C85" s="147" t="s">
        <v>224</v>
      </c>
      <c r="D85" s="147" t="s">
        <v>224</v>
      </c>
      <c r="E85" s="148">
        <f>WEEKNUM(Planning2[[#This Row],[Date]],21)</f>
        <v>30</v>
      </c>
      <c r="F85" s="149" t="str">
        <f>VLOOKUP(A85,Annuaire_roster!B:C,2,0)</f>
        <v>Google Leads</v>
      </c>
      <c r="G85" s="73"/>
      <c r="H85" s="164"/>
    </row>
    <row r="86" spans="1:8" ht="14.65" hidden="1" customHeight="1" x14ac:dyDescent="0.25">
      <c r="A86" s="80" t="s">
        <v>196</v>
      </c>
      <c r="B86" s="80">
        <f t="shared" si="0"/>
        <v>44763</v>
      </c>
      <c r="C86" s="147">
        <v>0.29166666666666669</v>
      </c>
      <c r="D86" s="147">
        <v>0.70833333333333337</v>
      </c>
      <c r="E86" s="148">
        <f>WEEKNUM(Planning2[[#This Row],[Date]],21)</f>
        <v>30</v>
      </c>
      <c r="F86" s="149" t="str">
        <f>VLOOKUP(A86,Annuaire_roster!B:C,2,0)</f>
        <v>Google Leads</v>
      </c>
      <c r="G86" s="73"/>
      <c r="H86" s="164"/>
    </row>
    <row r="87" spans="1:8" ht="14.65" hidden="1" customHeight="1" x14ac:dyDescent="0.25">
      <c r="A87" s="80" t="s">
        <v>197</v>
      </c>
      <c r="B87" s="80">
        <f t="shared" si="0"/>
        <v>44763</v>
      </c>
      <c r="C87" s="147" t="s">
        <v>31</v>
      </c>
      <c r="D87" s="147" t="s">
        <v>31</v>
      </c>
      <c r="E87" s="148">
        <f>WEEKNUM(Planning2[[#This Row],[Date]],21)</f>
        <v>30</v>
      </c>
      <c r="F87" s="149" t="str">
        <f>VLOOKUP(A87,Annuaire_roster!B:C,2,0)</f>
        <v>Google Leads</v>
      </c>
      <c r="G87" s="73"/>
      <c r="H87" s="164"/>
    </row>
    <row r="88" spans="1:8" ht="14.65" hidden="1" customHeight="1" x14ac:dyDescent="0.25">
      <c r="A88" s="80" t="s">
        <v>198</v>
      </c>
      <c r="B88" s="80">
        <f t="shared" si="0"/>
        <v>44763</v>
      </c>
      <c r="C88" s="147" t="s">
        <v>224</v>
      </c>
      <c r="D88" s="147" t="s">
        <v>224</v>
      </c>
      <c r="E88" s="148">
        <f>WEEKNUM(Planning2[[#This Row],[Date]],21)</f>
        <v>30</v>
      </c>
      <c r="F88" s="149" t="str">
        <f>VLOOKUP(A88,Annuaire_roster!B:C,2,0)</f>
        <v>Google Leads</v>
      </c>
      <c r="G88" s="73"/>
      <c r="H88" s="73"/>
    </row>
    <row r="89" spans="1:8" ht="14.65" hidden="1" customHeight="1" x14ac:dyDescent="0.25">
      <c r="A89" s="80" t="s">
        <v>209</v>
      </c>
      <c r="B89" s="80">
        <f t="shared" si="0"/>
        <v>44763</v>
      </c>
      <c r="C89" s="125">
        <v>0.29166666666666669</v>
      </c>
      <c r="D89" s="125">
        <v>0.70833333333333337</v>
      </c>
      <c r="E89" s="148">
        <f>WEEKNUM(Planning2[[#This Row],[Date]],21)</f>
        <v>30</v>
      </c>
      <c r="F89" s="149" t="str">
        <f>VLOOKUP(A89,Annuaire_roster!B:C,2,0)</f>
        <v>Google Leads</v>
      </c>
      <c r="G89" s="73"/>
      <c r="H89" s="73"/>
    </row>
    <row r="90" spans="1:8" ht="14.65" hidden="1" customHeight="1" x14ac:dyDescent="0.25">
      <c r="A90" s="80" t="s">
        <v>210</v>
      </c>
      <c r="B90" s="80">
        <f t="shared" si="0"/>
        <v>44763</v>
      </c>
      <c r="C90" s="82">
        <v>0.29166666666666669</v>
      </c>
      <c r="D90" s="82">
        <v>0.66666666666666663</v>
      </c>
      <c r="E90" s="148">
        <f>WEEKNUM(Planning2[[#This Row],[Date]],21)</f>
        <v>30</v>
      </c>
      <c r="F90" s="149" t="str">
        <f>VLOOKUP(A90,Annuaire_roster!B:C,2,0)</f>
        <v>Google Leads</v>
      </c>
      <c r="G90" s="73"/>
      <c r="H90" s="73"/>
    </row>
    <row r="91" spans="1:8" ht="14.65" hidden="1" customHeight="1" x14ac:dyDescent="0.25">
      <c r="A91" s="80" t="s">
        <v>212</v>
      </c>
      <c r="B91" s="80">
        <f t="shared" si="0"/>
        <v>44763</v>
      </c>
      <c r="C91" s="82">
        <v>0.375</v>
      </c>
      <c r="D91" s="82">
        <v>0.79166666666666663</v>
      </c>
      <c r="E91" s="148">
        <f>WEEKNUM(Planning2[[#This Row],[Date]],21)</f>
        <v>30</v>
      </c>
      <c r="F91" s="149" t="str">
        <f>VLOOKUP(A91,Annuaire_roster!B:C,2,0)</f>
        <v>Google Leads</v>
      </c>
      <c r="G91" s="73"/>
      <c r="H91" s="73"/>
    </row>
    <row r="92" spans="1:8" ht="14.65" hidden="1" customHeight="1" x14ac:dyDescent="0.25">
      <c r="A92" s="80" t="s">
        <v>216</v>
      </c>
      <c r="B92" s="80">
        <f t="shared" si="0"/>
        <v>44763</v>
      </c>
      <c r="C92" s="82">
        <v>0.29166666666666669</v>
      </c>
      <c r="D92" s="147">
        <v>0.70833333333333337</v>
      </c>
      <c r="E92" s="148">
        <f>WEEKNUM(Planning2[[#This Row],[Date]],21)</f>
        <v>30</v>
      </c>
      <c r="F92" s="149" t="str">
        <f>VLOOKUP(A92,Annuaire_roster!B:C,2,0)</f>
        <v>Google Leads</v>
      </c>
      <c r="G92" s="73"/>
      <c r="H92" s="73"/>
    </row>
    <row r="93" spans="1:8" ht="14.65" hidden="1" customHeight="1" x14ac:dyDescent="0.25">
      <c r="A93" s="80" t="s">
        <v>217</v>
      </c>
      <c r="B93" s="80">
        <f t="shared" si="0"/>
        <v>44763</v>
      </c>
      <c r="C93" s="82">
        <v>0.41666666666666669</v>
      </c>
      <c r="D93" s="147">
        <v>0.83333333333333337</v>
      </c>
      <c r="E93" s="148">
        <f>WEEKNUM(Planning2[[#This Row],[Date]],21)</f>
        <v>30</v>
      </c>
      <c r="F93" s="149" t="str">
        <f>VLOOKUP(A93,Annuaire_roster!B:C,2,0)</f>
        <v>Google Leads</v>
      </c>
      <c r="G93" s="73"/>
      <c r="H93" s="73"/>
    </row>
    <row r="94" spans="1:8" ht="14.65" hidden="1" customHeight="1" x14ac:dyDescent="0.25">
      <c r="A94" s="80" t="s">
        <v>219</v>
      </c>
      <c r="B94" s="80">
        <f t="shared" si="0"/>
        <v>44763</v>
      </c>
      <c r="C94" s="125">
        <v>0.29166666666666669</v>
      </c>
      <c r="D94" s="125">
        <v>0.70833333333333337</v>
      </c>
      <c r="E94" s="148">
        <f>WEEKNUM(Planning2[[#This Row],[Date]],21)</f>
        <v>30</v>
      </c>
      <c r="F94" s="149" t="str">
        <f>VLOOKUP(A94,Annuaire_roster!B:C,2,0)</f>
        <v>Google Leads</v>
      </c>
      <c r="G94" s="73"/>
      <c r="H94" s="73"/>
    </row>
    <row r="95" spans="1:8" ht="14.65" hidden="1" customHeight="1" x14ac:dyDescent="0.25">
      <c r="A95" s="80" t="s">
        <v>220</v>
      </c>
      <c r="B95" s="80">
        <f t="shared" si="0"/>
        <v>44763</v>
      </c>
      <c r="C95" s="82" t="s">
        <v>31</v>
      </c>
      <c r="D95" s="82" t="s">
        <v>31</v>
      </c>
      <c r="E95" s="148">
        <f>WEEKNUM(Planning2[[#This Row],[Date]],21)</f>
        <v>30</v>
      </c>
      <c r="F95" s="149" t="str">
        <f>VLOOKUP(A95,Annuaire_roster!B:C,2,0)</f>
        <v>Google Leads</v>
      </c>
      <c r="G95" s="73"/>
      <c r="H95" s="73"/>
    </row>
    <row r="96" spans="1:8" ht="14.65" hidden="1" customHeight="1" x14ac:dyDescent="0.25">
      <c r="A96" s="80" t="s">
        <v>221</v>
      </c>
      <c r="B96" s="80">
        <f t="shared" si="0"/>
        <v>44763</v>
      </c>
      <c r="C96" s="82">
        <v>0.41666666666666669</v>
      </c>
      <c r="D96" s="147">
        <v>0.83333333333333337</v>
      </c>
      <c r="E96" s="148">
        <f>WEEKNUM(Planning2[[#This Row],[Date]],21)</f>
        <v>30</v>
      </c>
      <c r="F96" s="149" t="str">
        <f>VLOOKUP(A96,Annuaire_roster!B:C,2,0)</f>
        <v>Google Leads</v>
      </c>
      <c r="G96" s="73"/>
      <c r="H96" s="73"/>
    </row>
    <row r="97" spans="1:8" ht="14.65" hidden="1" customHeight="1" x14ac:dyDescent="0.25">
      <c r="A97" s="124" t="s">
        <v>223</v>
      </c>
      <c r="B97" s="80">
        <f t="shared" si="0"/>
        <v>44763</v>
      </c>
      <c r="C97" s="82" t="s">
        <v>31</v>
      </c>
      <c r="D97" s="82" t="s">
        <v>31</v>
      </c>
      <c r="E97" s="148">
        <f>WEEKNUM(Planning2[[#This Row],[Date]],21)</f>
        <v>30</v>
      </c>
      <c r="F97" s="149" t="str">
        <f>VLOOKUP(A97,Annuaire_roster!B:C,2,0)</f>
        <v>Google Leads</v>
      </c>
      <c r="G97" s="73"/>
      <c r="H97" s="73"/>
    </row>
    <row r="98" spans="1:8" ht="14.65" hidden="1" customHeight="1" x14ac:dyDescent="0.25">
      <c r="A98" s="80" t="s">
        <v>213</v>
      </c>
      <c r="B98" s="80">
        <f t="shared" si="0"/>
        <v>44764</v>
      </c>
      <c r="C98" s="82">
        <v>0.375</v>
      </c>
      <c r="D98" s="147">
        <v>0.79166666666666663</v>
      </c>
      <c r="E98" s="148">
        <f>WEEKNUM(Planning2[[#This Row],[Date]],21)</f>
        <v>30</v>
      </c>
      <c r="F98" s="149" t="str">
        <f>VLOOKUP(A98,Annuaire_roster!B:C,2,0)</f>
        <v>Google Leads</v>
      </c>
      <c r="G98" s="73"/>
      <c r="H98" s="73"/>
    </row>
    <row r="99" spans="1:8" ht="14.65" hidden="1" customHeight="1" x14ac:dyDescent="0.25">
      <c r="A99" s="80" t="s">
        <v>80</v>
      </c>
      <c r="B99" s="80">
        <f t="shared" ref="B99:B162" si="1">+B67+1</f>
        <v>44764</v>
      </c>
      <c r="C99" s="82" t="s">
        <v>225</v>
      </c>
      <c r="D99" s="82" t="s">
        <v>225</v>
      </c>
      <c r="E99" s="148">
        <f>WEEKNUM(Planning2[[#This Row],[Date]],21)</f>
        <v>30</v>
      </c>
      <c r="F99" s="149" t="str">
        <f>VLOOKUP(A99,Annuaire_roster!B:C,2,0)</f>
        <v>Google Leads</v>
      </c>
      <c r="G99" s="73"/>
      <c r="H99" s="73"/>
    </row>
    <row r="100" spans="1:8" hidden="1" x14ac:dyDescent="0.25">
      <c r="A100" s="80" t="s">
        <v>45</v>
      </c>
      <c r="B100" s="80">
        <f t="shared" si="1"/>
        <v>44764</v>
      </c>
      <c r="C100" s="82" t="s">
        <v>31</v>
      </c>
      <c r="D100" s="82" t="s">
        <v>31</v>
      </c>
      <c r="E100" s="76">
        <f>WEEKNUM(Planning2[[#This Row],[Date]],21)</f>
        <v>30</v>
      </c>
      <c r="F100" s="77" t="str">
        <f>VLOOKUP(A100,Annuaire_roster!B:C,2,0)</f>
        <v>Google Leads</v>
      </c>
      <c r="G100" s="73"/>
      <c r="H100" s="73"/>
    </row>
    <row r="101" spans="1:8" hidden="1" x14ac:dyDescent="0.25">
      <c r="A101" s="80" t="s">
        <v>76</v>
      </c>
      <c r="B101" s="80">
        <f t="shared" si="1"/>
        <v>44764</v>
      </c>
      <c r="C101" s="82">
        <v>0.29166666666666669</v>
      </c>
      <c r="D101" s="82">
        <v>0.70833333333333337</v>
      </c>
      <c r="E101" s="76">
        <f>WEEKNUM(Planning2[[#This Row],[Date]],21)</f>
        <v>30</v>
      </c>
      <c r="F101" s="77" t="str">
        <f>VLOOKUP(A101,Annuaire_roster!B:C,2,0)</f>
        <v>Google Leads</v>
      </c>
      <c r="G101" s="73"/>
      <c r="H101" s="73"/>
    </row>
    <row r="102" spans="1:8" hidden="1" x14ac:dyDescent="0.25">
      <c r="A102" s="80" t="s">
        <v>83</v>
      </c>
      <c r="B102" s="80">
        <f t="shared" si="1"/>
        <v>44764</v>
      </c>
      <c r="C102" s="147">
        <v>0.41666666666666669</v>
      </c>
      <c r="D102" s="147">
        <v>0.83333333333333337</v>
      </c>
      <c r="E102" s="76">
        <f>WEEKNUM(Planning2[[#This Row],[Date]],21)</f>
        <v>30</v>
      </c>
      <c r="F102" s="77" t="str">
        <f>VLOOKUP(A102,Annuaire_roster!B:C,2,0)</f>
        <v>Google Leads</v>
      </c>
      <c r="G102" s="73"/>
      <c r="H102" s="73"/>
    </row>
    <row r="103" spans="1:8" hidden="1" x14ac:dyDescent="0.25">
      <c r="A103" s="80" t="s">
        <v>87</v>
      </c>
      <c r="B103" s="80">
        <f t="shared" si="1"/>
        <v>44764</v>
      </c>
      <c r="C103" s="82">
        <v>0.41666666666666669</v>
      </c>
      <c r="D103" s="82">
        <v>0.83333333333333337</v>
      </c>
      <c r="E103" s="76">
        <f>WEEKNUM(Planning2[[#This Row],[Date]],21)</f>
        <v>30</v>
      </c>
      <c r="F103" s="77" t="str">
        <f>VLOOKUP(A103,Annuaire_roster!B:C,2,0)</f>
        <v>Google Leads</v>
      </c>
      <c r="G103" s="73"/>
      <c r="H103" s="73"/>
    </row>
    <row r="104" spans="1:8" hidden="1" x14ac:dyDescent="0.25">
      <c r="A104" s="80" t="s">
        <v>85</v>
      </c>
      <c r="B104" s="80">
        <f t="shared" si="1"/>
        <v>44764</v>
      </c>
      <c r="C104" s="82">
        <v>0.41666666666666669</v>
      </c>
      <c r="D104" s="82">
        <v>0.83333333333333337</v>
      </c>
      <c r="E104" s="76">
        <f>WEEKNUM(Planning2[[#This Row],[Date]],21)</f>
        <v>30</v>
      </c>
      <c r="F104" s="77" t="str">
        <f>VLOOKUP(A104,Annuaire_roster!B:C,2,0)</f>
        <v>Google Leads</v>
      </c>
      <c r="G104" s="73"/>
      <c r="H104" s="73"/>
    </row>
    <row r="105" spans="1:8" hidden="1" x14ac:dyDescent="0.25">
      <c r="A105" s="80" t="s">
        <v>89</v>
      </c>
      <c r="B105" s="80">
        <f t="shared" si="1"/>
        <v>44764</v>
      </c>
      <c r="C105" s="82">
        <v>0.29166666666666669</v>
      </c>
      <c r="D105" s="82">
        <v>0.70833333333333337</v>
      </c>
      <c r="E105" s="76">
        <f>WEEKNUM(Planning2[[#This Row],[Date]],21)</f>
        <v>30</v>
      </c>
      <c r="F105" s="77" t="str">
        <f>VLOOKUP(A105,Annuaire_roster!B:C,2,0)</f>
        <v>Google Leads</v>
      </c>
      <c r="G105" s="73"/>
      <c r="H105" s="73"/>
    </row>
    <row r="106" spans="1:8" hidden="1" x14ac:dyDescent="0.25">
      <c r="A106" s="80" t="s">
        <v>94</v>
      </c>
      <c r="B106" s="80">
        <f t="shared" si="1"/>
        <v>44764</v>
      </c>
      <c r="C106" s="82" t="s">
        <v>31</v>
      </c>
      <c r="D106" s="82" t="s">
        <v>31</v>
      </c>
      <c r="E106" s="76">
        <f>WEEKNUM(Planning2[[#This Row],[Date]],21)</f>
        <v>30</v>
      </c>
      <c r="F106" s="77" t="str">
        <f>VLOOKUP(A106,Annuaire_roster!B:C,2,0)</f>
        <v>Google Leads</v>
      </c>
      <c r="G106" s="73"/>
      <c r="H106" s="73"/>
    </row>
    <row r="107" spans="1:8" hidden="1" x14ac:dyDescent="0.25">
      <c r="A107" s="80" t="s">
        <v>91</v>
      </c>
      <c r="B107" s="80">
        <f t="shared" si="1"/>
        <v>44764</v>
      </c>
      <c r="C107" s="82">
        <v>0.375</v>
      </c>
      <c r="D107" s="82">
        <v>0.79166666666666663</v>
      </c>
      <c r="E107" s="76">
        <f>WEEKNUM(Planning2[[#This Row],[Date]],21)</f>
        <v>30</v>
      </c>
      <c r="F107" s="77" t="str">
        <f>VLOOKUP(A107,Annuaire_roster!B:C,2,0)</f>
        <v>Google Leads</v>
      </c>
      <c r="G107" s="73"/>
      <c r="H107" s="73"/>
    </row>
    <row r="108" spans="1:8" hidden="1" x14ac:dyDescent="0.25">
      <c r="A108" s="80" t="s">
        <v>214</v>
      </c>
      <c r="B108" s="80">
        <f t="shared" si="1"/>
        <v>44764</v>
      </c>
      <c r="C108" s="82">
        <v>0.29166666666666669</v>
      </c>
      <c r="D108" s="82">
        <v>0.70833333333333337</v>
      </c>
      <c r="E108" s="76">
        <f>WEEKNUM(Planning2[[#This Row],[Date]],21)</f>
        <v>30</v>
      </c>
      <c r="F108" s="77" t="str">
        <f>VLOOKUP(A108,Annuaire_roster!B:C,2,0)</f>
        <v>Google Leads</v>
      </c>
      <c r="G108" s="73"/>
      <c r="H108" s="73"/>
    </row>
    <row r="109" spans="1:8" hidden="1" x14ac:dyDescent="0.25">
      <c r="A109" s="80" t="s">
        <v>102</v>
      </c>
      <c r="B109" s="80">
        <f t="shared" si="1"/>
        <v>44764</v>
      </c>
      <c r="C109" s="82">
        <v>0.29166666666666669</v>
      </c>
      <c r="D109" s="82">
        <v>0.70833333333333337</v>
      </c>
      <c r="E109" s="76">
        <f>WEEKNUM(Planning2[[#This Row],[Date]],21)</f>
        <v>30</v>
      </c>
      <c r="F109" s="77" t="str">
        <f>VLOOKUP(A109,Annuaire_roster!B:C,2,0)</f>
        <v>Google Leads</v>
      </c>
      <c r="G109" s="73"/>
      <c r="H109" s="73"/>
    </row>
    <row r="110" spans="1:8" hidden="1" x14ac:dyDescent="0.25">
      <c r="A110" s="80" t="s">
        <v>215</v>
      </c>
      <c r="B110" s="80">
        <f t="shared" si="1"/>
        <v>44764</v>
      </c>
      <c r="C110" s="82">
        <v>0.41666666666666669</v>
      </c>
      <c r="D110" s="82">
        <v>0.83333333333333337</v>
      </c>
      <c r="E110" s="76">
        <f>WEEKNUM(Planning2[[#This Row],[Date]],21)</f>
        <v>30</v>
      </c>
      <c r="F110" s="77" t="str">
        <f>VLOOKUP(A110,Annuaire_roster!B:C,2,0)</f>
        <v>Google Leads</v>
      </c>
      <c r="G110" s="73"/>
      <c r="H110" s="73"/>
    </row>
    <row r="111" spans="1:8" hidden="1" x14ac:dyDescent="0.25">
      <c r="A111" s="80" t="s">
        <v>88</v>
      </c>
      <c r="B111" s="80">
        <f t="shared" si="1"/>
        <v>44764</v>
      </c>
      <c r="C111" s="82" t="s">
        <v>31</v>
      </c>
      <c r="D111" s="82" t="s">
        <v>31</v>
      </c>
      <c r="E111" s="76">
        <f>WEEKNUM(Planning2[[#This Row],[Date]],21)</f>
        <v>30</v>
      </c>
      <c r="F111" s="77" t="str">
        <f>VLOOKUP(A111,Annuaire_roster!B:C,2,0)</f>
        <v>Google Leads</v>
      </c>
      <c r="G111" s="73"/>
      <c r="H111" s="73"/>
    </row>
    <row r="112" spans="1:8" hidden="1" x14ac:dyDescent="0.25">
      <c r="A112" s="80" t="s">
        <v>106</v>
      </c>
      <c r="B112" s="80">
        <f t="shared" si="1"/>
        <v>44764</v>
      </c>
      <c r="C112" s="82">
        <v>0.375</v>
      </c>
      <c r="D112" s="82">
        <v>0.79166666666666663</v>
      </c>
      <c r="E112" s="76">
        <f>WEEKNUM(Planning2[[#This Row],[Date]],21)</f>
        <v>30</v>
      </c>
      <c r="F112" s="77" t="str">
        <f>VLOOKUP(A112,Annuaire_roster!B:C,2,0)</f>
        <v>Google Leads</v>
      </c>
      <c r="G112" s="73"/>
      <c r="H112" s="73"/>
    </row>
    <row r="113" spans="1:8" hidden="1" x14ac:dyDescent="0.25">
      <c r="A113" s="80" t="s">
        <v>110</v>
      </c>
      <c r="B113" s="80">
        <f t="shared" si="1"/>
        <v>44764</v>
      </c>
      <c r="C113" s="82">
        <v>0.375</v>
      </c>
      <c r="D113" s="82">
        <v>0.79166666666666663</v>
      </c>
      <c r="E113" s="76">
        <f>WEEKNUM(Planning2[[#This Row],[Date]],21)</f>
        <v>30</v>
      </c>
      <c r="F113" s="77" t="str">
        <f>VLOOKUP(A113,Annuaire_roster!B:C,2,0)</f>
        <v>Google Leads</v>
      </c>
      <c r="G113" s="73"/>
      <c r="H113" s="73"/>
    </row>
    <row r="114" spans="1:8" hidden="1" x14ac:dyDescent="0.25">
      <c r="A114" s="80" t="s">
        <v>126</v>
      </c>
      <c r="B114" s="80">
        <f t="shared" si="1"/>
        <v>44764</v>
      </c>
      <c r="C114" s="82">
        <v>0.41666666666666669</v>
      </c>
      <c r="D114" s="82">
        <v>0.83333333333333337</v>
      </c>
      <c r="E114" s="76">
        <f>WEEKNUM(Planning2[[#This Row],[Date]],21)</f>
        <v>30</v>
      </c>
      <c r="F114" s="77" t="str">
        <f>VLOOKUP(A114,Annuaire_roster!B:C,2,0)</f>
        <v>Google Leads</v>
      </c>
      <c r="G114" s="73"/>
      <c r="H114" s="73"/>
    </row>
    <row r="115" spans="1:8" hidden="1" x14ac:dyDescent="0.25">
      <c r="A115" s="80" t="s">
        <v>141</v>
      </c>
      <c r="B115" s="80">
        <f t="shared" si="1"/>
        <v>44764</v>
      </c>
      <c r="C115" s="82">
        <v>0.41666666666666669</v>
      </c>
      <c r="D115" s="82">
        <v>0.83333333333333337</v>
      </c>
      <c r="E115" s="76">
        <f>WEEKNUM(Planning2[[#This Row],[Date]],21)</f>
        <v>30</v>
      </c>
      <c r="F115" s="77" t="str">
        <f>VLOOKUP(A115,Annuaire_roster!B:C,2,0)</f>
        <v>Google Leads</v>
      </c>
      <c r="G115" s="73"/>
      <c r="H115" s="73"/>
    </row>
    <row r="116" spans="1:8" hidden="1" x14ac:dyDescent="0.25">
      <c r="A116" s="80" t="s">
        <v>120</v>
      </c>
      <c r="B116" s="80">
        <f t="shared" si="1"/>
        <v>44764</v>
      </c>
      <c r="C116" s="82">
        <v>0.29166666666666669</v>
      </c>
      <c r="D116" s="82">
        <v>0.70833333333333337</v>
      </c>
      <c r="E116" s="76">
        <f>WEEKNUM(Planning2[[#This Row],[Date]],21)</f>
        <v>30</v>
      </c>
      <c r="F116" s="77" t="str">
        <f>VLOOKUP(A116,Annuaire_roster!B:C,2,0)</f>
        <v>Google Leads</v>
      </c>
      <c r="G116" s="73"/>
      <c r="H116" s="73"/>
    </row>
    <row r="117" spans="1:8" hidden="1" x14ac:dyDescent="0.25">
      <c r="A117" s="80" t="s">
        <v>144</v>
      </c>
      <c r="B117" s="80">
        <f t="shared" si="1"/>
        <v>44764</v>
      </c>
      <c r="C117" s="82" t="s">
        <v>224</v>
      </c>
      <c r="D117" s="82" t="s">
        <v>224</v>
      </c>
      <c r="E117" s="76">
        <f>WEEKNUM(Planning2[[#This Row],[Date]],21)</f>
        <v>30</v>
      </c>
      <c r="F117" s="77" t="str">
        <f>VLOOKUP(A117,Annuaire_roster!B:C,2,0)</f>
        <v>Google Leads</v>
      </c>
      <c r="G117" s="73"/>
      <c r="H117" s="73"/>
    </row>
    <row r="118" spans="1:8" hidden="1" x14ac:dyDescent="0.25">
      <c r="A118" s="80" t="s">
        <v>196</v>
      </c>
      <c r="B118" s="80">
        <f t="shared" si="1"/>
        <v>44764</v>
      </c>
      <c r="C118" s="82">
        <v>0.29166666666666669</v>
      </c>
      <c r="D118" s="82">
        <v>0.70833333333333337</v>
      </c>
      <c r="E118" s="76">
        <f>WEEKNUM(Planning2[[#This Row],[Date]],21)</f>
        <v>30</v>
      </c>
      <c r="F118" s="77" t="str">
        <f>VLOOKUP(A118,Annuaire_roster!B:C,2,0)</f>
        <v>Google Leads</v>
      </c>
      <c r="G118" s="73"/>
      <c r="H118" s="73"/>
    </row>
    <row r="119" spans="1:8" hidden="1" x14ac:dyDescent="0.25">
      <c r="A119" s="80" t="s">
        <v>197</v>
      </c>
      <c r="B119" s="80">
        <f t="shared" si="1"/>
        <v>44764</v>
      </c>
      <c r="C119" s="125" t="s">
        <v>31</v>
      </c>
      <c r="D119" s="125" t="s">
        <v>31</v>
      </c>
      <c r="E119" s="76">
        <f>WEEKNUM(Planning2[[#This Row],[Date]],21)</f>
        <v>30</v>
      </c>
      <c r="F119" s="77" t="str">
        <f>VLOOKUP(A119,Annuaire_roster!B:C,2,0)</f>
        <v>Google Leads</v>
      </c>
      <c r="G119" s="73"/>
      <c r="H119" s="73"/>
    </row>
    <row r="120" spans="1:8" hidden="1" x14ac:dyDescent="0.25">
      <c r="A120" s="80" t="s">
        <v>198</v>
      </c>
      <c r="B120" s="80">
        <f t="shared" si="1"/>
        <v>44764</v>
      </c>
      <c r="C120" s="82" t="s">
        <v>224</v>
      </c>
      <c r="D120" s="82" t="s">
        <v>224</v>
      </c>
      <c r="E120" s="76">
        <f>WEEKNUM(Planning2[[#This Row],[Date]],21)</f>
        <v>30</v>
      </c>
      <c r="F120" s="77" t="str">
        <f>VLOOKUP(A120,Annuaire_roster!B:C,2,0)</f>
        <v>Google Leads</v>
      </c>
      <c r="G120" s="73"/>
      <c r="H120" s="73"/>
    </row>
    <row r="121" spans="1:8" hidden="1" x14ac:dyDescent="0.25">
      <c r="A121" s="80" t="s">
        <v>209</v>
      </c>
      <c r="B121" s="80">
        <f t="shared" si="1"/>
        <v>44764</v>
      </c>
      <c r="C121" s="82">
        <v>0.29166666666666669</v>
      </c>
      <c r="D121" s="82">
        <v>0.70833333333333337</v>
      </c>
      <c r="E121" s="76">
        <f>WEEKNUM(Planning2[[#This Row],[Date]],21)</f>
        <v>30</v>
      </c>
      <c r="F121" s="77" t="str">
        <f>VLOOKUP(A121,Annuaire_roster!B:C,2,0)</f>
        <v>Google Leads</v>
      </c>
      <c r="G121" s="73"/>
      <c r="H121" s="73"/>
    </row>
    <row r="122" spans="1:8" hidden="1" x14ac:dyDescent="0.25">
      <c r="A122" s="80" t="s">
        <v>210</v>
      </c>
      <c r="B122" s="80">
        <f t="shared" si="1"/>
        <v>44764</v>
      </c>
      <c r="C122" s="82" t="s">
        <v>31</v>
      </c>
      <c r="D122" s="82" t="s">
        <v>31</v>
      </c>
      <c r="E122" s="76">
        <f>WEEKNUM(Planning2[[#This Row],[Date]],21)</f>
        <v>30</v>
      </c>
      <c r="F122" s="77" t="str">
        <f>VLOOKUP(A122,Annuaire_roster!B:C,2,0)</f>
        <v>Google Leads</v>
      </c>
      <c r="G122" s="73"/>
      <c r="H122" s="73"/>
    </row>
    <row r="123" spans="1:8" hidden="1" x14ac:dyDescent="0.25">
      <c r="A123" s="80" t="s">
        <v>212</v>
      </c>
      <c r="B123" s="80">
        <f t="shared" si="1"/>
        <v>44764</v>
      </c>
      <c r="C123" s="82">
        <v>0.375</v>
      </c>
      <c r="D123" s="82">
        <v>0.79166666666666663</v>
      </c>
      <c r="E123" s="76">
        <f>WEEKNUM(Planning2[[#This Row],[Date]],21)</f>
        <v>30</v>
      </c>
      <c r="F123" s="77" t="str">
        <f>VLOOKUP(A123,Annuaire_roster!B:C,2,0)</f>
        <v>Google Leads</v>
      </c>
      <c r="G123" s="73"/>
      <c r="H123" s="73"/>
    </row>
    <row r="124" spans="1:8" hidden="1" x14ac:dyDescent="0.25">
      <c r="A124" s="80" t="s">
        <v>216</v>
      </c>
      <c r="B124" s="80">
        <f t="shared" si="1"/>
        <v>44764</v>
      </c>
      <c r="C124" s="82" t="s">
        <v>31</v>
      </c>
      <c r="D124" s="82" t="s">
        <v>31</v>
      </c>
      <c r="E124" s="76">
        <f>WEEKNUM(Planning2[[#This Row],[Date]],21)</f>
        <v>30</v>
      </c>
      <c r="F124" s="77" t="str">
        <f>VLOOKUP(A124,Annuaire_roster!B:C,2,0)</f>
        <v>Google Leads</v>
      </c>
      <c r="G124" s="73"/>
      <c r="H124" s="73"/>
    </row>
    <row r="125" spans="1:8" hidden="1" x14ac:dyDescent="0.25">
      <c r="A125" s="80" t="s">
        <v>217</v>
      </c>
      <c r="B125" s="80">
        <f t="shared" si="1"/>
        <v>44764</v>
      </c>
      <c r="C125" s="82" t="s">
        <v>31</v>
      </c>
      <c r="D125" s="82" t="s">
        <v>31</v>
      </c>
      <c r="E125" s="76">
        <f>WEEKNUM(Planning2[[#This Row],[Date]],21)</f>
        <v>30</v>
      </c>
      <c r="F125" s="77" t="str">
        <f>VLOOKUP(A125,Annuaire_roster!B:C,2,0)</f>
        <v>Google Leads</v>
      </c>
      <c r="G125" s="73"/>
      <c r="H125" s="73"/>
    </row>
    <row r="126" spans="1:8" hidden="1" x14ac:dyDescent="0.25">
      <c r="A126" s="80" t="s">
        <v>219</v>
      </c>
      <c r="B126" s="80">
        <f t="shared" si="1"/>
        <v>44764</v>
      </c>
      <c r="C126" s="82">
        <v>0.29166666666666669</v>
      </c>
      <c r="D126" s="82">
        <v>0.70833333333333337</v>
      </c>
      <c r="E126" s="76">
        <f>WEEKNUM(Planning2[[#This Row],[Date]],21)</f>
        <v>30</v>
      </c>
      <c r="F126" s="77" t="str">
        <f>VLOOKUP(A126,Annuaire_roster!B:C,2,0)</f>
        <v>Google Leads</v>
      </c>
      <c r="G126" s="73"/>
      <c r="H126" s="73"/>
    </row>
    <row r="127" spans="1:8" hidden="1" x14ac:dyDescent="0.25">
      <c r="A127" s="80" t="s">
        <v>220</v>
      </c>
      <c r="B127" s="80">
        <f t="shared" si="1"/>
        <v>44764</v>
      </c>
      <c r="C127" s="82">
        <v>0.41666666666666669</v>
      </c>
      <c r="D127" s="82">
        <v>0.83333333333333337</v>
      </c>
      <c r="E127" s="76">
        <f>WEEKNUM(Planning2[[#This Row],[Date]],21)</f>
        <v>30</v>
      </c>
      <c r="F127" s="77" t="str">
        <f>VLOOKUP(A127,Annuaire_roster!B:C,2,0)</f>
        <v>Google Leads</v>
      </c>
      <c r="G127" s="73"/>
      <c r="H127" s="73"/>
    </row>
    <row r="128" spans="1:8" hidden="1" x14ac:dyDescent="0.25">
      <c r="A128" s="80" t="s">
        <v>221</v>
      </c>
      <c r="B128" s="80">
        <f t="shared" si="1"/>
        <v>44764</v>
      </c>
      <c r="C128" s="82">
        <v>0.41666666666666669</v>
      </c>
      <c r="D128" s="82">
        <v>0.83333333333333337</v>
      </c>
      <c r="E128" s="76">
        <f>WEEKNUM(Planning2[[#This Row],[Date]],21)</f>
        <v>30</v>
      </c>
      <c r="F128" s="77" t="str">
        <f>VLOOKUP(A128,Annuaire_roster!B:C,2,0)</f>
        <v>Google Leads</v>
      </c>
      <c r="G128" s="73"/>
      <c r="H128" s="73"/>
    </row>
    <row r="129" spans="1:8" hidden="1" x14ac:dyDescent="0.25">
      <c r="A129" s="124" t="s">
        <v>223</v>
      </c>
      <c r="B129" s="80">
        <f t="shared" si="1"/>
        <v>44764</v>
      </c>
      <c r="C129" s="82">
        <v>0.41666666666666669</v>
      </c>
      <c r="D129" s="82">
        <v>0.83333333333333337</v>
      </c>
      <c r="E129" s="76">
        <f>WEEKNUM(Planning2[[#This Row],[Date]],21)</f>
        <v>30</v>
      </c>
      <c r="F129" s="77" t="str">
        <f>VLOOKUP(A129,Annuaire_roster!B:C,2,0)</f>
        <v>Google Leads</v>
      </c>
      <c r="G129" s="73"/>
      <c r="H129" s="73"/>
    </row>
    <row r="130" spans="1:8" hidden="1" x14ac:dyDescent="0.25">
      <c r="A130" s="80" t="s">
        <v>213</v>
      </c>
      <c r="B130" s="80">
        <f t="shared" si="1"/>
        <v>44765</v>
      </c>
      <c r="C130" s="82">
        <v>0.375</v>
      </c>
      <c r="D130" s="82">
        <v>0.79166666666666663</v>
      </c>
      <c r="E130" s="76">
        <f>WEEKNUM(Planning2[[#This Row],[Date]],21)</f>
        <v>30</v>
      </c>
      <c r="F130" s="77" t="str">
        <f>VLOOKUP(A130,Annuaire_roster!B:C,2,0)</f>
        <v>Google Leads</v>
      </c>
      <c r="G130" s="73"/>
      <c r="H130" s="73"/>
    </row>
    <row r="131" spans="1:8" hidden="1" x14ac:dyDescent="0.25">
      <c r="A131" s="80" t="s">
        <v>80</v>
      </c>
      <c r="B131" s="80">
        <f t="shared" si="1"/>
        <v>44765</v>
      </c>
      <c r="C131" s="82" t="s">
        <v>225</v>
      </c>
      <c r="D131" s="82" t="s">
        <v>225</v>
      </c>
      <c r="E131" s="76">
        <f>WEEKNUM(Planning2[[#This Row],[Date]],21)</f>
        <v>30</v>
      </c>
      <c r="F131" s="77" t="str">
        <f>VLOOKUP(A131,Annuaire_roster!B:C,2,0)</f>
        <v>Google Leads</v>
      </c>
      <c r="G131" s="73"/>
      <c r="H131" s="73"/>
    </row>
    <row r="132" spans="1:8" hidden="1" x14ac:dyDescent="0.25">
      <c r="A132" s="80" t="s">
        <v>45</v>
      </c>
      <c r="B132" s="80">
        <f t="shared" si="1"/>
        <v>44765</v>
      </c>
      <c r="C132" s="82">
        <v>0.29166666666666669</v>
      </c>
      <c r="D132" s="82">
        <v>0.70833333333333337</v>
      </c>
      <c r="E132" s="76">
        <f>WEEKNUM(Planning2[[#This Row],[Date]],21)</f>
        <v>30</v>
      </c>
      <c r="F132" s="77" t="str">
        <f>VLOOKUP(A132,Annuaire_roster!B:C,2,0)</f>
        <v>Google Leads</v>
      </c>
      <c r="G132" s="73"/>
      <c r="H132" s="73"/>
    </row>
    <row r="133" spans="1:8" hidden="1" x14ac:dyDescent="0.25">
      <c r="A133" s="80" t="s">
        <v>76</v>
      </c>
      <c r="B133" s="80">
        <f t="shared" si="1"/>
        <v>44765</v>
      </c>
      <c r="C133" s="82">
        <v>0.29166666666666669</v>
      </c>
      <c r="D133" s="82">
        <v>0.70833333333333337</v>
      </c>
      <c r="E133" s="76">
        <f>WEEKNUM(Planning2[[#This Row],[Date]],21)</f>
        <v>30</v>
      </c>
      <c r="F133" s="77" t="str">
        <f>VLOOKUP(A133,Annuaire_roster!B:C,2,0)</f>
        <v>Google Leads</v>
      </c>
      <c r="G133" s="73"/>
      <c r="H133" s="73"/>
    </row>
    <row r="134" spans="1:8" hidden="1" x14ac:dyDescent="0.25">
      <c r="A134" s="80" t="s">
        <v>83</v>
      </c>
      <c r="B134" s="80">
        <f t="shared" si="1"/>
        <v>44765</v>
      </c>
      <c r="C134" s="82">
        <v>0.45833333333333331</v>
      </c>
      <c r="D134" s="82">
        <v>0.83333333333333337</v>
      </c>
      <c r="E134" s="76">
        <f>WEEKNUM(Planning2[[#This Row],[Date]],21)</f>
        <v>30</v>
      </c>
      <c r="F134" s="77" t="str">
        <f>VLOOKUP(A134,Annuaire_roster!B:C,2,0)</f>
        <v>Google Leads</v>
      </c>
      <c r="G134" s="73"/>
      <c r="H134" s="73"/>
    </row>
    <row r="135" spans="1:8" hidden="1" x14ac:dyDescent="0.25">
      <c r="A135" s="80" t="s">
        <v>87</v>
      </c>
      <c r="B135" s="80">
        <f t="shared" si="1"/>
        <v>44765</v>
      </c>
      <c r="C135" s="82">
        <v>0.45833333333333331</v>
      </c>
      <c r="D135" s="82">
        <v>0.83333333333333337</v>
      </c>
      <c r="E135" s="76">
        <f>WEEKNUM(Planning2[[#This Row],[Date]],21)</f>
        <v>30</v>
      </c>
      <c r="F135" s="77" t="str">
        <f>VLOOKUP(A135,Annuaire_roster!B:C,2,0)</f>
        <v>Google Leads</v>
      </c>
      <c r="G135" s="73"/>
      <c r="H135" s="73"/>
    </row>
    <row r="136" spans="1:8" hidden="1" x14ac:dyDescent="0.25">
      <c r="A136" s="80" t="s">
        <v>85</v>
      </c>
      <c r="B136" s="80">
        <f t="shared" si="1"/>
        <v>44765</v>
      </c>
      <c r="C136" s="82">
        <v>0.45833333333333331</v>
      </c>
      <c r="D136" s="82">
        <v>0.83333333333333337</v>
      </c>
      <c r="E136" s="76">
        <f>WEEKNUM(Planning2[[#This Row],[Date]],21)</f>
        <v>30</v>
      </c>
      <c r="F136" s="77" t="str">
        <f>VLOOKUP(A136,Annuaire_roster!B:C,2,0)</f>
        <v>Google Leads</v>
      </c>
      <c r="G136" s="73"/>
      <c r="H136" s="73"/>
    </row>
    <row r="137" spans="1:8" hidden="1" x14ac:dyDescent="0.25">
      <c r="A137" s="80" t="s">
        <v>89</v>
      </c>
      <c r="B137" s="80">
        <f t="shared" si="1"/>
        <v>44765</v>
      </c>
      <c r="C137" s="82">
        <v>0.29166666666666669</v>
      </c>
      <c r="D137" s="82">
        <v>0.66666666666666663</v>
      </c>
      <c r="E137" s="76">
        <f>WEEKNUM(Planning2[[#This Row],[Date]],21)</f>
        <v>30</v>
      </c>
      <c r="F137" s="77" t="str">
        <f>VLOOKUP(A137,Annuaire_roster!B:C,2,0)</f>
        <v>Google Leads</v>
      </c>
      <c r="G137" s="73"/>
      <c r="H137" s="73"/>
    </row>
    <row r="138" spans="1:8" hidden="1" x14ac:dyDescent="0.25">
      <c r="A138" s="80" t="s">
        <v>94</v>
      </c>
      <c r="B138" s="80">
        <f t="shared" si="1"/>
        <v>44765</v>
      </c>
      <c r="C138" s="82" t="s">
        <v>31</v>
      </c>
      <c r="D138" s="82" t="s">
        <v>31</v>
      </c>
      <c r="E138" s="76">
        <f>WEEKNUM(Planning2[[#This Row],[Date]],21)</f>
        <v>30</v>
      </c>
      <c r="F138" s="77" t="str">
        <f>VLOOKUP(A138,Annuaire_roster!B:C,2,0)</f>
        <v>Google Leads</v>
      </c>
      <c r="G138" s="73"/>
      <c r="H138" s="73"/>
    </row>
    <row r="139" spans="1:8" hidden="1" x14ac:dyDescent="0.25">
      <c r="A139" s="80" t="s">
        <v>91</v>
      </c>
      <c r="B139" s="80">
        <f t="shared" si="1"/>
        <v>44765</v>
      </c>
      <c r="C139" s="82">
        <v>0.375</v>
      </c>
      <c r="D139" s="82">
        <v>0.79166666666666663</v>
      </c>
      <c r="E139" s="76">
        <f>WEEKNUM(Planning2[[#This Row],[Date]],21)</f>
        <v>30</v>
      </c>
      <c r="F139" s="77" t="str">
        <f>VLOOKUP(A139,Annuaire_roster!B:C,2,0)</f>
        <v>Google Leads</v>
      </c>
      <c r="G139" s="73"/>
      <c r="H139" s="73"/>
    </row>
    <row r="140" spans="1:8" hidden="1" x14ac:dyDescent="0.25">
      <c r="A140" s="80" t="s">
        <v>214</v>
      </c>
      <c r="B140" s="80">
        <f t="shared" si="1"/>
        <v>44765</v>
      </c>
      <c r="C140" s="82">
        <v>0.29166666666666669</v>
      </c>
      <c r="D140" s="82">
        <v>0.70833333333333337</v>
      </c>
      <c r="E140" s="76">
        <f>WEEKNUM(Planning2[[#This Row],[Date]],21)</f>
        <v>30</v>
      </c>
      <c r="F140" s="77" t="str">
        <f>VLOOKUP(A140,Annuaire_roster!B:C,2,0)</f>
        <v>Google Leads</v>
      </c>
      <c r="G140" s="73"/>
      <c r="H140" s="73"/>
    </row>
    <row r="141" spans="1:8" hidden="1" x14ac:dyDescent="0.25">
      <c r="A141" s="80" t="s">
        <v>102</v>
      </c>
      <c r="B141" s="80">
        <f t="shared" si="1"/>
        <v>44765</v>
      </c>
      <c r="C141" s="82">
        <v>0.29166666666666669</v>
      </c>
      <c r="D141" s="82">
        <v>0.66666666666666663</v>
      </c>
      <c r="E141" s="76">
        <f>WEEKNUM(Planning2[[#This Row],[Date]],21)</f>
        <v>30</v>
      </c>
      <c r="F141" s="77" t="str">
        <f>VLOOKUP(A141,Annuaire_roster!B:C,2,0)</f>
        <v>Google Leads</v>
      </c>
      <c r="G141" s="73"/>
      <c r="H141" s="73"/>
    </row>
    <row r="142" spans="1:8" hidden="1" x14ac:dyDescent="0.25">
      <c r="A142" s="80" t="s">
        <v>215</v>
      </c>
      <c r="B142" s="80">
        <f t="shared" si="1"/>
        <v>44765</v>
      </c>
      <c r="C142" s="82">
        <v>0.45833333333333331</v>
      </c>
      <c r="D142" s="82">
        <v>0.83333333333333337</v>
      </c>
      <c r="E142" s="76">
        <f>WEEKNUM(Planning2[[#This Row],[Date]],21)</f>
        <v>30</v>
      </c>
      <c r="F142" s="77" t="str">
        <f>VLOOKUP(A142,Annuaire_roster!B:C,2,0)</f>
        <v>Google Leads</v>
      </c>
      <c r="G142" s="73"/>
      <c r="H142" s="73"/>
    </row>
    <row r="143" spans="1:8" hidden="1" x14ac:dyDescent="0.25">
      <c r="A143" s="80" t="s">
        <v>88</v>
      </c>
      <c r="B143" s="80">
        <f t="shared" si="1"/>
        <v>44765</v>
      </c>
      <c r="C143" s="82" t="s">
        <v>31</v>
      </c>
      <c r="D143" s="82" t="s">
        <v>31</v>
      </c>
      <c r="E143" s="76">
        <f>WEEKNUM(Planning2[[#This Row],[Date]],21)</f>
        <v>30</v>
      </c>
      <c r="F143" s="77" t="str">
        <f>VLOOKUP(A143,Annuaire_roster!B:C,2,0)</f>
        <v>Google Leads</v>
      </c>
      <c r="G143" s="73"/>
      <c r="H143" s="73"/>
    </row>
    <row r="144" spans="1:8" hidden="1" x14ac:dyDescent="0.25">
      <c r="A144" s="80" t="s">
        <v>106</v>
      </c>
      <c r="B144" s="80">
        <f t="shared" si="1"/>
        <v>44765</v>
      </c>
      <c r="C144" s="82">
        <v>0.375</v>
      </c>
      <c r="D144" s="82">
        <v>0.79166666666666663</v>
      </c>
      <c r="E144" s="76">
        <f>WEEKNUM(Planning2[[#This Row],[Date]],21)</f>
        <v>30</v>
      </c>
      <c r="F144" s="77" t="str">
        <f>VLOOKUP(A144,Annuaire_roster!B:C,2,0)</f>
        <v>Google Leads</v>
      </c>
      <c r="G144" s="73"/>
      <c r="H144" s="73"/>
    </row>
    <row r="145" spans="1:8" hidden="1" x14ac:dyDescent="0.25">
      <c r="A145" s="80" t="s">
        <v>110</v>
      </c>
      <c r="B145" s="80">
        <f t="shared" si="1"/>
        <v>44765</v>
      </c>
      <c r="C145" s="82">
        <v>0.375</v>
      </c>
      <c r="D145" s="82">
        <v>0.79166666666666663</v>
      </c>
      <c r="E145" s="76">
        <f>WEEKNUM(Planning2[[#This Row],[Date]],21)</f>
        <v>30</v>
      </c>
      <c r="F145" s="77" t="str">
        <f>VLOOKUP(A145,Annuaire_roster!B:C,2,0)</f>
        <v>Google Leads</v>
      </c>
      <c r="G145" s="73"/>
      <c r="H145" s="73"/>
    </row>
    <row r="146" spans="1:8" hidden="1" x14ac:dyDescent="0.25">
      <c r="A146" s="80" t="s">
        <v>126</v>
      </c>
      <c r="B146" s="80">
        <f t="shared" si="1"/>
        <v>44765</v>
      </c>
      <c r="C146" s="82">
        <v>0.45833333333333331</v>
      </c>
      <c r="D146" s="82">
        <v>0.83333333333333337</v>
      </c>
      <c r="E146" s="76">
        <f>WEEKNUM(Planning2[[#This Row],[Date]],21)</f>
        <v>30</v>
      </c>
      <c r="F146" s="77" t="str">
        <f>VLOOKUP(A146,Annuaire_roster!B:C,2,0)</f>
        <v>Google Leads</v>
      </c>
      <c r="G146" s="73"/>
      <c r="H146" s="73"/>
    </row>
    <row r="147" spans="1:8" hidden="1" x14ac:dyDescent="0.25">
      <c r="A147" s="80" t="s">
        <v>141</v>
      </c>
      <c r="B147" s="80">
        <f t="shared" si="1"/>
        <v>44765</v>
      </c>
      <c r="C147" s="82">
        <v>0.41666666666666669</v>
      </c>
      <c r="D147" s="82">
        <v>0.83333333333333337</v>
      </c>
      <c r="E147" s="152">
        <f>WEEKNUM(Planning2[[#This Row],[Date]],21)</f>
        <v>30</v>
      </c>
      <c r="F147" s="153" t="str">
        <f>VLOOKUP(A147,Annuaire_roster!B:C,2,0)</f>
        <v>Google Leads</v>
      </c>
      <c r="G147" s="154"/>
      <c r="H147" s="154"/>
    </row>
    <row r="148" spans="1:8" hidden="1" x14ac:dyDescent="0.25">
      <c r="A148" s="80" t="s">
        <v>120</v>
      </c>
      <c r="B148" s="80">
        <f t="shared" si="1"/>
        <v>44765</v>
      </c>
      <c r="C148" s="82">
        <v>0.29166666666666669</v>
      </c>
      <c r="D148" s="82">
        <v>0.66666666666666663</v>
      </c>
      <c r="E148" s="152">
        <f>WEEKNUM(Planning2[[#This Row],[Date]],21)</f>
        <v>30</v>
      </c>
      <c r="F148" s="153" t="str">
        <f>VLOOKUP(A148,Annuaire_roster!B:C,2,0)</f>
        <v>Google Leads</v>
      </c>
      <c r="G148" s="154"/>
      <c r="H148" s="154"/>
    </row>
    <row r="149" spans="1:8" hidden="1" x14ac:dyDescent="0.25">
      <c r="A149" s="80" t="s">
        <v>144</v>
      </c>
      <c r="B149" s="80">
        <f t="shared" si="1"/>
        <v>44765</v>
      </c>
      <c r="C149" s="82" t="s">
        <v>224</v>
      </c>
      <c r="D149" s="82" t="s">
        <v>224</v>
      </c>
      <c r="E149" s="152">
        <f>WEEKNUM(Planning2[[#This Row],[Date]],21)</f>
        <v>30</v>
      </c>
      <c r="F149" s="153" t="str">
        <f>VLOOKUP(A149,Annuaire_roster!B:C,2,0)</f>
        <v>Google Leads</v>
      </c>
      <c r="G149" s="154"/>
      <c r="H149" s="154"/>
    </row>
    <row r="150" spans="1:8" hidden="1" x14ac:dyDescent="0.25">
      <c r="A150" s="80" t="s">
        <v>196</v>
      </c>
      <c r="B150" s="80">
        <f t="shared" si="1"/>
        <v>44765</v>
      </c>
      <c r="C150" s="82">
        <v>0.29166666666666669</v>
      </c>
      <c r="D150" s="82">
        <v>0.70833333333333337</v>
      </c>
      <c r="E150" s="152">
        <f>WEEKNUM(Planning2[[#This Row],[Date]],21)</f>
        <v>30</v>
      </c>
      <c r="F150" s="153" t="str">
        <f>VLOOKUP(A150,Annuaire_roster!B:C,2,0)</f>
        <v>Google Leads</v>
      </c>
      <c r="G150" s="154"/>
      <c r="H150" s="154"/>
    </row>
    <row r="151" spans="1:8" hidden="1" x14ac:dyDescent="0.25">
      <c r="A151" s="80" t="s">
        <v>197</v>
      </c>
      <c r="B151" s="80">
        <f t="shared" si="1"/>
        <v>44765</v>
      </c>
      <c r="C151" s="82">
        <v>0.45833333333333331</v>
      </c>
      <c r="D151" s="82">
        <v>0.83333333333333337</v>
      </c>
      <c r="E151" s="76">
        <f>WEEKNUM(Planning2[[#This Row],[Date]],21)</f>
        <v>30</v>
      </c>
      <c r="F151" s="77" t="str">
        <f>VLOOKUP(A151,Annuaire_roster!B:C,2,0)</f>
        <v>Google Leads</v>
      </c>
      <c r="G151" s="73"/>
      <c r="H151" s="73"/>
    </row>
    <row r="152" spans="1:8" hidden="1" x14ac:dyDescent="0.25">
      <c r="A152" s="80" t="s">
        <v>198</v>
      </c>
      <c r="B152" s="80">
        <f t="shared" si="1"/>
        <v>44765</v>
      </c>
      <c r="C152" s="82" t="s">
        <v>224</v>
      </c>
      <c r="D152" s="82" t="s">
        <v>224</v>
      </c>
      <c r="E152" s="76">
        <f>WEEKNUM(Planning2[[#This Row],[Date]],21)</f>
        <v>30</v>
      </c>
      <c r="F152" s="77" t="str">
        <f>VLOOKUP(A152,Annuaire_roster!B:C,2,0)</f>
        <v>Google Leads</v>
      </c>
      <c r="G152" s="73"/>
      <c r="H152" s="73"/>
    </row>
    <row r="153" spans="1:8" hidden="1" x14ac:dyDescent="0.25">
      <c r="A153" s="80" t="s">
        <v>209</v>
      </c>
      <c r="B153" s="80">
        <f t="shared" si="1"/>
        <v>44765</v>
      </c>
      <c r="C153" s="82">
        <v>0.375</v>
      </c>
      <c r="D153" s="82">
        <v>0.79166666666666663</v>
      </c>
      <c r="E153" s="76">
        <f>WEEKNUM(Planning2[[#This Row],[Date]],21)</f>
        <v>30</v>
      </c>
      <c r="F153" s="77" t="str">
        <f>VLOOKUP(A153,Annuaire_roster!B:C,2,0)</f>
        <v>Google Leads</v>
      </c>
      <c r="G153" s="73"/>
      <c r="H153" s="73"/>
    </row>
    <row r="154" spans="1:8" hidden="1" x14ac:dyDescent="0.25">
      <c r="A154" s="80" t="s">
        <v>210</v>
      </c>
      <c r="B154" s="80">
        <f t="shared" si="1"/>
        <v>44765</v>
      </c>
      <c r="C154" s="82">
        <v>0.29166666666666669</v>
      </c>
      <c r="D154" s="82">
        <v>0.70833333333333337</v>
      </c>
      <c r="E154" s="76">
        <f>WEEKNUM(Planning2[[#This Row],[Date]],21)</f>
        <v>30</v>
      </c>
      <c r="F154" s="77" t="str">
        <f>VLOOKUP(A154,Annuaire_roster!B:C,2,0)</f>
        <v>Google Leads</v>
      </c>
      <c r="G154" s="73"/>
      <c r="H154" s="73"/>
    </row>
    <row r="155" spans="1:8" hidden="1" x14ac:dyDescent="0.25">
      <c r="A155" s="80" t="s">
        <v>212</v>
      </c>
      <c r="B155" s="80">
        <f t="shared" si="1"/>
        <v>44765</v>
      </c>
      <c r="C155" s="82">
        <v>0.375</v>
      </c>
      <c r="D155" s="82">
        <v>0.79166666666666663</v>
      </c>
      <c r="E155" s="76">
        <f>WEEKNUM(Planning2[[#This Row],[Date]],21)</f>
        <v>30</v>
      </c>
      <c r="F155" s="77" t="str">
        <f>VLOOKUP(A155,Annuaire_roster!B:C,2,0)</f>
        <v>Google Leads</v>
      </c>
      <c r="G155" s="73"/>
      <c r="H155" s="73"/>
    </row>
    <row r="156" spans="1:8" hidden="1" x14ac:dyDescent="0.25">
      <c r="A156" s="80" t="s">
        <v>216</v>
      </c>
      <c r="B156" s="80">
        <f t="shared" si="1"/>
        <v>44765</v>
      </c>
      <c r="C156" s="82" t="s">
        <v>31</v>
      </c>
      <c r="D156" s="82" t="s">
        <v>31</v>
      </c>
      <c r="E156" s="76">
        <f>WEEKNUM(Planning2[[#This Row],[Date]],21)</f>
        <v>30</v>
      </c>
      <c r="F156" s="77" t="str">
        <f>VLOOKUP(A156,Annuaire_roster!B:C,2,0)</f>
        <v>Google Leads</v>
      </c>
      <c r="G156" s="73"/>
      <c r="H156" s="73"/>
    </row>
    <row r="157" spans="1:8" hidden="1" x14ac:dyDescent="0.25">
      <c r="A157" s="80" t="s">
        <v>217</v>
      </c>
      <c r="B157" s="80">
        <f t="shared" si="1"/>
        <v>44765</v>
      </c>
      <c r="C157" s="82" t="s">
        <v>31</v>
      </c>
      <c r="D157" s="82" t="s">
        <v>31</v>
      </c>
      <c r="E157" s="197">
        <f>WEEKNUM(Planning2[[#This Row],[Date]],21)</f>
        <v>30</v>
      </c>
      <c r="F157" s="198" t="str">
        <f>VLOOKUP(A157,Annuaire_roster!B:C,2,0)</f>
        <v>Google Leads</v>
      </c>
      <c r="G157" s="199"/>
      <c r="H157" s="199"/>
    </row>
    <row r="158" spans="1:8" hidden="1" x14ac:dyDescent="0.25">
      <c r="A158" s="80" t="s">
        <v>219</v>
      </c>
      <c r="B158" s="80">
        <f t="shared" si="1"/>
        <v>44765</v>
      </c>
      <c r="C158" s="82">
        <v>0.29166666666666669</v>
      </c>
      <c r="D158" s="82">
        <v>0.70833333333333337</v>
      </c>
      <c r="E158" s="197">
        <f>WEEKNUM(Planning2[[#This Row],[Date]],21)</f>
        <v>30</v>
      </c>
      <c r="F158" s="198" t="str">
        <f>VLOOKUP(A158,Annuaire_roster!B:C,2,0)</f>
        <v>Google Leads</v>
      </c>
      <c r="G158" s="199"/>
      <c r="H158" s="199"/>
    </row>
    <row r="159" spans="1:8" hidden="1" x14ac:dyDescent="0.25">
      <c r="A159" s="80" t="s">
        <v>220</v>
      </c>
      <c r="B159" s="80">
        <f t="shared" si="1"/>
        <v>44765</v>
      </c>
      <c r="C159" s="82">
        <v>0.29166666666666669</v>
      </c>
      <c r="D159" s="82">
        <v>0.70833333333333337</v>
      </c>
      <c r="E159" s="197">
        <f>WEEKNUM(Planning2[[#This Row],[Date]],21)</f>
        <v>30</v>
      </c>
      <c r="F159" s="198" t="str">
        <f>VLOOKUP(A159,Annuaire_roster!B:C,2,0)</f>
        <v>Google Leads</v>
      </c>
      <c r="G159" s="199"/>
      <c r="H159" s="199"/>
    </row>
    <row r="160" spans="1:8" hidden="1" x14ac:dyDescent="0.25">
      <c r="A160" s="80" t="s">
        <v>221</v>
      </c>
      <c r="B160" s="80">
        <f t="shared" si="1"/>
        <v>44765</v>
      </c>
      <c r="C160" s="82">
        <v>0.45833333333333331</v>
      </c>
      <c r="D160" s="82">
        <v>0.83333333333333337</v>
      </c>
      <c r="E160" s="197">
        <f>WEEKNUM(Planning2[[#This Row],[Date]],21)</f>
        <v>30</v>
      </c>
      <c r="F160" s="198" t="str">
        <f>VLOOKUP(A160,Annuaire_roster!B:C,2,0)</f>
        <v>Google Leads</v>
      </c>
      <c r="G160" s="199"/>
      <c r="H160" s="199"/>
    </row>
    <row r="161" spans="1:8" hidden="1" x14ac:dyDescent="0.25">
      <c r="A161" s="124" t="s">
        <v>223</v>
      </c>
      <c r="B161" s="80">
        <f t="shared" si="1"/>
        <v>44765</v>
      </c>
      <c r="C161" s="82">
        <v>0.29166666666666669</v>
      </c>
      <c r="D161" s="82">
        <v>0.70833333333333337</v>
      </c>
      <c r="E161" s="197">
        <f>WEEKNUM(Planning2[[#This Row],[Date]],21)</f>
        <v>30</v>
      </c>
      <c r="F161" s="198" t="str">
        <f>VLOOKUP(A161,Annuaire_roster!B:C,2,0)</f>
        <v>Google Leads</v>
      </c>
      <c r="G161" s="199"/>
      <c r="H161" s="199"/>
    </row>
    <row r="162" spans="1:8" hidden="1" x14ac:dyDescent="0.25">
      <c r="A162" s="80" t="s">
        <v>213</v>
      </c>
      <c r="B162" s="80">
        <f t="shared" si="1"/>
        <v>44766</v>
      </c>
      <c r="C162" s="82">
        <v>0.41666666666666669</v>
      </c>
      <c r="D162" s="82">
        <v>0.83333333333333337</v>
      </c>
      <c r="E162" s="197">
        <f>WEEKNUM(Planning2[[#This Row],[Date]],21)</f>
        <v>30</v>
      </c>
      <c r="F162" s="198" t="str">
        <f>VLOOKUP(A162,Annuaire_roster!B:C,2,0)</f>
        <v>Google Leads</v>
      </c>
      <c r="G162" s="199"/>
      <c r="H162" s="199"/>
    </row>
    <row r="163" spans="1:8" hidden="1" x14ac:dyDescent="0.25">
      <c r="A163" s="80" t="s">
        <v>80</v>
      </c>
      <c r="B163" s="80">
        <f t="shared" ref="B163:B225" si="2">+B131+1</f>
        <v>44766</v>
      </c>
      <c r="C163" s="82" t="s">
        <v>225</v>
      </c>
      <c r="D163" s="82" t="s">
        <v>225</v>
      </c>
      <c r="E163" s="197">
        <f>WEEKNUM(Planning2[[#This Row],[Date]],21)</f>
        <v>30</v>
      </c>
      <c r="F163" s="198" t="str">
        <f>VLOOKUP(A163,Annuaire_roster!B:C,2,0)</f>
        <v>Google Leads</v>
      </c>
      <c r="G163" s="199"/>
      <c r="H163" s="199"/>
    </row>
    <row r="164" spans="1:8" hidden="1" x14ac:dyDescent="0.25">
      <c r="A164" s="80" t="s">
        <v>45</v>
      </c>
      <c r="B164" s="80">
        <f t="shared" si="2"/>
        <v>44766</v>
      </c>
      <c r="C164" s="82">
        <v>0.29166666666666669</v>
      </c>
      <c r="D164" s="82">
        <v>0.66666666666666663</v>
      </c>
      <c r="E164" s="197">
        <f>WEEKNUM(Planning2[[#This Row],[Date]],21)</f>
        <v>30</v>
      </c>
      <c r="F164" s="198" t="str">
        <f>VLOOKUP(A164,Annuaire_roster!B:C,2,0)</f>
        <v>Google Leads</v>
      </c>
      <c r="G164" s="199"/>
      <c r="H164" s="199"/>
    </row>
    <row r="165" spans="1:8" hidden="1" x14ac:dyDescent="0.25">
      <c r="A165" s="80" t="s">
        <v>76</v>
      </c>
      <c r="B165" s="80">
        <f t="shared" si="2"/>
        <v>44766</v>
      </c>
      <c r="C165" s="82" t="s">
        <v>31</v>
      </c>
      <c r="D165" s="82" t="s">
        <v>31</v>
      </c>
      <c r="E165" s="197">
        <f>WEEKNUM(Planning2[[#This Row],[Date]],21)</f>
        <v>30</v>
      </c>
      <c r="F165" s="198" t="str">
        <f>VLOOKUP(A165,Annuaire_roster!B:C,2,0)</f>
        <v>Google Leads</v>
      </c>
      <c r="G165" s="199"/>
      <c r="H165" s="199"/>
    </row>
    <row r="166" spans="1:8" hidden="1" x14ac:dyDescent="0.25">
      <c r="A166" s="80" t="s">
        <v>83</v>
      </c>
      <c r="B166" s="80">
        <f t="shared" si="2"/>
        <v>44766</v>
      </c>
      <c r="C166" s="82" t="s">
        <v>31</v>
      </c>
      <c r="D166" s="82" t="s">
        <v>31</v>
      </c>
      <c r="E166" s="197">
        <f>WEEKNUM(Planning2[[#This Row],[Date]],21)</f>
        <v>30</v>
      </c>
      <c r="F166" s="198" t="str">
        <f>VLOOKUP(A166,Annuaire_roster!B:C,2,0)</f>
        <v>Google Leads</v>
      </c>
      <c r="G166" s="199"/>
      <c r="H166" s="199"/>
    </row>
    <row r="167" spans="1:8" hidden="1" x14ac:dyDescent="0.25">
      <c r="A167" s="80" t="s">
        <v>87</v>
      </c>
      <c r="B167" s="80">
        <f t="shared" si="2"/>
        <v>44766</v>
      </c>
      <c r="C167" s="82" t="s">
        <v>31</v>
      </c>
      <c r="D167" s="82" t="s">
        <v>31</v>
      </c>
      <c r="E167" s="197">
        <f>WEEKNUM(Planning2[[#This Row],[Date]],21)</f>
        <v>30</v>
      </c>
      <c r="F167" s="198" t="str">
        <f>VLOOKUP(A167,Annuaire_roster!B:C,2,0)</f>
        <v>Google Leads</v>
      </c>
      <c r="G167" s="199"/>
      <c r="H167" s="199"/>
    </row>
    <row r="168" spans="1:8" hidden="1" x14ac:dyDescent="0.25">
      <c r="A168" s="80" t="s">
        <v>85</v>
      </c>
      <c r="B168" s="80">
        <f t="shared" si="2"/>
        <v>44766</v>
      </c>
      <c r="C168" s="82" t="s">
        <v>31</v>
      </c>
      <c r="D168" s="82" t="s">
        <v>31</v>
      </c>
      <c r="E168" s="197">
        <f>WEEKNUM(Planning2[[#This Row],[Date]],21)</f>
        <v>30</v>
      </c>
      <c r="F168" s="198" t="str">
        <f>VLOOKUP(A168,Annuaire_roster!B:C,2,0)</f>
        <v>Google Leads</v>
      </c>
      <c r="G168" s="199"/>
      <c r="H168" s="199"/>
    </row>
    <row r="169" spans="1:8" hidden="1" x14ac:dyDescent="0.25">
      <c r="A169" s="80" t="s">
        <v>89</v>
      </c>
      <c r="B169" s="80">
        <f t="shared" si="2"/>
        <v>44766</v>
      </c>
      <c r="C169" s="82" t="s">
        <v>31</v>
      </c>
      <c r="D169" s="82" t="s">
        <v>31</v>
      </c>
      <c r="E169" s="197">
        <f>WEEKNUM(Planning2[[#This Row],[Date]],21)</f>
        <v>30</v>
      </c>
      <c r="F169" s="198" t="str">
        <f>VLOOKUP(A169,Annuaire_roster!B:C,2,0)</f>
        <v>Google Leads</v>
      </c>
      <c r="G169" s="199"/>
      <c r="H169" s="199"/>
    </row>
    <row r="170" spans="1:8" hidden="1" x14ac:dyDescent="0.25">
      <c r="A170" s="80" t="s">
        <v>94</v>
      </c>
      <c r="B170" s="80">
        <f t="shared" si="2"/>
        <v>44766</v>
      </c>
      <c r="C170" s="82">
        <v>0.29166666666666669</v>
      </c>
      <c r="D170" s="82">
        <v>0.66666666666666663</v>
      </c>
      <c r="E170" s="76">
        <f>WEEKNUM(Planning2[[#This Row],[Date]],21)</f>
        <v>30</v>
      </c>
      <c r="F170" s="77" t="str">
        <f>VLOOKUP(A170,Annuaire_roster!B:C,2,0)</f>
        <v>Google Leads</v>
      </c>
      <c r="G170" s="73"/>
      <c r="H170" s="73"/>
    </row>
    <row r="171" spans="1:8" hidden="1" x14ac:dyDescent="0.25">
      <c r="A171" s="80" t="s">
        <v>91</v>
      </c>
      <c r="B171" s="80">
        <f t="shared" si="2"/>
        <v>44766</v>
      </c>
      <c r="C171" s="82">
        <v>0.41666666666666669</v>
      </c>
      <c r="D171" s="82">
        <v>0.83333333333333337</v>
      </c>
      <c r="E171" s="76">
        <f>WEEKNUM(Planning2[[#This Row],[Date]],21)</f>
        <v>30</v>
      </c>
      <c r="F171" s="77" t="str">
        <f>VLOOKUP(A171,Annuaire_roster!B:C,2,0)</f>
        <v>Google Leads</v>
      </c>
      <c r="G171" s="73"/>
      <c r="H171" s="73"/>
    </row>
    <row r="172" spans="1:8" hidden="1" x14ac:dyDescent="0.25">
      <c r="A172" s="80" t="s">
        <v>214</v>
      </c>
      <c r="B172" s="80">
        <f t="shared" si="2"/>
        <v>44766</v>
      </c>
      <c r="C172" s="82">
        <v>0.29166666666666669</v>
      </c>
      <c r="D172" s="82">
        <v>0.66666666666666663</v>
      </c>
      <c r="E172" s="197">
        <f>WEEKNUM(Planning2[[#This Row],[Date]],21)</f>
        <v>30</v>
      </c>
      <c r="F172" s="198" t="str">
        <f>VLOOKUP(A172,Annuaire_roster!B:C,2,0)</f>
        <v>Google Leads</v>
      </c>
      <c r="G172" s="199"/>
      <c r="H172" s="199"/>
    </row>
    <row r="173" spans="1:8" hidden="1" x14ac:dyDescent="0.25">
      <c r="A173" s="80" t="s">
        <v>102</v>
      </c>
      <c r="B173" s="80">
        <f t="shared" si="2"/>
        <v>44766</v>
      </c>
      <c r="C173" s="82" t="s">
        <v>31</v>
      </c>
      <c r="D173" s="82" t="s">
        <v>31</v>
      </c>
      <c r="E173" s="76">
        <f>WEEKNUM(Planning2[[#This Row],[Date]],21)</f>
        <v>30</v>
      </c>
      <c r="F173" s="77" t="str">
        <f>VLOOKUP(A173,Annuaire_roster!B:C,2,0)</f>
        <v>Google Leads</v>
      </c>
      <c r="G173" s="73"/>
      <c r="H173" s="73"/>
    </row>
    <row r="174" spans="1:8" hidden="1" x14ac:dyDescent="0.25">
      <c r="A174" s="80" t="s">
        <v>215</v>
      </c>
      <c r="B174" s="80">
        <f t="shared" si="2"/>
        <v>44766</v>
      </c>
      <c r="C174" s="82" t="s">
        <v>31</v>
      </c>
      <c r="D174" s="82" t="s">
        <v>31</v>
      </c>
      <c r="E174" s="76">
        <f>WEEKNUM(Planning2[[#This Row],[Date]],21)</f>
        <v>30</v>
      </c>
      <c r="F174" s="77" t="str">
        <f>VLOOKUP(A174,Annuaire_roster!B:C,2,0)</f>
        <v>Google Leads</v>
      </c>
      <c r="G174" s="73"/>
      <c r="H174" s="73"/>
    </row>
    <row r="175" spans="1:8" hidden="1" x14ac:dyDescent="0.25">
      <c r="A175" s="80" t="s">
        <v>88</v>
      </c>
      <c r="B175" s="80">
        <f t="shared" si="2"/>
        <v>44766</v>
      </c>
      <c r="C175" s="82">
        <v>0.41666666666666669</v>
      </c>
      <c r="D175" s="82">
        <v>0.83333333333333337</v>
      </c>
      <c r="E175" s="197">
        <f>WEEKNUM(Planning2[[#This Row],[Date]],21)</f>
        <v>30</v>
      </c>
      <c r="F175" s="198" t="str">
        <f>VLOOKUP(A175,Annuaire_roster!B:C,2,0)</f>
        <v>Google Leads</v>
      </c>
      <c r="G175" s="199"/>
      <c r="H175" s="199"/>
    </row>
    <row r="176" spans="1:8" hidden="1" x14ac:dyDescent="0.25">
      <c r="A176" s="80" t="s">
        <v>106</v>
      </c>
      <c r="B176" s="80">
        <f t="shared" si="2"/>
        <v>44766</v>
      </c>
      <c r="C176" s="82" t="s">
        <v>31</v>
      </c>
      <c r="D176" s="82" t="s">
        <v>31</v>
      </c>
      <c r="E176" s="197">
        <f>WEEKNUM(Planning2[[#This Row],[Date]],21)</f>
        <v>30</v>
      </c>
      <c r="F176" s="198" t="str">
        <f>VLOOKUP(A176,Annuaire_roster!B:C,2,0)</f>
        <v>Google Leads</v>
      </c>
      <c r="G176" s="199"/>
      <c r="H176" s="199"/>
    </row>
    <row r="177" spans="1:8" hidden="1" x14ac:dyDescent="0.25">
      <c r="A177" s="80" t="s">
        <v>110</v>
      </c>
      <c r="B177" s="80">
        <f t="shared" si="2"/>
        <v>44766</v>
      </c>
      <c r="C177" s="82">
        <v>0.41666666666666669</v>
      </c>
      <c r="D177" s="82">
        <v>0.83333333333333337</v>
      </c>
      <c r="E177" s="197">
        <f>WEEKNUM(Planning2[[#This Row],[Date]],21)</f>
        <v>30</v>
      </c>
      <c r="F177" s="198" t="str">
        <f>VLOOKUP(A177,Annuaire_roster!B:C,2,0)</f>
        <v>Google Leads</v>
      </c>
      <c r="G177" s="199"/>
      <c r="H177" s="199"/>
    </row>
    <row r="178" spans="1:8" hidden="1" x14ac:dyDescent="0.25">
      <c r="A178" s="80" t="s">
        <v>126</v>
      </c>
      <c r="B178" s="80">
        <f t="shared" si="2"/>
        <v>44766</v>
      </c>
      <c r="C178" s="82">
        <v>0.41666666666666669</v>
      </c>
      <c r="D178" s="82">
        <v>0.83333333333333337</v>
      </c>
      <c r="E178" s="197">
        <f>WEEKNUM(Planning2[[#This Row],[Date]],21)</f>
        <v>30</v>
      </c>
      <c r="F178" s="198" t="str">
        <f>VLOOKUP(A178,Annuaire_roster!B:C,2,0)</f>
        <v>Google Leads</v>
      </c>
      <c r="G178" s="199"/>
      <c r="H178" s="199"/>
    </row>
    <row r="179" spans="1:8" hidden="1" x14ac:dyDescent="0.25">
      <c r="A179" s="80" t="s">
        <v>141</v>
      </c>
      <c r="B179" s="80">
        <f t="shared" si="2"/>
        <v>44766</v>
      </c>
      <c r="C179" s="82">
        <v>0.29166666666666669</v>
      </c>
      <c r="D179" s="82">
        <v>0.66666666666666663</v>
      </c>
      <c r="E179" s="197">
        <f>WEEKNUM(Planning2[[#This Row],[Date]],21)</f>
        <v>30</v>
      </c>
      <c r="F179" s="198" t="str">
        <f>VLOOKUP(A179,Annuaire_roster!B:C,2,0)</f>
        <v>Google Leads</v>
      </c>
      <c r="G179" s="199"/>
      <c r="H179" s="199"/>
    </row>
    <row r="180" spans="1:8" hidden="1" x14ac:dyDescent="0.25">
      <c r="A180" s="80" t="s">
        <v>120</v>
      </c>
      <c r="B180" s="80">
        <f t="shared" si="2"/>
        <v>44766</v>
      </c>
      <c r="C180" s="82" t="s">
        <v>31</v>
      </c>
      <c r="D180" s="82" t="s">
        <v>31</v>
      </c>
      <c r="E180" s="197">
        <f>WEEKNUM(Planning2[[#This Row],[Date]],21)</f>
        <v>30</v>
      </c>
      <c r="F180" s="198" t="str">
        <f>VLOOKUP(A180,Annuaire_roster!B:C,2,0)</f>
        <v>Google Leads</v>
      </c>
      <c r="G180" s="199"/>
      <c r="H180" s="199"/>
    </row>
    <row r="181" spans="1:8" hidden="1" x14ac:dyDescent="0.25">
      <c r="A181" s="80" t="s">
        <v>144</v>
      </c>
      <c r="B181" s="80">
        <f t="shared" si="2"/>
        <v>44766</v>
      </c>
      <c r="C181" s="82" t="s">
        <v>31</v>
      </c>
      <c r="D181" s="82" t="s">
        <v>31</v>
      </c>
      <c r="E181" s="197">
        <f>WEEKNUM(Planning2[[#This Row],[Date]],21)</f>
        <v>30</v>
      </c>
      <c r="F181" s="198" t="str">
        <f>VLOOKUP(A181,Annuaire_roster!B:C,2,0)</f>
        <v>Google Leads</v>
      </c>
      <c r="G181" s="199"/>
      <c r="H181" s="199"/>
    </row>
    <row r="182" spans="1:8" hidden="1" x14ac:dyDescent="0.25">
      <c r="A182" s="80" t="s">
        <v>196</v>
      </c>
      <c r="B182" s="80">
        <f t="shared" si="2"/>
        <v>44766</v>
      </c>
      <c r="C182" s="82" t="s">
        <v>31</v>
      </c>
      <c r="D182" s="82" t="s">
        <v>31</v>
      </c>
      <c r="E182" s="197">
        <f>WEEKNUM(Planning2[[#This Row],[Date]],21)</f>
        <v>30</v>
      </c>
      <c r="F182" s="198" t="str">
        <f>VLOOKUP(A182,Annuaire_roster!B:C,2,0)</f>
        <v>Google Leads</v>
      </c>
      <c r="G182" s="199"/>
      <c r="H182" s="199"/>
    </row>
    <row r="183" spans="1:8" hidden="1" x14ac:dyDescent="0.25">
      <c r="A183" s="80" t="s">
        <v>197</v>
      </c>
      <c r="B183" s="80">
        <f t="shared" si="2"/>
        <v>44766</v>
      </c>
      <c r="C183" s="82">
        <v>0.41666666666666669</v>
      </c>
      <c r="D183" s="82">
        <v>0.83333333333333337</v>
      </c>
      <c r="E183" s="197">
        <f>WEEKNUM(Planning2[[#This Row],[Date]],21)</f>
        <v>30</v>
      </c>
      <c r="F183" s="198" t="str">
        <f>VLOOKUP(A183,Annuaire_roster!B:C,2,0)</f>
        <v>Google Leads</v>
      </c>
      <c r="G183" s="199"/>
      <c r="H183" s="199"/>
    </row>
    <row r="184" spans="1:8" hidden="1" x14ac:dyDescent="0.25">
      <c r="A184" s="80" t="s">
        <v>198</v>
      </c>
      <c r="B184" s="80">
        <f t="shared" si="2"/>
        <v>44766</v>
      </c>
      <c r="C184" s="82" t="s">
        <v>31</v>
      </c>
      <c r="D184" s="82" t="s">
        <v>31</v>
      </c>
      <c r="E184" s="76">
        <f>WEEKNUM(Planning2[[#This Row],[Date]],21)</f>
        <v>30</v>
      </c>
      <c r="F184" s="77" t="str">
        <f>VLOOKUP(A184,Annuaire_roster!B:C,2,0)</f>
        <v>Google Leads</v>
      </c>
      <c r="G184" s="73"/>
      <c r="H184" s="73"/>
    </row>
    <row r="185" spans="1:8" hidden="1" x14ac:dyDescent="0.25">
      <c r="A185" s="80" t="s">
        <v>209</v>
      </c>
      <c r="B185" s="80">
        <f t="shared" si="2"/>
        <v>44766</v>
      </c>
      <c r="C185" s="82" t="s">
        <v>31</v>
      </c>
      <c r="D185" s="82" t="s">
        <v>31</v>
      </c>
      <c r="E185" s="76">
        <f>WEEKNUM(Planning2[[#This Row],[Date]],21)</f>
        <v>30</v>
      </c>
      <c r="F185" s="77" t="str">
        <f>VLOOKUP(A185,Annuaire_roster!B:C,2,0)</f>
        <v>Google Leads</v>
      </c>
      <c r="G185" s="73"/>
      <c r="H185" s="73"/>
    </row>
    <row r="186" spans="1:8" hidden="1" x14ac:dyDescent="0.25">
      <c r="A186" s="80" t="s">
        <v>210</v>
      </c>
      <c r="B186" s="80">
        <f t="shared" si="2"/>
        <v>44766</v>
      </c>
      <c r="C186" s="82">
        <v>0.41666666666666669</v>
      </c>
      <c r="D186" s="82">
        <v>0.83333333333333337</v>
      </c>
      <c r="E186" s="76">
        <f>WEEKNUM(Planning2[[#This Row],[Date]],21)</f>
        <v>30</v>
      </c>
      <c r="F186" s="77" t="str">
        <f>VLOOKUP(A186,Annuaire_roster!B:C,2,0)</f>
        <v>Google Leads</v>
      </c>
      <c r="G186" s="73"/>
      <c r="H186" s="73"/>
    </row>
    <row r="187" spans="1:8" hidden="1" x14ac:dyDescent="0.25">
      <c r="A187" s="80" t="s">
        <v>212</v>
      </c>
      <c r="B187" s="80">
        <f t="shared" si="2"/>
        <v>44766</v>
      </c>
      <c r="C187" s="82" t="s">
        <v>31</v>
      </c>
      <c r="D187" s="82" t="s">
        <v>31</v>
      </c>
      <c r="E187" s="76">
        <f>WEEKNUM(Planning2[[#This Row],[Date]],21)</f>
        <v>30</v>
      </c>
      <c r="F187" s="77" t="str">
        <f>VLOOKUP(A187,Annuaire_roster!B:C,2,0)</f>
        <v>Google Leads</v>
      </c>
      <c r="G187" s="73"/>
      <c r="H187" s="73"/>
    </row>
    <row r="188" spans="1:8" hidden="1" x14ac:dyDescent="0.25">
      <c r="A188" s="80" t="s">
        <v>216</v>
      </c>
      <c r="B188" s="80">
        <f t="shared" si="2"/>
        <v>44766</v>
      </c>
      <c r="C188" s="82">
        <v>0.29166666666666669</v>
      </c>
      <c r="D188" s="82">
        <v>0.66666666666666663</v>
      </c>
      <c r="E188" s="76">
        <f>WEEKNUM(Planning2[[#This Row],[Date]],21)</f>
        <v>30</v>
      </c>
      <c r="F188" s="77" t="str">
        <f>VLOOKUP(A188,Annuaire_roster!B:C,2,0)</f>
        <v>Google Leads</v>
      </c>
      <c r="G188" s="73"/>
      <c r="H188" s="73"/>
    </row>
    <row r="189" spans="1:8" hidden="1" x14ac:dyDescent="0.25">
      <c r="A189" s="80" t="s">
        <v>217</v>
      </c>
      <c r="B189" s="80">
        <f t="shared" si="2"/>
        <v>44766</v>
      </c>
      <c r="C189" s="82">
        <v>0.41666666666666669</v>
      </c>
      <c r="D189" s="82">
        <v>0.83333333333333337</v>
      </c>
      <c r="E189" s="76">
        <f>WEEKNUM(Planning2[[#This Row],[Date]],21)</f>
        <v>30</v>
      </c>
      <c r="F189" s="77" t="str">
        <f>VLOOKUP(A189,Annuaire_roster!B:C,2,0)</f>
        <v>Google Leads</v>
      </c>
      <c r="G189" s="73"/>
      <c r="H189" s="73"/>
    </row>
    <row r="190" spans="1:8" hidden="1" x14ac:dyDescent="0.25">
      <c r="A190" s="80" t="s">
        <v>219</v>
      </c>
      <c r="B190" s="80">
        <f t="shared" si="2"/>
        <v>44766</v>
      </c>
      <c r="C190" s="82">
        <v>0.29166666666666669</v>
      </c>
      <c r="D190" s="82">
        <v>0.66666666666666663</v>
      </c>
      <c r="E190" s="76">
        <f>WEEKNUM(Planning2[[#This Row],[Date]],21)</f>
        <v>30</v>
      </c>
      <c r="F190" s="77" t="str">
        <f>VLOOKUP(A190,Annuaire_roster!B:C,2,0)</f>
        <v>Google Leads</v>
      </c>
      <c r="G190" s="73"/>
      <c r="H190" s="73"/>
    </row>
    <row r="191" spans="1:8" hidden="1" x14ac:dyDescent="0.25">
      <c r="A191" s="80" t="s">
        <v>220</v>
      </c>
      <c r="B191" s="80">
        <f t="shared" si="2"/>
        <v>44766</v>
      </c>
      <c r="C191" s="82">
        <v>0.29166666666666669</v>
      </c>
      <c r="D191" s="82">
        <v>0.66666666666666663</v>
      </c>
      <c r="E191" s="76">
        <f>WEEKNUM(Planning2[[#This Row],[Date]],21)</f>
        <v>30</v>
      </c>
      <c r="F191" s="77" t="str">
        <f>VLOOKUP(A191,Annuaire_roster!B:C,2,0)</f>
        <v>Google Leads</v>
      </c>
      <c r="G191" s="73"/>
      <c r="H191" s="73"/>
    </row>
    <row r="192" spans="1:8" hidden="1" x14ac:dyDescent="0.25">
      <c r="A192" s="80" t="s">
        <v>221</v>
      </c>
      <c r="B192" s="80">
        <f t="shared" si="2"/>
        <v>44766</v>
      </c>
      <c r="C192" s="82" t="s">
        <v>31</v>
      </c>
      <c r="D192" s="82" t="s">
        <v>31</v>
      </c>
      <c r="E192" s="76">
        <f>WEEKNUM(Planning2[[#This Row],[Date]],21)</f>
        <v>30</v>
      </c>
      <c r="F192" s="77" t="str">
        <f>VLOOKUP(A192,Annuaire_roster!B:C,2,0)</f>
        <v>Google Leads</v>
      </c>
      <c r="G192" s="73"/>
      <c r="H192" s="73"/>
    </row>
    <row r="193" spans="1:8" hidden="1" x14ac:dyDescent="0.25">
      <c r="A193" s="124" t="s">
        <v>223</v>
      </c>
      <c r="B193" s="80">
        <f t="shared" si="2"/>
        <v>44766</v>
      </c>
      <c r="C193" s="82">
        <v>0.29166666666666669</v>
      </c>
      <c r="D193" s="82">
        <v>0.66666666666666663</v>
      </c>
      <c r="E193" s="76">
        <f>WEEKNUM(Planning2[[#This Row],[Date]],21)</f>
        <v>30</v>
      </c>
      <c r="F193" s="77" t="str">
        <f>VLOOKUP(A193,Annuaire_roster!B:C,2,0)</f>
        <v>Google Leads</v>
      </c>
      <c r="G193" s="73"/>
      <c r="H193" s="73"/>
    </row>
    <row r="194" spans="1:8" hidden="1" x14ac:dyDescent="0.25">
      <c r="A194" s="80" t="s">
        <v>213</v>
      </c>
      <c r="B194" s="80">
        <f t="shared" si="2"/>
        <v>44767</v>
      </c>
      <c r="C194" s="82">
        <v>0.45833333333333331</v>
      </c>
      <c r="D194" s="82">
        <v>0.83333333333333337</v>
      </c>
      <c r="E194" s="76">
        <f>WEEKNUM(Planning2[[#This Row],[Date]],21)</f>
        <v>30</v>
      </c>
      <c r="F194" s="77" t="str">
        <f>VLOOKUP(A194,Annuaire_roster!B:C,2,0)</f>
        <v>Google Leads</v>
      </c>
      <c r="G194" s="73"/>
      <c r="H194" s="73"/>
    </row>
    <row r="195" spans="1:8" hidden="1" x14ac:dyDescent="0.25">
      <c r="A195" s="80" t="s">
        <v>80</v>
      </c>
      <c r="B195" s="80">
        <f t="shared" si="2"/>
        <v>44767</v>
      </c>
      <c r="C195" s="82" t="s">
        <v>225</v>
      </c>
      <c r="D195" s="82" t="s">
        <v>225</v>
      </c>
      <c r="E195" s="76">
        <f>WEEKNUM(Planning2[[#This Row],[Date]],21)</f>
        <v>30</v>
      </c>
      <c r="F195" s="77" t="str">
        <f>VLOOKUP(A195,Annuaire_roster!B:C,2,0)</f>
        <v>Google Leads</v>
      </c>
      <c r="G195" s="73"/>
      <c r="H195" s="73"/>
    </row>
    <row r="196" spans="1:8" hidden="1" x14ac:dyDescent="0.25">
      <c r="A196" s="80" t="s">
        <v>45</v>
      </c>
      <c r="B196" s="80">
        <f t="shared" si="2"/>
        <v>44767</v>
      </c>
      <c r="C196" s="82" t="s">
        <v>31</v>
      </c>
      <c r="D196" s="82" t="s">
        <v>31</v>
      </c>
      <c r="E196" s="76">
        <f>WEEKNUM(Planning2[[#This Row],[Date]],21)</f>
        <v>30</v>
      </c>
      <c r="F196" s="77" t="str">
        <f>VLOOKUP(A196,Annuaire_roster!B:C,2,0)</f>
        <v>Google Leads</v>
      </c>
      <c r="G196" s="73"/>
      <c r="H196" s="73"/>
    </row>
    <row r="197" spans="1:8" hidden="1" x14ac:dyDescent="0.25">
      <c r="A197" s="80" t="s">
        <v>76</v>
      </c>
      <c r="B197" s="80">
        <f t="shared" si="2"/>
        <v>44767</v>
      </c>
      <c r="C197" s="82" t="s">
        <v>31</v>
      </c>
      <c r="D197" s="82" t="s">
        <v>31</v>
      </c>
      <c r="E197" s="76">
        <f>WEEKNUM(Planning2[[#This Row],[Date]],21)</f>
        <v>30</v>
      </c>
      <c r="F197" s="77" t="str">
        <f>VLOOKUP(A197,Annuaire_roster!B:C,2,0)</f>
        <v>Google Leads</v>
      </c>
      <c r="G197" s="73"/>
      <c r="H197" s="73"/>
    </row>
    <row r="198" spans="1:8" hidden="1" x14ac:dyDescent="0.25">
      <c r="A198" s="80" t="s">
        <v>83</v>
      </c>
      <c r="B198" s="80">
        <f t="shared" si="2"/>
        <v>44767</v>
      </c>
      <c r="C198" s="82" t="s">
        <v>31</v>
      </c>
      <c r="D198" s="82" t="s">
        <v>31</v>
      </c>
      <c r="E198" s="76">
        <f>WEEKNUM(Planning2[[#This Row],[Date]],21)</f>
        <v>30</v>
      </c>
      <c r="F198" s="77" t="str">
        <f>VLOOKUP(A198,Annuaire_roster!B:C,2,0)</f>
        <v>Google Leads</v>
      </c>
      <c r="G198" s="73"/>
      <c r="H198" s="73"/>
    </row>
    <row r="199" spans="1:8" hidden="1" x14ac:dyDescent="0.25">
      <c r="A199" s="80" t="s">
        <v>87</v>
      </c>
      <c r="B199" s="80">
        <f t="shared" si="2"/>
        <v>44767</v>
      </c>
      <c r="C199" s="82" t="s">
        <v>31</v>
      </c>
      <c r="D199" s="82" t="s">
        <v>31</v>
      </c>
      <c r="E199" s="76">
        <f>WEEKNUM(Planning2[[#This Row],[Date]],21)</f>
        <v>30</v>
      </c>
      <c r="F199" s="77" t="str">
        <f>VLOOKUP(A199,Annuaire_roster!B:C,2,0)</f>
        <v>Google Leads</v>
      </c>
      <c r="G199" s="73"/>
      <c r="H199" s="73"/>
    </row>
    <row r="200" spans="1:8" hidden="1" x14ac:dyDescent="0.25">
      <c r="A200" s="80" t="s">
        <v>85</v>
      </c>
      <c r="B200" s="80">
        <f t="shared" si="2"/>
        <v>44767</v>
      </c>
      <c r="C200" s="82" t="s">
        <v>31</v>
      </c>
      <c r="D200" s="82" t="s">
        <v>31</v>
      </c>
      <c r="E200" s="76">
        <f>WEEKNUM(Planning2[[#This Row],[Date]],21)</f>
        <v>30</v>
      </c>
      <c r="F200" s="77" t="str">
        <f>VLOOKUP(A200,Annuaire_roster!B:C,2,0)</f>
        <v>Google Leads</v>
      </c>
      <c r="G200" s="73"/>
      <c r="H200" s="73"/>
    </row>
    <row r="201" spans="1:8" hidden="1" x14ac:dyDescent="0.25">
      <c r="A201" s="80" t="s">
        <v>89</v>
      </c>
      <c r="B201" s="80">
        <f t="shared" si="2"/>
        <v>44767</v>
      </c>
      <c r="C201" s="82" t="s">
        <v>31</v>
      </c>
      <c r="D201" s="82" t="s">
        <v>31</v>
      </c>
      <c r="E201" s="76">
        <f>WEEKNUM(Planning2[[#This Row],[Date]],21)</f>
        <v>30</v>
      </c>
      <c r="F201" s="77" t="str">
        <f>VLOOKUP(A201,Annuaire_roster!B:C,2,0)</f>
        <v>Google Leads</v>
      </c>
      <c r="G201" s="73"/>
      <c r="H201" s="73"/>
    </row>
    <row r="202" spans="1:8" hidden="1" x14ac:dyDescent="0.25">
      <c r="A202" s="80" t="s">
        <v>94</v>
      </c>
      <c r="B202" s="80">
        <f t="shared" si="2"/>
        <v>44767</v>
      </c>
      <c r="C202" s="82">
        <v>0.29166666666666669</v>
      </c>
      <c r="D202" s="82">
        <v>0.70833333333333337</v>
      </c>
      <c r="E202" s="76">
        <f>WEEKNUM(Planning2[[#This Row],[Date]],21)</f>
        <v>30</v>
      </c>
      <c r="F202" s="77" t="str">
        <f>VLOOKUP(A202,Annuaire_roster!B:C,2,0)</f>
        <v>Google Leads</v>
      </c>
      <c r="G202" s="73"/>
      <c r="H202" s="73"/>
    </row>
    <row r="203" spans="1:8" hidden="1" x14ac:dyDescent="0.25">
      <c r="A203" s="80" t="s">
        <v>91</v>
      </c>
      <c r="B203" s="80">
        <f t="shared" si="2"/>
        <v>44767</v>
      </c>
      <c r="C203" s="82">
        <v>0.29166666666666669</v>
      </c>
      <c r="D203" s="82">
        <v>0.66666666666666663</v>
      </c>
      <c r="E203" s="76">
        <f>WEEKNUM(Planning2[[#This Row],[Date]],21)</f>
        <v>30</v>
      </c>
      <c r="F203" s="77" t="str">
        <f>VLOOKUP(A203,Annuaire_roster!B:C,2,0)</f>
        <v>Google Leads</v>
      </c>
      <c r="G203" s="73"/>
      <c r="H203" s="73"/>
    </row>
    <row r="204" spans="1:8" hidden="1" x14ac:dyDescent="0.25">
      <c r="A204" s="80" t="s">
        <v>214</v>
      </c>
      <c r="B204" s="80">
        <f t="shared" si="2"/>
        <v>44767</v>
      </c>
      <c r="C204" s="82" t="s">
        <v>31</v>
      </c>
      <c r="D204" s="82" t="s">
        <v>31</v>
      </c>
      <c r="E204" s="76">
        <f>WEEKNUM(Planning2[[#This Row],[Date]],21)</f>
        <v>30</v>
      </c>
      <c r="F204" s="77" t="str">
        <f>VLOOKUP(A204,Annuaire_roster!B:C,2,0)</f>
        <v>Google Leads</v>
      </c>
      <c r="G204" s="73"/>
      <c r="H204" s="73"/>
    </row>
    <row r="205" spans="1:8" hidden="1" x14ac:dyDescent="0.25">
      <c r="A205" s="80" t="s">
        <v>102</v>
      </c>
      <c r="B205" s="80">
        <f t="shared" si="2"/>
        <v>44767</v>
      </c>
      <c r="C205" s="82" t="s">
        <v>31</v>
      </c>
      <c r="D205" s="82" t="s">
        <v>31</v>
      </c>
      <c r="E205" s="76">
        <f>WEEKNUM(Planning2[[#This Row],[Date]],21)</f>
        <v>30</v>
      </c>
      <c r="F205" s="77" t="str">
        <f>VLOOKUP(A205,Annuaire_roster!B:C,2,0)</f>
        <v>Google Leads</v>
      </c>
      <c r="G205" s="73"/>
      <c r="H205" s="73"/>
    </row>
    <row r="206" spans="1:8" hidden="1" x14ac:dyDescent="0.25">
      <c r="A206" s="80" t="s">
        <v>215</v>
      </c>
      <c r="B206" s="80">
        <f t="shared" si="2"/>
        <v>44767</v>
      </c>
      <c r="C206" s="82" t="s">
        <v>31</v>
      </c>
      <c r="D206" s="82" t="s">
        <v>31</v>
      </c>
      <c r="E206" s="76">
        <f>WEEKNUM(Planning2[[#This Row],[Date]],21)</f>
        <v>30</v>
      </c>
      <c r="F206" s="77" t="str">
        <f>VLOOKUP(A206,Annuaire_roster!B:C,2,0)</f>
        <v>Google Leads</v>
      </c>
      <c r="G206" s="73"/>
      <c r="H206" s="73"/>
    </row>
    <row r="207" spans="1:8" hidden="1" x14ac:dyDescent="0.25">
      <c r="A207" s="80" t="s">
        <v>88</v>
      </c>
      <c r="B207" s="80">
        <f t="shared" si="2"/>
        <v>44767</v>
      </c>
      <c r="C207" s="82">
        <v>0.41666666666666669</v>
      </c>
      <c r="D207" s="82">
        <v>0.83333333333333337</v>
      </c>
      <c r="E207" s="76">
        <f>WEEKNUM(Planning2[[#This Row],[Date]],21)</f>
        <v>30</v>
      </c>
      <c r="F207" s="77" t="str">
        <f>VLOOKUP(A207,Annuaire_roster!B:C,2,0)</f>
        <v>Google Leads</v>
      </c>
      <c r="G207" s="73"/>
      <c r="H207" s="73"/>
    </row>
    <row r="208" spans="1:8" hidden="1" x14ac:dyDescent="0.25">
      <c r="A208" s="80" t="s">
        <v>106</v>
      </c>
      <c r="B208" s="80">
        <f t="shared" si="2"/>
        <v>44767</v>
      </c>
      <c r="C208" s="82" t="s">
        <v>31</v>
      </c>
      <c r="D208" s="82" t="s">
        <v>31</v>
      </c>
      <c r="E208" s="76">
        <f>WEEKNUM(Planning2[[#This Row],[Date]],21)</f>
        <v>30</v>
      </c>
      <c r="F208" s="77" t="str">
        <f>VLOOKUP(A208,Annuaire_roster!B:C,2,0)</f>
        <v>Google Leads</v>
      </c>
      <c r="G208" s="73"/>
      <c r="H208" s="73"/>
    </row>
    <row r="209" spans="1:8" hidden="1" x14ac:dyDescent="0.25">
      <c r="A209" s="80" t="s">
        <v>110</v>
      </c>
      <c r="B209" s="80">
        <f t="shared" si="2"/>
        <v>44767</v>
      </c>
      <c r="C209" s="82">
        <v>0.45833333333333331</v>
      </c>
      <c r="D209" s="82">
        <v>0.83333333333333337</v>
      </c>
      <c r="E209" s="76">
        <f>WEEKNUM(Planning2[[#This Row],[Date]],21)</f>
        <v>30</v>
      </c>
      <c r="F209" s="77" t="str">
        <f>VLOOKUP(A209,Annuaire_roster!B:C,2,0)</f>
        <v>Google Leads</v>
      </c>
      <c r="G209" s="73"/>
      <c r="H209" s="73"/>
    </row>
    <row r="210" spans="1:8" hidden="1" x14ac:dyDescent="0.25">
      <c r="A210" s="80" t="s">
        <v>126</v>
      </c>
      <c r="B210" s="80">
        <f t="shared" si="2"/>
        <v>44767</v>
      </c>
      <c r="C210" s="82">
        <v>0.41666666666666669</v>
      </c>
      <c r="D210" s="82">
        <v>0.83333333333333337</v>
      </c>
      <c r="E210" s="76">
        <f>WEEKNUM(Planning2[[#This Row],[Date]],21)</f>
        <v>30</v>
      </c>
      <c r="F210" s="77" t="str">
        <f>VLOOKUP(A210,Annuaire_roster!B:C,2,0)</f>
        <v>Google Leads</v>
      </c>
      <c r="G210" s="73"/>
      <c r="H210" s="73"/>
    </row>
    <row r="211" spans="1:8" hidden="1" x14ac:dyDescent="0.25">
      <c r="A211" s="80" t="s">
        <v>141</v>
      </c>
      <c r="B211" s="80">
        <f t="shared" si="2"/>
        <v>44767</v>
      </c>
      <c r="C211" s="82" t="s">
        <v>31</v>
      </c>
      <c r="D211" s="82" t="s">
        <v>31</v>
      </c>
      <c r="E211" s="76">
        <f>WEEKNUM(Planning2[[#This Row],[Date]],21)</f>
        <v>30</v>
      </c>
      <c r="F211" s="77" t="str">
        <f>VLOOKUP(A211,Annuaire_roster!B:C,2,0)</f>
        <v>Google Leads</v>
      </c>
      <c r="G211" s="73"/>
      <c r="H211" s="73"/>
    </row>
    <row r="212" spans="1:8" hidden="1" x14ac:dyDescent="0.25">
      <c r="A212" s="80" t="s">
        <v>120</v>
      </c>
      <c r="B212" s="80">
        <f t="shared" si="2"/>
        <v>44767</v>
      </c>
      <c r="C212" s="82" t="s">
        <v>31</v>
      </c>
      <c r="D212" s="82" t="s">
        <v>31</v>
      </c>
      <c r="E212" s="76">
        <f>WEEKNUM(Planning2[[#This Row],[Date]],21)</f>
        <v>30</v>
      </c>
      <c r="F212" s="77" t="str">
        <f>VLOOKUP(A212,Annuaire_roster!B:C,2,0)</f>
        <v>Google Leads</v>
      </c>
      <c r="G212" s="73"/>
      <c r="H212" s="73"/>
    </row>
    <row r="213" spans="1:8" hidden="1" x14ac:dyDescent="0.25">
      <c r="A213" s="80" t="s">
        <v>144</v>
      </c>
      <c r="B213" s="80">
        <f t="shared" si="2"/>
        <v>44767</v>
      </c>
      <c r="C213" s="82" t="s">
        <v>31</v>
      </c>
      <c r="D213" s="82" t="s">
        <v>31</v>
      </c>
      <c r="E213" s="76">
        <f>WEEKNUM(Planning2[[#This Row],[Date]],21)</f>
        <v>30</v>
      </c>
      <c r="F213" s="77" t="str">
        <f>VLOOKUP(A213,Annuaire_roster!B:C,2,0)</f>
        <v>Google Leads</v>
      </c>
      <c r="G213" s="73"/>
      <c r="H213" s="73"/>
    </row>
    <row r="214" spans="1:8" hidden="1" x14ac:dyDescent="0.25">
      <c r="A214" s="80" t="s">
        <v>196</v>
      </c>
      <c r="B214" s="80">
        <f t="shared" si="2"/>
        <v>44767</v>
      </c>
      <c r="C214" s="82" t="s">
        <v>31</v>
      </c>
      <c r="D214" s="82" t="s">
        <v>31</v>
      </c>
      <c r="E214" s="76">
        <f>WEEKNUM(Planning2[[#This Row],[Date]],21)</f>
        <v>30</v>
      </c>
      <c r="F214" s="77" t="str">
        <f>VLOOKUP(A214,Annuaire_roster!B:C,2,0)</f>
        <v>Google Leads</v>
      </c>
      <c r="G214" s="73"/>
      <c r="H214" s="73"/>
    </row>
    <row r="215" spans="1:8" hidden="1" x14ac:dyDescent="0.25">
      <c r="A215" s="80" t="s">
        <v>197</v>
      </c>
      <c r="B215" s="80">
        <f t="shared" si="2"/>
        <v>44767</v>
      </c>
      <c r="C215" s="82">
        <v>0.29166666666666669</v>
      </c>
      <c r="D215" s="82">
        <v>0.70833333333333337</v>
      </c>
      <c r="E215" s="76">
        <f>WEEKNUM(Planning2[[#This Row],[Date]],21)</f>
        <v>30</v>
      </c>
      <c r="F215" s="77" t="str">
        <f>VLOOKUP(A215,Annuaire_roster!B:C,2,0)</f>
        <v>Google Leads</v>
      </c>
      <c r="G215" s="73"/>
      <c r="H215" s="73"/>
    </row>
    <row r="216" spans="1:8" hidden="1" x14ac:dyDescent="0.25">
      <c r="A216" s="80" t="s">
        <v>198</v>
      </c>
      <c r="B216" s="80">
        <f t="shared" si="2"/>
        <v>44767</v>
      </c>
      <c r="C216" s="82" t="s">
        <v>31</v>
      </c>
      <c r="D216" s="82" t="s">
        <v>31</v>
      </c>
      <c r="E216" s="76">
        <f>WEEKNUM(Planning2[[#This Row],[Date]],21)</f>
        <v>30</v>
      </c>
      <c r="F216" s="77" t="str">
        <f>VLOOKUP(A216,Annuaire_roster!B:C,2,0)</f>
        <v>Google Leads</v>
      </c>
      <c r="G216" s="73"/>
      <c r="H216" s="73"/>
    </row>
    <row r="217" spans="1:8" hidden="1" x14ac:dyDescent="0.25">
      <c r="A217" s="80" t="s">
        <v>209</v>
      </c>
      <c r="B217" s="80">
        <f t="shared" si="2"/>
        <v>44767</v>
      </c>
      <c r="C217" s="82">
        <v>0.29166666666666669</v>
      </c>
      <c r="D217" s="82">
        <v>0.66666666666666663</v>
      </c>
      <c r="E217" s="76">
        <f>WEEKNUM(Planning2[[#This Row],[Date]],21)</f>
        <v>30</v>
      </c>
      <c r="F217" s="77" t="str">
        <f>VLOOKUP(A217,Annuaire_roster!B:C,2,0)</f>
        <v>Google Leads</v>
      </c>
      <c r="G217" s="73"/>
      <c r="H217" s="73"/>
    </row>
    <row r="218" spans="1:8" hidden="1" x14ac:dyDescent="0.25">
      <c r="A218" s="80" t="s">
        <v>210</v>
      </c>
      <c r="B218" s="80">
        <f t="shared" si="2"/>
        <v>44767</v>
      </c>
      <c r="C218" s="82" t="s">
        <v>31</v>
      </c>
      <c r="D218" s="82" t="s">
        <v>31</v>
      </c>
      <c r="E218" s="76">
        <f>WEEKNUM(Planning2[[#This Row],[Date]],21)</f>
        <v>30</v>
      </c>
      <c r="F218" s="77" t="str">
        <f>VLOOKUP(A218,Annuaire_roster!B:C,2,0)</f>
        <v>Google Leads</v>
      </c>
      <c r="G218" s="73"/>
      <c r="H218" s="73"/>
    </row>
    <row r="219" spans="1:8" hidden="1" x14ac:dyDescent="0.25">
      <c r="A219" s="80" t="s">
        <v>212</v>
      </c>
      <c r="B219" s="80">
        <f t="shared" si="2"/>
        <v>44767</v>
      </c>
      <c r="C219" s="82" t="s">
        <v>31</v>
      </c>
      <c r="D219" s="82" t="s">
        <v>31</v>
      </c>
      <c r="E219" s="76">
        <f>WEEKNUM(Planning2[[#This Row],[Date]],21)</f>
        <v>30</v>
      </c>
      <c r="F219" s="77" t="str">
        <f>VLOOKUP(A219,Annuaire_roster!B:C,2,0)</f>
        <v>Google Leads</v>
      </c>
      <c r="G219" s="73"/>
      <c r="H219" s="73"/>
    </row>
    <row r="220" spans="1:8" hidden="1" x14ac:dyDescent="0.25">
      <c r="A220" s="80" t="s">
        <v>216</v>
      </c>
      <c r="B220" s="80">
        <f t="shared" si="2"/>
        <v>44767</v>
      </c>
      <c r="C220" s="82">
        <v>0.29166666666666669</v>
      </c>
      <c r="D220" s="82">
        <v>0.70833333333333337</v>
      </c>
      <c r="E220" s="76">
        <f>WEEKNUM(Planning2[[#This Row],[Date]],21)</f>
        <v>30</v>
      </c>
      <c r="F220" s="77" t="str">
        <f>VLOOKUP(A220,Annuaire_roster!B:C,2,0)</f>
        <v>Google Leads</v>
      </c>
      <c r="G220" s="73"/>
      <c r="H220" s="73"/>
    </row>
    <row r="221" spans="1:8" hidden="1" x14ac:dyDescent="0.25">
      <c r="A221" s="80" t="s">
        <v>217</v>
      </c>
      <c r="B221" s="80">
        <f t="shared" si="2"/>
        <v>44767</v>
      </c>
      <c r="C221" s="82">
        <v>0.45833333333333331</v>
      </c>
      <c r="D221" s="82">
        <v>0.83333333333333337</v>
      </c>
      <c r="E221" s="76">
        <f>WEEKNUM(Planning2[[#This Row],[Date]],21)</f>
        <v>30</v>
      </c>
      <c r="F221" s="77" t="str">
        <f>VLOOKUP(A221,Annuaire_roster!B:C,2,0)</f>
        <v>Google Leads</v>
      </c>
      <c r="G221" s="73"/>
      <c r="H221" s="73"/>
    </row>
    <row r="222" spans="1:8" hidden="1" x14ac:dyDescent="0.25">
      <c r="A222" s="80" t="s">
        <v>219</v>
      </c>
      <c r="B222" s="80">
        <f t="shared" si="2"/>
        <v>44767</v>
      </c>
      <c r="C222" s="82" t="s">
        <v>31</v>
      </c>
      <c r="D222" s="82" t="s">
        <v>31</v>
      </c>
      <c r="E222" s="76">
        <f>WEEKNUM(Planning2[[#This Row],[Date]],21)</f>
        <v>30</v>
      </c>
      <c r="F222" s="77" t="str">
        <f>VLOOKUP(A222,Annuaire_roster!B:C,2,0)</f>
        <v>Google Leads</v>
      </c>
      <c r="G222" s="73"/>
      <c r="H222" s="73"/>
    </row>
    <row r="223" spans="1:8" hidden="1" x14ac:dyDescent="0.25">
      <c r="A223" s="80" t="s">
        <v>220</v>
      </c>
      <c r="B223" s="80">
        <f t="shared" si="2"/>
        <v>44767</v>
      </c>
      <c r="C223" s="82" t="s">
        <v>31</v>
      </c>
      <c r="D223" s="82" t="s">
        <v>31</v>
      </c>
      <c r="E223" s="76">
        <f>WEEKNUM(Planning2[[#This Row],[Date]],21)</f>
        <v>30</v>
      </c>
      <c r="F223" s="77" t="str">
        <f>VLOOKUP(A223,Annuaire_roster!B:C,2,0)</f>
        <v>Google Leads</v>
      </c>
      <c r="G223" s="73"/>
      <c r="H223" s="73"/>
    </row>
    <row r="224" spans="1:8" hidden="1" x14ac:dyDescent="0.25">
      <c r="A224" s="80" t="s">
        <v>221</v>
      </c>
      <c r="B224" s="80">
        <f t="shared" si="2"/>
        <v>44767</v>
      </c>
      <c r="C224" s="82" t="s">
        <v>31</v>
      </c>
      <c r="D224" s="82" t="s">
        <v>31</v>
      </c>
      <c r="E224" s="76">
        <f>WEEKNUM(Planning2[[#This Row],[Date]],21)</f>
        <v>30</v>
      </c>
      <c r="F224" s="77" t="str">
        <f>VLOOKUP(A224,Annuaire_roster!B:C,2,0)</f>
        <v>Google Leads</v>
      </c>
      <c r="G224" s="73"/>
      <c r="H224" s="73"/>
    </row>
    <row r="225" spans="1:8" hidden="1" x14ac:dyDescent="0.25">
      <c r="A225" s="124" t="s">
        <v>223</v>
      </c>
      <c r="B225" s="80">
        <f t="shared" si="2"/>
        <v>44767</v>
      </c>
      <c r="C225" s="82" t="s">
        <v>31</v>
      </c>
      <c r="D225" s="82" t="s">
        <v>31</v>
      </c>
      <c r="E225" s="76">
        <f>WEEKNUM(Planning2[[#This Row],[Date]],21)</f>
        <v>30</v>
      </c>
      <c r="F225" s="77" t="str">
        <f>VLOOKUP(A225,Annuaire_roster!B:C,2,0)</f>
        <v>Google Leads</v>
      </c>
      <c r="G225" s="73"/>
      <c r="H225" s="73"/>
    </row>
  </sheetData>
  <mergeCells count="2">
    <mergeCell ref="K2:K3"/>
    <mergeCell ref="K6:K8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3" filterMode="1"/>
  <dimension ref="A1:M1006"/>
  <sheetViews>
    <sheetView zoomScale="85" zoomScaleNormal="85" workbookViewId="0">
      <pane ySplit="1" topLeftCell="A26" activePane="bottomLeft" state="frozen"/>
      <selection activeCell="C5463" sqref="C5463"/>
      <selection pane="bottomLeft" activeCell="A92" sqref="A92:XFD92"/>
    </sheetView>
  </sheetViews>
  <sheetFormatPr baseColWidth="10" defaultColWidth="11.42578125" defaultRowHeight="15" x14ac:dyDescent="0.25"/>
  <cols>
    <col min="1" max="1" width="10.42578125" style="135" customWidth="1"/>
    <col min="2" max="2" width="37.42578125" style="99" bestFit="1" customWidth="1"/>
    <col min="3" max="3" width="23.28515625" style="135" bestFit="1" customWidth="1"/>
    <col min="4" max="4" width="23.28515625" style="53" bestFit="1" customWidth="1"/>
    <col min="5" max="5" width="28.42578125" style="135" customWidth="1"/>
    <col min="6" max="7" width="10.42578125" style="135" customWidth="1"/>
    <col min="8" max="8" width="17.42578125" style="56" bestFit="1" customWidth="1"/>
    <col min="9" max="9" width="18.42578125" style="56" customWidth="1"/>
    <col min="10" max="10" width="41.5703125" style="135" customWidth="1"/>
    <col min="11" max="16384" width="11.42578125" style="135"/>
  </cols>
  <sheetData>
    <row r="1" spans="1:13" x14ac:dyDescent="0.25">
      <c r="A1" s="50" t="s">
        <v>28</v>
      </c>
      <c r="B1" s="155" t="s">
        <v>71</v>
      </c>
      <c r="C1" s="50" t="s">
        <v>24</v>
      </c>
      <c r="D1" s="50" t="s">
        <v>23</v>
      </c>
      <c r="E1" s="51" t="s">
        <v>22</v>
      </c>
      <c r="F1" s="50" t="s">
        <v>28</v>
      </c>
      <c r="G1" s="52" t="s">
        <v>3</v>
      </c>
      <c r="H1" s="55" t="s">
        <v>29</v>
      </c>
      <c r="I1" s="57" t="s">
        <v>30</v>
      </c>
    </row>
    <row r="2" spans="1:13" x14ac:dyDescent="0.25">
      <c r="A2" s="94">
        <v>364</v>
      </c>
      <c r="B2" s="167" t="s">
        <v>213</v>
      </c>
      <c r="C2" s="95" t="s">
        <v>73</v>
      </c>
      <c r="D2" s="95" t="s">
        <v>73</v>
      </c>
      <c r="E2" s="168" t="s">
        <v>82</v>
      </c>
      <c r="F2" s="94">
        <v>364</v>
      </c>
      <c r="G2" s="96" t="s">
        <v>61</v>
      </c>
      <c r="H2" s="98"/>
      <c r="I2" s="99"/>
    </row>
    <row r="3" spans="1:13" x14ac:dyDescent="0.25">
      <c r="A3" s="94">
        <v>555</v>
      </c>
      <c r="B3" s="167" t="s">
        <v>74</v>
      </c>
      <c r="C3" s="95" t="s">
        <v>73</v>
      </c>
      <c r="D3" s="95" t="s">
        <v>73</v>
      </c>
      <c r="E3" s="168" t="s">
        <v>82</v>
      </c>
      <c r="F3" s="94">
        <v>555</v>
      </c>
      <c r="G3" s="96" t="s">
        <v>61</v>
      </c>
      <c r="H3" s="98"/>
      <c r="I3" s="99"/>
    </row>
    <row r="4" spans="1:13" x14ac:dyDescent="0.25">
      <c r="A4" s="94">
        <v>973</v>
      </c>
      <c r="B4" s="167" t="s">
        <v>146</v>
      </c>
      <c r="C4" s="95" t="s">
        <v>73</v>
      </c>
      <c r="D4" s="95" t="s">
        <v>73</v>
      </c>
      <c r="E4" s="169" t="s">
        <v>82</v>
      </c>
      <c r="F4" s="94">
        <v>973</v>
      </c>
      <c r="G4" s="96" t="s">
        <v>61</v>
      </c>
      <c r="H4" s="98"/>
      <c r="I4" s="99"/>
    </row>
    <row r="5" spans="1:13" x14ac:dyDescent="0.25">
      <c r="A5" s="94">
        <v>952</v>
      </c>
      <c r="B5" s="167" t="s">
        <v>131</v>
      </c>
      <c r="C5" s="95" t="s">
        <v>73</v>
      </c>
      <c r="D5" s="95" t="s">
        <v>73</v>
      </c>
      <c r="E5" s="168" t="s">
        <v>82</v>
      </c>
      <c r="F5" s="94">
        <v>952</v>
      </c>
      <c r="G5" s="96" t="s">
        <v>61</v>
      </c>
      <c r="H5" s="98"/>
      <c r="I5" s="99"/>
    </row>
    <row r="6" spans="1:13" x14ac:dyDescent="0.25">
      <c r="A6" s="94">
        <v>1009</v>
      </c>
      <c r="B6" s="167" t="s">
        <v>91</v>
      </c>
      <c r="C6" s="95" t="s">
        <v>73</v>
      </c>
      <c r="D6" s="95" t="s">
        <v>73</v>
      </c>
      <c r="E6" s="168" t="s">
        <v>82</v>
      </c>
      <c r="F6" s="94">
        <v>1009</v>
      </c>
      <c r="G6" s="96" t="s">
        <v>61</v>
      </c>
      <c r="H6" s="98"/>
      <c r="I6" s="99"/>
    </row>
    <row r="7" spans="1:13" x14ac:dyDescent="0.25">
      <c r="A7" s="94">
        <v>1007</v>
      </c>
      <c r="B7" s="167" t="s">
        <v>89</v>
      </c>
      <c r="C7" s="95" t="s">
        <v>73</v>
      </c>
      <c r="D7" s="95" t="s">
        <v>73</v>
      </c>
      <c r="E7" s="168" t="s">
        <v>82</v>
      </c>
      <c r="F7" s="94">
        <v>1007</v>
      </c>
      <c r="G7" s="96" t="s">
        <v>61</v>
      </c>
      <c r="H7" s="98"/>
      <c r="I7" s="99"/>
    </row>
    <row r="8" spans="1:13" x14ac:dyDescent="0.25">
      <c r="A8" s="94">
        <v>366</v>
      </c>
      <c r="B8" s="167" t="s">
        <v>41</v>
      </c>
      <c r="C8" s="95" t="s">
        <v>73</v>
      </c>
      <c r="D8" s="95" t="s">
        <v>73</v>
      </c>
      <c r="E8" s="168" t="s">
        <v>82</v>
      </c>
      <c r="F8" s="94">
        <v>366</v>
      </c>
      <c r="G8" s="96" t="s">
        <v>61</v>
      </c>
      <c r="H8" s="98"/>
      <c r="I8" s="99"/>
    </row>
    <row r="9" spans="1:13" x14ac:dyDescent="0.25">
      <c r="A9" s="94">
        <v>894</v>
      </c>
      <c r="B9" s="167" t="s">
        <v>80</v>
      </c>
      <c r="C9" s="95" t="s">
        <v>73</v>
      </c>
      <c r="D9" s="95" t="s">
        <v>73</v>
      </c>
      <c r="E9" s="168" t="s">
        <v>82</v>
      </c>
      <c r="F9" s="94">
        <v>894</v>
      </c>
      <c r="G9" s="96" t="s">
        <v>61</v>
      </c>
      <c r="H9" s="98"/>
      <c r="I9" s="99"/>
    </row>
    <row r="10" spans="1:13" x14ac:dyDescent="0.25">
      <c r="A10" s="94">
        <v>742</v>
      </c>
      <c r="B10" s="167" t="s">
        <v>147</v>
      </c>
      <c r="C10" s="95" t="s">
        <v>73</v>
      </c>
      <c r="D10" s="95" t="s">
        <v>73</v>
      </c>
      <c r="E10" s="168" t="s">
        <v>82</v>
      </c>
      <c r="F10" s="94">
        <v>742</v>
      </c>
      <c r="G10" s="96" t="s">
        <v>61</v>
      </c>
      <c r="H10" s="98"/>
      <c r="I10" s="99"/>
      <c r="M10" s="101"/>
    </row>
    <row r="11" spans="1:13" x14ac:dyDescent="0.25">
      <c r="A11" s="94">
        <v>397</v>
      </c>
      <c r="B11" s="167" t="s">
        <v>215</v>
      </c>
      <c r="C11" s="95" t="s">
        <v>73</v>
      </c>
      <c r="D11" s="95" t="s">
        <v>73</v>
      </c>
      <c r="E11" s="169" t="s">
        <v>82</v>
      </c>
      <c r="F11" s="94">
        <v>397</v>
      </c>
      <c r="G11" s="96" t="s">
        <v>61</v>
      </c>
      <c r="H11" s="98"/>
      <c r="I11" s="99"/>
      <c r="M11" s="101"/>
    </row>
    <row r="12" spans="1:13" x14ac:dyDescent="0.25">
      <c r="A12" s="94">
        <v>1141</v>
      </c>
      <c r="B12" s="167" t="s">
        <v>111</v>
      </c>
      <c r="C12" s="95" t="s">
        <v>73</v>
      </c>
      <c r="D12" s="95" t="s">
        <v>73</v>
      </c>
      <c r="E12" s="169" t="s">
        <v>82</v>
      </c>
      <c r="F12" s="94">
        <v>1141</v>
      </c>
      <c r="G12" s="96" t="s">
        <v>61</v>
      </c>
      <c r="H12" s="98"/>
      <c r="I12" s="99"/>
      <c r="M12" s="101"/>
    </row>
    <row r="13" spans="1:13" x14ac:dyDescent="0.25">
      <c r="A13" s="94">
        <v>1167</v>
      </c>
      <c r="B13" s="167" t="s">
        <v>126</v>
      </c>
      <c r="C13" s="95" t="s">
        <v>73</v>
      </c>
      <c r="D13" s="95" t="s">
        <v>73</v>
      </c>
      <c r="E13" s="169" t="s">
        <v>82</v>
      </c>
      <c r="F13" s="94">
        <v>1167</v>
      </c>
      <c r="G13" s="96" t="s">
        <v>61</v>
      </c>
      <c r="H13" s="98"/>
      <c r="I13" s="99"/>
      <c r="M13" s="101"/>
    </row>
    <row r="14" spans="1:13" x14ac:dyDescent="0.25">
      <c r="A14" s="94">
        <v>1161</v>
      </c>
      <c r="B14" s="167" t="s">
        <v>113</v>
      </c>
      <c r="C14" s="95" t="s">
        <v>73</v>
      </c>
      <c r="D14" s="95" t="s">
        <v>73</v>
      </c>
      <c r="E14" s="170" t="s">
        <v>82</v>
      </c>
      <c r="F14" s="94">
        <v>1161</v>
      </c>
      <c r="G14" s="96" t="s">
        <v>61</v>
      </c>
      <c r="H14" s="98"/>
      <c r="I14" s="99"/>
      <c r="M14" s="101"/>
    </row>
    <row r="15" spans="1:13" x14ac:dyDescent="0.25">
      <c r="A15" s="94">
        <v>1165</v>
      </c>
      <c r="B15" s="171" t="s">
        <v>120</v>
      </c>
      <c r="C15" s="95" t="s">
        <v>73</v>
      </c>
      <c r="D15" s="95" t="s">
        <v>73</v>
      </c>
      <c r="E15" s="169" t="s">
        <v>82</v>
      </c>
      <c r="F15" s="94">
        <v>1165</v>
      </c>
      <c r="G15" s="96" t="s">
        <v>61</v>
      </c>
      <c r="H15" s="98"/>
      <c r="I15" s="99"/>
      <c r="M15" s="101"/>
    </row>
    <row r="16" spans="1:13" x14ac:dyDescent="0.25">
      <c r="A16" s="94">
        <v>1274</v>
      </c>
      <c r="B16" s="171" t="s">
        <v>141</v>
      </c>
      <c r="C16" s="95" t="s">
        <v>73</v>
      </c>
      <c r="D16" s="95" t="s">
        <v>73</v>
      </c>
      <c r="E16" s="172" t="s">
        <v>82</v>
      </c>
      <c r="F16" s="94">
        <v>1274</v>
      </c>
      <c r="G16" s="96" t="s">
        <v>61</v>
      </c>
      <c r="H16" s="98"/>
      <c r="I16" s="99"/>
    </row>
    <row r="17" spans="1:9" x14ac:dyDescent="0.25">
      <c r="A17" s="94">
        <v>1309</v>
      </c>
      <c r="B17" s="171" t="s">
        <v>143</v>
      </c>
      <c r="C17" s="95" t="s">
        <v>73</v>
      </c>
      <c r="D17" s="95" t="s">
        <v>73</v>
      </c>
      <c r="E17" s="172" t="s">
        <v>82</v>
      </c>
      <c r="F17" s="94">
        <v>1309</v>
      </c>
      <c r="G17" s="96" t="s">
        <v>61</v>
      </c>
      <c r="H17" s="98"/>
      <c r="I17" s="99"/>
    </row>
    <row r="18" spans="1:9" x14ac:dyDescent="0.25">
      <c r="A18" s="94">
        <v>1169</v>
      </c>
      <c r="B18" s="171" t="s">
        <v>125</v>
      </c>
      <c r="C18" s="95" t="s">
        <v>73</v>
      </c>
      <c r="D18" s="95" t="s">
        <v>73</v>
      </c>
      <c r="E18" s="169" t="s">
        <v>82</v>
      </c>
      <c r="F18" s="94"/>
      <c r="G18" s="96" t="s">
        <v>61</v>
      </c>
      <c r="H18" s="98"/>
      <c r="I18" s="99"/>
    </row>
    <row r="19" spans="1:9" x14ac:dyDescent="0.25">
      <c r="A19" s="94">
        <v>1283</v>
      </c>
      <c r="B19" s="167" t="s">
        <v>145</v>
      </c>
      <c r="C19" s="95" t="s">
        <v>73</v>
      </c>
      <c r="D19" s="95" t="s">
        <v>73</v>
      </c>
      <c r="E19" s="172" t="s">
        <v>82</v>
      </c>
      <c r="F19" s="94">
        <v>1283</v>
      </c>
      <c r="G19" s="96" t="s">
        <v>61</v>
      </c>
      <c r="H19" s="98"/>
      <c r="I19" s="99"/>
    </row>
    <row r="20" spans="1:9" x14ac:dyDescent="0.25">
      <c r="A20" s="94">
        <v>1008</v>
      </c>
      <c r="B20" s="173" t="s">
        <v>94</v>
      </c>
      <c r="C20" s="95" t="s">
        <v>73</v>
      </c>
      <c r="D20" s="95" t="s">
        <v>73</v>
      </c>
      <c r="E20" s="156" t="s">
        <v>107</v>
      </c>
      <c r="F20" s="94">
        <v>1008</v>
      </c>
      <c r="G20" s="96" t="s">
        <v>61</v>
      </c>
      <c r="H20" s="98"/>
      <c r="I20" s="99"/>
    </row>
    <row r="21" spans="1:9" x14ac:dyDescent="0.25">
      <c r="A21" s="94">
        <v>633</v>
      </c>
      <c r="B21" s="173" t="s">
        <v>109</v>
      </c>
      <c r="C21" s="95" t="s">
        <v>73</v>
      </c>
      <c r="D21" s="95" t="s">
        <v>73</v>
      </c>
      <c r="E21" s="174" t="s">
        <v>107</v>
      </c>
      <c r="F21" s="94">
        <v>633</v>
      </c>
      <c r="G21" s="96" t="s">
        <v>61</v>
      </c>
      <c r="H21" s="98"/>
      <c r="I21" s="98"/>
    </row>
    <row r="22" spans="1:9" x14ac:dyDescent="0.25">
      <c r="A22" s="94">
        <v>949</v>
      </c>
      <c r="B22" s="173" t="s">
        <v>135</v>
      </c>
      <c r="C22" s="95" t="s">
        <v>73</v>
      </c>
      <c r="D22" s="95" t="s">
        <v>73</v>
      </c>
      <c r="E22" s="156" t="s">
        <v>107</v>
      </c>
      <c r="F22" s="94">
        <v>949</v>
      </c>
      <c r="G22" s="96" t="s">
        <v>61</v>
      </c>
      <c r="H22" s="98"/>
      <c r="I22" s="98"/>
    </row>
    <row r="23" spans="1:9" x14ac:dyDescent="0.25">
      <c r="A23" s="94">
        <v>971</v>
      </c>
      <c r="B23" s="173" t="s">
        <v>83</v>
      </c>
      <c r="C23" s="95" t="s">
        <v>73</v>
      </c>
      <c r="D23" s="95" t="s">
        <v>73</v>
      </c>
      <c r="E23" s="174" t="s">
        <v>107</v>
      </c>
      <c r="F23" s="94">
        <v>971</v>
      </c>
      <c r="G23" s="96" t="s">
        <v>61</v>
      </c>
      <c r="H23" s="98"/>
      <c r="I23" s="98"/>
    </row>
    <row r="24" spans="1:9" x14ac:dyDescent="0.25">
      <c r="A24" s="94">
        <v>669</v>
      </c>
      <c r="B24" s="173" t="s">
        <v>137</v>
      </c>
      <c r="C24" s="95" t="s">
        <v>73</v>
      </c>
      <c r="D24" s="95" t="s">
        <v>73</v>
      </c>
      <c r="E24" s="156" t="s">
        <v>107</v>
      </c>
      <c r="F24" s="94">
        <v>669</v>
      </c>
      <c r="G24" s="96" t="s">
        <v>61</v>
      </c>
      <c r="H24" s="98"/>
      <c r="I24" s="99"/>
    </row>
    <row r="25" spans="1:9" x14ac:dyDescent="0.25">
      <c r="A25" s="94">
        <v>1125</v>
      </c>
      <c r="B25" s="173" t="s">
        <v>96</v>
      </c>
      <c r="C25" s="95" t="s">
        <v>73</v>
      </c>
      <c r="D25" s="95" t="s">
        <v>73</v>
      </c>
      <c r="E25" s="156" t="s">
        <v>107</v>
      </c>
      <c r="F25" s="94">
        <v>1125</v>
      </c>
      <c r="G25" s="96" t="s">
        <v>61</v>
      </c>
      <c r="H25" s="98"/>
      <c r="I25" s="98"/>
    </row>
    <row r="26" spans="1:9" x14ac:dyDescent="0.25">
      <c r="A26" s="94">
        <v>1131</v>
      </c>
      <c r="B26" s="173" t="s">
        <v>214</v>
      </c>
      <c r="C26" s="95" t="s">
        <v>73</v>
      </c>
      <c r="D26" s="95" t="s">
        <v>73</v>
      </c>
      <c r="E26" s="156" t="s">
        <v>107</v>
      </c>
      <c r="F26" s="94">
        <v>1131</v>
      </c>
      <c r="G26" s="96" t="s">
        <v>61</v>
      </c>
      <c r="H26" s="98"/>
      <c r="I26" s="98"/>
    </row>
    <row r="27" spans="1:9" x14ac:dyDescent="0.25">
      <c r="A27" s="94">
        <v>1145</v>
      </c>
      <c r="B27" s="173" t="s">
        <v>102</v>
      </c>
      <c r="C27" s="95" t="s">
        <v>73</v>
      </c>
      <c r="D27" s="95" t="s">
        <v>73</v>
      </c>
      <c r="E27" s="175" t="s">
        <v>107</v>
      </c>
      <c r="F27" s="94">
        <v>1145</v>
      </c>
      <c r="G27" s="96" t="s">
        <v>61</v>
      </c>
      <c r="H27" s="98"/>
      <c r="I27" s="99"/>
    </row>
    <row r="28" spans="1:9" x14ac:dyDescent="0.25">
      <c r="A28" s="94">
        <v>1148</v>
      </c>
      <c r="B28" s="173" t="s">
        <v>103</v>
      </c>
      <c r="C28" s="95" t="s">
        <v>73</v>
      </c>
      <c r="D28" s="95" t="s">
        <v>73</v>
      </c>
      <c r="E28" s="156" t="s">
        <v>107</v>
      </c>
      <c r="F28" s="94">
        <v>1148</v>
      </c>
      <c r="G28" s="96" t="s">
        <v>61</v>
      </c>
      <c r="H28" s="98"/>
      <c r="I28" s="99"/>
    </row>
    <row r="29" spans="1:9" x14ac:dyDescent="0.25">
      <c r="A29" s="94">
        <v>1152</v>
      </c>
      <c r="B29" s="173" t="s">
        <v>104</v>
      </c>
      <c r="C29" s="95" t="s">
        <v>73</v>
      </c>
      <c r="D29" s="95" t="s">
        <v>73</v>
      </c>
      <c r="E29" s="156" t="s">
        <v>107</v>
      </c>
      <c r="F29" s="94">
        <v>1152</v>
      </c>
      <c r="G29" s="96" t="s">
        <v>61</v>
      </c>
      <c r="H29" s="98"/>
      <c r="I29" s="99"/>
    </row>
    <row r="30" spans="1:9" x14ac:dyDescent="0.25">
      <c r="A30" s="94">
        <v>1132</v>
      </c>
      <c r="B30" s="173" t="s">
        <v>88</v>
      </c>
      <c r="C30" s="95" t="s">
        <v>73</v>
      </c>
      <c r="D30" s="95" t="s">
        <v>73</v>
      </c>
      <c r="E30" s="156" t="s">
        <v>107</v>
      </c>
      <c r="F30" s="94">
        <v>1132</v>
      </c>
      <c r="G30" s="96" t="s">
        <v>61</v>
      </c>
      <c r="H30" s="98"/>
      <c r="I30" s="99"/>
    </row>
    <row r="31" spans="1:9" x14ac:dyDescent="0.25">
      <c r="A31" s="96">
        <v>1170</v>
      </c>
      <c r="B31" s="173" t="s">
        <v>106</v>
      </c>
      <c r="C31" s="95" t="s">
        <v>73</v>
      </c>
      <c r="D31" s="95" t="s">
        <v>73</v>
      </c>
      <c r="E31" s="157" t="s">
        <v>107</v>
      </c>
      <c r="F31" s="96">
        <v>1170</v>
      </c>
      <c r="G31" s="96" t="s">
        <v>61</v>
      </c>
      <c r="H31" s="98"/>
      <c r="I31" s="99"/>
    </row>
    <row r="32" spans="1:9" x14ac:dyDescent="0.25">
      <c r="A32" s="94">
        <v>1154</v>
      </c>
      <c r="B32" s="176" t="s">
        <v>110</v>
      </c>
      <c r="C32" s="95" t="s">
        <v>73</v>
      </c>
      <c r="D32" s="95" t="s">
        <v>73</v>
      </c>
      <c r="E32" s="174" t="s">
        <v>107</v>
      </c>
      <c r="F32" s="94">
        <v>1154</v>
      </c>
      <c r="G32" s="96" t="s">
        <v>61</v>
      </c>
      <c r="H32" s="98"/>
      <c r="I32" s="99"/>
    </row>
    <row r="33" spans="1:9" x14ac:dyDescent="0.25">
      <c r="A33" s="96">
        <v>1146</v>
      </c>
      <c r="B33" s="173" t="s">
        <v>118</v>
      </c>
      <c r="C33" s="95" t="s">
        <v>73</v>
      </c>
      <c r="D33" s="95" t="s">
        <v>73</v>
      </c>
      <c r="E33" s="156" t="s">
        <v>107</v>
      </c>
      <c r="F33" s="96">
        <v>1146</v>
      </c>
      <c r="G33" s="96" t="s">
        <v>61</v>
      </c>
      <c r="H33" s="98"/>
      <c r="I33" s="99"/>
    </row>
    <row r="34" spans="1:9" x14ac:dyDescent="0.25">
      <c r="A34" s="94">
        <v>1189</v>
      </c>
      <c r="B34" s="173" t="s">
        <v>112</v>
      </c>
      <c r="C34" s="95" t="s">
        <v>73</v>
      </c>
      <c r="D34" s="95" t="s">
        <v>73</v>
      </c>
      <c r="E34" s="156" t="s">
        <v>107</v>
      </c>
      <c r="F34" s="94">
        <v>1189</v>
      </c>
      <c r="G34" s="96" t="s">
        <v>61</v>
      </c>
      <c r="H34" s="98"/>
      <c r="I34" s="99"/>
    </row>
    <row r="35" spans="1:9" x14ac:dyDescent="0.25">
      <c r="A35" s="94"/>
      <c r="B35" s="177" t="s">
        <v>180</v>
      </c>
      <c r="C35" s="95" t="s">
        <v>73</v>
      </c>
      <c r="D35" s="95" t="s">
        <v>73</v>
      </c>
      <c r="E35" s="156" t="s">
        <v>107</v>
      </c>
      <c r="F35" s="94"/>
      <c r="G35" s="96" t="s">
        <v>61</v>
      </c>
      <c r="H35" s="98"/>
      <c r="I35" s="99"/>
    </row>
    <row r="36" spans="1:9" x14ac:dyDescent="0.25">
      <c r="A36" s="94">
        <v>1174</v>
      </c>
      <c r="B36" s="173" t="s">
        <v>123</v>
      </c>
      <c r="C36" s="95" t="s">
        <v>73</v>
      </c>
      <c r="D36" s="95" t="s">
        <v>73</v>
      </c>
      <c r="E36" s="174" t="s">
        <v>107</v>
      </c>
      <c r="F36" s="94"/>
      <c r="G36" s="96" t="s">
        <v>61</v>
      </c>
      <c r="H36" s="98"/>
      <c r="I36" s="98"/>
    </row>
    <row r="37" spans="1:9" x14ac:dyDescent="0.25">
      <c r="A37" s="94">
        <v>895</v>
      </c>
      <c r="B37" s="173" t="s">
        <v>142</v>
      </c>
      <c r="C37" s="95" t="s">
        <v>73</v>
      </c>
      <c r="D37" s="95" t="s">
        <v>73</v>
      </c>
      <c r="E37" s="156" t="s">
        <v>107</v>
      </c>
      <c r="F37" s="94">
        <v>895</v>
      </c>
      <c r="G37" s="96" t="s">
        <v>61</v>
      </c>
      <c r="H37" s="98"/>
      <c r="I37" s="98"/>
    </row>
    <row r="38" spans="1:9" x14ac:dyDescent="0.25">
      <c r="A38" s="94">
        <v>1192</v>
      </c>
      <c r="B38" s="173" t="s">
        <v>144</v>
      </c>
      <c r="C38" s="95" t="s">
        <v>73</v>
      </c>
      <c r="D38" s="95" t="s">
        <v>73</v>
      </c>
      <c r="E38" s="156" t="s">
        <v>107</v>
      </c>
      <c r="F38" s="94"/>
      <c r="G38" s="96" t="s">
        <v>61</v>
      </c>
      <c r="H38" s="98"/>
      <c r="I38" s="99"/>
    </row>
    <row r="39" spans="1:9" hidden="1" x14ac:dyDescent="0.25">
      <c r="A39" s="94">
        <v>86</v>
      </c>
      <c r="B39" s="128" t="s">
        <v>148</v>
      </c>
      <c r="C39" s="95" t="s">
        <v>39</v>
      </c>
      <c r="D39" s="95" t="s">
        <v>39</v>
      </c>
      <c r="E39" s="117" t="s">
        <v>38</v>
      </c>
      <c r="F39" s="94">
        <v>86</v>
      </c>
      <c r="G39" s="96" t="s">
        <v>61</v>
      </c>
      <c r="H39" s="98"/>
      <c r="I39" s="99"/>
    </row>
    <row r="40" spans="1:9" hidden="1" x14ac:dyDescent="0.25">
      <c r="A40" s="94">
        <v>777</v>
      </c>
      <c r="B40" s="128" t="s">
        <v>79</v>
      </c>
      <c r="C40" s="95" t="s">
        <v>39</v>
      </c>
      <c r="D40" s="95" t="s">
        <v>39</v>
      </c>
      <c r="E40" s="117" t="s">
        <v>38</v>
      </c>
      <c r="F40" s="94">
        <v>777</v>
      </c>
      <c r="G40" s="96" t="s">
        <v>61</v>
      </c>
      <c r="H40" s="98"/>
      <c r="I40" s="99"/>
    </row>
    <row r="41" spans="1:9" hidden="1" x14ac:dyDescent="0.25">
      <c r="A41" s="94">
        <v>1006</v>
      </c>
      <c r="B41" s="178" t="s">
        <v>95</v>
      </c>
      <c r="C41" s="95" t="s">
        <v>39</v>
      </c>
      <c r="D41" s="95" t="s">
        <v>39</v>
      </c>
      <c r="E41" s="117" t="s">
        <v>38</v>
      </c>
      <c r="F41" s="94">
        <v>1006</v>
      </c>
      <c r="G41" s="96" t="s">
        <v>61</v>
      </c>
      <c r="H41" s="98"/>
      <c r="I41" s="99"/>
    </row>
    <row r="42" spans="1:9" hidden="1" x14ac:dyDescent="0.25">
      <c r="A42" s="94">
        <v>1183</v>
      </c>
      <c r="B42" s="128" t="s">
        <v>149</v>
      </c>
      <c r="C42" s="95" t="s">
        <v>39</v>
      </c>
      <c r="D42" s="95" t="s">
        <v>39</v>
      </c>
      <c r="E42" s="117" t="s">
        <v>38</v>
      </c>
      <c r="F42" s="94">
        <v>1183</v>
      </c>
      <c r="G42" s="96" t="s">
        <v>61</v>
      </c>
      <c r="H42" s="98"/>
      <c r="I42" s="99"/>
    </row>
    <row r="43" spans="1:9" hidden="1" x14ac:dyDescent="0.25">
      <c r="A43" s="94">
        <v>1180</v>
      </c>
      <c r="B43" s="128" t="s">
        <v>121</v>
      </c>
      <c r="C43" s="95" t="s">
        <v>39</v>
      </c>
      <c r="D43" s="95" t="s">
        <v>39</v>
      </c>
      <c r="E43" s="118" t="s">
        <v>38</v>
      </c>
      <c r="F43" s="94">
        <v>1180</v>
      </c>
      <c r="G43" s="96" t="s">
        <v>61</v>
      </c>
      <c r="H43" s="98"/>
      <c r="I43" s="99"/>
    </row>
    <row r="44" spans="1:9" hidden="1" x14ac:dyDescent="0.25">
      <c r="A44" s="94">
        <v>620</v>
      </c>
      <c r="B44" s="179" t="s">
        <v>117</v>
      </c>
      <c r="C44" s="95" t="s">
        <v>150</v>
      </c>
      <c r="D44" s="95" t="s">
        <v>150</v>
      </c>
      <c r="E44" s="180" t="s">
        <v>38</v>
      </c>
      <c r="F44" s="94">
        <v>620</v>
      </c>
      <c r="G44" s="96" t="s">
        <v>61</v>
      </c>
      <c r="H44" s="98"/>
      <c r="I44" s="99"/>
    </row>
    <row r="45" spans="1:9" hidden="1" x14ac:dyDescent="0.25">
      <c r="A45" s="94">
        <v>1283</v>
      </c>
      <c r="B45" s="179" t="s">
        <v>127</v>
      </c>
      <c r="C45" s="97" t="s">
        <v>150</v>
      </c>
      <c r="D45" s="95" t="s">
        <v>150</v>
      </c>
      <c r="E45" s="181" t="s">
        <v>38</v>
      </c>
      <c r="F45" s="94">
        <v>1283</v>
      </c>
      <c r="G45" s="96" t="s">
        <v>61</v>
      </c>
      <c r="H45" s="98"/>
      <c r="I45" s="99"/>
    </row>
    <row r="46" spans="1:9" hidden="1" x14ac:dyDescent="0.25">
      <c r="A46" s="94">
        <v>1252</v>
      </c>
      <c r="B46" s="179" t="s">
        <v>151</v>
      </c>
      <c r="C46" s="95" t="s">
        <v>150</v>
      </c>
      <c r="D46" s="95" t="s">
        <v>150</v>
      </c>
      <c r="E46" s="182" t="s">
        <v>38</v>
      </c>
      <c r="F46" s="94">
        <v>1252</v>
      </c>
      <c r="G46" s="96" t="s">
        <v>61</v>
      </c>
      <c r="H46" s="98"/>
      <c r="I46" s="99"/>
    </row>
    <row r="47" spans="1:9" hidden="1" x14ac:dyDescent="0.25">
      <c r="A47" s="94">
        <v>1149</v>
      </c>
      <c r="B47" s="179" t="s">
        <v>152</v>
      </c>
      <c r="C47" s="95" t="s">
        <v>150</v>
      </c>
      <c r="D47" s="95" t="s">
        <v>150</v>
      </c>
      <c r="E47" s="180" t="s">
        <v>38</v>
      </c>
      <c r="F47" s="94">
        <v>1149</v>
      </c>
      <c r="G47" s="96" t="s">
        <v>61</v>
      </c>
      <c r="H47" s="98"/>
      <c r="I47" s="99"/>
    </row>
    <row r="48" spans="1:9" x14ac:dyDescent="0.25">
      <c r="A48" s="94">
        <v>1155</v>
      </c>
      <c r="B48" s="179" t="s">
        <v>119</v>
      </c>
      <c r="C48" s="95" t="s">
        <v>73</v>
      </c>
      <c r="D48" s="95" t="s">
        <v>73</v>
      </c>
      <c r="E48" s="172" t="s">
        <v>82</v>
      </c>
      <c r="F48" s="94"/>
      <c r="G48" s="96" t="s">
        <v>61</v>
      </c>
      <c r="H48" s="98"/>
      <c r="I48" s="99"/>
    </row>
    <row r="49" spans="1:9" hidden="1" x14ac:dyDescent="0.25">
      <c r="A49" s="94">
        <v>1187</v>
      </c>
      <c r="B49" s="179" t="s">
        <v>124</v>
      </c>
      <c r="C49" s="105" t="s">
        <v>150</v>
      </c>
      <c r="D49" s="95" t="s">
        <v>150</v>
      </c>
      <c r="E49" s="180" t="s">
        <v>38</v>
      </c>
      <c r="F49" s="94">
        <v>1187</v>
      </c>
      <c r="G49" s="96" t="s">
        <v>61</v>
      </c>
      <c r="H49" s="98"/>
      <c r="I49" s="99"/>
    </row>
    <row r="50" spans="1:9" hidden="1" x14ac:dyDescent="0.25">
      <c r="A50" s="94">
        <v>1012</v>
      </c>
      <c r="B50" s="130" t="s">
        <v>181</v>
      </c>
      <c r="C50" s="95" t="s">
        <v>67</v>
      </c>
      <c r="D50" s="95" t="s">
        <v>67</v>
      </c>
      <c r="E50" s="183" t="s">
        <v>97</v>
      </c>
      <c r="F50" s="94">
        <v>1012</v>
      </c>
      <c r="G50" s="96" t="s">
        <v>61</v>
      </c>
      <c r="H50" s="98"/>
      <c r="I50" s="99"/>
    </row>
    <row r="51" spans="1:9" hidden="1" x14ac:dyDescent="0.25">
      <c r="A51" s="94">
        <v>987</v>
      </c>
      <c r="B51" s="130" t="s">
        <v>153</v>
      </c>
      <c r="C51" s="95" t="s">
        <v>67</v>
      </c>
      <c r="D51" s="95" t="s">
        <v>67</v>
      </c>
      <c r="E51" s="183" t="s">
        <v>97</v>
      </c>
      <c r="F51" s="94">
        <v>987</v>
      </c>
      <c r="G51" s="96" t="s">
        <v>61</v>
      </c>
      <c r="H51" s="98"/>
      <c r="I51" s="99"/>
    </row>
    <row r="52" spans="1:9" hidden="1" x14ac:dyDescent="0.25">
      <c r="A52" s="94">
        <v>983</v>
      </c>
      <c r="B52" s="130" t="s">
        <v>92</v>
      </c>
      <c r="C52" s="95" t="s">
        <v>67</v>
      </c>
      <c r="D52" s="95" t="s">
        <v>67</v>
      </c>
      <c r="E52" s="131" t="s">
        <v>97</v>
      </c>
      <c r="F52" s="94">
        <v>983</v>
      </c>
      <c r="G52" s="96" t="s">
        <v>61</v>
      </c>
      <c r="H52" s="98"/>
      <c r="I52" s="98"/>
    </row>
    <row r="53" spans="1:9" hidden="1" x14ac:dyDescent="0.25">
      <c r="A53" s="94">
        <v>1025</v>
      </c>
      <c r="B53" s="130" t="s">
        <v>182</v>
      </c>
      <c r="C53" s="95" t="s">
        <v>67</v>
      </c>
      <c r="D53" s="95" t="s">
        <v>67</v>
      </c>
      <c r="E53" s="184" t="s">
        <v>97</v>
      </c>
      <c r="F53" s="94">
        <v>1025</v>
      </c>
      <c r="G53" s="96" t="s">
        <v>61</v>
      </c>
      <c r="H53" s="98"/>
      <c r="I53" s="99"/>
    </row>
    <row r="54" spans="1:9" hidden="1" x14ac:dyDescent="0.25">
      <c r="A54" s="94">
        <v>1070</v>
      </c>
      <c r="B54" s="113" t="s">
        <v>154</v>
      </c>
      <c r="C54" s="95" t="s">
        <v>114</v>
      </c>
      <c r="D54" s="95" t="s">
        <v>114</v>
      </c>
      <c r="E54" s="116" t="s">
        <v>97</v>
      </c>
      <c r="F54" s="94">
        <v>1070</v>
      </c>
      <c r="G54" s="96" t="s">
        <v>61</v>
      </c>
      <c r="H54" s="98"/>
      <c r="I54" s="99"/>
    </row>
    <row r="55" spans="1:9" hidden="1" x14ac:dyDescent="0.25">
      <c r="A55" s="94">
        <v>1195</v>
      </c>
      <c r="B55" s="113" t="s">
        <v>115</v>
      </c>
      <c r="C55" s="95" t="s">
        <v>114</v>
      </c>
      <c r="D55" s="95" t="s">
        <v>114</v>
      </c>
      <c r="E55" s="116" t="s">
        <v>97</v>
      </c>
      <c r="F55" s="94">
        <v>1195</v>
      </c>
      <c r="G55" s="96" t="s">
        <v>61</v>
      </c>
      <c r="H55" s="98"/>
      <c r="I55" s="99"/>
    </row>
    <row r="56" spans="1:9" hidden="1" x14ac:dyDescent="0.25">
      <c r="A56" s="94">
        <v>1197</v>
      </c>
      <c r="B56" s="113" t="s">
        <v>116</v>
      </c>
      <c r="C56" s="95" t="s">
        <v>114</v>
      </c>
      <c r="D56" s="95" t="s">
        <v>114</v>
      </c>
      <c r="E56" s="116" t="s">
        <v>97</v>
      </c>
      <c r="F56" s="94">
        <v>1197</v>
      </c>
      <c r="G56" s="96" t="s">
        <v>61</v>
      </c>
      <c r="H56" s="98"/>
      <c r="I56" s="99"/>
    </row>
    <row r="57" spans="1:9" hidden="1" x14ac:dyDescent="0.25">
      <c r="A57" s="94">
        <v>1202</v>
      </c>
      <c r="B57" s="113" t="s">
        <v>183</v>
      </c>
      <c r="C57" s="95" t="s">
        <v>114</v>
      </c>
      <c r="D57" s="95" t="s">
        <v>114</v>
      </c>
      <c r="E57" s="116" t="s">
        <v>97</v>
      </c>
      <c r="F57" s="94">
        <v>1202</v>
      </c>
      <c r="G57" s="96" t="s">
        <v>61</v>
      </c>
      <c r="H57" s="98"/>
      <c r="I57" s="99"/>
    </row>
    <row r="58" spans="1:9" hidden="1" x14ac:dyDescent="0.25">
      <c r="A58" s="94">
        <v>1201</v>
      </c>
      <c r="B58" s="185" t="s">
        <v>184</v>
      </c>
      <c r="C58" s="95" t="s">
        <v>114</v>
      </c>
      <c r="D58" s="95" t="s">
        <v>114</v>
      </c>
      <c r="E58" s="116" t="s">
        <v>97</v>
      </c>
      <c r="F58" s="94">
        <v>1201</v>
      </c>
      <c r="G58" s="96" t="s">
        <v>61</v>
      </c>
      <c r="H58" s="98"/>
      <c r="I58" s="99"/>
    </row>
    <row r="59" spans="1:9" hidden="1" x14ac:dyDescent="0.25">
      <c r="A59" s="94">
        <v>1130</v>
      </c>
      <c r="B59" s="185" t="s">
        <v>185</v>
      </c>
      <c r="C59" s="97" t="s">
        <v>114</v>
      </c>
      <c r="D59" s="95" t="s">
        <v>114</v>
      </c>
      <c r="E59" s="116" t="s">
        <v>97</v>
      </c>
      <c r="F59" s="94">
        <v>1130</v>
      </c>
      <c r="G59" s="96" t="s">
        <v>61</v>
      </c>
      <c r="H59" s="98"/>
      <c r="I59" s="99"/>
    </row>
    <row r="60" spans="1:9" hidden="1" x14ac:dyDescent="0.25">
      <c r="A60" s="94">
        <v>1227</v>
      </c>
      <c r="B60" s="113" t="s">
        <v>155</v>
      </c>
      <c r="C60" s="97" t="s">
        <v>114</v>
      </c>
      <c r="D60" s="95" t="s">
        <v>114</v>
      </c>
      <c r="E60" s="115" t="s">
        <v>97</v>
      </c>
      <c r="F60" s="94">
        <v>1227</v>
      </c>
      <c r="G60" s="96" t="s">
        <v>61</v>
      </c>
      <c r="H60" s="98"/>
      <c r="I60" s="99"/>
    </row>
    <row r="61" spans="1:9" hidden="1" x14ac:dyDescent="0.25">
      <c r="A61" s="94">
        <v>1177</v>
      </c>
      <c r="B61" s="113" t="s">
        <v>122</v>
      </c>
      <c r="C61" s="95" t="s">
        <v>114</v>
      </c>
      <c r="D61" s="95" t="s">
        <v>114</v>
      </c>
      <c r="E61" s="116" t="s">
        <v>97</v>
      </c>
      <c r="F61" s="94">
        <v>1177</v>
      </c>
      <c r="G61" s="96" t="s">
        <v>61</v>
      </c>
      <c r="H61" s="98"/>
      <c r="I61" s="99"/>
    </row>
    <row r="62" spans="1:9" hidden="1" x14ac:dyDescent="0.25">
      <c r="A62" s="94">
        <v>1085</v>
      </c>
      <c r="B62" s="113" t="s">
        <v>156</v>
      </c>
      <c r="C62" s="95" t="s">
        <v>114</v>
      </c>
      <c r="D62" s="95" t="s">
        <v>114</v>
      </c>
      <c r="E62" s="114" t="s">
        <v>97</v>
      </c>
      <c r="F62" s="94">
        <v>1085</v>
      </c>
      <c r="G62" s="96" t="s">
        <v>61</v>
      </c>
      <c r="H62" s="98"/>
      <c r="I62" s="98"/>
    </row>
    <row r="63" spans="1:9" hidden="1" x14ac:dyDescent="0.25">
      <c r="A63" s="94">
        <v>1249</v>
      </c>
      <c r="B63" s="113" t="s">
        <v>157</v>
      </c>
      <c r="C63" s="95" t="s">
        <v>114</v>
      </c>
      <c r="D63" s="95" t="s">
        <v>114</v>
      </c>
      <c r="E63" s="116" t="s">
        <v>97</v>
      </c>
      <c r="F63" s="94">
        <v>1249</v>
      </c>
      <c r="G63" s="96" t="s">
        <v>61</v>
      </c>
      <c r="H63" s="98"/>
      <c r="I63" s="99"/>
    </row>
    <row r="64" spans="1:9" hidden="1" x14ac:dyDescent="0.25">
      <c r="A64" s="94">
        <v>1245</v>
      </c>
      <c r="B64" s="113" t="s">
        <v>158</v>
      </c>
      <c r="C64" s="95" t="s">
        <v>114</v>
      </c>
      <c r="D64" s="95" t="s">
        <v>114</v>
      </c>
      <c r="E64" s="116" t="s">
        <v>97</v>
      </c>
      <c r="F64" s="94">
        <v>1245</v>
      </c>
      <c r="G64" s="96" t="s">
        <v>61</v>
      </c>
      <c r="H64" s="98"/>
      <c r="I64" s="99"/>
    </row>
    <row r="65" spans="1:9" hidden="1" x14ac:dyDescent="0.25">
      <c r="A65" s="94">
        <v>1248</v>
      </c>
      <c r="B65" s="113" t="s">
        <v>159</v>
      </c>
      <c r="C65" s="95" t="s">
        <v>114</v>
      </c>
      <c r="D65" s="95" t="s">
        <v>114</v>
      </c>
      <c r="E65" s="116" t="s">
        <v>97</v>
      </c>
      <c r="F65" s="94">
        <v>1248</v>
      </c>
      <c r="G65" s="96" t="s">
        <v>61</v>
      </c>
      <c r="H65" s="98"/>
      <c r="I65" s="99"/>
    </row>
    <row r="66" spans="1:9" hidden="1" x14ac:dyDescent="0.25">
      <c r="A66" s="94">
        <v>1244</v>
      </c>
      <c r="B66" s="113" t="s">
        <v>160</v>
      </c>
      <c r="C66" s="95" t="s">
        <v>114</v>
      </c>
      <c r="D66" s="95" t="s">
        <v>114</v>
      </c>
      <c r="E66" s="116" t="s">
        <v>97</v>
      </c>
      <c r="F66" s="94">
        <v>1244</v>
      </c>
      <c r="G66" s="96" t="s">
        <v>61</v>
      </c>
      <c r="H66" s="98"/>
      <c r="I66" s="99"/>
    </row>
    <row r="67" spans="1:9" hidden="1" x14ac:dyDescent="0.25">
      <c r="A67" s="94">
        <v>948</v>
      </c>
      <c r="B67" s="186" t="s">
        <v>161</v>
      </c>
      <c r="C67" s="95" t="s">
        <v>99</v>
      </c>
      <c r="D67" s="95" t="s">
        <v>99</v>
      </c>
      <c r="E67" s="187" t="s">
        <v>100</v>
      </c>
      <c r="F67" s="94">
        <v>948</v>
      </c>
      <c r="G67" s="96" t="s">
        <v>61</v>
      </c>
      <c r="H67" s="98"/>
      <c r="I67" s="99"/>
    </row>
    <row r="68" spans="1:9" hidden="1" x14ac:dyDescent="0.25">
      <c r="A68" s="94">
        <v>1013</v>
      </c>
      <c r="B68" s="186" t="s">
        <v>93</v>
      </c>
      <c r="C68" s="95" t="s">
        <v>99</v>
      </c>
      <c r="D68" s="95" t="s">
        <v>99</v>
      </c>
      <c r="E68" s="187" t="s">
        <v>100</v>
      </c>
      <c r="F68" s="94">
        <v>1013</v>
      </c>
      <c r="G68" s="96" t="s">
        <v>61</v>
      </c>
      <c r="H68" s="98"/>
      <c r="I68" s="99"/>
    </row>
    <row r="69" spans="1:9" hidden="1" x14ac:dyDescent="0.25">
      <c r="A69" s="94">
        <v>1011</v>
      </c>
      <c r="B69" s="186" t="s">
        <v>90</v>
      </c>
      <c r="C69" s="95" t="s">
        <v>99</v>
      </c>
      <c r="D69" s="95" t="s">
        <v>99</v>
      </c>
      <c r="E69" s="187" t="s">
        <v>100</v>
      </c>
      <c r="F69" s="94">
        <v>1011</v>
      </c>
      <c r="G69" s="96" t="s">
        <v>61</v>
      </c>
      <c r="H69" s="98"/>
      <c r="I69" s="99"/>
    </row>
    <row r="70" spans="1:9" hidden="1" x14ac:dyDescent="0.25">
      <c r="A70" s="94">
        <v>1068</v>
      </c>
      <c r="B70" s="186" t="s">
        <v>162</v>
      </c>
      <c r="C70" s="95" t="s">
        <v>99</v>
      </c>
      <c r="D70" s="95" t="s">
        <v>99</v>
      </c>
      <c r="E70" s="187" t="s">
        <v>100</v>
      </c>
      <c r="F70" s="94">
        <v>1068</v>
      </c>
      <c r="G70" s="96" t="s">
        <v>61</v>
      </c>
      <c r="H70" s="98"/>
      <c r="I70" s="99"/>
    </row>
    <row r="71" spans="1:9" hidden="1" x14ac:dyDescent="0.25">
      <c r="A71" s="94">
        <v>1066</v>
      </c>
      <c r="B71" s="186" t="s">
        <v>163</v>
      </c>
      <c r="C71" s="97" t="s">
        <v>99</v>
      </c>
      <c r="D71" s="95" t="s">
        <v>99</v>
      </c>
      <c r="E71" s="187" t="s">
        <v>100</v>
      </c>
      <c r="F71" s="94">
        <v>1066</v>
      </c>
      <c r="G71" s="96" t="s">
        <v>61</v>
      </c>
      <c r="H71" s="98"/>
      <c r="I71" s="99"/>
    </row>
    <row r="72" spans="1:9" hidden="1" x14ac:dyDescent="0.25">
      <c r="A72" s="94">
        <v>1004</v>
      </c>
      <c r="B72" s="186" t="s">
        <v>164</v>
      </c>
      <c r="C72" s="97" t="s">
        <v>99</v>
      </c>
      <c r="D72" s="95" t="s">
        <v>99</v>
      </c>
      <c r="E72" s="187" t="s">
        <v>100</v>
      </c>
      <c r="F72" s="94">
        <v>1004</v>
      </c>
      <c r="G72" s="96" t="s">
        <v>61</v>
      </c>
      <c r="H72" s="98"/>
      <c r="I72" s="99"/>
    </row>
    <row r="73" spans="1:9" hidden="1" x14ac:dyDescent="0.25">
      <c r="A73" s="94">
        <v>1184</v>
      </c>
      <c r="B73" s="186" t="s">
        <v>165</v>
      </c>
      <c r="C73" s="97" t="s">
        <v>99</v>
      </c>
      <c r="D73" s="95" t="s">
        <v>99</v>
      </c>
      <c r="E73" s="187" t="s">
        <v>100</v>
      </c>
      <c r="F73" s="94">
        <v>1184</v>
      </c>
      <c r="G73" s="96" t="s">
        <v>61</v>
      </c>
      <c r="H73" s="98"/>
      <c r="I73" s="99"/>
    </row>
    <row r="74" spans="1:9" hidden="1" x14ac:dyDescent="0.25">
      <c r="A74" s="94">
        <v>1151</v>
      </c>
      <c r="B74" s="186" t="s">
        <v>105</v>
      </c>
      <c r="C74" s="95" t="s">
        <v>99</v>
      </c>
      <c r="D74" s="95" t="s">
        <v>99</v>
      </c>
      <c r="E74" s="187" t="s">
        <v>100</v>
      </c>
      <c r="F74" s="94">
        <v>1151</v>
      </c>
      <c r="G74" s="96" t="s">
        <v>61</v>
      </c>
      <c r="H74" s="98"/>
      <c r="I74" s="99"/>
    </row>
    <row r="75" spans="1:9" hidden="1" x14ac:dyDescent="0.25">
      <c r="A75" s="94">
        <v>1301</v>
      </c>
      <c r="B75" s="186" t="s">
        <v>166</v>
      </c>
      <c r="C75" s="97" t="s">
        <v>99</v>
      </c>
      <c r="D75" s="95" t="s">
        <v>99</v>
      </c>
      <c r="E75" s="187" t="s">
        <v>100</v>
      </c>
      <c r="F75" s="94">
        <v>1301</v>
      </c>
      <c r="G75" s="96" t="s">
        <v>61</v>
      </c>
      <c r="H75" s="98"/>
      <c r="I75" s="99"/>
    </row>
    <row r="76" spans="1:9" hidden="1" x14ac:dyDescent="0.25">
      <c r="A76" s="94">
        <v>1300</v>
      </c>
      <c r="B76" s="186" t="s">
        <v>167</v>
      </c>
      <c r="C76" s="97" t="s">
        <v>99</v>
      </c>
      <c r="D76" s="95" t="s">
        <v>99</v>
      </c>
      <c r="E76" s="187" t="s">
        <v>100</v>
      </c>
      <c r="F76" s="94">
        <v>1300</v>
      </c>
      <c r="G76" s="96" t="s">
        <v>61</v>
      </c>
      <c r="H76" s="98"/>
      <c r="I76" s="99"/>
    </row>
    <row r="77" spans="1:9" hidden="1" x14ac:dyDescent="0.25">
      <c r="A77" s="96">
        <v>1262</v>
      </c>
      <c r="B77" s="188" t="s">
        <v>168</v>
      </c>
      <c r="C77" s="72" t="s">
        <v>169</v>
      </c>
      <c r="D77" s="95" t="s">
        <v>169</v>
      </c>
      <c r="E77" s="189" t="s">
        <v>100</v>
      </c>
      <c r="F77" s="96">
        <v>1262</v>
      </c>
      <c r="G77" s="96" t="s">
        <v>61</v>
      </c>
      <c r="H77" s="98"/>
      <c r="I77" s="99"/>
    </row>
    <row r="78" spans="1:9" hidden="1" x14ac:dyDescent="0.25">
      <c r="A78" s="96">
        <v>1317</v>
      </c>
      <c r="B78" s="188" t="s">
        <v>170</v>
      </c>
      <c r="C78" s="72" t="s">
        <v>169</v>
      </c>
      <c r="D78" s="95" t="s">
        <v>169</v>
      </c>
      <c r="E78" s="189" t="s">
        <v>100</v>
      </c>
      <c r="F78" s="96">
        <v>1317</v>
      </c>
      <c r="G78" s="96" t="s">
        <v>61</v>
      </c>
      <c r="H78" s="98"/>
      <c r="I78" s="99"/>
    </row>
    <row r="79" spans="1:9" hidden="1" x14ac:dyDescent="0.25">
      <c r="A79" s="96">
        <v>1278</v>
      </c>
      <c r="B79" s="190" t="s">
        <v>171</v>
      </c>
      <c r="C79" s="72" t="s">
        <v>169</v>
      </c>
      <c r="D79" s="95" t="s">
        <v>169</v>
      </c>
      <c r="E79" s="189" t="s">
        <v>100</v>
      </c>
      <c r="F79" s="96">
        <v>1278</v>
      </c>
      <c r="G79" s="96" t="s">
        <v>61</v>
      </c>
      <c r="H79" s="98"/>
      <c r="I79" s="99"/>
    </row>
    <row r="80" spans="1:9" hidden="1" x14ac:dyDescent="0.25">
      <c r="A80" s="96">
        <v>1265</v>
      </c>
      <c r="B80" s="188" t="s">
        <v>172</v>
      </c>
      <c r="C80" s="72" t="s">
        <v>169</v>
      </c>
      <c r="D80" s="95" t="s">
        <v>169</v>
      </c>
      <c r="E80" s="189" t="s">
        <v>100</v>
      </c>
      <c r="F80" s="96">
        <v>1265</v>
      </c>
      <c r="G80" s="96" t="s">
        <v>61</v>
      </c>
      <c r="H80" s="98"/>
      <c r="I80" s="99"/>
    </row>
    <row r="81" spans="1:9" x14ac:dyDescent="0.25">
      <c r="A81" s="96"/>
      <c r="B81" s="196" t="s">
        <v>144</v>
      </c>
      <c r="C81" s="72" t="s">
        <v>73</v>
      </c>
      <c r="D81" s="72" t="s">
        <v>73</v>
      </c>
      <c r="E81" s="189"/>
      <c r="F81" s="96"/>
      <c r="G81" s="96"/>
      <c r="H81" s="98"/>
      <c r="I81" s="99"/>
    </row>
    <row r="82" spans="1:9" x14ac:dyDescent="0.25">
      <c r="A82" s="96"/>
      <c r="B82" s="196" t="s">
        <v>196</v>
      </c>
      <c r="C82" s="72" t="s">
        <v>73</v>
      </c>
      <c r="D82" s="72" t="s">
        <v>73</v>
      </c>
      <c r="E82" s="189"/>
      <c r="F82" s="96"/>
      <c r="G82" s="96"/>
      <c r="H82" s="98"/>
      <c r="I82" s="99"/>
    </row>
    <row r="83" spans="1:9" x14ac:dyDescent="0.25">
      <c r="A83" s="96"/>
      <c r="B83" s="196" t="s">
        <v>197</v>
      </c>
      <c r="C83" s="72" t="s">
        <v>73</v>
      </c>
      <c r="D83" s="72" t="s">
        <v>73</v>
      </c>
      <c r="E83" s="189"/>
      <c r="F83" s="96"/>
      <c r="G83" s="96"/>
      <c r="H83" s="98"/>
      <c r="I83" s="99"/>
    </row>
    <row r="84" spans="1:9" x14ac:dyDescent="0.25">
      <c r="A84" s="96"/>
      <c r="B84" s="196" t="s">
        <v>198</v>
      </c>
      <c r="C84" s="72" t="s">
        <v>73</v>
      </c>
      <c r="D84" s="72" t="s">
        <v>73</v>
      </c>
      <c r="E84" s="189"/>
      <c r="F84" s="96"/>
      <c r="G84" s="96"/>
      <c r="H84" s="98"/>
      <c r="I84" s="99"/>
    </row>
    <row r="85" spans="1:9" x14ac:dyDescent="0.25">
      <c r="A85" s="96"/>
      <c r="B85" s="196" t="s">
        <v>199</v>
      </c>
      <c r="C85" s="72" t="s">
        <v>73</v>
      </c>
      <c r="D85" s="72" t="s">
        <v>73</v>
      </c>
      <c r="E85" s="189"/>
      <c r="F85" s="96"/>
      <c r="G85" s="96"/>
      <c r="H85" s="98"/>
      <c r="I85" s="99"/>
    </row>
    <row r="86" spans="1:9" x14ac:dyDescent="0.25">
      <c r="A86" s="96"/>
      <c r="B86" s="196" t="s">
        <v>208</v>
      </c>
      <c r="C86" s="72" t="s">
        <v>73</v>
      </c>
      <c r="D86" s="72" t="s">
        <v>73</v>
      </c>
      <c r="E86" s="189"/>
      <c r="F86" s="96"/>
      <c r="G86" s="96"/>
      <c r="H86" s="98"/>
      <c r="I86" s="99"/>
    </row>
    <row r="87" spans="1:9" x14ac:dyDescent="0.25">
      <c r="A87" s="96"/>
      <c r="B87" s="196" t="s">
        <v>209</v>
      </c>
      <c r="C87" s="72" t="s">
        <v>73</v>
      </c>
      <c r="D87" s="72" t="s">
        <v>73</v>
      </c>
      <c r="E87" s="189"/>
      <c r="F87" s="96"/>
      <c r="G87" s="96"/>
      <c r="H87" s="98"/>
      <c r="I87" s="99"/>
    </row>
    <row r="88" spans="1:9" x14ac:dyDescent="0.25">
      <c r="A88" s="96"/>
      <c r="B88" s="196" t="s">
        <v>210</v>
      </c>
      <c r="C88" s="72" t="s">
        <v>73</v>
      </c>
      <c r="D88" s="72" t="s">
        <v>73</v>
      </c>
      <c r="E88" s="189"/>
      <c r="F88" s="96"/>
      <c r="G88" s="96"/>
      <c r="H88" s="98"/>
      <c r="I88" s="99"/>
    </row>
    <row r="89" spans="1:9" x14ac:dyDescent="0.25">
      <c r="A89" s="96"/>
      <c r="B89" s="196" t="s">
        <v>211</v>
      </c>
      <c r="C89" s="72" t="s">
        <v>73</v>
      </c>
      <c r="D89" s="72" t="s">
        <v>73</v>
      </c>
      <c r="E89" s="189"/>
      <c r="F89" s="96"/>
      <c r="G89" s="96"/>
      <c r="H89" s="98"/>
      <c r="I89" s="99"/>
    </row>
    <row r="90" spans="1:9" x14ac:dyDescent="0.25">
      <c r="A90" s="96"/>
      <c r="B90" s="196" t="s">
        <v>212</v>
      </c>
      <c r="C90" s="72" t="s">
        <v>73</v>
      </c>
      <c r="D90" s="72" t="s">
        <v>73</v>
      </c>
      <c r="E90" s="189"/>
      <c r="F90" s="96"/>
      <c r="G90" s="96"/>
      <c r="H90" s="98"/>
      <c r="I90" s="99"/>
    </row>
    <row r="91" spans="1:9" x14ac:dyDescent="0.25">
      <c r="A91" s="96"/>
      <c r="B91" s="196" t="s">
        <v>223</v>
      </c>
      <c r="C91" s="72" t="s">
        <v>73</v>
      </c>
      <c r="D91" s="72" t="s">
        <v>73</v>
      </c>
      <c r="E91" s="189"/>
      <c r="F91" s="96"/>
      <c r="G91" s="96"/>
      <c r="H91" s="98"/>
      <c r="I91" s="99"/>
    </row>
    <row r="92" spans="1:9" x14ac:dyDescent="0.25">
      <c r="A92" s="96"/>
      <c r="B92" s="196"/>
      <c r="C92" s="72"/>
      <c r="D92" s="72"/>
      <c r="E92" s="189"/>
      <c r="F92" s="96"/>
      <c r="G92" s="96"/>
      <c r="H92" s="98"/>
      <c r="I92" s="99"/>
    </row>
    <row r="93" spans="1:9" x14ac:dyDescent="0.25">
      <c r="A93" s="96">
        <v>214</v>
      </c>
      <c r="B93" s="99" t="s">
        <v>97</v>
      </c>
      <c r="C93" s="72" t="s">
        <v>173</v>
      </c>
      <c r="D93" s="95" t="s">
        <v>173</v>
      </c>
      <c r="E93" s="189"/>
      <c r="F93" s="96">
        <v>214</v>
      </c>
      <c r="G93" s="96"/>
      <c r="H93" s="98"/>
      <c r="I93" s="99"/>
    </row>
    <row r="94" spans="1:9" x14ac:dyDescent="0.25">
      <c r="A94" s="96">
        <v>369</v>
      </c>
      <c r="B94" s="99" t="s">
        <v>174</v>
      </c>
      <c r="C94" s="53" t="s">
        <v>175</v>
      </c>
      <c r="D94" s="53" t="s">
        <v>175</v>
      </c>
      <c r="E94" s="135" t="s">
        <v>176</v>
      </c>
      <c r="F94" s="96">
        <v>369</v>
      </c>
    </row>
    <row r="95" spans="1:9" x14ac:dyDescent="0.25">
      <c r="A95" s="96">
        <v>355</v>
      </c>
      <c r="B95" s="99" t="s">
        <v>100</v>
      </c>
      <c r="C95" s="53" t="s">
        <v>177</v>
      </c>
      <c r="D95" s="53" t="s">
        <v>177</v>
      </c>
      <c r="E95" s="135" t="s">
        <v>176</v>
      </c>
      <c r="F95" s="96">
        <v>355</v>
      </c>
    </row>
    <row r="96" spans="1:9" x14ac:dyDescent="0.25">
      <c r="A96" s="96">
        <v>164</v>
      </c>
      <c r="B96" s="99" t="s">
        <v>38</v>
      </c>
      <c r="C96" s="53" t="s">
        <v>177</v>
      </c>
      <c r="D96" s="53" t="s">
        <v>177</v>
      </c>
      <c r="E96" s="135" t="s">
        <v>176</v>
      </c>
      <c r="F96" s="96">
        <v>164</v>
      </c>
    </row>
    <row r="97" spans="1:6" x14ac:dyDescent="0.25">
      <c r="A97" s="96">
        <v>157</v>
      </c>
      <c r="B97" s="99" t="s">
        <v>178</v>
      </c>
      <c r="C97" s="53" t="s">
        <v>177</v>
      </c>
      <c r="D97" s="53" t="s">
        <v>177</v>
      </c>
      <c r="E97" s="135" t="s">
        <v>176</v>
      </c>
      <c r="F97" s="96">
        <v>157</v>
      </c>
    </row>
    <row r="98" spans="1:6" x14ac:dyDescent="0.25">
      <c r="A98" s="96">
        <v>1194</v>
      </c>
      <c r="B98" s="99" t="s">
        <v>179</v>
      </c>
      <c r="C98" s="53" t="s">
        <v>177</v>
      </c>
      <c r="D98" s="53" t="s">
        <v>177</v>
      </c>
      <c r="E98" s="135" t="s">
        <v>176</v>
      </c>
      <c r="F98" s="96">
        <v>1194</v>
      </c>
    </row>
    <row r="100" spans="1:6" x14ac:dyDescent="0.25">
      <c r="B100" s="165" t="s">
        <v>216</v>
      </c>
      <c r="C100" s="72" t="s">
        <v>73</v>
      </c>
      <c r="D100" s="72" t="s">
        <v>73</v>
      </c>
    </row>
    <row r="101" spans="1:6" x14ac:dyDescent="0.25">
      <c r="B101" s="165" t="s">
        <v>217</v>
      </c>
      <c r="C101" s="72" t="s">
        <v>73</v>
      </c>
      <c r="D101" s="72" t="s">
        <v>73</v>
      </c>
    </row>
    <row r="102" spans="1:6" x14ac:dyDescent="0.25">
      <c r="B102" s="165" t="s">
        <v>218</v>
      </c>
      <c r="C102" s="72" t="s">
        <v>73</v>
      </c>
      <c r="D102" s="72" t="s">
        <v>73</v>
      </c>
    </row>
    <row r="103" spans="1:6" x14ac:dyDescent="0.25">
      <c r="B103" s="165" t="s">
        <v>219</v>
      </c>
      <c r="C103" s="72" t="s">
        <v>73</v>
      </c>
      <c r="D103" s="72" t="s">
        <v>73</v>
      </c>
    </row>
    <row r="104" spans="1:6" x14ac:dyDescent="0.25">
      <c r="B104" s="165" t="s">
        <v>220</v>
      </c>
      <c r="C104" s="72" t="s">
        <v>73</v>
      </c>
      <c r="D104" s="72" t="s">
        <v>73</v>
      </c>
    </row>
    <row r="105" spans="1:6" x14ac:dyDescent="0.25">
      <c r="B105" s="165" t="s">
        <v>221</v>
      </c>
      <c r="C105" s="72" t="s">
        <v>73</v>
      </c>
      <c r="D105" s="72" t="s">
        <v>73</v>
      </c>
    </row>
    <row r="630" ht="17.100000000000001" customHeight="1" x14ac:dyDescent="0.25"/>
    <row r="1006" ht="14.25" customHeight="1" x14ac:dyDescent="0.25"/>
  </sheetData>
  <autoFilter ref="A1:I90" xr:uid="{00000000-0001-0000-0500-000000000000}">
    <filterColumn colId="2">
      <filters>
        <filter val="Google Leads"/>
      </filters>
    </filterColumn>
  </autoFilter>
  <sortState xmlns:xlrd2="http://schemas.microsoft.com/office/spreadsheetml/2017/richdata2" ref="O440:P467">
    <sortCondition ref="O440"/>
  </sortState>
  <conditionalFormatting sqref="B1">
    <cfRule type="duplicateValues" dxfId="106" priority="59"/>
  </conditionalFormatting>
  <conditionalFormatting sqref="B2">
    <cfRule type="duplicateValues" dxfId="105" priority="53"/>
  </conditionalFormatting>
  <conditionalFormatting sqref="A1">
    <cfRule type="duplicateValues" dxfId="104" priority="61"/>
  </conditionalFormatting>
  <conditionalFormatting sqref="B1">
    <cfRule type="duplicateValues" dxfId="103" priority="60"/>
  </conditionalFormatting>
  <conditionalFormatting sqref="B22 B2 B9 B29">
    <cfRule type="duplicateValues" dxfId="102" priority="55"/>
  </conditionalFormatting>
  <conditionalFormatting sqref="B23 B3:B6 B10 B17 B30:B34 B25 B8 B21 B19 B12:B15 B27:B28">
    <cfRule type="duplicateValues" dxfId="101" priority="56"/>
  </conditionalFormatting>
  <conditionalFormatting sqref="B2">
    <cfRule type="duplicateValues" dxfId="100" priority="54"/>
  </conditionalFormatting>
  <conditionalFormatting sqref="A23:A28 A3:A8 A10:A15 A17:A21 A30:A35 A37">
    <cfRule type="duplicateValues" dxfId="99" priority="57"/>
  </conditionalFormatting>
  <conditionalFormatting sqref="B25 B8:B10 B21:B23 B19 B17 B2:B6 B12:B15 B27:B34">
    <cfRule type="duplicateValues" dxfId="98" priority="58"/>
  </conditionalFormatting>
  <conditionalFormatting sqref="E54">
    <cfRule type="duplicateValues" dxfId="97" priority="52"/>
  </conditionalFormatting>
  <conditionalFormatting sqref="B94:B99 B106:B1048576">
    <cfRule type="duplicateValues" dxfId="96" priority="65"/>
  </conditionalFormatting>
  <conditionalFormatting sqref="A1">
    <cfRule type="duplicateValues" dxfId="95" priority="62"/>
    <cfRule type="duplicateValues" dxfId="94" priority="63"/>
  </conditionalFormatting>
  <conditionalFormatting sqref="A1">
    <cfRule type="duplicateValues" dxfId="93" priority="64"/>
  </conditionalFormatting>
  <conditionalFormatting sqref="B24">
    <cfRule type="duplicateValues" dxfId="92" priority="51"/>
  </conditionalFormatting>
  <conditionalFormatting sqref="M10:M15">
    <cfRule type="cellIs" dxfId="91" priority="50" operator="equal">
      <formula>"OFF"</formula>
    </cfRule>
  </conditionalFormatting>
  <conditionalFormatting sqref="F1">
    <cfRule type="duplicateValues" dxfId="90" priority="46"/>
  </conditionalFormatting>
  <conditionalFormatting sqref="F23:F28 F3:F8 F10:F15 F17:F21 F30:F35 F37">
    <cfRule type="duplicateValues" dxfId="89" priority="45"/>
  </conditionalFormatting>
  <conditionalFormatting sqref="F1">
    <cfRule type="duplicateValues" dxfId="88" priority="47"/>
    <cfRule type="duplicateValues" dxfId="87" priority="48"/>
  </conditionalFormatting>
  <conditionalFormatting sqref="F1">
    <cfRule type="duplicateValues" dxfId="86" priority="49"/>
  </conditionalFormatting>
  <conditionalFormatting sqref="A2:A37">
    <cfRule type="duplicateValues" dxfId="85" priority="66"/>
  </conditionalFormatting>
  <conditionalFormatting sqref="F2:F37">
    <cfRule type="duplicateValues" dxfId="84" priority="67"/>
  </conditionalFormatting>
  <conditionalFormatting sqref="A39:A93">
    <cfRule type="duplicateValues" dxfId="83" priority="68"/>
  </conditionalFormatting>
  <conditionalFormatting sqref="A38:A93">
    <cfRule type="duplicateValues" dxfId="82" priority="69"/>
  </conditionalFormatting>
  <conditionalFormatting sqref="B39:B40 B42:B49 B51:B52 B54:B56 B60:B92">
    <cfRule type="duplicateValues" dxfId="81" priority="70"/>
  </conditionalFormatting>
  <conditionalFormatting sqref="B39:B40">
    <cfRule type="duplicateValues" dxfId="80" priority="71"/>
  </conditionalFormatting>
  <conditionalFormatting sqref="F39:F93">
    <cfRule type="duplicateValues" dxfId="79" priority="72"/>
  </conditionalFormatting>
  <conditionalFormatting sqref="F38:F93">
    <cfRule type="duplicateValues" dxfId="78" priority="73"/>
  </conditionalFormatting>
  <conditionalFormatting sqref="B93">
    <cfRule type="duplicateValues" dxfId="77" priority="44"/>
  </conditionalFormatting>
  <conditionalFormatting sqref="A94:A98">
    <cfRule type="duplicateValues" dxfId="76" priority="42"/>
  </conditionalFormatting>
  <conditionalFormatting sqref="A94:A98">
    <cfRule type="duplicateValues" dxfId="75" priority="43"/>
  </conditionalFormatting>
  <conditionalFormatting sqref="F94:F98">
    <cfRule type="duplicateValues" dxfId="74" priority="40"/>
  </conditionalFormatting>
  <conditionalFormatting sqref="F94:F98">
    <cfRule type="duplicateValues" dxfId="73" priority="41"/>
  </conditionalFormatting>
  <conditionalFormatting sqref="B41">
    <cfRule type="cellIs" dxfId="72" priority="39" operator="equal">
      <formula>"OFF"</formula>
    </cfRule>
  </conditionalFormatting>
  <conditionalFormatting sqref="B7">
    <cfRule type="duplicateValues" dxfId="71" priority="37"/>
  </conditionalFormatting>
  <conditionalFormatting sqref="B7">
    <cfRule type="duplicateValues" dxfId="70" priority="38"/>
  </conditionalFormatting>
  <conditionalFormatting sqref="B50">
    <cfRule type="duplicateValues" dxfId="69" priority="35"/>
  </conditionalFormatting>
  <conditionalFormatting sqref="B50">
    <cfRule type="duplicateValues" dxfId="68" priority="36"/>
  </conditionalFormatting>
  <conditionalFormatting sqref="B53">
    <cfRule type="duplicateValues" dxfId="67" priority="33"/>
  </conditionalFormatting>
  <conditionalFormatting sqref="B53">
    <cfRule type="duplicateValues" dxfId="66" priority="34"/>
  </conditionalFormatting>
  <conditionalFormatting sqref="B38">
    <cfRule type="duplicateValues" dxfId="65" priority="31"/>
  </conditionalFormatting>
  <conditionalFormatting sqref="B38">
    <cfRule type="duplicateValues" dxfId="64" priority="32"/>
  </conditionalFormatting>
  <conditionalFormatting sqref="B20">
    <cfRule type="duplicateValues" dxfId="63" priority="29"/>
  </conditionalFormatting>
  <conditionalFormatting sqref="B20">
    <cfRule type="duplicateValues" dxfId="62" priority="30"/>
  </conditionalFormatting>
  <conditionalFormatting sqref="B36">
    <cfRule type="duplicateValues" dxfId="61" priority="27"/>
  </conditionalFormatting>
  <conditionalFormatting sqref="B36">
    <cfRule type="duplicateValues" dxfId="60" priority="28"/>
  </conditionalFormatting>
  <conditionalFormatting sqref="B35">
    <cfRule type="duplicateValues" dxfId="59" priority="25"/>
  </conditionalFormatting>
  <conditionalFormatting sqref="B35">
    <cfRule type="duplicateValues" dxfId="58" priority="26"/>
  </conditionalFormatting>
  <conditionalFormatting sqref="B18">
    <cfRule type="duplicateValues" dxfId="57" priority="23"/>
  </conditionalFormatting>
  <conditionalFormatting sqref="B18">
    <cfRule type="duplicateValues" dxfId="56" priority="24"/>
  </conditionalFormatting>
  <conditionalFormatting sqref="B37">
    <cfRule type="duplicateValues" dxfId="55" priority="21"/>
  </conditionalFormatting>
  <conditionalFormatting sqref="B37">
    <cfRule type="duplicateValues" dxfId="54" priority="22"/>
  </conditionalFormatting>
  <conditionalFormatting sqref="B58">
    <cfRule type="duplicateValues" dxfId="53" priority="19"/>
  </conditionalFormatting>
  <conditionalFormatting sqref="B58">
    <cfRule type="duplicateValues" dxfId="52" priority="20"/>
  </conditionalFormatting>
  <conditionalFormatting sqref="B57">
    <cfRule type="duplicateValues" dxfId="51" priority="17"/>
  </conditionalFormatting>
  <conditionalFormatting sqref="B57">
    <cfRule type="duplicateValues" dxfId="50" priority="18"/>
  </conditionalFormatting>
  <conditionalFormatting sqref="B59">
    <cfRule type="duplicateValues" dxfId="49" priority="15"/>
  </conditionalFormatting>
  <conditionalFormatting sqref="B59">
    <cfRule type="duplicateValues" dxfId="48" priority="16"/>
  </conditionalFormatting>
  <conditionalFormatting sqref="B16">
    <cfRule type="duplicateValues" dxfId="47" priority="10"/>
  </conditionalFormatting>
  <conditionalFormatting sqref="B16">
    <cfRule type="duplicateValues" dxfId="46" priority="11"/>
  </conditionalFormatting>
  <conditionalFormatting sqref="B2">
    <cfRule type="duplicateValues" dxfId="45" priority="9"/>
  </conditionalFormatting>
  <conditionalFormatting sqref="B11">
    <cfRule type="duplicateValues" dxfId="44" priority="6"/>
  </conditionalFormatting>
  <conditionalFormatting sqref="B11">
    <cfRule type="duplicateValues" dxfId="43" priority="7"/>
  </conditionalFormatting>
  <conditionalFormatting sqref="B26">
    <cfRule type="duplicateValues" dxfId="42" priority="3"/>
  </conditionalFormatting>
  <conditionalFormatting sqref="B26">
    <cfRule type="duplicateValues" dxfId="41" priority="4"/>
  </conditionalFormatting>
  <conditionalFormatting sqref="B100:B104">
    <cfRule type="cellIs" dxfId="40" priority="2" operator="equal">
      <formula>"OFF"</formula>
    </cfRule>
  </conditionalFormatting>
  <conditionalFormatting sqref="B105">
    <cfRule type="cellIs" dxfId="39" priority="1" operator="equal">
      <formula>"OFF"</formula>
    </cfRule>
  </conditionalFormatting>
  <dataValidations disablePrompts="1" count="2">
    <dataValidation type="list" allowBlank="1" showInputMessage="1" showErrorMessage="1" sqref="D71:D75 D69 D77 C6:D6 C41:D41 D45 D64:D67 D79:D80 D93" xr:uid="{00000000-0002-0000-0500-000000000000}">
      <formula1>"Credit Mutuel,FLOA,COFIDIS"</formula1>
    </dataValidation>
    <dataValidation type="list" allowBlank="1" showInputMessage="1" showErrorMessage="1" sqref="G2:G93" xr:uid="{00000000-0002-0000-0500-000001000000}">
      <formula1>"FT,PT,Mission,Forfaitaire,Sortie"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5"/>
  <dimension ref="A1:Q2725"/>
  <sheetViews>
    <sheetView showGridLines="0" zoomScale="85" zoomScaleNormal="85" workbookViewId="0">
      <selection activeCell="I36" sqref="G36:I37"/>
    </sheetView>
  </sheetViews>
  <sheetFormatPr baseColWidth="10" defaultRowHeight="15" x14ac:dyDescent="0.25"/>
  <cols>
    <col min="1" max="3" width="10.5703125" style="15"/>
    <col min="4" max="4" width="9.5703125" style="15" customWidth="1"/>
    <col min="5" max="6" width="3.42578125" style="15" customWidth="1"/>
    <col min="7" max="7" width="32.42578125" style="15" bestFit="1" customWidth="1"/>
    <col min="8" max="8" width="9.5703125" style="15" bestFit="1" customWidth="1"/>
    <col min="9" max="9" width="20.140625" style="15" bestFit="1" customWidth="1"/>
    <col min="10" max="10" width="10.5703125" style="26" customWidth="1"/>
    <col min="11" max="11" width="10.5703125" style="15" customWidth="1"/>
    <col min="12" max="13" width="10.5703125" customWidth="1"/>
    <col min="14" max="14" width="33.42578125" customWidth="1"/>
    <col min="15" max="15" width="11.5703125" bestFit="1" customWidth="1"/>
    <col min="16" max="16" width="21.28515625" customWidth="1"/>
    <col min="17" max="17" width="76.42578125" customWidth="1"/>
    <col min="18" max="18" width="37.42578125" bestFit="1" customWidth="1"/>
  </cols>
  <sheetData>
    <row r="1" spans="7:17" x14ac:dyDescent="0.25">
      <c r="G1" s="137" t="s">
        <v>3</v>
      </c>
      <c r="H1" s="135" t="s">
        <v>47</v>
      </c>
      <c r="J1" s="15"/>
    </row>
    <row r="2" spans="7:17" x14ac:dyDescent="0.25">
      <c r="G2" s="138" t="s">
        <v>22</v>
      </c>
      <c r="H2" s="135" t="s">
        <v>47</v>
      </c>
      <c r="I2"/>
      <c r="J2"/>
      <c r="K2"/>
    </row>
    <row r="3" spans="7:17" x14ac:dyDescent="0.25">
      <c r="G3"/>
      <c r="H3"/>
      <c r="I3"/>
      <c r="J3"/>
      <c r="K3"/>
    </row>
    <row r="4" spans="7:17" x14ac:dyDescent="0.25">
      <c r="G4" s="138" t="s">
        <v>12</v>
      </c>
      <c r="H4" s="137" t="s">
        <v>4</v>
      </c>
      <c r="I4" t="s">
        <v>48</v>
      </c>
      <c r="J4"/>
      <c r="K4"/>
    </row>
    <row r="5" spans="7:17" x14ac:dyDescent="0.25">
      <c r="G5" s="135" t="s">
        <v>196</v>
      </c>
      <c r="H5"/>
      <c r="I5" s="139">
        <v>1.8333333333333333</v>
      </c>
      <c r="J5"/>
      <c r="K5"/>
      <c r="N5" s="14" t="s">
        <v>12</v>
      </c>
      <c r="O5" s="14" t="s">
        <v>4</v>
      </c>
      <c r="P5" s="14" t="s">
        <v>48</v>
      </c>
      <c r="Q5" s="14" t="s">
        <v>59</v>
      </c>
    </row>
    <row r="6" spans="7:17" x14ac:dyDescent="0.25">
      <c r="G6" s="135" t="s">
        <v>217</v>
      </c>
      <c r="H6"/>
      <c r="I6" s="139">
        <v>1.8333333333333333</v>
      </c>
      <c r="J6"/>
      <c r="K6"/>
      <c r="N6" s="135"/>
      <c r="O6" s="14"/>
      <c r="P6" s="132"/>
      <c r="Q6" s="141"/>
    </row>
    <row r="7" spans="7:17" x14ac:dyDescent="0.25">
      <c r="G7" s="135" t="s">
        <v>212</v>
      </c>
      <c r="H7"/>
      <c r="I7" s="139">
        <v>1.8333333333333333</v>
      </c>
      <c r="J7"/>
      <c r="K7"/>
      <c r="N7" s="135"/>
      <c r="O7" s="135"/>
      <c r="P7" s="132"/>
      <c r="Q7" s="54"/>
    </row>
    <row r="8" spans="7:17" x14ac:dyDescent="0.25">
      <c r="G8" s="135" t="s">
        <v>80</v>
      </c>
      <c r="H8"/>
      <c r="I8" s="139">
        <v>1.8333333333333333</v>
      </c>
      <c r="J8"/>
      <c r="K8"/>
      <c r="N8" s="135"/>
      <c r="O8" s="135"/>
      <c r="P8" s="132"/>
      <c r="Q8" s="141"/>
    </row>
    <row r="9" spans="7:17" x14ac:dyDescent="0.25">
      <c r="G9" s="135" t="s">
        <v>221</v>
      </c>
      <c r="H9"/>
      <c r="I9" s="139">
        <v>1.8333333333333333</v>
      </c>
      <c r="J9"/>
      <c r="K9"/>
      <c r="N9" s="135"/>
      <c r="O9" s="135"/>
      <c r="P9" s="132"/>
      <c r="Q9" s="141"/>
    </row>
    <row r="10" spans="7:17" x14ac:dyDescent="0.25">
      <c r="G10" s="135" t="s">
        <v>76</v>
      </c>
      <c r="H10"/>
      <c r="I10" s="139">
        <v>1.8333333333333333</v>
      </c>
      <c r="J10"/>
      <c r="K10"/>
      <c r="N10" s="135"/>
      <c r="O10" s="135"/>
      <c r="P10" s="132"/>
      <c r="Q10" s="54"/>
    </row>
    <row r="11" spans="7:17" x14ac:dyDescent="0.25">
      <c r="G11" s="135" t="s">
        <v>209</v>
      </c>
      <c r="H11"/>
      <c r="I11" s="139">
        <v>1.8333333333333333</v>
      </c>
      <c r="J11"/>
      <c r="K11"/>
      <c r="N11" s="104"/>
      <c r="O11" s="14"/>
      <c r="P11" s="132"/>
      <c r="Q11" s="54"/>
    </row>
    <row r="12" spans="7:17" x14ac:dyDescent="0.25">
      <c r="G12" s="135" t="s">
        <v>83</v>
      </c>
      <c r="H12"/>
      <c r="I12" s="139">
        <v>1.8333333333333333</v>
      </c>
      <c r="J12"/>
      <c r="K12"/>
      <c r="N12" s="104"/>
      <c r="O12" s="14"/>
      <c r="P12" s="132"/>
      <c r="Q12" s="54"/>
    </row>
    <row r="13" spans="7:17" x14ac:dyDescent="0.25">
      <c r="G13" s="135" t="s">
        <v>215</v>
      </c>
      <c r="H13"/>
      <c r="I13" s="139">
        <v>1.8333333333333333</v>
      </c>
      <c r="J13"/>
      <c r="K13"/>
      <c r="N13" s="104"/>
      <c r="O13" s="14"/>
      <c r="P13" s="132"/>
      <c r="Q13" s="54"/>
    </row>
    <row r="14" spans="7:17" x14ac:dyDescent="0.25">
      <c r="G14" s="135" t="s">
        <v>87</v>
      </c>
      <c r="H14"/>
      <c r="I14" s="139">
        <v>1.8333333333333333</v>
      </c>
      <c r="J14"/>
      <c r="K14"/>
      <c r="N14" s="49"/>
      <c r="O14" s="49"/>
      <c r="P14" s="40"/>
      <c r="Q14" s="42"/>
    </row>
    <row r="15" spans="7:17" x14ac:dyDescent="0.25">
      <c r="G15" s="135" t="s">
        <v>219</v>
      </c>
      <c r="H15"/>
      <c r="I15" s="139">
        <v>1.8333333333333333</v>
      </c>
      <c r="J15"/>
      <c r="K15"/>
      <c r="N15" s="49"/>
      <c r="O15" s="49"/>
      <c r="P15" s="40"/>
      <c r="Q15" s="42"/>
    </row>
    <row r="16" spans="7:17" x14ac:dyDescent="0.25">
      <c r="G16" s="135" t="s">
        <v>85</v>
      </c>
      <c r="H16"/>
      <c r="I16" s="139">
        <v>1.8333333333333333</v>
      </c>
      <c r="J16"/>
      <c r="K16"/>
      <c r="N16" s="49"/>
      <c r="O16" s="49"/>
      <c r="P16" s="40"/>
      <c r="Q16" s="42"/>
    </row>
    <row r="17" spans="7:11" x14ac:dyDescent="0.25">
      <c r="G17" s="135" t="s">
        <v>197</v>
      </c>
      <c r="H17"/>
      <c r="I17" s="139">
        <v>1.8333333333333333</v>
      </c>
      <c r="J17"/>
      <c r="K17"/>
    </row>
    <row r="18" spans="7:11" x14ac:dyDescent="0.25">
      <c r="G18" s="135" t="s">
        <v>91</v>
      </c>
      <c r="H18"/>
      <c r="I18" s="139">
        <v>1.8333333333333333</v>
      </c>
      <c r="J18"/>
      <c r="K18"/>
    </row>
    <row r="19" spans="7:11" x14ac:dyDescent="0.25">
      <c r="G19" s="135" t="s">
        <v>198</v>
      </c>
      <c r="H19"/>
      <c r="I19" s="139">
        <v>1.8333333333333333</v>
      </c>
      <c r="J19"/>
      <c r="K19"/>
    </row>
    <row r="20" spans="7:11" x14ac:dyDescent="0.25">
      <c r="G20" s="135" t="s">
        <v>89</v>
      </c>
      <c r="H20"/>
      <c r="I20" s="139">
        <v>1.8333333333333333</v>
      </c>
      <c r="J20"/>
      <c r="K20"/>
    </row>
    <row r="21" spans="7:11" x14ac:dyDescent="0.25">
      <c r="G21" s="135" t="s">
        <v>210</v>
      </c>
      <c r="H21"/>
      <c r="I21" s="139">
        <v>1.8333333333333333</v>
      </c>
      <c r="J21"/>
      <c r="K21"/>
    </row>
    <row r="22" spans="7:11" x14ac:dyDescent="0.25">
      <c r="G22" s="135" t="s">
        <v>94</v>
      </c>
      <c r="H22"/>
      <c r="I22" s="139">
        <v>1.8333333333333333</v>
      </c>
      <c r="J22"/>
      <c r="K22"/>
    </row>
    <row r="23" spans="7:11" x14ac:dyDescent="0.25">
      <c r="G23" s="135" t="s">
        <v>213</v>
      </c>
      <c r="H23"/>
      <c r="I23" s="139">
        <v>1.8333333333333333</v>
      </c>
      <c r="J23"/>
      <c r="K23"/>
    </row>
    <row r="24" spans="7:11" x14ac:dyDescent="0.25">
      <c r="G24" s="135" t="s">
        <v>102</v>
      </c>
      <c r="H24"/>
      <c r="I24" s="139">
        <v>1.8333333333333333</v>
      </c>
      <c r="J24"/>
      <c r="K24"/>
    </row>
    <row r="25" spans="7:11" x14ac:dyDescent="0.25">
      <c r="G25" s="135" t="s">
        <v>216</v>
      </c>
      <c r="H25"/>
      <c r="I25" s="139">
        <v>1.8333333333333333</v>
      </c>
      <c r="J25"/>
      <c r="K25"/>
    </row>
    <row r="26" spans="7:11" x14ac:dyDescent="0.25">
      <c r="G26" s="135" t="s">
        <v>88</v>
      </c>
      <c r="H26"/>
      <c r="I26" s="139">
        <v>1.8333333333333333</v>
      </c>
      <c r="J26"/>
      <c r="K26"/>
    </row>
    <row r="27" spans="7:11" x14ac:dyDescent="0.25">
      <c r="G27" s="135" t="s">
        <v>218</v>
      </c>
      <c r="H27"/>
      <c r="I27" s="139">
        <v>1.8333333333333333</v>
      </c>
      <c r="J27"/>
      <c r="K27"/>
    </row>
    <row r="28" spans="7:11" x14ac:dyDescent="0.25">
      <c r="G28" s="135" t="s">
        <v>141</v>
      </c>
      <c r="H28"/>
      <c r="I28" s="139">
        <v>1.8333333333333333</v>
      </c>
      <c r="J28"/>
      <c r="K28"/>
    </row>
    <row r="29" spans="7:11" x14ac:dyDescent="0.25">
      <c r="G29" s="135" t="s">
        <v>220</v>
      </c>
      <c r="H29"/>
      <c r="I29" s="139">
        <v>1.8333333333333333</v>
      </c>
      <c r="J29"/>
      <c r="K29"/>
    </row>
    <row r="30" spans="7:11" x14ac:dyDescent="0.25">
      <c r="G30" s="135" t="s">
        <v>120</v>
      </c>
      <c r="H30"/>
      <c r="I30" s="139">
        <v>1.8333333333333333</v>
      </c>
      <c r="J30"/>
      <c r="K30"/>
    </row>
    <row r="31" spans="7:11" x14ac:dyDescent="0.25">
      <c r="G31" s="135" t="s">
        <v>223</v>
      </c>
      <c r="H31"/>
      <c r="I31" s="139">
        <v>1.8333333333333333</v>
      </c>
      <c r="J31"/>
      <c r="K31"/>
    </row>
    <row r="32" spans="7:11" x14ac:dyDescent="0.25">
      <c r="G32" s="135" t="s">
        <v>45</v>
      </c>
      <c r="H32"/>
      <c r="I32" s="139">
        <v>1.8333333333333333</v>
      </c>
      <c r="J32"/>
      <c r="K32"/>
    </row>
    <row r="33" spans="7:11" x14ac:dyDescent="0.25">
      <c r="G33" s="135" t="s">
        <v>144</v>
      </c>
      <c r="H33"/>
      <c r="I33" s="139">
        <v>1.8333333333333333</v>
      </c>
      <c r="J33"/>
      <c r="K33"/>
    </row>
    <row r="34" spans="7:11" x14ac:dyDescent="0.25">
      <c r="G34" s="135" t="s">
        <v>214</v>
      </c>
      <c r="H34"/>
      <c r="I34" s="139">
        <v>1.6666666666666665</v>
      </c>
      <c r="J34"/>
      <c r="K34"/>
    </row>
    <row r="35" spans="7:11" x14ac:dyDescent="0.25">
      <c r="G35" s="135" t="s">
        <v>106</v>
      </c>
      <c r="H35"/>
      <c r="I35" s="139">
        <v>1.6666666666666665</v>
      </c>
      <c r="J35"/>
      <c r="K35"/>
    </row>
    <row r="36" spans="7:11" x14ac:dyDescent="0.25">
      <c r="G36" s="135" t="s">
        <v>110</v>
      </c>
      <c r="H36"/>
      <c r="I36" s="139">
        <v>1.5416666666666665</v>
      </c>
      <c r="J36"/>
      <c r="K36"/>
    </row>
    <row r="37" spans="7:11" x14ac:dyDescent="0.25">
      <c r="G37" s="135" t="s">
        <v>126</v>
      </c>
      <c r="H37"/>
      <c r="I37" s="139">
        <v>1.25</v>
      </c>
      <c r="J37"/>
      <c r="K37"/>
    </row>
    <row r="38" spans="7:11" x14ac:dyDescent="0.25">
      <c r="G38" s="135" t="s">
        <v>46</v>
      </c>
      <c r="H38"/>
      <c r="I38" s="139">
        <v>59.291666666666686</v>
      </c>
      <c r="J38"/>
      <c r="K38"/>
    </row>
    <row r="39" spans="7:11" x14ac:dyDescent="0.25">
      <c r="G39"/>
      <c r="H39"/>
      <c r="I39"/>
      <c r="J39"/>
      <c r="K39"/>
    </row>
    <row r="40" spans="7:11" x14ac:dyDescent="0.25">
      <c r="G40"/>
      <c r="H40"/>
      <c r="I40"/>
      <c r="J40"/>
      <c r="K40"/>
    </row>
    <row r="41" spans="7:11" x14ac:dyDescent="0.25">
      <c r="G41"/>
      <c r="H41"/>
      <c r="I41"/>
      <c r="J41"/>
      <c r="K41"/>
    </row>
    <row r="42" spans="7:11" x14ac:dyDescent="0.25">
      <c r="G42"/>
      <c r="H42"/>
      <c r="I42"/>
      <c r="J42"/>
      <c r="K42"/>
    </row>
    <row r="43" spans="7:11" x14ac:dyDescent="0.25">
      <c r="G43"/>
      <c r="H43"/>
      <c r="I43"/>
      <c r="J43"/>
      <c r="K43"/>
    </row>
    <row r="44" spans="7:11" x14ac:dyDescent="0.25">
      <c r="G44"/>
      <c r="H44"/>
      <c r="I44"/>
      <c r="J44"/>
      <c r="K44"/>
    </row>
    <row r="45" spans="7:11" x14ac:dyDescent="0.25">
      <c r="G45"/>
      <c r="H45"/>
      <c r="I45"/>
      <c r="J45"/>
      <c r="K45"/>
    </row>
    <row r="46" spans="7:11" x14ac:dyDescent="0.25">
      <c r="G46"/>
      <c r="H46"/>
      <c r="I46"/>
      <c r="J46"/>
      <c r="K46"/>
    </row>
    <row r="47" spans="7:11" x14ac:dyDescent="0.25">
      <c r="G47"/>
      <c r="H47"/>
      <c r="I47"/>
      <c r="J47"/>
      <c r="K47"/>
    </row>
    <row r="48" spans="7:11" x14ac:dyDescent="0.25">
      <c r="G48"/>
      <c r="H48"/>
      <c r="I48"/>
      <c r="J48"/>
      <c r="K48"/>
    </row>
    <row r="49" spans="7:11" x14ac:dyDescent="0.25">
      <c r="G49"/>
      <c r="H49"/>
      <c r="I49"/>
      <c r="J49"/>
      <c r="K49"/>
    </row>
    <row r="50" spans="7:11" x14ac:dyDescent="0.25">
      <c r="G50"/>
      <c r="H50"/>
      <c r="I50"/>
      <c r="J50"/>
      <c r="K50"/>
    </row>
    <row r="51" spans="7:11" x14ac:dyDescent="0.25">
      <c r="G51"/>
      <c r="H51"/>
      <c r="I51"/>
      <c r="J51"/>
      <c r="K51"/>
    </row>
    <row r="52" spans="7:11" x14ac:dyDescent="0.25">
      <c r="G52"/>
      <c r="H52"/>
      <c r="I52"/>
      <c r="J52"/>
      <c r="K52"/>
    </row>
    <row r="53" spans="7:11" x14ac:dyDescent="0.25">
      <c r="G53"/>
      <c r="H53"/>
      <c r="I53"/>
      <c r="J53"/>
      <c r="K53"/>
    </row>
    <row r="54" spans="7:11" x14ac:dyDescent="0.25">
      <c r="G54"/>
      <c r="H54"/>
      <c r="I54"/>
      <c r="J54"/>
      <c r="K54"/>
    </row>
    <row r="55" spans="7:11" x14ac:dyDescent="0.25">
      <c r="G55"/>
      <c r="H55"/>
      <c r="I55"/>
      <c r="J55"/>
      <c r="K55"/>
    </row>
    <row r="56" spans="7:11" x14ac:dyDescent="0.25">
      <c r="G56"/>
      <c r="H56"/>
      <c r="I56"/>
      <c r="J56"/>
      <c r="K56"/>
    </row>
    <row r="57" spans="7:11" x14ac:dyDescent="0.25">
      <c r="G57"/>
      <c r="H57"/>
      <c r="I57"/>
      <c r="J57"/>
      <c r="K57"/>
    </row>
    <row r="58" spans="7:11" x14ac:dyDescent="0.25">
      <c r="G58"/>
      <c r="H58"/>
      <c r="I58"/>
      <c r="J58"/>
      <c r="K58"/>
    </row>
    <row r="59" spans="7:11" x14ac:dyDescent="0.25">
      <c r="G59"/>
      <c r="H59"/>
      <c r="I59"/>
      <c r="J59"/>
      <c r="K59"/>
    </row>
    <row r="60" spans="7:11" x14ac:dyDescent="0.25">
      <c r="G60"/>
      <c r="H60"/>
      <c r="I60"/>
      <c r="J60"/>
      <c r="K60"/>
    </row>
    <row r="61" spans="7:11" x14ac:dyDescent="0.25">
      <c r="G61"/>
      <c r="H61"/>
      <c r="I61"/>
      <c r="J61"/>
      <c r="K61"/>
    </row>
    <row r="62" spans="7:11" x14ac:dyDescent="0.25">
      <c r="G62"/>
      <c r="H62"/>
      <c r="I62"/>
      <c r="J62"/>
      <c r="K62"/>
    </row>
    <row r="63" spans="7:11" x14ac:dyDescent="0.25">
      <c r="G63"/>
      <c r="H63"/>
      <c r="I63"/>
      <c r="J63"/>
      <c r="K63"/>
    </row>
    <row r="64" spans="7:11" x14ac:dyDescent="0.25">
      <c r="G64"/>
      <c r="H64"/>
      <c r="I64"/>
      <c r="J64"/>
      <c r="K64"/>
    </row>
    <row r="65" spans="7:11" x14ac:dyDescent="0.25">
      <c r="G65"/>
      <c r="H65"/>
      <c r="I65"/>
      <c r="J65"/>
      <c r="K65"/>
    </row>
    <row r="66" spans="7:11" x14ac:dyDescent="0.25">
      <c r="G66"/>
      <c r="H66"/>
      <c r="I66"/>
      <c r="J66"/>
      <c r="K66"/>
    </row>
    <row r="67" spans="7:11" x14ac:dyDescent="0.25">
      <c r="G67"/>
      <c r="H67"/>
      <c r="I67"/>
      <c r="J67"/>
      <c r="K67"/>
    </row>
    <row r="68" spans="7:11" x14ac:dyDescent="0.25">
      <c r="G68"/>
      <c r="H68"/>
      <c r="I68"/>
      <c r="J68"/>
      <c r="K68"/>
    </row>
    <row r="69" spans="7:11" x14ac:dyDescent="0.25">
      <c r="G69"/>
      <c r="H69"/>
      <c r="I69"/>
      <c r="J69"/>
      <c r="K69"/>
    </row>
    <row r="70" spans="7:11" x14ac:dyDescent="0.25">
      <c r="G70"/>
      <c r="H70"/>
      <c r="I70"/>
      <c r="J70"/>
      <c r="K70"/>
    </row>
    <row r="71" spans="7:11" x14ac:dyDescent="0.25">
      <c r="G71"/>
      <c r="H71"/>
      <c r="I71"/>
      <c r="J71"/>
      <c r="K71"/>
    </row>
    <row r="72" spans="7:11" x14ac:dyDescent="0.25">
      <c r="G72"/>
      <c r="H72"/>
      <c r="I72"/>
      <c r="J72"/>
    </row>
    <row r="73" spans="7:11" x14ac:dyDescent="0.25">
      <c r="G73"/>
      <c r="H73"/>
      <c r="I73"/>
      <c r="J73"/>
    </row>
    <row r="74" spans="7:11" x14ac:dyDescent="0.25">
      <c r="G74"/>
      <c r="H74"/>
      <c r="I74"/>
      <c r="J74"/>
    </row>
    <row r="75" spans="7:11" x14ac:dyDescent="0.25">
      <c r="G75"/>
      <c r="H75"/>
      <c r="I75"/>
      <c r="J75"/>
    </row>
    <row r="76" spans="7:11" x14ac:dyDescent="0.25">
      <c r="G76"/>
      <c r="H76"/>
      <c r="I76"/>
      <c r="J76"/>
    </row>
    <row r="77" spans="7:11" x14ac:dyDescent="0.25">
      <c r="G77"/>
      <c r="H77"/>
      <c r="I77"/>
      <c r="J77"/>
    </row>
    <row r="78" spans="7:11" x14ac:dyDescent="0.25">
      <c r="G78"/>
      <c r="H78"/>
      <c r="I78"/>
      <c r="J78"/>
    </row>
    <row r="79" spans="7:11" x14ac:dyDescent="0.25">
      <c r="G79"/>
      <c r="H79"/>
      <c r="I79"/>
      <c r="J79"/>
    </row>
    <row r="80" spans="7:11" x14ac:dyDescent="0.25">
      <c r="G80"/>
      <c r="H80"/>
      <c r="I80"/>
      <c r="J80"/>
    </row>
    <row r="81" spans="7:10" x14ac:dyDescent="0.25">
      <c r="G81"/>
      <c r="H81"/>
      <c r="I81"/>
      <c r="J81"/>
    </row>
    <row r="82" spans="7:10" x14ac:dyDescent="0.25">
      <c r="G82"/>
      <c r="H82"/>
      <c r="I82"/>
      <c r="J82"/>
    </row>
    <row r="83" spans="7:10" x14ac:dyDescent="0.25">
      <c r="G83"/>
      <c r="H83"/>
      <c r="I83"/>
      <c r="J83"/>
    </row>
    <row r="84" spans="7:10" x14ac:dyDescent="0.25">
      <c r="G84"/>
      <c r="H84"/>
      <c r="I84"/>
      <c r="J84"/>
    </row>
    <row r="85" spans="7:10" x14ac:dyDescent="0.25">
      <c r="G85"/>
      <c r="H85"/>
      <c r="I85"/>
      <c r="J85"/>
    </row>
    <row r="86" spans="7:10" x14ac:dyDescent="0.25">
      <c r="G86"/>
      <c r="H86"/>
      <c r="I86"/>
      <c r="J86"/>
    </row>
    <row r="87" spans="7:10" x14ac:dyDescent="0.25">
      <c r="G87"/>
      <c r="H87"/>
      <c r="I87"/>
      <c r="J87"/>
    </row>
    <row r="88" spans="7:10" x14ac:dyDescent="0.25">
      <c r="G88"/>
      <c r="H88"/>
      <c r="I88"/>
      <c r="J88"/>
    </row>
    <row r="89" spans="7:10" x14ac:dyDescent="0.25">
      <c r="G89"/>
      <c r="H89"/>
      <c r="I89"/>
      <c r="J89"/>
    </row>
    <row r="90" spans="7:10" x14ac:dyDescent="0.25">
      <c r="G90"/>
      <c r="H90"/>
      <c r="I90"/>
      <c r="J90"/>
    </row>
    <row r="91" spans="7:10" x14ac:dyDescent="0.25">
      <c r="G91"/>
      <c r="H91"/>
      <c r="I91"/>
      <c r="J91"/>
    </row>
    <row r="92" spans="7:10" x14ac:dyDescent="0.25">
      <c r="G92"/>
      <c r="H92"/>
      <c r="I92"/>
      <c r="J92"/>
    </row>
    <row r="93" spans="7:10" x14ac:dyDescent="0.25">
      <c r="G93"/>
      <c r="H93"/>
      <c r="I93"/>
      <c r="J93"/>
    </row>
    <row r="94" spans="7:10" x14ac:dyDescent="0.25">
      <c r="G94"/>
      <c r="H94"/>
      <c r="I94"/>
      <c r="J94"/>
    </row>
    <row r="95" spans="7:10" x14ac:dyDescent="0.25">
      <c r="G95"/>
      <c r="H95"/>
      <c r="I95"/>
      <c r="J95"/>
    </row>
    <row r="96" spans="7:10" x14ac:dyDescent="0.25">
      <c r="G96"/>
      <c r="H96"/>
      <c r="I96"/>
      <c r="J96"/>
    </row>
    <row r="97" spans="7:10" x14ac:dyDescent="0.25">
      <c r="G97"/>
      <c r="H97"/>
      <c r="I97"/>
      <c r="J97"/>
    </row>
    <row r="98" spans="7:10" x14ac:dyDescent="0.25">
      <c r="G98"/>
      <c r="H98"/>
      <c r="I98"/>
      <c r="J98"/>
    </row>
    <row r="99" spans="7:10" x14ac:dyDescent="0.25">
      <c r="G99"/>
      <c r="H99"/>
      <c r="I99"/>
      <c r="J99"/>
    </row>
    <row r="100" spans="7:10" x14ac:dyDescent="0.25">
      <c r="G100"/>
      <c r="H100"/>
      <c r="I100"/>
      <c r="J100"/>
    </row>
    <row r="101" spans="7:10" x14ac:dyDescent="0.25">
      <c r="G101"/>
      <c r="H101"/>
      <c r="I101"/>
      <c r="J101"/>
    </row>
    <row r="102" spans="7:10" x14ac:dyDescent="0.25">
      <c r="G102"/>
      <c r="H102"/>
      <c r="I102"/>
      <c r="J102"/>
    </row>
    <row r="103" spans="7:10" x14ac:dyDescent="0.25">
      <c r="G103"/>
      <c r="H103"/>
      <c r="I103"/>
      <c r="J103"/>
    </row>
    <row r="104" spans="7:10" x14ac:dyDescent="0.25">
      <c r="G104"/>
      <c r="H104"/>
      <c r="I104"/>
      <c r="J104"/>
    </row>
    <row r="105" spans="7:10" x14ac:dyDescent="0.25">
      <c r="G105"/>
      <c r="H105"/>
      <c r="I105"/>
      <c r="J105"/>
    </row>
    <row r="106" spans="7:10" x14ac:dyDescent="0.25">
      <c r="G106"/>
      <c r="H106"/>
      <c r="I106"/>
      <c r="J106"/>
    </row>
    <row r="107" spans="7:10" x14ac:dyDescent="0.25">
      <c r="G107"/>
      <c r="H107"/>
      <c r="I107"/>
      <c r="J107"/>
    </row>
    <row r="108" spans="7:10" x14ac:dyDescent="0.25">
      <c r="G108"/>
      <c r="H108"/>
      <c r="I108"/>
      <c r="J108"/>
    </row>
    <row r="109" spans="7:10" x14ac:dyDescent="0.25">
      <c r="G109"/>
      <c r="H109"/>
      <c r="I109"/>
      <c r="J109"/>
    </row>
    <row r="110" spans="7:10" x14ac:dyDescent="0.25">
      <c r="G110"/>
      <c r="H110"/>
      <c r="I110"/>
      <c r="J110"/>
    </row>
    <row r="111" spans="7:10" x14ac:dyDescent="0.25">
      <c r="G111"/>
      <c r="H111"/>
      <c r="I111"/>
      <c r="J111"/>
    </row>
    <row r="112" spans="7:10" x14ac:dyDescent="0.25">
      <c r="G112"/>
      <c r="H112"/>
      <c r="I112"/>
      <c r="J112"/>
    </row>
    <row r="113" spans="7:10" x14ac:dyDescent="0.25">
      <c r="G113"/>
      <c r="H113"/>
      <c r="I113"/>
      <c r="J113"/>
    </row>
    <row r="114" spans="7:10" x14ac:dyDescent="0.25">
      <c r="G114"/>
      <c r="H114"/>
      <c r="I114"/>
      <c r="J114"/>
    </row>
    <row r="115" spans="7:10" x14ac:dyDescent="0.25">
      <c r="G115"/>
      <c r="H115"/>
      <c r="I115"/>
      <c r="J115"/>
    </row>
    <row r="116" spans="7:10" x14ac:dyDescent="0.25">
      <c r="G116"/>
      <c r="H116"/>
      <c r="I116"/>
      <c r="J116"/>
    </row>
    <row r="117" spans="7:10" x14ac:dyDescent="0.25">
      <c r="G117"/>
      <c r="H117"/>
      <c r="I117"/>
      <c r="J117"/>
    </row>
    <row r="118" spans="7:10" x14ac:dyDescent="0.25">
      <c r="G118"/>
      <c r="H118"/>
      <c r="I118"/>
      <c r="J118"/>
    </row>
    <row r="119" spans="7:10" x14ac:dyDescent="0.25">
      <c r="G119"/>
      <c r="H119"/>
      <c r="I119"/>
      <c r="J119"/>
    </row>
    <row r="120" spans="7:10" x14ac:dyDescent="0.25">
      <c r="G120"/>
      <c r="H120"/>
      <c r="I120"/>
      <c r="J120"/>
    </row>
    <row r="121" spans="7:10" x14ac:dyDescent="0.25">
      <c r="G121"/>
      <c r="H121"/>
      <c r="I121"/>
      <c r="J121"/>
    </row>
    <row r="122" spans="7:10" x14ac:dyDescent="0.25">
      <c r="G122"/>
      <c r="H122"/>
      <c r="I122"/>
      <c r="J122"/>
    </row>
    <row r="123" spans="7:10" x14ac:dyDescent="0.25">
      <c r="G123"/>
      <c r="H123"/>
      <c r="I123"/>
      <c r="J123"/>
    </row>
    <row r="124" spans="7:10" x14ac:dyDescent="0.25">
      <c r="G124"/>
      <c r="H124"/>
      <c r="I124"/>
      <c r="J124"/>
    </row>
    <row r="125" spans="7:10" x14ac:dyDescent="0.25">
      <c r="G125"/>
      <c r="H125"/>
      <c r="I125"/>
      <c r="J125"/>
    </row>
    <row r="126" spans="7:10" x14ac:dyDescent="0.25">
      <c r="G126"/>
      <c r="H126"/>
      <c r="I126"/>
      <c r="J126"/>
    </row>
    <row r="127" spans="7:10" x14ac:dyDescent="0.25">
      <c r="G127"/>
      <c r="H127"/>
      <c r="I127"/>
      <c r="J127"/>
    </row>
    <row r="128" spans="7:10" x14ac:dyDescent="0.25">
      <c r="G128"/>
      <c r="H128"/>
      <c r="I128"/>
      <c r="J128"/>
    </row>
    <row r="129" spans="7:10" x14ac:dyDescent="0.25">
      <c r="G129"/>
      <c r="H129"/>
      <c r="I129"/>
      <c r="J129"/>
    </row>
    <row r="130" spans="7:10" x14ac:dyDescent="0.25">
      <c r="G130"/>
      <c r="H130"/>
      <c r="I130"/>
      <c r="J130"/>
    </row>
    <row r="131" spans="7:10" x14ac:dyDescent="0.25">
      <c r="G131"/>
      <c r="H131"/>
      <c r="I131"/>
      <c r="J131"/>
    </row>
    <row r="132" spans="7:10" x14ac:dyDescent="0.25">
      <c r="G132"/>
      <c r="H132"/>
      <c r="I132"/>
      <c r="J132"/>
    </row>
    <row r="133" spans="7:10" x14ac:dyDescent="0.25">
      <c r="G133"/>
      <c r="H133"/>
      <c r="I133"/>
      <c r="J133"/>
    </row>
    <row r="134" spans="7:10" x14ac:dyDescent="0.25">
      <c r="G134"/>
      <c r="H134"/>
      <c r="I134"/>
      <c r="J134"/>
    </row>
    <row r="135" spans="7:10" x14ac:dyDescent="0.25">
      <c r="G135"/>
      <c r="H135"/>
      <c r="I135"/>
      <c r="J135"/>
    </row>
    <row r="136" spans="7:10" x14ac:dyDescent="0.25">
      <c r="G136"/>
      <c r="H136"/>
      <c r="I136"/>
      <c r="J136" s="15"/>
    </row>
    <row r="137" spans="7:10" x14ac:dyDescent="0.25">
      <c r="G137"/>
      <c r="H137"/>
      <c r="I137"/>
      <c r="J137" s="15"/>
    </row>
    <row r="138" spans="7:10" x14ac:dyDescent="0.25">
      <c r="G138"/>
      <c r="H138"/>
      <c r="I138"/>
      <c r="J138" s="15"/>
    </row>
    <row r="139" spans="7:10" x14ac:dyDescent="0.25">
      <c r="G139"/>
      <c r="H139"/>
      <c r="I139"/>
      <c r="J139" s="15"/>
    </row>
    <row r="140" spans="7:10" x14ac:dyDescent="0.25">
      <c r="G140"/>
      <c r="H140"/>
      <c r="I140"/>
      <c r="J140" s="15"/>
    </row>
    <row r="141" spans="7:10" x14ac:dyDescent="0.25">
      <c r="G141"/>
      <c r="H141"/>
      <c r="I141"/>
      <c r="J141" s="15"/>
    </row>
    <row r="142" spans="7:10" x14ac:dyDescent="0.25">
      <c r="G142"/>
      <c r="H142"/>
      <c r="I142"/>
      <c r="J142" s="15"/>
    </row>
    <row r="143" spans="7:10" x14ac:dyDescent="0.25">
      <c r="G143"/>
      <c r="H143"/>
      <c r="I143"/>
      <c r="J143" s="15"/>
    </row>
    <row r="144" spans="7:10" x14ac:dyDescent="0.25">
      <c r="G144"/>
      <c r="H144"/>
      <c r="I144"/>
      <c r="J144" s="15"/>
    </row>
    <row r="145" spans="7:10" x14ac:dyDescent="0.25">
      <c r="G145"/>
      <c r="H145"/>
      <c r="I145"/>
      <c r="J145" s="15"/>
    </row>
    <row r="146" spans="7:10" x14ac:dyDescent="0.25">
      <c r="G146"/>
      <c r="H146"/>
      <c r="I146"/>
      <c r="J146" s="15"/>
    </row>
    <row r="147" spans="7:10" x14ac:dyDescent="0.25">
      <c r="G147"/>
      <c r="H147"/>
      <c r="I147"/>
      <c r="J147" s="15"/>
    </row>
    <row r="148" spans="7:10" x14ac:dyDescent="0.25">
      <c r="G148"/>
      <c r="H148"/>
      <c r="I148"/>
      <c r="J148" s="15"/>
    </row>
    <row r="149" spans="7:10" x14ac:dyDescent="0.25">
      <c r="G149"/>
      <c r="H149"/>
      <c r="I149"/>
      <c r="J149" s="15"/>
    </row>
    <row r="150" spans="7:10" x14ac:dyDescent="0.25">
      <c r="G150"/>
      <c r="H150"/>
      <c r="I150"/>
      <c r="J150" s="15"/>
    </row>
    <row r="151" spans="7:10" x14ac:dyDescent="0.25">
      <c r="G151"/>
      <c r="H151"/>
      <c r="I151"/>
      <c r="J151" s="15"/>
    </row>
    <row r="152" spans="7:10" x14ac:dyDescent="0.25">
      <c r="G152"/>
      <c r="H152"/>
      <c r="I152"/>
      <c r="J152" s="15"/>
    </row>
    <row r="153" spans="7:10" x14ac:dyDescent="0.25">
      <c r="G153"/>
      <c r="H153"/>
      <c r="I153"/>
      <c r="J153" s="15"/>
    </row>
    <row r="154" spans="7:10" x14ac:dyDescent="0.25">
      <c r="G154"/>
      <c r="H154"/>
      <c r="I154"/>
      <c r="J154" s="15"/>
    </row>
    <row r="155" spans="7:10" x14ac:dyDescent="0.25">
      <c r="G155"/>
      <c r="H155"/>
      <c r="I155"/>
      <c r="J155" s="15"/>
    </row>
    <row r="156" spans="7:10" x14ac:dyDescent="0.25">
      <c r="G156"/>
      <c r="H156"/>
      <c r="I156"/>
      <c r="J156" s="15"/>
    </row>
    <row r="157" spans="7:10" x14ac:dyDescent="0.25">
      <c r="G157"/>
      <c r="H157"/>
      <c r="I157"/>
      <c r="J157" s="15"/>
    </row>
    <row r="158" spans="7:10" x14ac:dyDescent="0.25">
      <c r="G158"/>
      <c r="H158"/>
      <c r="I158"/>
      <c r="J158" s="15"/>
    </row>
    <row r="159" spans="7:10" x14ac:dyDescent="0.25">
      <c r="G159"/>
      <c r="H159"/>
      <c r="I159"/>
      <c r="J159" s="15"/>
    </row>
    <row r="160" spans="7:10" x14ac:dyDescent="0.25">
      <c r="G160"/>
      <c r="H160"/>
      <c r="I160"/>
      <c r="J160" s="15"/>
    </row>
    <row r="161" spans="7:10" x14ac:dyDescent="0.25">
      <c r="G161"/>
      <c r="H161"/>
      <c r="I161"/>
      <c r="J161" s="15"/>
    </row>
    <row r="162" spans="7:10" x14ac:dyDescent="0.25">
      <c r="G162"/>
      <c r="H162"/>
      <c r="I162"/>
      <c r="J162" s="15"/>
    </row>
    <row r="163" spans="7:10" x14ac:dyDescent="0.25">
      <c r="G163"/>
      <c r="H163"/>
      <c r="I163"/>
      <c r="J163" s="15"/>
    </row>
    <row r="164" spans="7:10" x14ac:dyDescent="0.25">
      <c r="G164"/>
      <c r="H164"/>
      <c r="I164"/>
      <c r="J164" s="15"/>
    </row>
    <row r="165" spans="7:10" x14ac:dyDescent="0.25">
      <c r="G165"/>
      <c r="H165"/>
      <c r="I165"/>
      <c r="J165" s="15"/>
    </row>
    <row r="166" spans="7:10" x14ac:dyDescent="0.25">
      <c r="G166"/>
      <c r="H166"/>
      <c r="I166"/>
      <c r="J166" s="15"/>
    </row>
    <row r="167" spans="7:10" x14ac:dyDescent="0.25">
      <c r="G167"/>
      <c r="H167"/>
      <c r="I167"/>
      <c r="J167" s="15"/>
    </row>
    <row r="168" spans="7:10" x14ac:dyDescent="0.25">
      <c r="G168"/>
      <c r="H168"/>
      <c r="I168"/>
      <c r="J168" s="15"/>
    </row>
    <row r="169" spans="7:10" x14ac:dyDescent="0.25">
      <c r="G169"/>
      <c r="H169"/>
      <c r="I169"/>
      <c r="J169" s="15"/>
    </row>
    <row r="170" spans="7:10" x14ac:dyDescent="0.25">
      <c r="G170"/>
      <c r="H170"/>
      <c r="I170"/>
      <c r="J170" s="15"/>
    </row>
    <row r="171" spans="7:10" x14ac:dyDescent="0.25">
      <c r="G171"/>
      <c r="H171"/>
      <c r="I171"/>
      <c r="J171" s="15"/>
    </row>
    <row r="172" spans="7:10" x14ac:dyDescent="0.25">
      <c r="G172"/>
      <c r="H172"/>
      <c r="I172"/>
      <c r="J172" s="15"/>
    </row>
    <row r="173" spans="7:10" x14ac:dyDescent="0.25">
      <c r="G173"/>
      <c r="H173"/>
      <c r="I173"/>
      <c r="J173" s="15"/>
    </row>
    <row r="174" spans="7:10" x14ac:dyDescent="0.25">
      <c r="G174"/>
      <c r="H174"/>
      <c r="I174"/>
      <c r="J174" s="15"/>
    </row>
    <row r="175" spans="7:10" x14ac:dyDescent="0.25">
      <c r="G175"/>
      <c r="H175"/>
      <c r="I175"/>
      <c r="J175" s="15"/>
    </row>
    <row r="176" spans="7:10" x14ac:dyDescent="0.25">
      <c r="G176"/>
      <c r="H176"/>
      <c r="I176"/>
      <c r="J176" s="15"/>
    </row>
    <row r="177" spans="7:10" x14ac:dyDescent="0.25">
      <c r="G177"/>
      <c r="H177"/>
      <c r="I177"/>
      <c r="J177" s="15"/>
    </row>
    <row r="178" spans="7:10" x14ac:dyDescent="0.25">
      <c r="G178"/>
      <c r="H178"/>
      <c r="I178"/>
      <c r="J178" s="15"/>
    </row>
    <row r="179" spans="7:10" x14ac:dyDescent="0.25">
      <c r="G179"/>
      <c r="H179"/>
      <c r="I179"/>
      <c r="J179" s="15"/>
    </row>
    <row r="180" spans="7:10" x14ac:dyDescent="0.25">
      <c r="G180"/>
      <c r="H180"/>
      <c r="I180"/>
      <c r="J180" s="15"/>
    </row>
    <row r="181" spans="7:10" x14ac:dyDescent="0.25">
      <c r="G181"/>
      <c r="H181"/>
      <c r="I181"/>
      <c r="J181" s="15"/>
    </row>
    <row r="182" spans="7:10" x14ac:dyDescent="0.25">
      <c r="G182"/>
      <c r="H182"/>
      <c r="I182"/>
      <c r="J182" s="15"/>
    </row>
    <row r="183" spans="7:10" x14ac:dyDescent="0.25">
      <c r="G183"/>
      <c r="H183"/>
      <c r="I183"/>
      <c r="J183" s="15"/>
    </row>
    <row r="184" spans="7:10" x14ac:dyDescent="0.25">
      <c r="G184"/>
      <c r="H184"/>
      <c r="I184"/>
      <c r="J184" s="15"/>
    </row>
    <row r="185" spans="7:10" x14ac:dyDescent="0.25">
      <c r="G185"/>
      <c r="H185"/>
      <c r="I185"/>
      <c r="J185" s="15"/>
    </row>
    <row r="186" spans="7:10" x14ac:dyDescent="0.25">
      <c r="G186"/>
      <c r="H186"/>
      <c r="I186"/>
      <c r="J186" s="15"/>
    </row>
    <row r="187" spans="7:10" x14ac:dyDescent="0.25">
      <c r="G187"/>
      <c r="H187"/>
      <c r="I187"/>
      <c r="J187" s="15"/>
    </row>
    <row r="188" spans="7:10" x14ac:dyDescent="0.25">
      <c r="G188"/>
      <c r="H188"/>
      <c r="I188"/>
      <c r="J188" s="15"/>
    </row>
    <row r="189" spans="7:10" x14ac:dyDescent="0.25">
      <c r="G189"/>
      <c r="H189"/>
      <c r="I189"/>
      <c r="J189" s="15"/>
    </row>
    <row r="190" spans="7:10" x14ac:dyDescent="0.25">
      <c r="G190"/>
      <c r="H190"/>
      <c r="I190"/>
      <c r="J190" s="15"/>
    </row>
    <row r="191" spans="7:10" x14ac:dyDescent="0.25">
      <c r="G191"/>
      <c r="H191"/>
      <c r="I191"/>
      <c r="J191" s="15"/>
    </row>
    <row r="192" spans="7:10" x14ac:dyDescent="0.25">
      <c r="G192"/>
      <c r="H192"/>
      <c r="I192"/>
      <c r="J192" s="15"/>
    </row>
    <row r="193" spans="7:10" x14ac:dyDescent="0.25">
      <c r="G193"/>
      <c r="H193"/>
      <c r="I193"/>
      <c r="J193" s="15"/>
    </row>
    <row r="194" spans="7:10" x14ac:dyDescent="0.25">
      <c r="G194"/>
      <c r="H194"/>
      <c r="I194"/>
      <c r="J194" s="15"/>
    </row>
    <row r="195" spans="7:10" x14ac:dyDescent="0.25">
      <c r="G195"/>
      <c r="H195"/>
      <c r="I195"/>
      <c r="J195" s="15"/>
    </row>
    <row r="196" spans="7:10" x14ac:dyDescent="0.25">
      <c r="G196"/>
      <c r="H196"/>
      <c r="I196"/>
      <c r="J196" s="15"/>
    </row>
    <row r="197" spans="7:10" x14ac:dyDescent="0.25">
      <c r="G197"/>
      <c r="H197"/>
      <c r="I197"/>
      <c r="J197" s="15"/>
    </row>
    <row r="198" spans="7:10" x14ac:dyDescent="0.25">
      <c r="J198" s="15"/>
    </row>
    <row r="199" spans="7:10" x14ac:dyDescent="0.25">
      <c r="J199" s="15"/>
    </row>
    <row r="200" spans="7:10" x14ac:dyDescent="0.25">
      <c r="J200" s="15"/>
    </row>
    <row r="201" spans="7:10" x14ac:dyDescent="0.25">
      <c r="J201" s="15"/>
    </row>
    <row r="202" spans="7:10" x14ac:dyDescent="0.25">
      <c r="J202" s="15"/>
    </row>
    <row r="203" spans="7:10" x14ac:dyDescent="0.25">
      <c r="J203" s="15"/>
    </row>
    <row r="204" spans="7:10" x14ac:dyDescent="0.25">
      <c r="J204" s="15"/>
    </row>
    <row r="205" spans="7:10" x14ac:dyDescent="0.25">
      <c r="J205" s="15"/>
    </row>
    <row r="206" spans="7:10" x14ac:dyDescent="0.25">
      <c r="J206" s="15"/>
    </row>
    <row r="207" spans="7:10" x14ac:dyDescent="0.25">
      <c r="J207" s="15"/>
    </row>
    <row r="208" spans="7:10" x14ac:dyDescent="0.25">
      <c r="J208" s="15"/>
    </row>
    <row r="209" spans="10:10" x14ac:dyDescent="0.25">
      <c r="J209" s="15"/>
    </row>
    <row r="210" spans="10:10" x14ac:dyDescent="0.25">
      <c r="J210" s="15"/>
    </row>
    <row r="211" spans="10:10" x14ac:dyDescent="0.25">
      <c r="J211" s="15"/>
    </row>
    <row r="212" spans="10:10" x14ac:dyDescent="0.25">
      <c r="J212" s="15"/>
    </row>
    <row r="213" spans="10:10" x14ac:dyDescent="0.25">
      <c r="J213" s="15"/>
    </row>
    <row r="214" spans="10:10" x14ac:dyDescent="0.25">
      <c r="J214" s="15"/>
    </row>
    <row r="215" spans="10:10" x14ac:dyDescent="0.25">
      <c r="J215" s="15"/>
    </row>
    <row r="216" spans="10:10" x14ac:dyDescent="0.25">
      <c r="J216" s="15"/>
    </row>
    <row r="217" spans="10:10" x14ac:dyDescent="0.25">
      <c r="J217" s="15"/>
    </row>
    <row r="218" spans="10:10" x14ac:dyDescent="0.25">
      <c r="J218" s="15"/>
    </row>
    <row r="219" spans="10:10" x14ac:dyDescent="0.25">
      <c r="J219" s="15"/>
    </row>
    <row r="220" spans="10:10" x14ac:dyDescent="0.25">
      <c r="J220" s="15"/>
    </row>
    <row r="221" spans="10:10" x14ac:dyDescent="0.25">
      <c r="J221" s="15"/>
    </row>
    <row r="222" spans="10:10" x14ac:dyDescent="0.25">
      <c r="J222" s="15"/>
    </row>
    <row r="223" spans="10:10" x14ac:dyDescent="0.25">
      <c r="J223" s="15"/>
    </row>
    <row r="224" spans="10:10" x14ac:dyDescent="0.25">
      <c r="J224" s="15"/>
    </row>
    <row r="225" spans="10:10" x14ac:dyDescent="0.25">
      <c r="J225" s="15"/>
    </row>
    <row r="226" spans="10:10" x14ac:dyDescent="0.25">
      <c r="J226" s="15"/>
    </row>
    <row r="227" spans="10:10" x14ac:dyDescent="0.25">
      <c r="J227" s="15"/>
    </row>
    <row r="228" spans="10:10" x14ac:dyDescent="0.25">
      <c r="J228" s="15"/>
    </row>
    <row r="229" spans="10:10" x14ac:dyDescent="0.25">
      <c r="J229" s="15"/>
    </row>
    <row r="230" spans="10:10" x14ac:dyDescent="0.25">
      <c r="J230" s="15"/>
    </row>
    <row r="231" spans="10:10" x14ac:dyDescent="0.25">
      <c r="J231" s="15"/>
    </row>
    <row r="232" spans="10:10" x14ac:dyDescent="0.25">
      <c r="J232" s="15"/>
    </row>
    <row r="233" spans="10:10" x14ac:dyDescent="0.25">
      <c r="J233" s="15"/>
    </row>
    <row r="234" spans="10:10" x14ac:dyDescent="0.25">
      <c r="J234" s="15"/>
    </row>
    <row r="235" spans="10:10" x14ac:dyDescent="0.25">
      <c r="J235" s="15"/>
    </row>
    <row r="236" spans="10:10" x14ac:dyDescent="0.25">
      <c r="J236" s="15"/>
    </row>
    <row r="237" spans="10:10" x14ac:dyDescent="0.25">
      <c r="J237" s="15"/>
    </row>
    <row r="238" spans="10:10" x14ac:dyDescent="0.25">
      <c r="J238" s="15"/>
    </row>
    <row r="239" spans="10:10" x14ac:dyDescent="0.25">
      <c r="J239" s="15"/>
    </row>
    <row r="240" spans="10:10" x14ac:dyDescent="0.25">
      <c r="J240" s="15"/>
    </row>
    <row r="241" spans="10:10" x14ac:dyDescent="0.25">
      <c r="J241" s="15"/>
    </row>
    <row r="242" spans="10:10" x14ac:dyDescent="0.25">
      <c r="J242" s="15"/>
    </row>
    <row r="243" spans="10:10" x14ac:dyDescent="0.25">
      <c r="J243" s="15"/>
    </row>
    <row r="244" spans="10:10" x14ac:dyDescent="0.25">
      <c r="J244" s="15"/>
    </row>
    <row r="245" spans="10:10" x14ac:dyDescent="0.25">
      <c r="J245" s="15"/>
    </row>
    <row r="246" spans="10:10" x14ac:dyDescent="0.25">
      <c r="J246" s="15"/>
    </row>
    <row r="247" spans="10:10" x14ac:dyDescent="0.25">
      <c r="J247" s="15"/>
    </row>
    <row r="248" spans="10:10" x14ac:dyDescent="0.25">
      <c r="J248" s="15"/>
    </row>
    <row r="249" spans="10:10" x14ac:dyDescent="0.25">
      <c r="J249" s="15"/>
    </row>
    <row r="250" spans="10:10" x14ac:dyDescent="0.25">
      <c r="J250" s="15"/>
    </row>
    <row r="251" spans="10:10" x14ac:dyDescent="0.25">
      <c r="J251" s="15"/>
    </row>
    <row r="252" spans="10:10" x14ac:dyDescent="0.25">
      <c r="J252" s="15"/>
    </row>
    <row r="253" spans="10:10" x14ac:dyDescent="0.25">
      <c r="J253" s="15"/>
    </row>
    <row r="254" spans="10:10" x14ac:dyDescent="0.25">
      <c r="J254" s="15"/>
    </row>
    <row r="255" spans="10:10" x14ac:dyDescent="0.25">
      <c r="J255" s="15"/>
    </row>
    <row r="256" spans="10:10" x14ac:dyDescent="0.25">
      <c r="J256" s="15"/>
    </row>
    <row r="257" spans="10:10" x14ac:dyDescent="0.25">
      <c r="J257" s="15"/>
    </row>
    <row r="258" spans="10:10" x14ac:dyDescent="0.25">
      <c r="J258" s="15"/>
    </row>
    <row r="259" spans="10:10" x14ac:dyDescent="0.25">
      <c r="J259" s="15"/>
    </row>
    <row r="260" spans="10:10" x14ac:dyDescent="0.25">
      <c r="J260" s="15"/>
    </row>
    <row r="261" spans="10:10" x14ac:dyDescent="0.25">
      <c r="J261" s="15"/>
    </row>
    <row r="262" spans="10:10" x14ac:dyDescent="0.25">
      <c r="J262" s="15"/>
    </row>
    <row r="263" spans="10:10" x14ac:dyDescent="0.25">
      <c r="J263" s="15"/>
    </row>
    <row r="264" spans="10:10" x14ac:dyDescent="0.25">
      <c r="J264" s="15"/>
    </row>
    <row r="265" spans="10:10" x14ac:dyDescent="0.25">
      <c r="J265" s="15"/>
    </row>
    <row r="266" spans="10:10" x14ac:dyDescent="0.25">
      <c r="J266" s="15"/>
    </row>
    <row r="267" spans="10:10" x14ac:dyDescent="0.25">
      <c r="J267" s="15"/>
    </row>
    <row r="268" spans="10:10" x14ac:dyDescent="0.25">
      <c r="J268" s="15"/>
    </row>
    <row r="269" spans="10:10" x14ac:dyDescent="0.25">
      <c r="J269" s="15"/>
    </row>
    <row r="270" spans="10:10" x14ac:dyDescent="0.25">
      <c r="J270" s="15"/>
    </row>
    <row r="271" spans="10:10" x14ac:dyDescent="0.25">
      <c r="J271" s="15"/>
    </row>
    <row r="272" spans="10:10" x14ac:dyDescent="0.25">
      <c r="J272" s="15"/>
    </row>
    <row r="273" spans="10:10" x14ac:dyDescent="0.25">
      <c r="J273" s="15"/>
    </row>
    <row r="274" spans="10:10" x14ac:dyDescent="0.25">
      <c r="J274" s="15"/>
    </row>
    <row r="275" spans="10:10" x14ac:dyDescent="0.25">
      <c r="J275" s="15"/>
    </row>
    <row r="276" spans="10:10" x14ac:dyDescent="0.25">
      <c r="J276" s="15"/>
    </row>
    <row r="277" spans="10:10" x14ac:dyDescent="0.25">
      <c r="J277" s="15"/>
    </row>
    <row r="278" spans="10:10" x14ac:dyDescent="0.25">
      <c r="J278" s="15"/>
    </row>
    <row r="279" spans="10:10" x14ac:dyDescent="0.25">
      <c r="J279" s="15"/>
    </row>
    <row r="280" spans="10:10" x14ac:dyDescent="0.25">
      <c r="J280" s="15"/>
    </row>
    <row r="281" spans="10:10" x14ac:dyDescent="0.25">
      <c r="J281" s="15"/>
    </row>
    <row r="282" spans="10:10" x14ac:dyDescent="0.25">
      <c r="J282" s="15"/>
    </row>
    <row r="283" spans="10:10" x14ac:dyDescent="0.25">
      <c r="J283" s="15"/>
    </row>
    <row r="284" spans="10:10" x14ac:dyDescent="0.25">
      <c r="J284" s="15"/>
    </row>
    <row r="285" spans="10:10" x14ac:dyDescent="0.25">
      <c r="J285" s="15"/>
    </row>
    <row r="286" spans="10:10" x14ac:dyDescent="0.25">
      <c r="J286" s="15"/>
    </row>
    <row r="287" spans="10:10" x14ac:dyDescent="0.25">
      <c r="J287" s="15"/>
    </row>
    <row r="288" spans="10:10" x14ac:dyDescent="0.25">
      <c r="J288" s="15"/>
    </row>
    <row r="289" spans="10:10" x14ac:dyDescent="0.25">
      <c r="J289" s="15"/>
    </row>
    <row r="290" spans="10:10" x14ac:dyDescent="0.25">
      <c r="J290" s="15"/>
    </row>
    <row r="291" spans="10:10" x14ac:dyDescent="0.25">
      <c r="J291" s="15"/>
    </row>
    <row r="292" spans="10:10" x14ac:dyDescent="0.25">
      <c r="J292" s="15"/>
    </row>
    <row r="293" spans="10:10" x14ac:dyDescent="0.25">
      <c r="J293" s="15"/>
    </row>
    <row r="294" spans="10:10" x14ac:dyDescent="0.25">
      <c r="J294" s="15"/>
    </row>
    <row r="295" spans="10:10" x14ac:dyDescent="0.25">
      <c r="J295" s="15"/>
    </row>
    <row r="296" spans="10:10" x14ac:dyDescent="0.25">
      <c r="J296" s="15"/>
    </row>
    <row r="297" spans="10:10" x14ac:dyDescent="0.25">
      <c r="J297" s="15"/>
    </row>
    <row r="298" spans="10:10" x14ac:dyDescent="0.25">
      <c r="J298" s="15"/>
    </row>
    <row r="299" spans="10:10" x14ac:dyDescent="0.25">
      <c r="J299" s="15"/>
    </row>
    <row r="300" spans="10:10" x14ac:dyDescent="0.25">
      <c r="J300" s="15"/>
    </row>
    <row r="301" spans="10:10" x14ac:dyDescent="0.25">
      <c r="J301" s="15"/>
    </row>
    <row r="302" spans="10:10" x14ac:dyDescent="0.25">
      <c r="J302" s="15"/>
    </row>
    <row r="303" spans="10:10" x14ac:dyDescent="0.25">
      <c r="J303" s="15"/>
    </row>
    <row r="304" spans="10:10" x14ac:dyDescent="0.25">
      <c r="J304" s="15"/>
    </row>
    <row r="305" spans="10:10" x14ac:dyDescent="0.25">
      <c r="J305" s="15"/>
    </row>
    <row r="306" spans="10:10" x14ac:dyDescent="0.25">
      <c r="J306" s="15"/>
    </row>
    <row r="307" spans="10:10" x14ac:dyDescent="0.25">
      <c r="J307" s="15"/>
    </row>
    <row r="308" spans="10:10" x14ac:dyDescent="0.25">
      <c r="J308" s="15"/>
    </row>
    <row r="309" spans="10:10" x14ac:dyDescent="0.25">
      <c r="J309" s="15"/>
    </row>
    <row r="310" spans="10:10" x14ac:dyDescent="0.25">
      <c r="J310" s="15"/>
    </row>
    <row r="311" spans="10:10" x14ac:dyDescent="0.25">
      <c r="J311" s="15"/>
    </row>
    <row r="312" spans="10:10" x14ac:dyDescent="0.25">
      <c r="J312" s="15"/>
    </row>
    <row r="313" spans="10:10" x14ac:dyDescent="0.25">
      <c r="J313" s="15"/>
    </row>
    <row r="314" spans="10:10" x14ac:dyDescent="0.25">
      <c r="J314" s="15"/>
    </row>
    <row r="315" spans="10:10" x14ac:dyDescent="0.25">
      <c r="J315" s="15"/>
    </row>
    <row r="316" spans="10:10" x14ac:dyDescent="0.25">
      <c r="J316" s="15"/>
    </row>
    <row r="317" spans="10:10" x14ac:dyDescent="0.25">
      <c r="J317" s="15"/>
    </row>
    <row r="318" spans="10:10" x14ac:dyDescent="0.25">
      <c r="J318" s="15"/>
    </row>
    <row r="319" spans="10:10" x14ac:dyDescent="0.25">
      <c r="J319" s="15"/>
    </row>
    <row r="320" spans="10:10" x14ac:dyDescent="0.25">
      <c r="J320" s="15"/>
    </row>
    <row r="321" spans="10:10" x14ac:dyDescent="0.25">
      <c r="J321" s="15"/>
    </row>
    <row r="322" spans="10:10" x14ac:dyDescent="0.25">
      <c r="J322" s="15"/>
    </row>
    <row r="323" spans="10:10" x14ac:dyDescent="0.25">
      <c r="J323" s="15"/>
    </row>
    <row r="324" spans="10:10" x14ac:dyDescent="0.25">
      <c r="J324" s="15"/>
    </row>
    <row r="325" spans="10:10" x14ac:dyDescent="0.25">
      <c r="J325" s="15"/>
    </row>
    <row r="326" spans="10:10" x14ac:dyDescent="0.25">
      <c r="J326" s="15"/>
    </row>
    <row r="327" spans="10:10" x14ac:dyDescent="0.25">
      <c r="J327" s="15"/>
    </row>
    <row r="328" spans="10:10" x14ac:dyDescent="0.25">
      <c r="J328" s="15"/>
    </row>
    <row r="329" spans="10:10" x14ac:dyDescent="0.25">
      <c r="J329" s="15"/>
    </row>
    <row r="330" spans="10:10" x14ac:dyDescent="0.25">
      <c r="J330" s="15"/>
    </row>
    <row r="331" spans="10:10" x14ac:dyDescent="0.25">
      <c r="J331" s="15"/>
    </row>
    <row r="332" spans="10:10" x14ac:dyDescent="0.25">
      <c r="J332" s="15"/>
    </row>
    <row r="333" spans="10:10" x14ac:dyDescent="0.25">
      <c r="J333" s="15"/>
    </row>
    <row r="334" spans="10:10" x14ac:dyDescent="0.25">
      <c r="J334" s="15"/>
    </row>
    <row r="335" spans="10:10" x14ac:dyDescent="0.25">
      <c r="J335" s="15"/>
    </row>
    <row r="336" spans="10:10" x14ac:dyDescent="0.25">
      <c r="J336" s="15"/>
    </row>
    <row r="337" spans="10:10" x14ac:dyDescent="0.25">
      <c r="J337" s="15"/>
    </row>
    <row r="338" spans="10:10" x14ac:dyDescent="0.25">
      <c r="J338" s="15"/>
    </row>
    <row r="339" spans="10:10" x14ac:dyDescent="0.25">
      <c r="J339" s="15"/>
    </row>
    <row r="340" spans="10:10" x14ac:dyDescent="0.25">
      <c r="J340" s="15"/>
    </row>
    <row r="341" spans="10:10" x14ac:dyDescent="0.25">
      <c r="J341" s="15"/>
    </row>
    <row r="342" spans="10:10" x14ac:dyDescent="0.25">
      <c r="J342" s="15"/>
    </row>
    <row r="343" spans="10:10" x14ac:dyDescent="0.25">
      <c r="J343" s="15"/>
    </row>
    <row r="344" spans="10:10" x14ac:dyDescent="0.25">
      <c r="J344" s="15"/>
    </row>
    <row r="345" spans="10:10" x14ac:dyDescent="0.25">
      <c r="J345" s="15"/>
    </row>
    <row r="346" spans="10:10" x14ac:dyDescent="0.25">
      <c r="J346" s="15"/>
    </row>
    <row r="347" spans="10:10" x14ac:dyDescent="0.25">
      <c r="J347" s="15"/>
    </row>
    <row r="348" spans="10:10" x14ac:dyDescent="0.25">
      <c r="J348" s="15"/>
    </row>
    <row r="349" spans="10:10" x14ac:dyDescent="0.25">
      <c r="J349" s="15"/>
    </row>
    <row r="350" spans="10:10" x14ac:dyDescent="0.25">
      <c r="J350" s="15"/>
    </row>
    <row r="351" spans="10:10" x14ac:dyDescent="0.25">
      <c r="J351" s="15"/>
    </row>
    <row r="352" spans="10:10" x14ac:dyDescent="0.25">
      <c r="J352" s="15"/>
    </row>
    <row r="353" spans="10:10" x14ac:dyDescent="0.25">
      <c r="J353" s="15"/>
    </row>
    <row r="354" spans="10:10" x14ac:dyDescent="0.25">
      <c r="J354" s="15"/>
    </row>
    <row r="355" spans="10:10" x14ac:dyDescent="0.25">
      <c r="J355" s="15"/>
    </row>
    <row r="356" spans="10:10" x14ac:dyDescent="0.25">
      <c r="J356" s="15"/>
    </row>
    <row r="357" spans="10:10" x14ac:dyDescent="0.25">
      <c r="J357" s="15"/>
    </row>
    <row r="358" spans="10:10" x14ac:dyDescent="0.25">
      <c r="J358" s="15"/>
    </row>
    <row r="359" spans="10:10" x14ac:dyDescent="0.25">
      <c r="J359" s="15"/>
    </row>
    <row r="360" spans="10:10" x14ac:dyDescent="0.25">
      <c r="J360" s="15"/>
    </row>
    <row r="361" spans="10:10" x14ac:dyDescent="0.25">
      <c r="J361" s="15"/>
    </row>
    <row r="362" spans="10:10" x14ac:dyDescent="0.25">
      <c r="J362" s="15"/>
    </row>
    <row r="363" spans="10:10" x14ac:dyDescent="0.25">
      <c r="J363" s="15"/>
    </row>
    <row r="364" spans="10:10" x14ac:dyDescent="0.25">
      <c r="J364" s="15"/>
    </row>
    <row r="365" spans="10:10" x14ac:dyDescent="0.25">
      <c r="J365" s="15"/>
    </row>
    <row r="366" spans="10:10" x14ac:dyDescent="0.25">
      <c r="J366" s="15"/>
    </row>
    <row r="367" spans="10:10" x14ac:dyDescent="0.25">
      <c r="J367" s="15"/>
    </row>
    <row r="368" spans="10:10" x14ac:dyDescent="0.25">
      <c r="J368" s="15"/>
    </row>
    <row r="369" spans="10:10" x14ac:dyDescent="0.25">
      <c r="J369" s="15"/>
    </row>
    <row r="370" spans="10:10" x14ac:dyDescent="0.25">
      <c r="J370" s="15"/>
    </row>
    <row r="371" spans="10:10" x14ac:dyDescent="0.25">
      <c r="J371" s="15"/>
    </row>
    <row r="372" spans="10:10" x14ac:dyDescent="0.25">
      <c r="J372" s="15"/>
    </row>
    <row r="373" spans="10:10" x14ac:dyDescent="0.25">
      <c r="J373" s="15"/>
    </row>
    <row r="374" spans="10:10" x14ac:dyDescent="0.25">
      <c r="J374" s="15"/>
    </row>
    <row r="375" spans="10:10" x14ac:dyDescent="0.25">
      <c r="J375" s="15"/>
    </row>
    <row r="376" spans="10:10" x14ac:dyDescent="0.25">
      <c r="J376" s="15"/>
    </row>
    <row r="377" spans="10:10" x14ac:dyDescent="0.25">
      <c r="J377" s="15"/>
    </row>
    <row r="378" spans="10:10" x14ac:dyDescent="0.25">
      <c r="J378" s="15"/>
    </row>
    <row r="379" spans="10:10" x14ac:dyDescent="0.25">
      <c r="J379" s="15"/>
    </row>
    <row r="380" spans="10:10" x14ac:dyDescent="0.25">
      <c r="J380" s="15"/>
    </row>
    <row r="381" spans="10:10" x14ac:dyDescent="0.25">
      <c r="J381" s="15"/>
    </row>
    <row r="382" spans="10:10" x14ac:dyDescent="0.25">
      <c r="J382" s="15"/>
    </row>
    <row r="383" spans="10:10" x14ac:dyDescent="0.25">
      <c r="J383" s="15"/>
    </row>
    <row r="384" spans="10:10" x14ac:dyDescent="0.25">
      <c r="J384" s="15"/>
    </row>
    <row r="385" spans="10:10" x14ac:dyDescent="0.25">
      <c r="J385" s="15"/>
    </row>
    <row r="386" spans="10:10" x14ac:dyDescent="0.25">
      <c r="J386" s="15"/>
    </row>
    <row r="387" spans="10:10" x14ac:dyDescent="0.25">
      <c r="J387" s="15"/>
    </row>
    <row r="388" spans="10:10" x14ac:dyDescent="0.25">
      <c r="J388" s="15"/>
    </row>
    <row r="389" spans="10:10" x14ac:dyDescent="0.25">
      <c r="J389" s="15"/>
    </row>
    <row r="390" spans="10:10" x14ac:dyDescent="0.25">
      <c r="J390" s="15"/>
    </row>
    <row r="391" spans="10:10" x14ac:dyDescent="0.25">
      <c r="J391" s="15"/>
    </row>
    <row r="392" spans="10:10" x14ac:dyDescent="0.25">
      <c r="J392" s="15"/>
    </row>
    <row r="393" spans="10:10" x14ac:dyDescent="0.25">
      <c r="J393" s="15"/>
    </row>
    <row r="394" spans="10:10" x14ac:dyDescent="0.25">
      <c r="J394" s="15"/>
    </row>
    <row r="395" spans="10:10" x14ac:dyDescent="0.25">
      <c r="J395" s="15"/>
    </row>
    <row r="396" spans="10:10" x14ac:dyDescent="0.25">
      <c r="J396" s="15"/>
    </row>
    <row r="397" spans="10:10" x14ac:dyDescent="0.25">
      <c r="J397" s="15"/>
    </row>
    <row r="398" spans="10:10" x14ac:dyDescent="0.25">
      <c r="J398" s="15"/>
    </row>
    <row r="399" spans="10:10" x14ac:dyDescent="0.25">
      <c r="J399" s="15"/>
    </row>
    <row r="400" spans="10:10" x14ac:dyDescent="0.25">
      <c r="J400" s="15"/>
    </row>
    <row r="401" spans="10:10" x14ac:dyDescent="0.25">
      <c r="J401" s="15"/>
    </row>
    <row r="402" spans="10:10" x14ac:dyDescent="0.25">
      <c r="J402" s="15"/>
    </row>
    <row r="403" spans="10:10" x14ac:dyDescent="0.25">
      <c r="J403" s="15"/>
    </row>
    <row r="404" spans="10:10" x14ac:dyDescent="0.25">
      <c r="J404" s="15"/>
    </row>
    <row r="405" spans="10:10" x14ac:dyDescent="0.25">
      <c r="J405" s="15"/>
    </row>
    <row r="406" spans="10:10" x14ac:dyDescent="0.25">
      <c r="J406" s="15"/>
    </row>
    <row r="407" spans="10:10" x14ac:dyDescent="0.25">
      <c r="J407" s="15"/>
    </row>
    <row r="408" spans="10:10" x14ac:dyDescent="0.25">
      <c r="J408" s="15"/>
    </row>
    <row r="409" spans="10:10" x14ac:dyDescent="0.25">
      <c r="J409" s="15"/>
    </row>
    <row r="410" spans="10:10" x14ac:dyDescent="0.25">
      <c r="J410" s="15"/>
    </row>
    <row r="411" spans="10:10" x14ac:dyDescent="0.25">
      <c r="J411" s="15"/>
    </row>
    <row r="412" spans="10:10" x14ac:dyDescent="0.25">
      <c r="J412" s="15"/>
    </row>
    <row r="413" spans="10:10" x14ac:dyDescent="0.25">
      <c r="J413" s="15"/>
    </row>
    <row r="414" spans="10:10" x14ac:dyDescent="0.25">
      <c r="J414" s="15"/>
    </row>
    <row r="415" spans="10:10" x14ac:dyDescent="0.25">
      <c r="J415" s="15"/>
    </row>
    <row r="416" spans="10:10" x14ac:dyDescent="0.25">
      <c r="J416" s="15"/>
    </row>
    <row r="417" spans="10:10" x14ac:dyDescent="0.25">
      <c r="J417" s="15"/>
    </row>
    <row r="418" spans="10:10" x14ac:dyDescent="0.25">
      <c r="J418" s="15"/>
    </row>
    <row r="419" spans="10:10" x14ac:dyDescent="0.25">
      <c r="J419" s="15"/>
    </row>
    <row r="420" spans="10:10" x14ac:dyDescent="0.25">
      <c r="J420" s="15"/>
    </row>
    <row r="421" spans="10:10" x14ac:dyDescent="0.25">
      <c r="J421" s="15"/>
    </row>
    <row r="422" spans="10:10" x14ac:dyDescent="0.25">
      <c r="J422" s="15"/>
    </row>
    <row r="423" spans="10:10" x14ac:dyDescent="0.25">
      <c r="J423" s="15"/>
    </row>
    <row r="424" spans="10:10" x14ac:dyDescent="0.25">
      <c r="J424" s="15"/>
    </row>
    <row r="425" spans="10:10" x14ac:dyDescent="0.25">
      <c r="J425" s="15"/>
    </row>
    <row r="426" spans="10:10" x14ac:dyDescent="0.25">
      <c r="J426" s="15"/>
    </row>
    <row r="427" spans="10:10" x14ac:dyDescent="0.25">
      <c r="J427" s="15"/>
    </row>
    <row r="428" spans="10:10" x14ac:dyDescent="0.25">
      <c r="J428" s="15"/>
    </row>
    <row r="429" spans="10:10" x14ac:dyDescent="0.25">
      <c r="J429" s="15"/>
    </row>
    <row r="430" spans="10:10" x14ac:dyDescent="0.25">
      <c r="J430" s="15"/>
    </row>
    <row r="431" spans="10:10" x14ac:dyDescent="0.25">
      <c r="J431" s="15"/>
    </row>
    <row r="432" spans="10:10" x14ac:dyDescent="0.25">
      <c r="J432" s="15"/>
    </row>
    <row r="433" spans="10:10" x14ac:dyDescent="0.25">
      <c r="J433" s="15"/>
    </row>
    <row r="434" spans="10:10" x14ac:dyDescent="0.25">
      <c r="J434" s="15"/>
    </row>
    <row r="435" spans="10:10" x14ac:dyDescent="0.25">
      <c r="J435" s="15"/>
    </row>
    <row r="436" spans="10:10" x14ac:dyDescent="0.25">
      <c r="J436" s="15"/>
    </row>
    <row r="437" spans="10:10" x14ac:dyDescent="0.25">
      <c r="J437" s="15"/>
    </row>
    <row r="438" spans="10:10" x14ac:dyDescent="0.25">
      <c r="J438" s="15"/>
    </row>
    <row r="439" spans="10:10" x14ac:dyDescent="0.25">
      <c r="J439" s="15"/>
    </row>
    <row r="440" spans="10:10" x14ac:dyDescent="0.25">
      <c r="J440" s="15"/>
    </row>
    <row r="441" spans="10:10" x14ac:dyDescent="0.25">
      <c r="J441" s="15"/>
    </row>
    <row r="442" spans="10:10" x14ac:dyDescent="0.25">
      <c r="J442" s="15"/>
    </row>
    <row r="443" spans="10:10" x14ac:dyDescent="0.25">
      <c r="J443" s="15"/>
    </row>
    <row r="444" spans="10:10" x14ac:dyDescent="0.25">
      <c r="J444" s="15"/>
    </row>
    <row r="445" spans="10:10" x14ac:dyDescent="0.25">
      <c r="J445" s="15"/>
    </row>
    <row r="446" spans="10:10" x14ac:dyDescent="0.25">
      <c r="J446" s="15"/>
    </row>
    <row r="447" spans="10:10" x14ac:dyDescent="0.25">
      <c r="J447" s="15"/>
    </row>
    <row r="448" spans="10:10" x14ac:dyDescent="0.25">
      <c r="J448" s="15"/>
    </row>
    <row r="449" spans="10:10" x14ac:dyDescent="0.25">
      <c r="J449" s="15"/>
    </row>
    <row r="450" spans="10:10" x14ac:dyDescent="0.25">
      <c r="J450" s="15"/>
    </row>
    <row r="451" spans="10:10" x14ac:dyDescent="0.25">
      <c r="J451" s="15"/>
    </row>
    <row r="452" spans="10:10" x14ac:dyDescent="0.25">
      <c r="J452" s="15"/>
    </row>
    <row r="453" spans="10:10" x14ac:dyDescent="0.25">
      <c r="J453" s="15"/>
    </row>
    <row r="454" spans="10:10" x14ac:dyDescent="0.25">
      <c r="J454" s="15"/>
    </row>
    <row r="455" spans="10:10" x14ac:dyDescent="0.25">
      <c r="J455" s="15"/>
    </row>
    <row r="456" spans="10:10" x14ac:dyDescent="0.25">
      <c r="J456" s="15"/>
    </row>
    <row r="457" spans="10:10" x14ac:dyDescent="0.25">
      <c r="J457" s="15"/>
    </row>
    <row r="458" spans="10:10" x14ac:dyDescent="0.25">
      <c r="J458" s="15"/>
    </row>
    <row r="459" spans="10:10" x14ac:dyDescent="0.25">
      <c r="J459" s="15"/>
    </row>
    <row r="460" spans="10:10" x14ac:dyDescent="0.25">
      <c r="J460" s="15"/>
    </row>
    <row r="461" spans="10:10" x14ac:dyDescent="0.25">
      <c r="J461" s="15"/>
    </row>
    <row r="462" spans="10:10" x14ac:dyDescent="0.25">
      <c r="J462" s="15"/>
    </row>
    <row r="463" spans="10:10" x14ac:dyDescent="0.25">
      <c r="J463" s="15"/>
    </row>
    <row r="464" spans="10:10" x14ac:dyDescent="0.25">
      <c r="J464" s="15"/>
    </row>
    <row r="465" spans="10:10" x14ac:dyDescent="0.25">
      <c r="J465" s="15"/>
    </row>
    <row r="466" spans="10:10" x14ac:dyDescent="0.25">
      <c r="J466" s="15"/>
    </row>
    <row r="467" spans="10:10" x14ac:dyDescent="0.25">
      <c r="J467" s="15"/>
    </row>
    <row r="468" spans="10:10" x14ac:dyDescent="0.25">
      <c r="J468" s="15"/>
    </row>
    <row r="469" spans="10:10" x14ac:dyDescent="0.25">
      <c r="J469" s="15"/>
    </row>
    <row r="470" spans="10:10" x14ac:dyDescent="0.25">
      <c r="J470" s="15"/>
    </row>
    <row r="471" spans="10:10" x14ac:dyDescent="0.25">
      <c r="J471" s="15"/>
    </row>
    <row r="472" spans="10:10" x14ac:dyDescent="0.25">
      <c r="J472" s="15"/>
    </row>
    <row r="473" spans="10:10" x14ac:dyDescent="0.25">
      <c r="J473" s="15"/>
    </row>
    <row r="474" spans="10:10" x14ac:dyDescent="0.25">
      <c r="J474" s="15"/>
    </row>
    <row r="475" spans="10:10" x14ac:dyDescent="0.25">
      <c r="J475" s="15"/>
    </row>
    <row r="476" spans="10:10" x14ac:dyDescent="0.25">
      <c r="J476" s="15"/>
    </row>
    <row r="477" spans="10:10" x14ac:dyDescent="0.25">
      <c r="J477" s="15"/>
    </row>
    <row r="478" spans="10:10" x14ac:dyDescent="0.25">
      <c r="J478" s="15"/>
    </row>
    <row r="479" spans="10:10" x14ac:dyDescent="0.25">
      <c r="J479" s="15"/>
    </row>
    <row r="480" spans="10:10" x14ac:dyDescent="0.25">
      <c r="J480" s="15"/>
    </row>
    <row r="481" spans="10:10" x14ac:dyDescent="0.25">
      <c r="J481" s="15"/>
    </row>
    <row r="482" spans="10:10" x14ac:dyDescent="0.25">
      <c r="J482" s="15"/>
    </row>
    <row r="483" spans="10:10" x14ac:dyDescent="0.25">
      <c r="J483" s="15"/>
    </row>
    <row r="484" spans="10:10" x14ac:dyDescent="0.25">
      <c r="J484" s="15"/>
    </row>
    <row r="485" spans="10:10" x14ac:dyDescent="0.25">
      <c r="J485" s="15"/>
    </row>
    <row r="486" spans="10:10" x14ac:dyDescent="0.25">
      <c r="J486" s="15"/>
    </row>
    <row r="487" spans="10:10" x14ac:dyDescent="0.25">
      <c r="J487" s="15"/>
    </row>
    <row r="488" spans="10:10" x14ac:dyDescent="0.25">
      <c r="J488" s="15"/>
    </row>
    <row r="489" spans="10:10" x14ac:dyDescent="0.25">
      <c r="J489" s="15"/>
    </row>
    <row r="490" spans="10:10" x14ac:dyDescent="0.25">
      <c r="J490" s="15"/>
    </row>
    <row r="491" spans="10:10" x14ac:dyDescent="0.25">
      <c r="J491" s="15"/>
    </row>
    <row r="492" spans="10:10" x14ac:dyDescent="0.25">
      <c r="J492" s="15"/>
    </row>
    <row r="493" spans="10:10" x14ac:dyDescent="0.25">
      <c r="J493" s="15"/>
    </row>
    <row r="494" spans="10:10" x14ac:dyDescent="0.25">
      <c r="J494" s="15"/>
    </row>
    <row r="495" spans="10:10" x14ac:dyDescent="0.25">
      <c r="J495" s="15"/>
    </row>
    <row r="496" spans="10:10" x14ac:dyDescent="0.25">
      <c r="J496" s="15"/>
    </row>
    <row r="497" spans="10:10" x14ac:dyDescent="0.25">
      <c r="J497" s="15"/>
    </row>
    <row r="498" spans="10:10" x14ac:dyDescent="0.25">
      <c r="J498" s="15"/>
    </row>
    <row r="499" spans="10:10" x14ac:dyDescent="0.25">
      <c r="J499" s="15"/>
    </row>
    <row r="500" spans="10:10" x14ac:dyDescent="0.25">
      <c r="J500" s="15"/>
    </row>
    <row r="501" spans="10:10" x14ac:dyDescent="0.25">
      <c r="J501" s="15"/>
    </row>
    <row r="502" spans="10:10" x14ac:dyDescent="0.25">
      <c r="J502" s="15"/>
    </row>
    <row r="503" spans="10:10" x14ac:dyDescent="0.25">
      <c r="J503" s="15"/>
    </row>
    <row r="504" spans="10:10" x14ac:dyDescent="0.25">
      <c r="J504" s="15"/>
    </row>
    <row r="505" spans="10:10" x14ac:dyDescent="0.25">
      <c r="J505" s="15"/>
    </row>
    <row r="506" spans="10:10" x14ac:dyDescent="0.25">
      <c r="J506" s="15"/>
    </row>
    <row r="507" spans="10:10" x14ac:dyDescent="0.25">
      <c r="J507" s="15"/>
    </row>
    <row r="508" spans="10:10" x14ac:dyDescent="0.25">
      <c r="J508" s="15"/>
    </row>
    <row r="509" spans="10:10" x14ac:dyDescent="0.25">
      <c r="J509" s="15"/>
    </row>
    <row r="510" spans="10:10" x14ac:dyDescent="0.25">
      <c r="J510" s="15"/>
    </row>
    <row r="511" spans="10:10" x14ac:dyDescent="0.25">
      <c r="J511" s="15"/>
    </row>
    <row r="512" spans="10:10" x14ac:dyDescent="0.25">
      <c r="J512" s="15"/>
    </row>
    <row r="513" spans="10:10" x14ac:dyDescent="0.25">
      <c r="J513" s="15"/>
    </row>
    <row r="514" spans="10:10" x14ac:dyDescent="0.25">
      <c r="J514" s="15"/>
    </row>
    <row r="515" spans="10:10" x14ac:dyDescent="0.25">
      <c r="J515" s="15"/>
    </row>
    <row r="516" spans="10:10" x14ac:dyDescent="0.25">
      <c r="J516" s="15"/>
    </row>
    <row r="517" spans="10:10" x14ac:dyDescent="0.25">
      <c r="J517" s="15"/>
    </row>
    <row r="518" spans="10:10" x14ac:dyDescent="0.25">
      <c r="J518" s="15"/>
    </row>
    <row r="519" spans="10:10" x14ac:dyDescent="0.25">
      <c r="J519" s="15"/>
    </row>
    <row r="520" spans="10:10" x14ac:dyDescent="0.25">
      <c r="J520" s="15"/>
    </row>
    <row r="521" spans="10:10" x14ac:dyDescent="0.25">
      <c r="J521" s="15"/>
    </row>
    <row r="522" spans="10:10" x14ac:dyDescent="0.25">
      <c r="J522" s="15"/>
    </row>
    <row r="523" spans="10:10" x14ac:dyDescent="0.25">
      <c r="J523" s="15"/>
    </row>
    <row r="524" spans="10:10" x14ac:dyDescent="0.25">
      <c r="J524" s="15"/>
    </row>
    <row r="525" spans="10:10" x14ac:dyDescent="0.25">
      <c r="J525" s="15"/>
    </row>
    <row r="526" spans="10:10" x14ac:dyDescent="0.25">
      <c r="J526" s="15"/>
    </row>
    <row r="527" spans="10:10" x14ac:dyDescent="0.25">
      <c r="J527" s="15"/>
    </row>
    <row r="528" spans="10:10" x14ac:dyDescent="0.25">
      <c r="J528" s="15"/>
    </row>
    <row r="529" spans="10:10" x14ac:dyDescent="0.25">
      <c r="J529" s="15"/>
    </row>
    <row r="530" spans="10:10" x14ac:dyDescent="0.25">
      <c r="J530" s="15"/>
    </row>
    <row r="531" spans="10:10" x14ac:dyDescent="0.25">
      <c r="J531" s="15"/>
    </row>
    <row r="532" spans="10:10" x14ac:dyDescent="0.25">
      <c r="J532" s="15"/>
    </row>
    <row r="533" spans="10:10" x14ac:dyDescent="0.25">
      <c r="J533" s="15"/>
    </row>
    <row r="534" spans="10:10" x14ac:dyDescent="0.25">
      <c r="J534" s="15"/>
    </row>
    <row r="535" spans="10:10" x14ac:dyDescent="0.25">
      <c r="J535" s="15"/>
    </row>
    <row r="536" spans="10:10" x14ac:dyDescent="0.25">
      <c r="J536" s="15"/>
    </row>
    <row r="537" spans="10:10" x14ac:dyDescent="0.25">
      <c r="J537" s="15"/>
    </row>
    <row r="538" spans="10:10" x14ac:dyDescent="0.25">
      <c r="J538" s="15"/>
    </row>
    <row r="539" spans="10:10" x14ac:dyDescent="0.25">
      <c r="J539" s="15"/>
    </row>
    <row r="540" spans="10:10" x14ac:dyDescent="0.25">
      <c r="J540" s="15"/>
    </row>
    <row r="541" spans="10:10" x14ac:dyDescent="0.25">
      <c r="J541" s="15"/>
    </row>
    <row r="542" spans="10:10" x14ac:dyDescent="0.25">
      <c r="J542" s="15"/>
    </row>
    <row r="543" spans="10:10" x14ac:dyDescent="0.25">
      <c r="J543" s="15"/>
    </row>
    <row r="544" spans="10:10" x14ac:dyDescent="0.25">
      <c r="J544" s="15"/>
    </row>
    <row r="545" spans="10:10" x14ac:dyDescent="0.25">
      <c r="J545" s="15"/>
    </row>
    <row r="546" spans="10:10" x14ac:dyDescent="0.25">
      <c r="J546" s="15"/>
    </row>
    <row r="547" spans="10:10" x14ac:dyDescent="0.25">
      <c r="J547" s="15"/>
    </row>
    <row r="548" spans="10:10" x14ac:dyDescent="0.25">
      <c r="J548" s="15"/>
    </row>
    <row r="549" spans="10:10" x14ac:dyDescent="0.25">
      <c r="J549" s="15"/>
    </row>
    <row r="550" spans="10:10" x14ac:dyDescent="0.25">
      <c r="J550" s="15"/>
    </row>
    <row r="551" spans="10:10" x14ac:dyDescent="0.25">
      <c r="J551" s="15"/>
    </row>
    <row r="552" spans="10:10" x14ac:dyDescent="0.25">
      <c r="J552" s="15"/>
    </row>
    <row r="553" spans="10:10" x14ac:dyDescent="0.25">
      <c r="J553" s="15"/>
    </row>
    <row r="554" spans="10:10" x14ac:dyDescent="0.25">
      <c r="J554" s="15"/>
    </row>
    <row r="555" spans="10:10" x14ac:dyDescent="0.25">
      <c r="J555" s="15"/>
    </row>
    <row r="556" spans="10:10" x14ac:dyDescent="0.25">
      <c r="J556" s="15"/>
    </row>
    <row r="557" spans="10:10" x14ac:dyDescent="0.25">
      <c r="J557" s="15"/>
    </row>
    <row r="558" spans="10:10" x14ac:dyDescent="0.25">
      <c r="J558" s="15"/>
    </row>
    <row r="559" spans="10:10" x14ac:dyDescent="0.25">
      <c r="J559" s="15"/>
    </row>
    <row r="560" spans="10:10" x14ac:dyDescent="0.25">
      <c r="J560" s="15"/>
    </row>
    <row r="561" spans="10:10" x14ac:dyDescent="0.25">
      <c r="J561" s="15"/>
    </row>
    <row r="562" spans="10:10" x14ac:dyDescent="0.25">
      <c r="J562" s="15"/>
    </row>
    <row r="563" spans="10:10" x14ac:dyDescent="0.25">
      <c r="J563" s="15"/>
    </row>
    <row r="564" spans="10:10" x14ac:dyDescent="0.25">
      <c r="J564" s="15"/>
    </row>
    <row r="565" spans="10:10" x14ac:dyDescent="0.25">
      <c r="J565" s="15"/>
    </row>
    <row r="566" spans="10:10" x14ac:dyDescent="0.25">
      <c r="J566" s="15"/>
    </row>
    <row r="567" spans="10:10" x14ac:dyDescent="0.25">
      <c r="J567" s="15"/>
    </row>
    <row r="568" spans="10:10" x14ac:dyDescent="0.25">
      <c r="J568" s="15"/>
    </row>
    <row r="569" spans="10:10" x14ac:dyDescent="0.25">
      <c r="J569" s="15"/>
    </row>
    <row r="570" spans="10:10" x14ac:dyDescent="0.25">
      <c r="J570" s="15"/>
    </row>
    <row r="571" spans="10:10" x14ac:dyDescent="0.25">
      <c r="J571" s="15"/>
    </row>
    <row r="572" spans="10:10" x14ac:dyDescent="0.25">
      <c r="J572" s="15"/>
    </row>
    <row r="573" spans="10:10" x14ac:dyDescent="0.25">
      <c r="J573" s="15"/>
    </row>
    <row r="574" spans="10:10" x14ac:dyDescent="0.25">
      <c r="J574" s="15"/>
    </row>
    <row r="575" spans="10:10" x14ac:dyDescent="0.25">
      <c r="J575" s="15"/>
    </row>
    <row r="576" spans="10:10" x14ac:dyDescent="0.25">
      <c r="J576" s="15"/>
    </row>
    <row r="577" spans="10:10" x14ac:dyDescent="0.25">
      <c r="J577" s="15"/>
    </row>
    <row r="578" spans="10:10" x14ac:dyDescent="0.25">
      <c r="J578" s="15"/>
    </row>
    <row r="579" spans="10:10" x14ac:dyDescent="0.25">
      <c r="J579" s="15"/>
    </row>
    <row r="580" spans="10:10" x14ac:dyDescent="0.25">
      <c r="J580" s="15"/>
    </row>
    <row r="581" spans="10:10" x14ac:dyDescent="0.25">
      <c r="J581" s="15"/>
    </row>
    <row r="582" spans="10:10" x14ac:dyDescent="0.25">
      <c r="J582" s="15"/>
    </row>
    <row r="583" spans="10:10" x14ac:dyDescent="0.25">
      <c r="J583" s="15"/>
    </row>
    <row r="584" spans="10:10" x14ac:dyDescent="0.25">
      <c r="J584" s="15"/>
    </row>
    <row r="585" spans="10:10" x14ac:dyDescent="0.25">
      <c r="J585" s="15"/>
    </row>
    <row r="586" spans="10:10" x14ac:dyDescent="0.25">
      <c r="J586" s="15"/>
    </row>
    <row r="587" spans="10:10" x14ac:dyDescent="0.25">
      <c r="J587" s="15"/>
    </row>
    <row r="588" spans="10:10" x14ac:dyDescent="0.25">
      <c r="J588" s="15"/>
    </row>
    <row r="589" spans="10:10" x14ac:dyDescent="0.25">
      <c r="J589" s="15"/>
    </row>
    <row r="590" spans="10:10" x14ac:dyDescent="0.25">
      <c r="J590" s="15"/>
    </row>
    <row r="591" spans="10:10" x14ac:dyDescent="0.25">
      <c r="J591" s="15"/>
    </row>
    <row r="592" spans="10:10" x14ac:dyDescent="0.25">
      <c r="J592" s="15"/>
    </row>
    <row r="593" spans="10:10" x14ac:dyDescent="0.25">
      <c r="J593" s="15"/>
    </row>
    <row r="594" spans="10:10" x14ac:dyDescent="0.25">
      <c r="J594" s="15"/>
    </row>
    <row r="595" spans="10:10" x14ac:dyDescent="0.25">
      <c r="J595" s="15"/>
    </row>
    <row r="596" spans="10:10" x14ac:dyDescent="0.25">
      <c r="J596" s="15"/>
    </row>
    <row r="597" spans="10:10" x14ac:dyDescent="0.25">
      <c r="J597" s="15"/>
    </row>
    <row r="598" spans="10:10" x14ac:dyDescent="0.25">
      <c r="J598" s="15"/>
    </row>
    <row r="599" spans="10:10" x14ac:dyDescent="0.25">
      <c r="J599" s="15"/>
    </row>
    <row r="600" spans="10:10" x14ac:dyDescent="0.25">
      <c r="J600" s="15"/>
    </row>
    <row r="601" spans="10:10" x14ac:dyDescent="0.25">
      <c r="J601" s="15"/>
    </row>
    <row r="602" spans="10:10" x14ac:dyDescent="0.25">
      <c r="J602" s="15"/>
    </row>
    <row r="603" spans="10:10" x14ac:dyDescent="0.25">
      <c r="J603" s="15"/>
    </row>
    <row r="604" spans="10:10" x14ac:dyDescent="0.25">
      <c r="J604" s="15"/>
    </row>
    <row r="605" spans="10:10" x14ac:dyDescent="0.25">
      <c r="J605" s="15"/>
    </row>
    <row r="606" spans="10:10" x14ac:dyDescent="0.25">
      <c r="J606" s="15"/>
    </row>
    <row r="607" spans="10:10" x14ac:dyDescent="0.25">
      <c r="J607" s="15"/>
    </row>
    <row r="608" spans="10:10" x14ac:dyDescent="0.25">
      <c r="J608" s="15"/>
    </row>
    <row r="609" spans="10:10" x14ac:dyDescent="0.25">
      <c r="J609" s="15"/>
    </row>
    <row r="610" spans="10:10" x14ac:dyDescent="0.25">
      <c r="J610" s="15"/>
    </row>
    <row r="611" spans="10:10" x14ac:dyDescent="0.25">
      <c r="J611" s="15"/>
    </row>
    <row r="612" spans="10:10" x14ac:dyDescent="0.25">
      <c r="J612" s="15"/>
    </row>
    <row r="613" spans="10:10" x14ac:dyDescent="0.25">
      <c r="J613" s="15"/>
    </row>
    <row r="614" spans="10:10" x14ac:dyDescent="0.25">
      <c r="J614" s="15"/>
    </row>
    <row r="615" spans="10:10" x14ac:dyDescent="0.25">
      <c r="J615" s="15"/>
    </row>
    <row r="616" spans="10:10" x14ac:dyDescent="0.25">
      <c r="J616" s="15"/>
    </row>
    <row r="617" spans="10:10" x14ac:dyDescent="0.25">
      <c r="J617" s="15"/>
    </row>
    <row r="618" spans="10:10" x14ac:dyDescent="0.25">
      <c r="J618" s="15"/>
    </row>
    <row r="619" spans="10:10" x14ac:dyDescent="0.25">
      <c r="J619" s="15"/>
    </row>
    <row r="620" spans="10:10" x14ac:dyDescent="0.25">
      <c r="J620" s="15"/>
    </row>
    <row r="621" spans="10:10" x14ac:dyDescent="0.25">
      <c r="J621" s="15"/>
    </row>
    <row r="622" spans="10:10" x14ac:dyDescent="0.25">
      <c r="J622" s="15"/>
    </row>
    <row r="623" spans="10:10" x14ac:dyDescent="0.25">
      <c r="J623" s="15"/>
    </row>
    <row r="624" spans="10:10" x14ac:dyDescent="0.25">
      <c r="J624" s="15"/>
    </row>
    <row r="625" spans="10:10" x14ac:dyDescent="0.25">
      <c r="J625" s="15"/>
    </row>
    <row r="626" spans="10:10" x14ac:dyDescent="0.25">
      <c r="J626" s="15"/>
    </row>
    <row r="627" spans="10:10" x14ac:dyDescent="0.25">
      <c r="J627" s="15"/>
    </row>
    <row r="628" spans="10:10" x14ac:dyDescent="0.25">
      <c r="J628" s="15"/>
    </row>
    <row r="629" spans="10:10" x14ac:dyDescent="0.25">
      <c r="J629" s="15"/>
    </row>
    <row r="630" spans="10:10" x14ac:dyDescent="0.25">
      <c r="J630" s="15"/>
    </row>
    <row r="631" spans="10:10" x14ac:dyDescent="0.25">
      <c r="J631" s="15"/>
    </row>
    <row r="632" spans="10:10" x14ac:dyDescent="0.25">
      <c r="J632" s="15"/>
    </row>
    <row r="633" spans="10:10" x14ac:dyDescent="0.25">
      <c r="J633" s="15"/>
    </row>
    <row r="634" spans="10:10" x14ac:dyDescent="0.25">
      <c r="J634" s="15"/>
    </row>
    <row r="635" spans="10:10" x14ac:dyDescent="0.25">
      <c r="J635" s="15"/>
    </row>
    <row r="636" spans="10:10" x14ac:dyDescent="0.25">
      <c r="J636" s="15"/>
    </row>
    <row r="637" spans="10:10" x14ac:dyDescent="0.25">
      <c r="J637" s="15"/>
    </row>
    <row r="638" spans="10:10" x14ac:dyDescent="0.25">
      <c r="J638" s="15"/>
    </row>
    <row r="639" spans="10:10" x14ac:dyDescent="0.25">
      <c r="J639" s="15"/>
    </row>
    <row r="640" spans="10:10" x14ac:dyDescent="0.25">
      <c r="J640" s="15"/>
    </row>
    <row r="641" spans="10:10" x14ac:dyDescent="0.25">
      <c r="J641" s="15"/>
    </row>
    <row r="642" spans="10:10" x14ac:dyDescent="0.25">
      <c r="J642" s="15"/>
    </row>
    <row r="643" spans="10:10" x14ac:dyDescent="0.25">
      <c r="J643" s="15"/>
    </row>
    <row r="644" spans="10:10" x14ac:dyDescent="0.25">
      <c r="J644" s="15"/>
    </row>
    <row r="645" spans="10:10" x14ac:dyDescent="0.25">
      <c r="J645" s="15"/>
    </row>
    <row r="646" spans="10:10" x14ac:dyDescent="0.25">
      <c r="J646" s="15"/>
    </row>
    <row r="647" spans="10:10" x14ac:dyDescent="0.25">
      <c r="J647" s="15"/>
    </row>
    <row r="648" spans="10:10" x14ac:dyDescent="0.25">
      <c r="J648" s="15"/>
    </row>
    <row r="649" spans="10:10" x14ac:dyDescent="0.25">
      <c r="J649" s="15"/>
    </row>
    <row r="650" spans="10:10" x14ac:dyDescent="0.25">
      <c r="J650" s="15"/>
    </row>
    <row r="651" spans="10:10" x14ac:dyDescent="0.25">
      <c r="J651" s="15"/>
    </row>
    <row r="652" spans="10:10" x14ac:dyDescent="0.25">
      <c r="J652" s="15"/>
    </row>
    <row r="653" spans="10:10" x14ac:dyDescent="0.25">
      <c r="J653" s="15"/>
    </row>
    <row r="654" spans="10:10" x14ac:dyDescent="0.25">
      <c r="J654" s="15"/>
    </row>
    <row r="655" spans="10:10" x14ac:dyDescent="0.25">
      <c r="J655" s="15"/>
    </row>
    <row r="656" spans="10:10" x14ac:dyDescent="0.25">
      <c r="J656" s="15"/>
    </row>
    <row r="657" spans="10:10" x14ac:dyDescent="0.25">
      <c r="J657" s="15"/>
    </row>
    <row r="658" spans="10:10" x14ac:dyDescent="0.25">
      <c r="J658" s="15"/>
    </row>
    <row r="659" spans="10:10" x14ac:dyDescent="0.25">
      <c r="J659" s="15"/>
    </row>
    <row r="660" spans="10:10" x14ac:dyDescent="0.25">
      <c r="J660" s="15"/>
    </row>
    <row r="661" spans="10:10" x14ac:dyDescent="0.25">
      <c r="J661" s="15"/>
    </row>
    <row r="662" spans="10:10" x14ac:dyDescent="0.25">
      <c r="J662" s="15"/>
    </row>
    <row r="663" spans="10:10" x14ac:dyDescent="0.25">
      <c r="J663" s="15"/>
    </row>
    <row r="664" spans="10:10" x14ac:dyDescent="0.25">
      <c r="J664" s="15"/>
    </row>
    <row r="665" spans="10:10" x14ac:dyDescent="0.25">
      <c r="J665" s="15"/>
    </row>
    <row r="666" spans="10:10" x14ac:dyDescent="0.25">
      <c r="J666" s="15"/>
    </row>
    <row r="667" spans="10:10" x14ac:dyDescent="0.25">
      <c r="J667" s="15"/>
    </row>
    <row r="668" spans="10:10" x14ac:dyDescent="0.25">
      <c r="J668" s="15"/>
    </row>
    <row r="669" spans="10:10" x14ac:dyDescent="0.25">
      <c r="J669" s="15"/>
    </row>
    <row r="670" spans="10:10" x14ac:dyDescent="0.25">
      <c r="J670" s="15"/>
    </row>
    <row r="671" spans="10:10" x14ac:dyDescent="0.25">
      <c r="J671" s="15"/>
    </row>
    <row r="672" spans="10:10" x14ac:dyDescent="0.25">
      <c r="J672" s="15"/>
    </row>
    <row r="673" spans="10:10" x14ac:dyDescent="0.25">
      <c r="J673" s="15"/>
    </row>
    <row r="674" spans="10:10" x14ac:dyDescent="0.25">
      <c r="J674" s="15"/>
    </row>
    <row r="675" spans="10:10" x14ac:dyDescent="0.25">
      <c r="J675" s="15"/>
    </row>
    <row r="676" spans="10:10" x14ac:dyDescent="0.25">
      <c r="J676" s="15"/>
    </row>
    <row r="677" spans="10:10" x14ac:dyDescent="0.25">
      <c r="J677" s="15"/>
    </row>
    <row r="678" spans="10:10" x14ac:dyDescent="0.25">
      <c r="J678" s="15"/>
    </row>
    <row r="679" spans="10:10" x14ac:dyDescent="0.25">
      <c r="J679" s="15"/>
    </row>
    <row r="680" spans="10:10" x14ac:dyDescent="0.25">
      <c r="J680" s="15"/>
    </row>
    <row r="681" spans="10:10" x14ac:dyDescent="0.25">
      <c r="J681" s="15"/>
    </row>
    <row r="682" spans="10:10" x14ac:dyDescent="0.25">
      <c r="J682" s="15"/>
    </row>
    <row r="683" spans="10:10" x14ac:dyDescent="0.25">
      <c r="J683" s="15"/>
    </row>
    <row r="684" spans="10:10" x14ac:dyDescent="0.25">
      <c r="J684" s="15"/>
    </row>
    <row r="685" spans="10:10" x14ac:dyDescent="0.25">
      <c r="J685" s="15"/>
    </row>
    <row r="686" spans="10:10" x14ac:dyDescent="0.25">
      <c r="J686" s="15"/>
    </row>
    <row r="687" spans="10:10" x14ac:dyDescent="0.25">
      <c r="J687" s="15"/>
    </row>
    <row r="688" spans="10:10" x14ac:dyDescent="0.25">
      <c r="J688" s="15"/>
    </row>
    <row r="689" spans="10:10" x14ac:dyDescent="0.25">
      <c r="J689" s="15"/>
    </row>
    <row r="690" spans="10:10" x14ac:dyDescent="0.25">
      <c r="J690" s="15"/>
    </row>
    <row r="691" spans="10:10" x14ac:dyDescent="0.25">
      <c r="J691" s="15"/>
    </row>
    <row r="692" spans="10:10" x14ac:dyDescent="0.25">
      <c r="J692" s="15"/>
    </row>
    <row r="693" spans="10:10" x14ac:dyDescent="0.25">
      <c r="J693" s="15"/>
    </row>
    <row r="694" spans="10:10" x14ac:dyDescent="0.25">
      <c r="J694" s="15"/>
    </row>
    <row r="695" spans="10:10" x14ac:dyDescent="0.25">
      <c r="J695" s="15"/>
    </row>
    <row r="696" spans="10:10" x14ac:dyDescent="0.25">
      <c r="J696" s="15"/>
    </row>
    <row r="697" spans="10:10" x14ac:dyDescent="0.25">
      <c r="J697" s="15"/>
    </row>
    <row r="698" spans="10:10" x14ac:dyDescent="0.25">
      <c r="J698" s="15"/>
    </row>
    <row r="699" spans="10:10" x14ac:dyDescent="0.25">
      <c r="J699" s="15"/>
    </row>
    <row r="700" spans="10:10" x14ac:dyDescent="0.25">
      <c r="J700" s="15"/>
    </row>
    <row r="701" spans="10:10" x14ac:dyDescent="0.25">
      <c r="J701" s="15"/>
    </row>
    <row r="702" spans="10:10" x14ac:dyDescent="0.25">
      <c r="J702" s="15"/>
    </row>
    <row r="703" spans="10:10" x14ac:dyDescent="0.25">
      <c r="J703" s="15"/>
    </row>
    <row r="704" spans="10:10" x14ac:dyDescent="0.25">
      <c r="J704" s="15"/>
    </row>
    <row r="705" spans="10:10" x14ac:dyDescent="0.25">
      <c r="J705" s="15"/>
    </row>
    <row r="706" spans="10:10" x14ac:dyDescent="0.25">
      <c r="J706" s="15"/>
    </row>
    <row r="707" spans="10:10" x14ac:dyDescent="0.25">
      <c r="J707" s="15"/>
    </row>
    <row r="708" spans="10:10" x14ac:dyDescent="0.25">
      <c r="J708" s="15"/>
    </row>
    <row r="709" spans="10:10" x14ac:dyDescent="0.25">
      <c r="J709" s="15"/>
    </row>
    <row r="710" spans="10:10" x14ac:dyDescent="0.25">
      <c r="J710" s="15"/>
    </row>
    <row r="711" spans="10:10" x14ac:dyDescent="0.25">
      <c r="J711" s="15"/>
    </row>
    <row r="712" spans="10:10" x14ac:dyDescent="0.25">
      <c r="J712" s="15"/>
    </row>
    <row r="713" spans="10:10" x14ac:dyDescent="0.25">
      <c r="J713" s="15"/>
    </row>
    <row r="714" spans="10:10" x14ac:dyDescent="0.25">
      <c r="J714" s="15"/>
    </row>
    <row r="715" spans="10:10" x14ac:dyDescent="0.25">
      <c r="J715" s="15"/>
    </row>
    <row r="716" spans="10:10" x14ac:dyDescent="0.25">
      <c r="J716" s="15"/>
    </row>
    <row r="717" spans="10:10" x14ac:dyDescent="0.25">
      <c r="J717" s="15"/>
    </row>
    <row r="718" spans="10:10" x14ac:dyDescent="0.25">
      <c r="J718" s="15"/>
    </row>
    <row r="719" spans="10:10" x14ac:dyDescent="0.25">
      <c r="J719" s="15"/>
    </row>
    <row r="720" spans="10:10" x14ac:dyDescent="0.25">
      <c r="J720" s="15"/>
    </row>
    <row r="721" spans="10:10" x14ac:dyDescent="0.25">
      <c r="J721" s="15"/>
    </row>
    <row r="722" spans="10:10" x14ac:dyDescent="0.25">
      <c r="J722" s="15"/>
    </row>
    <row r="723" spans="10:10" x14ac:dyDescent="0.25">
      <c r="J723" s="15"/>
    </row>
    <row r="724" spans="10:10" x14ac:dyDescent="0.25">
      <c r="J724" s="15"/>
    </row>
    <row r="725" spans="10:10" x14ac:dyDescent="0.25">
      <c r="J725" s="15"/>
    </row>
    <row r="726" spans="10:10" x14ac:dyDescent="0.25">
      <c r="J726" s="15"/>
    </row>
    <row r="727" spans="10:10" x14ac:dyDescent="0.25">
      <c r="J727" s="15"/>
    </row>
    <row r="728" spans="10:10" x14ac:dyDescent="0.25">
      <c r="J728" s="15"/>
    </row>
    <row r="729" spans="10:10" x14ac:dyDescent="0.25">
      <c r="J729" s="15"/>
    </row>
    <row r="730" spans="10:10" x14ac:dyDescent="0.25">
      <c r="J730" s="15"/>
    </row>
    <row r="731" spans="10:10" x14ac:dyDescent="0.25">
      <c r="J731" s="15"/>
    </row>
    <row r="732" spans="10:10" x14ac:dyDescent="0.25">
      <c r="J732" s="15"/>
    </row>
    <row r="733" spans="10:10" x14ac:dyDescent="0.25">
      <c r="J733" s="15"/>
    </row>
    <row r="734" spans="10:10" x14ac:dyDescent="0.25">
      <c r="J734" s="15"/>
    </row>
    <row r="735" spans="10:10" x14ac:dyDescent="0.25">
      <c r="J735" s="15"/>
    </row>
    <row r="736" spans="10:10" x14ac:dyDescent="0.25">
      <c r="J736" s="15"/>
    </row>
    <row r="737" spans="10:10" x14ac:dyDescent="0.25">
      <c r="J737" s="15"/>
    </row>
    <row r="738" spans="10:10" x14ac:dyDescent="0.25">
      <c r="J738" s="15"/>
    </row>
    <row r="739" spans="10:10" x14ac:dyDescent="0.25">
      <c r="J739" s="15"/>
    </row>
    <row r="740" spans="10:10" x14ac:dyDescent="0.25">
      <c r="J740" s="15"/>
    </row>
    <row r="741" spans="10:10" x14ac:dyDescent="0.25">
      <c r="J741" s="15"/>
    </row>
    <row r="742" spans="10:10" x14ac:dyDescent="0.25">
      <c r="J742" s="15"/>
    </row>
    <row r="743" spans="10:10" x14ac:dyDescent="0.25">
      <c r="J743" s="15"/>
    </row>
    <row r="744" spans="10:10" x14ac:dyDescent="0.25">
      <c r="J744" s="15"/>
    </row>
    <row r="745" spans="10:10" x14ac:dyDescent="0.25">
      <c r="J745" s="15"/>
    </row>
    <row r="746" spans="10:10" x14ac:dyDescent="0.25">
      <c r="J746" s="15"/>
    </row>
    <row r="747" spans="10:10" x14ac:dyDescent="0.25">
      <c r="J747" s="15"/>
    </row>
    <row r="748" spans="10:10" x14ac:dyDescent="0.25">
      <c r="J748" s="15"/>
    </row>
    <row r="749" spans="10:10" x14ac:dyDescent="0.25">
      <c r="J749" s="15"/>
    </row>
    <row r="750" spans="10:10" x14ac:dyDescent="0.25">
      <c r="J750" s="15"/>
    </row>
    <row r="751" spans="10:10" x14ac:dyDescent="0.25">
      <c r="J751" s="15"/>
    </row>
    <row r="752" spans="10:10" x14ac:dyDescent="0.25">
      <c r="J752" s="15"/>
    </row>
    <row r="753" spans="10:10" x14ac:dyDescent="0.25">
      <c r="J753" s="15"/>
    </row>
    <row r="754" spans="10:10" x14ac:dyDescent="0.25">
      <c r="J754" s="15"/>
    </row>
    <row r="755" spans="10:10" x14ac:dyDescent="0.25">
      <c r="J755" s="15"/>
    </row>
    <row r="756" spans="10:10" x14ac:dyDescent="0.25">
      <c r="J756" s="15"/>
    </row>
    <row r="757" spans="10:10" x14ac:dyDescent="0.25">
      <c r="J757" s="15"/>
    </row>
    <row r="758" spans="10:10" x14ac:dyDescent="0.25">
      <c r="J758" s="15"/>
    </row>
    <row r="759" spans="10:10" x14ac:dyDescent="0.25">
      <c r="J759" s="15"/>
    </row>
    <row r="760" spans="10:10" x14ac:dyDescent="0.25">
      <c r="J760" s="15"/>
    </row>
    <row r="761" spans="10:10" x14ac:dyDescent="0.25">
      <c r="J761" s="15"/>
    </row>
    <row r="762" spans="10:10" x14ac:dyDescent="0.25">
      <c r="J762" s="15"/>
    </row>
    <row r="763" spans="10:10" x14ac:dyDescent="0.25">
      <c r="J763" s="15"/>
    </row>
    <row r="764" spans="10:10" x14ac:dyDescent="0.25">
      <c r="J764" s="15"/>
    </row>
    <row r="765" spans="10:10" x14ac:dyDescent="0.25">
      <c r="J765" s="15"/>
    </row>
    <row r="766" spans="10:10" x14ac:dyDescent="0.25">
      <c r="J766" s="15"/>
    </row>
    <row r="767" spans="10:10" x14ac:dyDescent="0.25">
      <c r="J767" s="15"/>
    </row>
    <row r="768" spans="10:10" x14ac:dyDescent="0.25">
      <c r="J768" s="15"/>
    </row>
    <row r="769" spans="10:10" x14ac:dyDescent="0.25">
      <c r="J769" s="15"/>
    </row>
    <row r="770" spans="10:10" x14ac:dyDescent="0.25">
      <c r="J770" s="15"/>
    </row>
    <row r="771" spans="10:10" x14ac:dyDescent="0.25">
      <c r="J771" s="15"/>
    </row>
    <row r="772" spans="10:10" x14ac:dyDescent="0.25">
      <c r="J772" s="15"/>
    </row>
    <row r="773" spans="10:10" x14ac:dyDescent="0.25">
      <c r="J773" s="15"/>
    </row>
    <row r="774" spans="10:10" x14ac:dyDescent="0.25">
      <c r="J774" s="15"/>
    </row>
    <row r="775" spans="10:10" x14ac:dyDescent="0.25">
      <c r="J775" s="15"/>
    </row>
    <row r="776" spans="10:10" x14ac:dyDescent="0.25">
      <c r="J776" s="15"/>
    </row>
    <row r="777" spans="10:10" x14ac:dyDescent="0.25">
      <c r="J777" s="15"/>
    </row>
    <row r="778" spans="10:10" x14ac:dyDescent="0.25">
      <c r="J778" s="15"/>
    </row>
    <row r="779" spans="10:10" x14ac:dyDescent="0.25">
      <c r="J779" s="15"/>
    </row>
    <row r="780" spans="10:10" x14ac:dyDescent="0.25">
      <c r="J780" s="15"/>
    </row>
    <row r="781" spans="10:10" x14ac:dyDescent="0.25">
      <c r="J781" s="15"/>
    </row>
    <row r="782" spans="10:10" x14ac:dyDescent="0.25">
      <c r="J782" s="15"/>
    </row>
    <row r="783" spans="10:10" x14ac:dyDescent="0.25">
      <c r="J783" s="15"/>
    </row>
    <row r="784" spans="10:10" x14ac:dyDescent="0.25">
      <c r="J784" s="15"/>
    </row>
    <row r="785" spans="10:10" x14ac:dyDescent="0.25">
      <c r="J785" s="15"/>
    </row>
    <row r="786" spans="10:10" x14ac:dyDescent="0.25">
      <c r="J786" s="15"/>
    </row>
    <row r="787" spans="10:10" x14ac:dyDescent="0.25">
      <c r="J787" s="15"/>
    </row>
    <row r="788" spans="10:10" x14ac:dyDescent="0.25">
      <c r="J788" s="15"/>
    </row>
    <row r="789" spans="10:10" x14ac:dyDescent="0.25">
      <c r="J789" s="15"/>
    </row>
    <row r="790" spans="10:10" x14ac:dyDescent="0.25">
      <c r="J790" s="15"/>
    </row>
    <row r="791" spans="10:10" x14ac:dyDescent="0.25">
      <c r="J791" s="15"/>
    </row>
    <row r="792" spans="10:10" x14ac:dyDescent="0.25">
      <c r="J792" s="15"/>
    </row>
    <row r="793" spans="10:10" x14ac:dyDescent="0.25">
      <c r="J793" s="15"/>
    </row>
    <row r="794" spans="10:10" x14ac:dyDescent="0.25">
      <c r="J794" s="15"/>
    </row>
    <row r="795" spans="10:10" x14ac:dyDescent="0.25">
      <c r="J795" s="15"/>
    </row>
    <row r="796" spans="10:10" x14ac:dyDescent="0.25">
      <c r="J796" s="15"/>
    </row>
    <row r="797" spans="10:10" x14ac:dyDescent="0.25">
      <c r="J797" s="15"/>
    </row>
    <row r="798" spans="10:10" x14ac:dyDescent="0.25">
      <c r="J798" s="15"/>
    </row>
    <row r="799" spans="10:10" x14ac:dyDescent="0.25">
      <c r="J799" s="15"/>
    </row>
    <row r="800" spans="10:10" x14ac:dyDescent="0.25">
      <c r="J800" s="15"/>
    </row>
    <row r="801" spans="10:10" x14ac:dyDescent="0.25">
      <c r="J801" s="15"/>
    </row>
    <row r="802" spans="10:10" x14ac:dyDescent="0.25">
      <c r="J802" s="15"/>
    </row>
    <row r="803" spans="10:10" x14ac:dyDescent="0.25">
      <c r="J803" s="15"/>
    </row>
    <row r="804" spans="10:10" x14ac:dyDescent="0.25">
      <c r="J804" s="15"/>
    </row>
    <row r="805" spans="10:10" x14ac:dyDescent="0.25">
      <c r="J805" s="15"/>
    </row>
    <row r="806" spans="10:10" x14ac:dyDescent="0.25">
      <c r="J806" s="15"/>
    </row>
    <row r="807" spans="10:10" x14ac:dyDescent="0.25">
      <c r="J807" s="15"/>
    </row>
    <row r="808" spans="10:10" x14ac:dyDescent="0.25">
      <c r="J808" s="15"/>
    </row>
    <row r="809" spans="10:10" x14ac:dyDescent="0.25">
      <c r="J809" s="15"/>
    </row>
    <row r="810" spans="10:10" x14ac:dyDescent="0.25">
      <c r="J810" s="15"/>
    </row>
    <row r="811" spans="10:10" x14ac:dyDescent="0.25">
      <c r="J811" s="15"/>
    </row>
    <row r="812" spans="10:10" x14ac:dyDescent="0.25">
      <c r="J812" s="15"/>
    </row>
    <row r="813" spans="10:10" x14ac:dyDescent="0.25">
      <c r="J813" s="15"/>
    </row>
    <row r="814" spans="10:10" x14ac:dyDescent="0.25">
      <c r="J814" s="15"/>
    </row>
    <row r="815" spans="10:10" x14ac:dyDescent="0.25">
      <c r="J815" s="15"/>
    </row>
    <row r="816" spans="10:10" x14ac:dyDescent="0.25">
      <c r="J816" s="15"/>
    </row>
    <row r="817" spans="10:10" x14ac:dyDescent="0.25">
      <c r="J817" s="15"/>
    </row>
    <row r="818" spans="10:10" x14ac:dyDescent="0.25">
      <c r="J818" s="15"/>
    </row>
    <row r="819" spans="10:10" x14ac:dyDescent="0.25">
      <c r="J819" s="15"/>
    </row>
    <row r="820" spans="10:10" x14ac:dyDescent="0.25">
      <c r="J820" s="15"/>
    </row>
    <row r="821" spans="10:10" x14ac:dyDescent="0.25">
      <c r="J821" s="15"/>
    </row>
    <row r="822" spans="10:10" x14ac:dyDescent="0.25">
      <c r="J822" s="15"/>
    </row>
    <row r="823" spans="10:10" x14ac:dyDescent="0.25">
      <c r="J823" s="15"/>
    </row>
    <row r="824" spans="10:10" x14ac:dyDescent="0.25">
      <c r="J824" s="15"/>
    </row>
    <row r="825" spans="10:10" x14ac:dyDescent="0.25">
      <c r="J825" s="15"/>
    </row>
    <row r="826" spans="10:10" x14ac:dyDescent="0.25">
      <c r="J826" s="15"/>
    </row>
    <row r="827" spans="10:10" x14ac:dyDescent="0.25">
      <c r="J827" s="15"/>
    </row>
    <row r="828" spans="10:10" x14ac:dyDescent="0.25">
      <c r="J828" s="15"/>
    </row>
    <row r="829" spans="10:10" x14ac:dyDescent="0.25">
      <c r="J829" s="15"/>
    </row>
    <row r="830" spans="10:10" x14ac:dyDescent="0.25">
      <c r="J830" s="15"/>
    </row>
    <row r="831" spans="10:10" x14ac:dyDescent="0.25">
      <c r="J831" s="15"/>
    </row>
    <row r="832" spans="10:10" x14ac:dyDescent="0.25">
      <c r="J832" s="15"/>
    </row>
    <row r="833" spans="10:10" x14ac:dyDescent="0.25">
      <c r="J833" s="15"/>
    </row>
    <row r="834" spans="10:10" x14ac:dyDescent="0.25">
      <c r="J834" s="15"/>
    </row>
    <row r="835" spans="10:10" x14ac:dyDescent="0.25">
      <c r="J835" s="15"/>
    </row>
    <row r="836" spans="10:10" x14ac:dyDescent="0.25">
      <c r="J836" s="15"/>
    </row>
    <row r="837" spans="10:10" x14ac:dyDescent="0.25">
      <c r="J837" s="15"/>
    </row>
    <row r="838" spans="10:10" x14ac:dyDescent="0.25">
      <c r="J838" s="15"/>
    </row>
    <row r="839" spans="10:10" x14ac:dyDescent="0.25">
      <c r="J839" s="15"/>
    </row>
    <row r="840" spans="10:10" x14ac:dyDescent="0.25">
      <c r="J840" s="15"/>
    </row>
    <row r="841" spans="10:10" x14ac:dyDescent="0.25">
      <c r="J841" s="15"/>
    </row>
    <row r="842" spans="10:10" x14ac:dyDescent="0.25">
      <c r="J842" s="15"/>
    </row>
    <row r="843" spans="10:10" x14ac:dyDescent="0.25">
      <c r="J843" s="15"/>
    </row>
    <row r="844" spans="10:10" x14ac:dyDescent="0.25">
      <c r="J844" s="15"/>
    </row>
    <row r="845" spans="10:10" x14ac:dyDescent="0.25">
      <c r="J845" s="15"/>
    </row>
    <row r="846" spans="10:10" x14ac:dyDescent="0.25">
      <c r="J846" s="15"/>
    </row>
    <row r="847" spans="10:10" x14ac:dyDescent="0.25">
      <c r="J847" s="15"/>
    </row>
    <row r="848" spans="10:10" x14ac:dyDescent="0.25">
      <c r="J848" s="15"/>
    </row>
    <row r="849" spans="10:10" x14ac:dyDescent="0.25">
      <c r="J849" s="15"/>
    </row>
    <row r="850" spans="10:10" x14ac:dyDescent="0.25">
      <c r="J850" s="15"/>
    </row>
    <row r="851" spans="10:10" x14ac:dyDescent="0.25">
      <c r="J851" s="15"/>
    </row>
    <row r="852" spans="10:10" x14ac:dyDescent="0.25">
      <c r="J852" s="15"/>
    </row>
    <row r="853" spans="10:10" x14ac:dyDescent="0.25">
      <c r="J853" s="15"/>
    </row>
    <row r="854" spans="10:10" x14ac:dyDescent="0.25">
      <c r="J854" s="15"/>
    </row>
    <row r="855" spans="10:10" x14ac:dyDescent="0.25">
      <c r="J855" s="15"/>
    </row>
    <row r="856" spans="10:10" x14ac:dyDescent="0.25">
      <c r="J856" s="15"/>
    </row>
    <row r="857" spans="10:10" x14ac:dyDescent="0.25">
      <c r="J857" s="15"/>
    </row>
    <row r="858" spans="10:10" x14ac:dyDescent="0.25">
      <c r="J858" s="15"/>
    </row>
    <row r="859" spans="10:10" x14ac:dyDescent="0.25">
      <c r="J859" s="15"/>
    </row>
    <row r="860" spans="10:10" x14ac:dyDescent="0.25">
      <c r="J860" s="15"/>
    </row>
    <row r="861" spans="10:10" x14ac:dyDescent="0.25">
      <c r="J861" s="15"/>
    </row>
    <row r="862" spans="10:10" x14ac:dyDescent="0.25">
      <c r="J862" s="15"/>
    </row>
    <row r="863" spans="10:10" x14ac:dyDescent="0.25">
      <c r="J863" s="15"/>
    </row>
    <row r="864" spans="10:10" x14ac:dyDescent="0.25">
      <c r="J864" s="15"/>
    </row>
    <row r="865" spans="10:10" x14ac:dyDescent="0.25">
      <c r="J865" s="15"/>
    </row>
    <row r="866" spans="10:10" x14ac:dyDescent="0.25">
      <c r="J866" s="15"/>
    </row>
    <row r="867" spans="10:10" x14ac:dyDescent="0.25">
      <c r="J867" s="15"/>
    </row>
    <row r="868" spans="10:10" x14ac:dyDescent="0.25">
      <c r="J868" s="15"/>
    </row>
    <row r="869" spans="10:10" x14ac:dyDescent="0.25">
      <c r="J869" s="15"/>
    </row>
    <row r="870" spans="10:10" x14ac:dyDescent="0.25">
      <c r="J870" s="15"/>
    </row>
    <row r="871" spans="10:10" x14ac:dyDescent="0.25">
      <c r="J871" s="15"/>
    </row>
    <row r="872" spans="10:10" x14ac:dyDescent="0.25">
      <c r="J872" s="15"/>
    </row>
    <row r="873" spans="10:10" x14ac:dyDescent="0.25">
      <c r="J873" s="15"/>
    </row>
    <row r="874" spans="10:10" x14ac:dyDescent="0.25">
      <c r="J874" s="15"/>
    </row>
    <row r="875" spans="10:10" x14ac:dyDescent="0.25">
      <c r="J875" s="15"/>
    </row>
    <row r="876" spans="10:10" x14ac:dyDescent="0.25">
      <c r="J876" s="15"/>
    </row>
    <row r="877" spans="10:10" x14ac:dyDescent="0.25">
      <c r="J877" s="15"/>
    </row>
    <row r="878" spans="10:10" x14ac:dyDescent="0.25">
      <c r="J878" s="15"/>
    </row>
    <row r="879" spans="10:10" x14ac:dyDescent="0.25">
      <c r="J879" s="15"/>
    </row>
    <row r="880" spans="10:10" x14ac:dyDescent="0.25">
      <c r="J880" s="15"/>
    </row>
    <row r="881" spans="10:10" x14ac:dyDescent="0.25">
      <c r="J881" s="15"/>
    </row>
    <row r="882" spans="10:10" x14ac:dyDescent="0.25">
      <c r="J882" s="15"/>
    </row>
    <row r="883" spans="10:10" x14ac:dyDescent="0.25">
      <c r="J883" s="15"/>
    </row>
    <row r="884" spans="10:10" x14ac:dyDescent="0.25">
      <c r="J884" s="15"/>
    </row>
    <row r="885" spans="10:10" x14ac:dyDescent="0.25">
      <c r="J885" s="15"/>
    </row>
    <row r="886" spans="10:10" x14ac:dyDescent="0.25">
      <c r="J886" s="15"/>
    </row>
    <row r="887" spans="10:10" x14ac:dyDescent="0.25">
      <c r="J887" s="15"/>
    </row>
    <row r="888" spans="10:10" x14ac:dyDescent="0.25">
      <c r="J888" s="15"/>
    </row>
    <row r="889" spans="10:10" x14ac:dyDescent="0.25">
      <c r="J889" s="15"/>
    </row>
    <row r="890" spans="10:10" x14ac:dyDescent="0.25">
      <c r="J890" s="15"/>
    </row>
    <row r="891" spans="10:10" x14ac:dyDescent="0.25">
      <c r="J891" s="15"/>
    </row>
    <row r="892" spans="10:10" x14ac:dyDescent="0.25">
      <c r="J892" s="15"/>
    </row>
    <row r="893" spans="10:10" x14ac:dyDescent="0.25">
      <c r="J893" s="15"/>
    </row>
    <row r="894" spans="10:10" x14ac:dyDescent="0.25">
      <c r="J894" s="15"/>
    </row>
    <row r="895" spans="10:10" x14ac:dyDescent="0.25">
      <c r="J895" s="15"/>
    </row>
    <row r="896" spans="10:10" x14ac:dyDescent="0.25">
      <c r="J896" s="15"/>
    </row>
    <row r="897" spans="10:10" x14ac:dyDescent="0.25">
      <c r="J897" s="15"/>
    </row>
    <row r="898" spans="10:10" x14ac:dyDescent="0.25">
      <c r="J898" s="15"/>
    </row>
    <row r="899" spans="10:10" x14ac:dyDescent="0.25">
      <c r="J899" s="15"/>
    </row>
    <row r="900" spans="10:10" x14ac:dyDescent="0.25">
      <c r="J900" s="15"/>
    </row>
    <row r="901" spans="10:10" x14ac:dyDescent="0.25">
      <c r="J901" s="15"/>
    </row>
    <row r="902" spans="10:10" x14ac:dyDescent="0.25">
      <c r="J902" s="15"/>
    </row>
    <row r="903" spans="10:10" x14ac:dyDescent="0.25">
      <c r="J903" s="15"/>
    </row>
    <row r="904" spans="10:10" x14ac:dyDescent="0.25">
      <c r="J904" s="15"/>
    </row>
    <row r="905" spans="10:10" x14ac:dyDescent="0.25">
      <c r="J905" s="15"/>
    </row>
    <row r="906" spans="10:10" x14ac:dyDescent="0.25">
      <c r="J906" s="15"/>
    </row>
    <row r="907" spans="10:10" x14ac:dyDescent="0.25">
      <c r="J907" s="15"/>
    </row>
    <row r="908" spans="10:10" x14ac:dyDescent="0.25">
      <c r="J908" s="15"/>
    </row>
    <row r="909" spans="10:10" x14ac:dyDescent="0.25">
      <c r="J909" s="15"/>
    </row>
    <row r="910" spans="10:10" x14ac:dyDescent="0.25">
      <c r="J910" s="15"/>
    </row>
    <row r="911" spans="10:10" x14ac:dyDescent="0.25">
      <c r="J911" s="15"/>
    </row>
    <row r="912" spans="10:10" x14ac:dyDescent="0.25">
      <c r="J912" s="15"/>
    </row>
    <row r="913" spans="10:10" x14ac:dyDescent="0.25">
      <c r="J913" s="15"/>
    </row>
    <row r="914" spans="10:10" x14ac:dyDescent="0.25">
      <c r="J914" s="15"/>
    </row>
    <row r="915" spans="10:10" x14ac:dyDescent="0.25">
      <c r="J915" s="15"/>
    </row>
    <row r="916" spans="10:10" x14ac:dyDescent="0.25">
      <c r="J916" s="15"/>
    </row>
    <row r="917" spans="10:10" x14ac:dyDescent="0.25">
      <c r="J917" s="15"/>
    </row>
    <row r="918" spans="10:10" x14ac:dyDescent="0.25">
      <c r="J918" s="15"/>
    </row>
    <row r="919" spans="10:10" x14ac:dyDescent="0.25">
      <c r="J919" s="15"/>
    </row>
    <row r="920" spans="10:10" x14ac:dyDescent="0.25">
      <c r="J920" s="15"/>
    </row>
    <row r="921" spans="10:10" x14ac:dyDescent="0.25">
      <c r="J921" s="15"/>
    </row>
    <row r="922" spans="10:10" x14ac:dyDescent="0.25">
      <c r="J922" s="15"/>
    </row>
    <row r="923" spans="10:10" x14ac:dyDescent="0.25">
      <c r="J923" s="15"/>
    </row>
    <row r="924" spans="10:10" x14ac:dyDescent="0.25">
      <c r="J924" s="15"/>
    </row>
    <row r="925" spans="10:10" x14ac:dyDescent="0.25">
      <c r="J925" s="15"/>
    </row>
    <row r="926" spans="10:10" x14ac:dyDescent="0.25">
      <c r="J926" s="15"/>
    </row>
    <row r="927" spans="10:10" x14ac:dyDescent="0.25">
      <c r="J927" s="15"/>
    </row>
    <row r="928" spans="10:10" x14ac:dyDescent="0.25">
      <c r="J928" s="15"/>
    </row>
    <row r="929" spans="10:10" x14ac:dyDescent="0.25">
      <c r="J929" s="15"/>
    </row>
    <row r="930" spans="10:10" x14ac:dyDescent="0.25">
      <c r="J930" s="15"/>
    </row>
    <row r="931" spans="10:10" x14ac:dyDescent="0.25">
      <c r="J931" s="15"/>
    </row>
    <row r="932" spans="10:10" x14ac:dyDescent="0.25">
      <c r="J932" s="15"/>
    </row>
    <row r="933" spans="10:10" x14ac:dyDescent="0.25">
      <c r="J933" s="15"/>
    </row>
    <row r="934" spans="10:10" x14ac:dyDescent="0.25">
      <c r="J934" s="15"/>
    </row>
    <row r="935" spans="10:10" x14ac:dyDescent="0.25">
      <c r="J935" s="15"/>
    </row>
    <row r="936" spans="10:10" x14ac:dyDescent="0.25">
      <c r="J936" s="15"/>
    </row>
    <row r="937" spans="10:10" x14ac:dyDescent="0.25">
      <c r="J937" s="15"/>
    </row>
    <row r="938" spans="10:10" x14ac:dyDescent="0.25">
      <c r="J938" s="15"/>
    </row>
    <row r="939" spans="10:10" x14ac:dyDescent="0.25">
      <c r="J939" s="15"/>
    </row>
    <row r="940" spans="10:10" x14ac:dyDescent="0.25">
      <c r="J940" s="15"/>
    </row>
    <row r="941" spans="10:10" x14ac:dyDescent="0.25">
      <c r="J941" s="15"/>
    </row>
    <row r="942" spans="10:10" x14ac:dyDescent="0.25">
      <c r="J942" s="15"/>
    </row>
    <row r="943" spans="10:10" x14ac:dyDescent="0.25">
      <c r="J943" s="15"/>
    </row>
    <row r="944" spans="10:10" x14ac:dyDescent="0.25">
      <c r="J944" s="15"/>
    </row>
    <row r="945" spans="10:10" x14ac:dyDescent="0.25">
      <c r="J945" s="15"/>
    </row>
    <row r="946" spans="10:10" x14ac:dyDescent="0.25">
      <c r="J946" s="15"/>
    </row>
    <row r="947" spans="10:10" x14ac:dyDescent="0.25">
      <c r="J947" s="15"/>
    </row>
    <row r="948" spans="10:10" x14ac:dyDescent="0.25">
      <c r="J948" s="15"/>
    </row>
    <row r="949" spans="10:10" x14ac:dyDescent="0.25">
      <c r="J949" s="15"/>
    </row>
    <row r="950" spans="10:10" x14ac:dyDescent="0.25">
      <c r="J950" s="15"/>
    </row>
    <row r="951" spans="10:10" x14ac:dyDescent="0.25">
      <c r="J951" s="15"/>
    </row>
    <row r="952" spans="10:10" x14ac:dyDescent="0.25">
      <c r="J952" s="15"/>
    </row>
    <row r="953" spans="10:10" x14ac:dyDescent="0.25">
      <c r="J953" s="15"/>
    </row>
    <row r="954" spans="10:10" x14ac:dyDescent="0.25">
      <c r="J954" s="15"/>
    </row>
    <row r="955" spans="10:10" x14ac:dyDescent="0.25">
      <c r="J955" s="15"/>
    </row>
    <row r="956" spans="10:10" x14ac:dyDescent="0.25">
      <c r="J956" s="15"/>
    </row>
    <row r="957" spans="10:10" x14ac:dyDescent="0.25">
      <c r="J957" s="15"/>
    </row>
    <row r="958" spans="10:10" x14ac:dyDescent="0.25">
      <c r="J958" s="15"/>
    </row>
    <row r="959" spans="10:10" x14ac:dyDescent="0.25">
      <c r="J959" s="15"/>
    </row>
    <row r="960" spans="10:10" x14ac:dyDescent="0.25">
      <c r="J960" s="15"/>
    </row>
    <row r="961" spans="10:10" x14ac:dyDescent="0.25">
      <c r="J961" s="15"/>
    </row>
    <row r="962" spans="10:10" x14ac:dyDescent="0.25">
      <c r="J962" s="15"/>
    </row>
    <row r="963" spans="10:10" x14ac:dyDescent="0.25">
      <c r="J963" s="15"/>
    </row>
    <row r="964" spans="10:10" x14ac:dyDescent="0.25">
      <c r="J964" s="15"/>
    </row>
    <row r="965" spans="10:10" x14ac:dyDescent="0.25">
      <c r="J965" s="15"/>
    </row>
    <row r="966" spans="10:10" x14ac:dyDescent="0.25">
      <c r="J966" s="15"/>
    </row>
    <row r="967" spans="10:10" x14ac:dyDescent="0.25">
      <c r="J967" s="15"/>
    </row>
    <row r="968" spans="10:10" x14ac:dyDescent="0.25">
      <c r="J968" s="15"/>
    </row>
    <row r="969" spans="10:10" x14ac:dyDescent="0.25">
      <c r="J969" s="15"/>
    </row>
    <row r="970" spans="10:10" x14ac:dyDescent="0.25">
      <c r="J970" s="15"/>
    </row>
    <row r="971" spans="10:10" x14ac:dyDescent="0.25">
      <c r="J971" s="15"/>
    </row>
    <row r="972" spans="10:10" x14ac:dyDescent="0.25">
      <c r="J972" s="15"/>
    </row>
    <row r="973" spans="10:10" x14ac:dyDescent="0.25">
      <c r="J973" s="15"/>
    </row>
    <row r="974" spans="10:10" x14ac:dyDescent="0.25">
      <c r="J974" s="15"/>
    </row>
    <row r="975" spans="10:10" x14ac:dyDescent="0.25">
      <c r="J975" s="15"/>
    </row>
    <row r="976" spans="10:10" x14ac:dyDescent="0.25">
      <c r="J976" s="15"/>
    </row>
    <row r="977" spans="10:10" x14ac:dyDescent="0.25">
      <c r="J977" s="15"/>
    </row>
    <row r="978" spans="10:10" x14ac:dyDescent="0.25">
      <c r="J978" s="15"/>
    </row>
    <row r="979" spans="10:10" x14ac:dyDescent="0.25">
      <c r="J979" s="15"/>
    </row>
    <row r="980" spans="10:10" x14ac:dyDescent="0.25">
      <c r="J980" s="15"/>
    </row>
    <row r="981" spans="10:10" x14ac:dyDescent="0.25">
      <c r="J981" s="15"/>
    </row>
    <row r="982" spans="10:10" x14ac:dyDescent="0.25">
      <c r="J982" s="15"/>
    </row>
    <row r="983" spans="10:10" x14ac:dyDescent="0.25">
      <c r="J983" s="15"/>
    </row>
    <row r="984" spans="10:10" x14ac:dyDescent="0.25">
      <c r="J984" s="15"/>
    </row>
    <row r="985" spans="10:10" x14ac:dyDescent="0.25">
      <c r="J985" s="15"/>
    </row>
    <row r="986" spans="10:10" x14ac:dyDescent="0.25">
      <c r="J986" s="15"/>
    </row>
    <row r="987" spans="10:10" x14ac:dyDescent="0.25">
      <c r="J987" s="15"/>
    </row>
    <row r="988" spans="10:10" x14ac:dyDescent="0.25">
      <c r="J988" s="15"/>
    </row>
    <row r="989" spans="10:10" x14ac:dyDescent="0.25">
      <c r="J989" s="15"/>
    </row>
    <row r="990" spans="10:10" x14ac:dyDescent="0.25">
      <c r="J990" s="15"/>
    </row>
    <row r="991" spans="10:10" x14ac:dyDescent="0.25">
      <c r="J991" s="15"/>
    </row>
    <row r="992" spans="10:10" x14ac:dyDescent="0.25">
      <c r="J992" s="15"/>
    </row>
    <row r="993" spans="10:10" x14ac:dyDescent="0.25">
      <c r="J993" s="15"/>
    </row>
    <row r="994" spans="10:10" x14ac:dyDescent="0.25">
      <c r="J994" s="15"/>
    </row>
    <row r="995" spans="10:10" x14ac:dyDescent="0.25">
      <c r="J995" s="15"/>
    </row>
    <row r="996" spans="10:10" x14ac:dyDescent="0.25">
      <c r="J996" s="15"/>
    </row>
    <row r="997" spans="10:10" x14ac:dyDescent="0.25">
      <c r="J997" s="15"/>
    </row>
    <row r="998" spans="10:10" x14ac:dyDescent="0.25">
      <c r="J998" s="15"/>
    </row>
    <row r="999" spans="10:10" x14ac:dyDescent="0.25">
      <c r="J999" s="15"/>
    </row>
    <row r="1000" spans="10:10" x14ac:dyDescent="0.25">
      <c r="J1000" s="15"/>
    </row>
    <row r="1001" spans="10:10" x14ac:dyDescent="0.25">
      <c r="J1001" s="15"/>
    </row>
    <row r="1002" spans="10:10" x14ac:dyDescent="0.25">
      <c r="J1002" s="15"/>
    </row>
    <row r="1003" spans="10:10" x14ac:dyDescent="0.25">
      <c r="J1003" s="15"/>
    </row>
    <row r="1004" spans="10:10" x14ac:dyDescent="0.25">
      <c r="J1004" s="15"/>
    </row>
    <row r="1005" spans="10:10" x14ac:dyDescent="0.25">
      <c r="J1005" s="15"/>
    </row>
    <row r="1006" spans="10:10" x14ac:dyDescent="0.25">
      <c r="J1006" s="15"/>
    </row>
    <row r="1007" spans="10:10" x14ac:dyDescent="0.25">
      <c r="J1007" s="15"/>
    </row>
    <row r="1008" spans="10:10" x14ac:dyDescent="0.25">
      <c r="J1008" s="15"/>
    </row>
    <row r="1009" spans="10:10" x14ac:dyDescent="0.25">
      <c r="J1009" s="15"/>
    </row>
    <row r="1010" spans="10:10" x14ac:dyDescent="0.25">
      <c r="J1010" s="15"/>
    </row>
    <row r="1011" spans="10:10" x14ac:dyDescent="0.25">
      <c r="J1011" s="15"/>
    </row>
    <row r="1012" spans="10:10" x14ac:dyDescent="0.25">
      <c r="J1012" s="15"/>
    </row>
    <row r="1013" spans="10:10" x14ac:dyDescent="0.25">
      <c r="J1013" s="15"/>
    </row>
    <row r="1014" spans="10:10" x14ac:dyDescent="0.25">
      <c r="J1014" s="15"/>
    </row>
    <row r="1015" spans="10:10" x14ac:dyDescent="0.25">
      <c r="J1015" s="15"/>
    </row>
    <row r="1016" spans="10:10" x14ac:dyDescent="0.25">
      <c r="J1016" s="15"/>
    </row>
    <row r="1017" spans="10:10" x14ac:dyDescent="0.25">
      <c r="J1017" s="15"/>
    </row>
    <row r="1018" spans="10:10" x14ac:dyDescent="0.25">
      <c r="J1018" s="15"/>
    </row>
    <row r="1019" spans="10:10" x14ac:dyDescent="0.25">
      <c r="J1019" s="15"/>
    </row>
    <row r="1020" spans="10:10" x14ac:dyDescent="0.25">
      <c r="J1020" s="15"/>
    </row>
    <row r="1021" spans="10:10" x14ac:dyDescent="0.25">
      <c r="J1021" s="15"/>
    </row>
    <row r="1022" spans="10:10" x14ac:dyDescent="0.25">
      <c r="J1022" s="15"/>
    </row>
    <row r="1023" spans="10:10" x14ac:dyDescent="0.25">
      <c r="J1023" s="15"/>
    </row>
    <row r="1024" spans="10:10" x14ac:dyDescent="0.25">
      <c r="J1024" s="15"/>
    </row>
    <row r="1025" spans="10:10" x14ac:dyDescent="0.25">
      <c r="J1025" s="15"/>
    </row>
    <row r="1026" spans="10:10" x14ac:dyDescent="0.25">
      <c r="J1026" s="15"/>
    </row>
    <row r="1027" spans="10:10" x14ac:dyDescent="0.25">
      <c r="J1027" s="15"/>
    </row>
    <row r="1028" spans="10:10" x14ac:dyDescent="0.25">
      <c r="J1028" s="15"/>
    </row>
    <row r="1029" spans="10:10" x14ac:dyDescent="0.25">
      <c r="J1029" s="15"/>
    </row>
    <row r="1030" spans="10:10" x14ac:dyDescent="0.25">
      <c r="J1030" s="15"/>
    </row>
    <row r="1031" spans="10:10" x14ac:dyDescent="0.25">
      <c r="J1031" s="15"/>
    </row>
    <row r="1032" spans="10:10" x14ac:dyDescent="0.25">
      <c r="J1032" s="15"/>
    </row>
    <row r="1033" spans="10:10" x14ac:dyDescent="0.25">
      <c r="J1033" s="15"/>
    </row>
    <row r="1034" spans="10:10" x14ac:dyDescent="0.25">
      <c r="J1034" s="15"/>
    </row>
    <row r="1035" spans="10:10" x14ac:dyDescent="0.25">
      <c r="J1035" s="15"/>
    </row>
    <row r="1036" spans="10:10" x14ac:dyDescent="0.25">
      <c r="J1036" s="15"/>
    </row>
    <row r="1037" spans="10:10" x14ac:dyDescent="0.25">
      <c r="J1037" s="15"/>
    </row>
    <row r="1038" spans="10:10" x14ac:dyDescent="0.25">
      <c r="J1038" s="15"/>
    </row>
    <row r="1039" spans="10:10" x14ac:dyDescent="0.25">
      <c r="J1039" s="15"/>
    </row>
    <row r="1040" spans="10:10" x14ac:dyDescent="0.25">
      <c r="J1040" s="15"/>
    </row>
    <row r="1041" spans="10:10" x14ac:dyDescent="0.25">
      <c r="J1041" s="15"/>
    </row>
    <row r="1042" spans="10:10" x14ac:dyDescent="0.25">
      <c r="J1042" s="15"/>
    </row>
    <row r="1043" spans="10:10" x14ac:dyDescent="0.25">
      <c r="J1043" s="15"/>
    </row>
    <row r="1044" spans="10:10" x14ac:dyDescent="0.25">
      <c r="J1044" s="15"/>
    </row>
    <row r="1045" spans="10:10" x14ac:dyDescent="0.25">
      <c r="J1045" s="15"/>
    </row>
    <row r="1046" spans="10:10" x14ac:dyDescent="0.25">
      <c r="J1046" s="15"/>
    </row>
    <row r="1047" spans="10:10" x14ac:dyDescent="0.25">
      <c r="J1047" s="15"/>
    </row>
    <row r="1048" spans="10:10" x14ac:dyDescent="0.25">
      <c r="J1048" s="15"/>
    </row>
    <row r="1049" spans="10:10" x14ac:dyDescent="0.25">
      <c r="J1049" s="15"/>
    </row>
    <row r="1050" spans="10:10" x14ac:dyDescent="0.25">
      <c r="J1050" s="15"/>
    </row>
    <row r="1051" spans="10:10" x14ac:dyDescent="0.25">
      <c r="J1051" s="15"/>
    </row>
    <row r="1052" spans="10:10" x14ac:dyDescent="0.25">
      <c r="J1052" s="15"/>
    </row>
    <row r="1053" spans="10:10" x14ac:dyDescent="0.25">
      <c r="J1053" s="15"/>
    </row>
    <row r="1054" spans="10:10" x14ac:dyDescent="0.25">
      <c r="J1054" s="15"/>
    </row>
    <row r="1055" spans="10:10" x14ac:dyDescent="0.25">
      <c r="J1055" s="15"/>
    </row>
    <row r="1056" spans="10:10" x14ac:dyDescent="0.25">
      <c r="J1056" s="15"/>
    </row>
    <row r="1057" spans="10:10" x14ac:dyDescent="0.25">
      <c r="J1057" s="15"/>
    </row>
    <row r="1058" spans="10:10" x14ac:dyDescent="0.25">
      <c r="J1058" s="15"/>
    </row>
    <row r="1059" spans="10:10" x14ac:dyDescent="0.25">
      <c r="J1059" s="15"/>
    </row>
    <row r="1060" spans="10:10" x14ac:dyDescent="0.25">
      <c r="J1060" s="15"/>
    </row>
    <row r="1061" spans="10:10" x14ac:dyDescent="0.25">
      <c r="J1061" s="15"/>
    </row>
    <row r="1062" spans="10:10" x14ac:dyDescent="0.25">
      <c r="J1062" s="15"/>
    </row>
    <row r="1063" spans="10:10" x14ac:dyDescent="0.25">
      <c r="J1063" s="15"/>
    </row>
    <row r="1064" spans="10:10" x14ac:dyDescent="0.25">
      <c r="J1064" s="15"/>
    </row>
    <row r="1065" spans="10:10" x14ac:dyDescent="0.25">
      <c r="J1065" s="15"/>
    </row>
    <row r="1066" spans="10:10" x14ac:dyDescent="0.25">
      <c r="J1066" s="15"/>
    </row>
    <row r="1067" spans="10:10" x14ac:dyDescent="0.25">
      <c r="J1067" s="15"/>
    </row>
    <row r="1068" spans="10:10" x14ac:dyDescent="0.25">
      <c r="J1068" s="15"/>
    </row>
    <row r="1069" spans="10:10" x14ac:dyDescent="0.25">
      <c r="J1069" s="15"/>
    </row>
    <row r="1070" spans="10:10" x14ac:dyDescent="0.25">
      <c r="J1070" s="15"/>
    </row>
    <row r="1071" spans="10:10" x14ac:dyDescent="0.25">
      <c r="J1071" s="15"/>
    </row>
    <row r="1072" spans="10:10" x14ac:dyDescent="0.25">
      <c r="J1072" s="15"/>
    </row>
    <row r="1073" spans="10:10" x14ac:dyDescent="0.25">
      <c r="J1073" s="15"/>
    </row>
    <row r="1074" spans="10:10" x14ac:dyDescent="0.25">
      <c r="J1074" s="15"/>
    </row>
    <row r="1075" spans="10:10" x14ac:dyDescent="0.25">
      <c r="J1075" s="15"/>
    </row>
    <row r="1076" spans="10:10" x14ac:dyDescent="0.25">
      <c r="J1076" s="15"/>
    </row>
    <row r="1077" spans="10:10" x14ac:dyDescent="0.25">
      <c r="J1077" s="15"/>
    </row>
    <row r="1078" spans="10:10" x14ac:dyDescent="0.25">
      <c r="J1078" s="15"/>
    </row>
    <row r="1079" spans="10:10" x14ac:dyDescent="0.25">
      <c r="J1079" s="15"/>
    </row>
    <row r="1080" spans="10:10" x14ac:dyDescent="0.25">
      <c r="J1080" s="15"/>
    </row>
    <row r="1081" spans="10:10" x14ac:dyDescent="0.25">
      <c r="J1081" s="15"/>
    </row>
    <row r="1082" spans="10:10" x14ac:dyDescent="0.25">
      <c r="J1082" s="15"/>
    </row>
    <row r="1083" spans="10:10" x14ac:dyDescent="0.25">
      <c r="J1083" s="15"/>
    </row>
    <row r="1084" spans="10:10" x14ac:dyDescent="0.25">
      <c r="J1084" s="15"/>
    </row>
    <row r="1085" spans="10:10" x14ac:dyDescent="0.25">
      <c r="J1085" s="15"/>
    </row>
    <row r="1086" spans="10:10" x14ac:dyDescent="0.25">
      <c r="J1086" s="15"/>
    </row>
    <row r="1087" spans="10:10" x14ac:dyDescent="0.25">
      <c r="J1087" s="15"/>
    </row>
    <row r="1088" spans="10:10" x14ac:dyDescent="0.25">
      <c r="J1088" s="15"/>
    </row>
    <row r="1089" spans="10:10" x14ac:dyDescent="0.25">
      <c r="J1089" s="15"/>
    </row>
    <row r="1090" spans="10:10" x14ac:dyDescent="0.25">
      <c r="J1090" s="15"/>
    </row>
    <row r="1091" spans="10:10" x14ac:dyDescent="0.25">
      <c r="J1091" s="15"/>
    </row>
    <row r="1092" spans="10:10" x14ac:dyDescent="0.25">
      <c r="J1092" s="15"/>
    </row>
    <row r="1093" spans="10:10" x14ac:dyDescent="0.25">
      <c r="J1093" s="15"/>
    </row>
    <row r="1094" spans="10:10" x14ac:dyDescent="0.25">
      <c r="J1094" s="15"/>
    </row>
    <row r="1095" spans="10:10" x14ac:dyDescent="0.25">
      <c r="J1095" s="15"/>
    </row>
    <row r="1096" spans="10:10" x14ac:dyDescent="0.25">
      <c r="J1096" s="15"/>
    </row>
    <row r="1097" spans="10:10" x14ac:dyDescent="0.25">
      <c r="J1097" s="15"/>
    </row>
    <row r="1098" spans="10:10" x14ac:dyDescent="0.25">
      <c r="J1098" s="15"/>
    </row>
    <row r="1099" spans="10:10" x14ac:dyDescent="0.25">
      <c r="J1099" s="15"/>
    </row>
    <row r="1100" spans="10:10" x14ac:dyDescent="0.25">
      <c r="J1100" s="15"/>
    </row>
    <row r="1101" spans="10:10" x14ac:dyDescent="0.25">
      <c r="J1101" s="15"/>
    </row>
    <row r="1102" spans="10:10" x14ac:dyDescent="0.25">
      <c r="J1102" s="15"/>
    </row>
    <row r="1103" spans="10:10" x14ac:dyDescent="0.25">
      <c r="J1103" s="15"/>
    </row>
    <row r="1104" spans="10:10" x14ac:dyDescent="0.25">
      <c r="J1104" s="15"/>
    </row>
    <row r="1105" spans="10:10" x14ac:dyDescent="0.25">
      <c r="J1105" s="15"/>
    </row>
    <row r="1106" spans="10:10" x14ac:dyDescent="0.25">
      <c r="J1106" s="15"/>
    </row>
    <row r="1107" spans="10:10" x14ac:dyDescent="0.25">
      <c r="J1107" s="15"/>
    </row>
    <row r="1108" spans="10:10" x14ac:dyDescent="0.25">
      <c r="J1108" s="15"/>
    </row>
    <row r="1109" spans="10:10" x14ac:dyDescent="0.25">
      <c r="J1109" s="15"/>
    </row>
    <row r="1110" spans="10:10" x14ac:dyDescent="0.25">
      <c r="J1110" s="15"/>
    </row>
    <row r="1111" spans="10:10" x14ac:dyDescent="0.25">
      <c r="J1111" s="15"/>
    </row>
    <row r="1112" spans="10:10" x14ac:dyDescent="0.25">
      <c r="J1112" s="15"/>
    </row>
    <row r="1113" spans="10:10" x14ac:dyDescent="0.25">
      <c r="J1113" s="15"/>
    </row>
    <row r="1114" spans="10:10" x14ac:dyDescent="0.25">
      <c r="J1114" s="15"/>
    </row>
    <row r="1115" spans="10:10" x14ac:dyDescent="0.25">
      <c r="J1115" s="15"/>
    </row>
    <row r="1116" spans="10:10" x14ac:dyDescent="0.25">
      <c r="J1116" s="15"/>
    </row>
    <row r="1117" spans="10:10" x14ac:dyDescent="0.25">
      <c r="J1117" s="15"/>
    </row>
    <row r="1118" spans="10:10" x14ac:dyDescent="0.25">
      <c r="J1118" s="15"/>
    </row>
    <row r="1119" spans="10:10" x14ac:dyDescent="0.25">
      <c r="J1119" s="15"/>
    </row>
    <row r="1120" spans="10:10" x14ac:dyDescent="0.25">
      <c r="J1120" s="15"/>
    </row>
    <row r="1121" spans="10:10" x14ac:dyDescent="0.25">
      <c r="J1121" s="15"/>
    </row>
    <row r="1122" spans="10:10" x14ac:dyDescent="0.25">
      <c r="J1122" s="15"/>
    </row>
    <row r="1123" spans="10:10" x14ac:dyDescent="0.25">
      <c r="J1123" s="15"/>
    </row>
    <row r="1124" spans="10:10" x14ac:dyDescent="0.25">
      <c r="J1124" s="15"/>
    </row>
    <row r="1125" spans="10:10" x14ac:dyDescent="0.25">
      <c r="J1125" s="15"/>
    </row>
    <row r="1126" spans="10:10" x14ac:dyDescent="0.25">
      <c r="J1126" s="15"/>
    </row>
    <row r="1127" spans="10:10" x14ac:dyDescent="0.25">
      <c r="J1127" s="15"/>
    </row>
    <row r="1128" spans="10:10" x14ac:dyDescent="0.25">
      <c r="J1128" s="15"/>
    </row>
    <row r="1129" spans="10:10" x14ac:dyDescent="0.25">
      <c r="J1129" s="15"/>
    </row>
    <row r="1130" spans="10:10" x14ac:dyDescent="0.25">
      <c r="J1130" s="15"/>
    </row>
    <row r="1131" spans="10:10" x14ac:dyDescent="0.25">
      <c r="J1131" s="15"/>
    </row>
    <row r="1132" spans="10:10" x14ac:dyDescent="0.25">
      <c r="J1132" s="15"/>
    </row>
    <row r="1133" spans="10:10" x14ac:dyDescent="0.25">
      <c r="J1133" s="15"/>
    </row>
    <row r="1134" spans="10:10" x14ac:dyDescent="0.25">
      <c r="J1134" s="15"/>
    </row>
    <row r="1135" spans="10:10" x14ac:dyDescent="0.25">
      <c r="J1135" s="15"/>
    </row>
    <row r="1136" spans="10:10" x14ac:dyDescent="0.25">
      <c r="J1136" s="15"/>
    </row>
    <row r="1137" spans="10:10" x14ac:dyDescent="0.25">
      <c r="J1137" s="15"/>
    </row>
    <row r="1138" spans="10:10" x14ac:dyDescent="0.25">
      <c r="J1138" s="15"/>
    </row>
    <row r="1139" spans="10:10" x14ac:dyDescent="0.25">
      <c r="J1139" s="15"/>
    </row>
    <row r="1140" spans="10:10" x14ac:dyDescent="0.25">
      <c r="J1140" s="15"/>
    </row>
    <row r="1141" spans="10:10" x14ac:dyDescent="0.25">
      <c r="J1141" s="15"/>
    </row>
    <row r="1142" spans="10:10" x14ac:dyDescent="0.25">
      <c r="J1142" s="15"/>
    </row>
    <row r="1143" spans="10:10" x14ac:dyDescent="0.25">
      <c r="J1143" s="15"/>
    </row>
    <row r="1144" spans="10:10" x14ac:dyDescent="0.25">
      <c r="J1144" s="15"/>
    </row>
    <row r="1145" spans="10:10" x14ac:dyDescent="0.25">
      <c r="J1145" s="15"/>
    </row>
    <row r="1146" spans="10:10" x14ac:dyDescent="0.25">
      <c r="J1146" s="15"/>
    </row>
    <row r="1147" spans="10:10" x14ac:dyDescent="0.25">
      <c r="J1147" s="15"/>
    </row>
    <row r="1148" spans="10:10" x14ac:dyDescent="0.25">
      <c r="J1148" s="15"/>
    </row>
    <row r="1149" spans="10:10" x14ac:dyDescent="0.25">
      <c r="J1149" s="15"/>
    </row>
    <row r="1150" spans="10:10" x14ac:dyDescent="0.25">
      <c r="J1150" s="15"/>
    </row>
    <row r="1151" spans="10:10" x14ac:dyDescent="0.25">
      <c r="J1151" s="15"/>
    </row>
    <row r="1152" spans="10:10" x14ac:dyDescent="0.25">
      <c r="J1152" s="15"/>
    </row>
    <row r="1153" spans="10:10" x14ac:dyDescent="0.25">
      <c r="J1153" s="15"/>
    </row>
    <row r="1154" spans="10:10" x14ac:dyDescent="0.25">
      <c r="J1154" s="15"/>
    </row>
    <row r="1155" spans="10:10" x14ac:dyDescent="0.25">
      <c r="J1155" s="15"/>
    </row>
    <row r="1156" spans="10:10" x14ac:dyDescent="0.25">
      <c r="J1156" s="15"/>
    </row>
    <row r="1157" spans="10:10" x14ac:dyDescent="0.25">
      <c r="J1157" s="15"/>
    </row>
    <row r="1158" spans="10:10" x14ac:dyDescent="0.25">
      <c r="J1158" s="15"/>
    </row>
    <row r="1159" spans="10:10" x14ac:dyDescent="0.25">
      <c r="J1159" s="15"/>
    </row>
    <row r="1160" spans="10:10" x14ac:dyDescent="0.25">
      <c r="J1160" s="15"/>
    </row>
    <row r="1161" spans="10:10" x14ac:dyDescent="0.25">
      <c r="J1161" s="15"/>
    </row>
    <row r="1162" spans="10:10" x14ac:dyDescent="0.25">
      <c r="J1162" s="15"/>
    </row>
    <row r="1163" spans="10:10" x14ac:dyDescent="0.25">
      <c r="J1163" s="15"/>
    </row>
    <row r="1164" spans="10:10" x14ac:dyDescent="0.25">
      <c r="J1164" s="15"/>
    </row>
    <row r="1165" spans="10:10" x14ac:dyDescent="0.25">
      <c r="J1165" s="15"/>
    </row>
    <row r="1166" spans="10:10" x14ac:dyDescent="0.25">
      <c r="J1166" s="15"/>
    </row>
    <row r="1167" spans="10:10" x14ac:dyDescent="0.25">
      <c r="J1167" s="15"/>
    </row>
    <row r="1168" spans="10:10" x14ac:dyDescent="0.25">
      <c r="J1168" s="15"/>
    </row>
    <row r="1169" spans="10:10" x14ac:dyDescent="0.25">
      <c r="J1169" s="15"/>
    </row>
    <row r="1170" spans="10:10" x14ac:dyDescent="0.25">
      <c r="J1170" s="15"/>
    </row>
    <row r="1171" spans="10:10" x14ac:dyDescent="0.25">
      <c r="J1171" s="15"/>
    </row>
    <row r="1172" spans="10:10" x14ac:dyDescent="0.25">
      <c r="J1172" s="15"/>
    </row>
    <row r="1173" spans="10:10" x14ac:dyDescent="0.25">
      <c r="J1173" s="15"/>
    </row>
    <row r="1174" spans="10:10" x14ac:dyDescent="0.25">
      <c r="J1174" s="15"/>
    </row>
    <row r="1175" spans="10:10" x14ac:dyDescent="0.25">
      <c r="J1175" s="15"/>
    </row>
    <row r="1176" spans="10:10" x14ac:dyDescent="0.25">
      <c r="J1176" s="15"/>
    </row>
    <row r="1177" spans="10:10" x14ac:dyDescent="0.25">
      <c r="J1177" s="15"/>
    </row>
    <row r="1178" spans="10:10" x14ac:dyDescent="0.25">
      <c r="J1178" s="15"/>
    </row>
    <row r="1179" spans="10:10" x14ac:dyDescent="0.25">
      <c r="J1179" s="15"/>
    </row>
    <row r="1180" spans="10:10" x14ac:dyDescent="0.25">
      <c r="J1180" s="15"/>
    </row>
    <row r="1181" spans="10:10" x14ac:dyDescent="0.25">
      <c r="J1181" s="15"/>
    </row>
    <row r="1182" spans="10:10" x14ac:dyDescent="0.25">
      <c r="J1182" s="15"/>
    </row>
    <row r="1183" spans="10:10" x14ac:dyDescent="0.25">
      <c r="J1183" s="15"/>
    </row>
    <row r="1184" spans="10:10" x14ac:dyDescent="0.25">
      <c r="J1184" s="15"/>
    </row>
    <row r="1185" spans="10:10" x14ac:dyDescent="0.25">
      <c r="J1185" s="15"/>
    </row>
    <row r="1186" spans="10:10" x14ac:dyDescent="0.25">
      <c r="J1186" s="15"/>
    </row>
    <row r="1187" spans="10:10" x14ac:dyDescent="0.25">
      <c r="J1187" s="15"/>
    </row>
    <row r="1188" spans="10:10" x14ac:dyDescent="0.25">
      <c r="J1188" s="15"/>
    </row>
    <row r="1189" spans="10:10" x14ac:dyDescent="0.25">
      <c r="J1189" s="15"/>
    </row>
    <row r="1190" spans="10:10" x14ac:dyDescent="0.25">
      <c r="J1190" s="15"/>
    </row>
    <row r="1191" spans="10:10" x14ac:dyDescent="0.25">
      <c r="J1191" s="15"/>
    </row>
    <row r="1192" spans="10:10" x14ac:dyDescent="0.25">
      <c r="J1192" s="15"/>
    </row>
    <row r="1193" spans="10:10" x14ac:dyDescent="0.25">
      <c r="J1193" s="15"/>
    </row>
    <row r="1194" spans="10:10" x14ac:dyDescent="0.25">
      <c r="J1194" s="15"/>
    </row>
    <row r="1195" spans="10:10" x14ac:dyDescent="0.25">
      <c r="J1195" s="15"/>
    </row>
    <row r="1196" spans="10:10" x14ac:dyDescent="0.25">
      <c r="J1196" s="15"/>
    </row>
    <row r="1197" spans="10:10" x14ac:dyDescent="0.25">
      <c r="J1197" s="15"/>
    </row>
    <row r="1198" spans="10:10" x14ac:dyDescent="0.25">
      <c r="J1198" s="15"/>
    </row>
    <row r="1199" spans="10:10" x14ac:dyDescent="0.25">
      <c r="J1199" s="15"/>
    </row>
    <row r="1200" spans="10:10" x14ac:dyDescent="0.25">
      <c r="J1200" s="15"/>
    </row>
    <row r="1201" spans="10:10" x14ac:dyDescent="0.25">
      <c r="J1201" s="15"/>
    </row>
    <row r="1202" spans="10:10" x14ac:dyDescent="0.25">
      <c r="J1202" s="15"/>
    </row>
    <row r="1203" spans="10:10" x14ac:dyDescent="0.25">
      <c r="J1203" s="15"/>
    </row>
    <row r="1204" spans="10:10" x14ac:dyDescent="0.25">
      <c r="J1204" s="15"/>
    </row>
    <row r="1205" spans="10:10" x14ac:dyDescent="0.25">
      <c r="J1205" s="15"/>
    </row>
    <row r="1206" spans="10:10" x14ac:dyDescent="0.25">
      <c r="J1206" s="15"/>
    </row>
    <row r="1207" spans="10:10" x14ac:dyDescent="0.25">
      <c r="J1207" s="15"/>
    </row>
    <row r="1208" spans="10:10" x14ac:dyDescent="0.25">
      <c r="J1208" s="15"/>
    </row>
    <row r="1209" spans="10:10" x14ac:dyDescent="0.25">
      <c r="J1209" s="15"/>
    </row>
    <row r="1210" spans="10:10" x14ac:dyDescent="0.25">
      <c r="J1210" s="15"/>
    </row>
    <row r="1211" spans="10:10" x14ac:dyDescent="0.25">
      <c r="J1211" s="15"/>
    </row>
    <row r="1212" spans="10:10" x14ac:dyDescent="0.25">
      <c r="J1212" s="15"/>
    </row>
    <row r="1213" spans="10:10" x14ac:dyDescent="0.25">
      <c r="J1213" s="15"/>
    </row>
    <row r="1214" spans="10:10" x14ac:dyDescent="0.25">
      <c r="J1214" s="15"/>
    </row>
    <row r="1215" spans="10:10" x14ac:dyDescent="0.25">
      <c r="J1215" s="15"/>
    </row>
    <row r="1216" spans="10:10" x14ac:dyDescent="0.25">
      <c r="J1216" s="15"/>
    </row>
    <row r="1217" spans="10:10" x14ac:dyDescent="0.25">
      <c r="J1217" s="15"/>
    </row>
    <row r="1218" spans="10:10" x14ac:dyDescent="0.25">
      <c r="J1218" s="15"/>
    </row>
    <row r="1219" spans="10:10" x14ac:dyDescent="0.25">
      <c r="J1219" s="15"/>
    </row>
    <row r="1220" spans="10:10" x14ac:dyDescent="0.25">
      <c r="J1220" s="15"/>
    </row>
    <row r="1221" spans="10:10" x14ac:dyDescent="0.25">
      <c r="J1221" s="15"/>
    </row>
    <row r="1222" spans="10:10" x14ac:dyDescent="0.25">
      <c r="J1222" s="15"/>
    </row>
    <row r="1223" spans="10:10" x14ac:dyDescent="0.25">
      <c r="J1223" s="15"/>
    </row>
    <row r="1224" spans="10:10" x14ac:dyDescent="0.25">
      <c r="J1224" s="15"/>
    </row>
    <row r="1225" spans="10:10" x14ac:dyDescent="0.25">
      <c r="J1225" s="15"/>
    </row>
    <row r="1226" spans="10:10" x14ac:dyDescent="0.25">
      <c r="J1226" s="15"/>
    </row>
    <row r="1227" spans="10:10" x14ac:dyDescent="0.25">
      <c r="J1227" s="15"/>
    </row>
    <row r="1228" spans="10:10" x14ac:dyDescent="0.25">
      <c r="J1228" s="15"/>
    </row>
    <row r="1229" spans="10:10" x14ac:dyDescent="0.25">
      <c r="J1229" s="15"/>
    </row>
    <row r="1230" spans="10:10" x14ac:dyDescent="0.25">
      <c r="J1230" s="15"/>
    </row>
    <row r="1231" spans="10:10" x14ac:dyDescent="0.25">
      <c r="J1231" s="15"/>
    </row>
    <row r="1232" spans="10:10" x14ac:dyDescent="0.25">
      <c r="J1232" s="15"/>
    </row>
    <row r="1233" spans="10:10" x14ac:dyDescent="0.25">
      <c r="J1233" s="15"/>
    </row>
    <row r="1234" spans="10:10" x14ac:dyDescent="0.25">
      <c r="J1234" s="15"/>
    </row>
    <row r="1235" spans="10:10" x14ac:dyDescent="0.25">
      <c r="J1235" s="15"/>
    </row>
    <row r="1236" spans="10:10" x14ac:dyDescent="0.25">
      <c r="J1236" s="15"/>
    </row>
    <row r="1237" spans="10:10" x14ac:dyDescent="0.25">
      <c r="J1237" s="15"/>
    </row>
    <row r="1238" spans="10:10" x14ac:dyDescent="0.25">
      <c r="J1238" s="15"/>
    </row>
    <row r="1239" spans="10:10" x14ac:dyDescent="0.25">
      <c r="J1239" s="15"/>
    </row>
    <row r="1240" spans="10:10" x14ac:dyDescent="0.25">
      <c r="J1240" s="15"/>
    </row>
    <row r="1241" spans="10:10" x14ac:dyDescent="0.25">
      <c r="J1241" s="15"/>
    </row>
    <row r="1242" spans="10:10" x14ac:dyDescent="0.25">
      <c r="J1242" s="15"/>
    </row>
    <row r="1243" spans="10:10" x14ac:dyDescent="0.25">
      <c r="J1243" s="15"/>
    </row>
    <row r="1244" spans="10:10" x14ac:dyDescent="0.25">
      <c r="J1244" s="15"/>
    </row>
    <row r="1245" spans="10:10" x14ac:dyDescent="0.25">
      <c r="J1245" s="15"/>
    </row>
    <row r="1246" spans="10:10" x14ac:dyDescent="0.25">
      <c r="J1246" s="15"/>
    </row>
    <row r="1247" spans="10:10" x14ac:dyDescent="0.25">
      <c r="J1247" s="15"/>
    </row>
    <row r="1248" spans="10:10" x14ac:dyDescent="0.25">
      <c r="J1248" s="15"/>
    </row>
    <row r="1249" spans="10:10" x14ac:dyDescent="0.25">
      <c r="J1249" s="15"/>
    </row>
    <row r="1250" spans="10:10" x14ac:dyDescent="0.25">
      <c r="J1250" s="15"/>
    </row>
    <row r="1251" spans="10:10" x14ac:dyDescent="0.25">
      <c r="J1251" s="15"/>
    </row>
    <row r="1252" spans="10:10" x14ac:dyDescent="0.25">
      <c r="J1252" s="15"/>
    </row>
    <row r="1253" spans="10:10" x14ac:dyDescent="0.25">
      <c r="J1253" s="15"/>
    </row>
    <row r="1254" spans="10:10" x14ac:dyDescent="0.25">
      <c r="J1254" s="15"/>
    </row>
    <row r="1255" spans="10:10" x14ac:dyDescent="0.25">
      <c r="J1255" s="15"/>
    </row>
    <row r="1256" spans="10:10" x14ac:dyDescent="0.25">
      <c r="J1256" s="15"/>
    </row>
    <row r="1257" spans="10:10" x14ac:dyDescent="0.25">
      <c r="J1257" s="15"/>
    </row>
    <row r="1258" spans="10:10" x14ac:dyDescent="0.25">
      <c r="J1258" s="15"/>
    </row>
    <row r="1259" spans="10:10" x14ac:dyDescent="0.25">
      <c r="J1259" s="15"/>
    </row>
    <row r="1260" spans="10:10" x14ac:dyDescent="0.25">
      <c r="J1260" s="15"/>
    </row>
    <row r="1261" spans="10:10" x14ac:dyDescent="0.25">
      <c r="J1261" s="15"/>
    </row>
    <row r="1262" spans="10:10" x14ac:dyDescent="0.25">
      <c r="J1262" s="15"/>
    </row>
    <row r="1263" spans="10:10" x14ac:dyDescent="0.25">
      <c r="J1263" s="15"/>
    </row>
    <row r="1264" spans="10:10" x14ac:dyDescent="0.25">
      <c r="J1264" s="15"/>
    </row>
    <row r="1265" spans="10:10" x14ac:dyDescent="0.25">
      <c r="J1265" s="15"/>
    </row>
    <row r="1266" spans="10:10" x14ac:dyDescent="0.25">
      <c r="J1266" s="15"/>
    </row>
    <row r="1267" spans="10:10" x14ac:dyDescent="0.25">
      <c r="J1267" s="15"/>
    </row>
    <row r="1268" spans="10:10" x14ac:dyDescent="0.25">
      <c r="J1268" s="15"/>
    </row>
    <row r="1269" spans="10:10" x14ac:dyDescent="0.25">
      <c r="J1269" s="15"/>
    </row>
    <row r="1270" spans="10:10" x14ac:dyDescent="0.25">
      <c r="J1270" s="15"/>
    </row>
    <row r="1271" spans="10:10" x14ac:dyDescent="0.25">
      <c r="J1271" s="15"/>
    </row>
    <row r="1272" spans="10:10" x14ac:dyDescent="0.25">
      <c r="J1272" s="15"/>
    </row>
    <row r="1273" spans="10:10" x14ac:dyDescent="0.25">
      <c r="J1273" s="15"/>
    </row>
    <row r="1274" spans="10:10" x14ac:dyDescent="0.25">
      <c r="J1274" s="15"/>
    </row>
    <row r="1275" spans="10:10" x14ac:dyDescent="0.25">
      <c r="J1275" s="15"/>
    </row>
    <row r="1276" spans="10:10" x14ac:dyDescent="0.25">
      <c r="J1276" s="15"/>
    </row>
    <row r="1277" spans="10:10" x14ac:dyDescent="0.25">
      <c r="J1277" s="15"/>
    </row>
    <row r="1278" spans="10:10" x14ac:dyDescent="0.25">
      <c r="J1278" s="15"/>
    </row>
    <row r="1279" spans="10:10" x14ac:dyDescent="0.25">
      <c r="J1279" s="15"/>
    </row>
    <row r="1280" spans="10:10" x14ac:dyDescent="0.25">
      <c r="J1280" s="15"/>
    </row>
    <row r="1281" spans="10:10" x14ac:dyDescent="0.25">
      <c r="J1281" s="15"/>
    </row>
    <row r="1282" spans="10:10" x14ac:dyDescent="0.25">
      <c r="J1282" s="15"/>
    </row>
    <row r="1283" spans="10:10" x14ac:dyDescent="0.25">
      <c r="J1283" s="15"/>
    </row>
    <row r="1284" spans="10:10" x14ac:dyDescent="0.25">
      <c r="J1284" s="15"/>
    </row>
    <row r="1285" spans="10:10" x14ac:dyDescent="0.25">
      <c r="J1285" s="15"/>
    </row>
    <row r="1286" spans="10:10" x14ac:dyDescent="0.25">
      <c r="J1286" s="15"/>
    </row>
    <row r="1287" spans="10:10" x14ac:dyDescent="0.25">
      <c r="J1287" s="15"/>
    </row>
    <row r="1288" spans="10:10" x14ac:dyDescent="0.25">
      <c r="J1288" s="15"/>
    </row>
    <row r="1289" spans="10:10" x14ac:dyDescent="0.25">
      <c r="J1289" s="15"/>
    </row>
    <row r="1290" spans="10:10" x14ac:dyDescent="0.25">
      <c r="J1290" s="15"/>
    </row>
    <row r="1291" spans="10:10" x14ac:dyDescent="0.25">
      <c r="J1291" s="15"/>
    </row>
    <row r="1292" spans="10:10" x14ac:dyDescent="0.25">
      <c r="J1292" s="15"/>
    </row>
    <row r="1293" spans="10:10" x14ac:dyDescent="0.25">
      <c r="J1293" s="15"/>
    </row>
    <row r="1294" spans="10:10" x14ac:dyDescent="0.25">
      <c r="J1294" s="15"/>
    </row>
    <row r="1295" spans="10:10" x14ac:dyDescent="0.25">
      <c r="J1295" s="15"/>
    </row>
    <row r="1296" spans="10:10" x14ac:dyDescent="0.25">
      <c r="J1296" s="15"/>
    </row>
    <row r="1297" spans="10:10" x14ac:dyDescent="0.25">
      <c r="J1297" s="15"/>
    </row>
    <row r="1298" spans="10:10" x14ac:dyDescent="0.25">
      <c r="J1298" s="15"/>
    </row>
    <row r="1299" spans="10:10" x14ac:dyDescent="0.25">
      <c r="J1299" s="15"/>
    </row>
    <row r="1300" spans="10:10" x14ac:dyDescent="0.25">
      <c r="J1300" s="15"/>
    </row>
    <row r="1301" spans="10:10" x14ac:dyDescent="0.25">
      <c r="J1301" s="15"/>
    </row>
    <row r="1302" spans="10:10" x14ac:dyDescent="0.25">
      <c r="J1302" s="15"/>
    </row>
    <row r="1303" spans="10:10" x14ac:dyDescent="0.25">
      <c r="J1303" s="15"/>
    </row>
    <row r="1304" spans="10:10" x14ac:dyDescent="0.25">
      <c r="J1304" s="15"/>
    </row>
    <row r="1305" spans="10:10" x14ac:dyDescent="0.25">
      <c r="J1305" s="15"/>
    </row>
    <row r="1306" spans="10:10" x14ac:dyDescent="0.25">
      <c r="J1306" s="15"/>
    </row>
    <row r="1307" spans="10:10" x14ac:dyDescent="0.25">
      <c r="J1307" s="15"/>
    </row>
    <row r="1308" spans="10:10" x14ac:dyDescent="0.25">
      <c r="J1308" s="15"/>
    </row>
    <row r="1309" spans="10:10" x14ac:dyDescent="0.25">
      <c r="J1309" s="15"/>
    </row>
    <row r="1310" spans="10:10" x14ac:dyDescent="0.25">
      <c r="J1310" s="15"/>
    </row>
    <row r="1311" spans="10:10" x14ac:dyDescent="0.25">
      <c r="J1311" s="15"/>
    </row>
    <row r="1312" spans="10:10" x14ac:dyDescent="0.25">
      <c r="J1312" s="15"/>
    </row>
    <row r="1313" spans="10:10" x14ac:dyDescent="0.25">
      <c r="J1313" s="15"/>
    </row>
    <row r="1314" spans="10:10" x14ac:dyDescent="0.25">
      <c r="J1314" s="15"/>
    </row>
    <row r="1315" spans="10:10" x14ac:dyDescent="0.25">
      <c r="J1315" s="15"/>
    </row>
    <row r="1316" spans="10:10" x14ac:dyDescent="0.25">
      <c r="J1316" s="15"/>
    </row>
    <row r="1317" spans="10:10" x14ac:dyDescent="0.25">
      <c r="J1317" s="15"/>
    </row>
    <row r="1318" spans="10:10" x14ac:dyDescent="0.25">
      <c r="J1318" s="15"/>
    </row>
    <row r="1319" spans="10:10" x14ac:dyDescent="0.25">
      <c r="J1319" s="15"/>
    </row>
    <row r="1320" spans="10:10" x14ac:dyDescent="0.25">
      <c r="J1320" s="15"/>
    </row>
    <row r="1321" spans="10:10" x14ac:dyDescent="0.25">
      <c r="J1321" s="15"/>
    </row>
    <row r="1322" spans="10:10" x14ac:dyDescent="0.25">
      <c r="J1322" s="15"/>
    </row>
    <row r="1323" spans="10:10" x14ac:dyDescent="0.25">
      <c r="J1323" s="15"/>
    </row>
    <row r="1324" spans="10:10" x14ac:dyDescent="0.25">
      <c r="J1324" s="15"/>
    </row>
    <row r="1325" spans="10:10" x14ac:dyDescent="0.25">
      <c r="J1325" s="15"/>
    </row>
    <row r="1326" spans="10:10" x14ac:dyDescent="0.25">
      <c r="J1326" s="15"/>
    </row>
    <row r="1327" spans="10:10" x14ac:dyDescent="0.25">
      <c r="J1327" s="15"/>
    </row>
    <row r="1328" spans="10:10" x14ac:dyDescent="0.25">
      <c r="J1328" s="15"/>
    </row>
    <row r="1329" spans="10:10" x14ac:dyDescent="0.25">
      <c r="J1329" s="15"/>
    </row>
    <row r="1330" spans="10:10" x14ac:dyDescent="0.25">
      <c r="J1330" s="15"/>
    </row>
    <row r="1331" spans="10:10" x14ac:dyDescent="0.25">
      <c r="J1331" s="15"/>
    </row>
    <row r="1332" spans="10:10" x14ac:dyDescent="0.25">
      <c r="J1332" s="15"/>
    </row>
    <row r="1333" spans="10:10" x14ac:dyDescent="0.25">
      <c r="J1333" s="15"/>
    </row>
    <row r="1334" spans="10:10" x14ac:dyDescent="0.25">
      <c r="J1334" s="15"/>
    </row>
    <row r="1335" spans="10:10" x14ac:dyDescent="0.25">
      <c r="J1335" s="15"/>
    </row>
    <row r="1336" spans="10:10" x14ac:dyDescent="0.25">
      <c r="J1336" s="15"/>
    </row>
    <row r="1337" spans="10:10" x14ac:dyDescent="0.25">
      <c r="J1337" s="15"/>
    </row>
    <row r="1338" spans="10:10" x14ac:dyDescent="0.25">
      <c r="J1338" s="15"/>
    </row>
    <row r="1339" spans="10:10" x14ac:dyDescent="0.25">
      <c r="J1339" s="15"/>
    </row>
    <row r="1340" spans="10:10" x14ac:dyDescent="0.25">
      <c r="J1340" s="15"/>
    </row>
    <row r="1341" spans="10:10" x14ac:dyDescent="0.25">
      <c r="J1341" s="15"/>
    </row>
    <row r="1342" spans="10:10" x14ac:dyDescent="0.25">
      <c r="J1342" s="15"/>
    </row>
    <row r="1343" spans="10:10" x14ac:dyDescent="0.25">
      <c r="J1343" s="15"/>
    </row>
    <row r="1344" spans="10:10" x14ac:dyDescent="0.25">
      <c r="J1344" s="15"/>
    </row>
    <row r="1345" spans="10:10" x14ac:dyDescent="0.25">
      <c r="J1345" s="15"/>
    </row>
    <row r="1346" spans="10:10" x14ac:dyDescent="0.25">
      <c r="J1346" s="15"/>
    </row>
    <row r="1347" spans="10:10" x14ac:dyDescent="0.25">
      <c r="J1347" s="15"/>
    </row>
    <row r="1348" spans="10:10" x14ac:dyDescent="0.25">
      <c r="J1348" s="15"/>
    </row>
    <row r="1349" spans="10:10" x14ac:dyDescent="0.25">
      <c r="J1349" s="15"/>
    </row>
    <row r="1350" spans="10:10" x14ac:dyDescent="0.25">
      <c r="J1350" s="15"/>
    </row>
    <row r="1351" spans="10:10" x14ac:dyDescent="0.25">
      <c r="J1351" s="15"/>
    </row>
    <row r="1352" spans="10:10" x14ac:dyDescent="0.25">
      <c r="J1352" s="15"/>
    </row>
    <row r="1353" spans="10:10" x14ac:dyDescent="0.25">
      <c r="J1353" s="15"/>
    </row>
    <row r="1354" spans="10:10" x14ac:dyDescent="0.25">
      <c r="J1354" s="15"/>
    </row>
    <row r="1355" spans="10:10" x14ac:dyDescent="0.25">
      <c r="J1355" s="15"/>
    </row>
    <row r="1356" spans="10:10" x14ac:dyDescent="0.25">
      <c r="J1356" s="15"/>
    </row>
    <row r="1357" spans="10:10" x14ac:dyDescent="0.25">
      <c r="J1357" s="15"/>
    </row>
    <row r="1358" spans="10:10" x14ac:dyDescent="0.25">
      <c r="J1358" s="15"/>
    </row>
    <row r="1359" spans="10:10" x14ac:dyDescent="0.25">
      <c r="J1359" s="15"/>
    </row>
    <row r="1360" spans="10:10" x14ac:dyDescent="0.25">
      <c r="J1360" s="15"/>
    </row>
    <row r="1361" spans="10:10" x14ac:dyDescent="0.25">
      <c r="J1361" s="15"/>
    </row>
    <row r="1362" spans="10:10" x14ac:dyDescent="0.25">
      <c r="J1362" s="15"/>
    </row>
    <row r="1363" spans="10:10" x14ac:dyDescent="0.25">
      <c r="J1363" s="15"/>
    </row>
    <row r="1364" spans="10:10" x14ac:dyDescent="0.25">
      <c r="J1364" s="15"/>
    </row>
    <row r="1365" spans="10:10" x14ac:dyDescent="0.25">
      <c r="J1365" s="15"/>
    </row>
    <row r="1366" spans="10:10" x14ac:dyDescent="0.25">
      <c r="J1366" s="15"/>
    </row>
    <row r="1367" spans="10:10" x14ac:dyDescent="0.25">
      <c r="J1367" s="15"/>
    </row>
    <row r="1368" spans="10:10" x14ac:dyDescent="0.25">
      <c r="J1368" s="15"/>
    </row>
    <row r="1369" spans="10:10" x14ac:dyDescent="0.25">
      <c r="J1369" s="15"/>
    </row>
    <row r="1370" spans="10:10" x14ac:dyDescent="0.25">
      <c r="J1370" s="15"/>
    </row>
    <row r="1371" spans="10:10" x14ac:dyDescent="0.25">
      <c r="J1371" s="15"/>
    </row>
    <row r="1372" spans="10:10" x14ac:dyDescent="0.25">
      <c r="J1372" s="15"/>
    </row>
    <row r="1373" spans="10:10" x14ac:dyDescent="0.25">
      <c r="J1373" s="15"/>
    </row>
    <row r="1374" spans="10:10" x14ac:dyDescent="0.25">
      <c r="J1374" s="15"/>
    </row>
    <row r="1375" spans="10:10" x14ac:dyDescent="0.25">
      <c r="J1375" s="15"/>
    </row>
    <row r="1376" spans="10:10" x14ac:dyDescent="0.25">
      <c r="J1376" s="15"/>
    </row>
    <row r="1377" spans="10:10" x14ac:dyDescent="0.25">
      <c r="J1377" s="15"/>
    </row>
    <row r="1378" spans="10:10" x14ac:dyDescent="0.25">
      <c r="J1378" s="15"/>
    </row>
    <row r="1379" spans="10:10" x14ac:dyDescent="0.25">
      <c r="J1379" s="15"/>
    </row>
    <row r="1380" spans="10:10" x14ac:dyDescent="0.25">
      <c r="J1380" s="15"/>
    </row>
    <row r="1381" spans="10:10" x14ac:dyDescent="0.25">
      <c r="J1381" s="15"/>
    </row>
    <row r="1382" spans="10:10" x14ac:dyDescent="0.25">
      <c r="J1382" s="15"/>
    </row>
    <row r="1383" spans="10:10" x14ac:dyDescent="0.25">
      <c r="J1383" s="15"/>
    </row>
    <row r="1384" spans="10:10" x14ac:dyDescent="0.25">
      <c r="J1384" s="15"/>
    </row>
    <row r="1385" spans="10:10" x14ac:dyDescent="0.25">
      <c r="J1385" s="15"/>
    </row>
    <row r="1386" spans="10:10" x14ac:dyDescent="0.25">
      <c r="J1386" s="15"/>
    </row>
    <row r="1387" spans="10:10" x14ac:dyDescent="0.25">
      <c r="J1387" s="15"/>
    </row>
    <row r="1388" spans="10:10" x14ac:dyDescent="0.25">
      <c r="J1388" s="15"/>
    </row>
    <row r="1389" spans="10:10" x14ac:dyDescent="0.25">
      <c r="J1389" s="15"/>
    </row>
    <row r="1390" spans="10:10" x14ac:dyDescent="0.25">
      <c r="J1390" s="15"/>
    </row>
    <row r="1391" spans="10:10" x14ac:dyDescent="0.25">
      <c r="J1391" s="15"/>
    </row>
    <row r="1392" spans="10:10" x14ac:dyDescent="0.25">
      <c r="J1392" s="15"/>
    </row>
    <row r="1393" spans="10:10" x14ac:dyDescent="0.25">
      <c r="J1393" s="15"/>
    </row>
    <row r="1394" spans="10:10" x14ac:dyDescent="0.25">
      <c r="J1394" s="15"/>
    </row>
    <row r="1395" spans="10:10" x14ac:dyDescent="0.25">
      <c r="J1395" s="15"/>
    </row>
    <row r="1396" spans="10:10" x14ac:dyDescent="0.25">
      <c r="J1396" s="15"/>
    </row>
    <row r="1397" spans="10:10" x14ac:dyDescent="0.25">
      <c r="J1397" s="15"/>
    </row>
    <row r="1398" spans="10:10" x14ac:dyDescent="0.25">
      <c r="J1398" s="15"/>
    </row>
    <row r="1399" spans="10:10" x14ac:dyDescent="0.25">
      <c r="J1399" s="15"/>
    </row>
    <row r="1400" spans="10:10" x14ac:dyDescent="0.25">
      <c r="J1400" s="15"/>
    </row>
    <row r="1401" spans="10:10" x14ac:dyDescent="0.25">
      <c r="J1401" s="15"/>
    </row>
    <row r="1402" spans="10:10" x14ac:dyDescent="0.25">
      <c r="J1402" s="15"/>
    </row>
    <row r="1403" spans="10:10" x14ac:dyDescent="0.25">
      <c r="J1403" s="15"/>
    </row>
    <row r="1404" spans="10:10" x14ac:dyDescent="0.25">
      <c r="J1404" s="15"/>
    </row>
    <row r="1405" spans="10:10" x14ac:dyDescent="0.25">
      <c r="J1405" s="15"/>
    </row>
    <row r="1406" spans="10:10" x14ac:dyDescent="0.25">
      <c r="J1406" s="15"/>
    </row>
    <row r="1407" spans="10:10" x14ac:dyDescent="0.25">
      <c r="J1407" s="15"/>
    </row>
    <row r="1408" spans="10:10" x14ac:dyDescent="0.25">
      <c r="J1408" s="15"/>
    </row>
    <row r="1409" spans="10:10" x14ac:dyDescent="0.25">
      <c r="J1409" s="15"/>
    </row>
    <row r="1410" spans="10:10" x14ac:dyDescent="0.25">
      <c r="J1410" s="15"/>
    </row>
    <row r="1411" spans="10:10" x14ac:dyDescent="0.25">
      <c r="J1411" s="15"/>
    </row>
    <row r="1412" spans="10:10" x14ac:dyDescent="0.25">
      <c r="J1412" s="15"/>
    </row>
    <row r="1413" spans="10:10" x14ac:dyDescent="0.25">
      <c r="J1413" s="15"/>
    </row>
    <row r="1414" spans="10:10" x14ac:dyDescent="0.25">
      <c r="J1414" s="15"/>
    </row>
    <row r="1415" spans="10:10" x14ac:dyDescent="0.25">
      <c r="J1415" s="15"/>
    </row>
    <row r="1416" spans="10:10" x14ac:dyDescent="0.25">
      <c r="J1416" s="15"/>
    </row>
    <row r="1417" spans="10:10" x14ac:dyDescent="0.25">
      <c r="J1417" s="15"/>
    </row>
    <row r="1418" spans="10:10" x14ac:dyDescent="0.25">
      <c r="J1418" s="15"/>
    </row>
    <row r="1419" spans="10:10" x14ac:dyDescent="0.25">
      <c r="J1419" s="15"/>
    </row>
    <row r="1420" spans="10:10" x14ac:dyDescent="0.25">
      <c r="J1420" s="15"/>
    </row>
    <row r="1421" spans="10:10" x14ac:dyDescent="0.25">
      <c r="J1421" s="15"/>
    </row>
    <row r="1422" spans="10:10" x14ac:dyDescent="0.25">
      <c r="J1422" s="15"/>
    </row>
    <row r="1423" spans="10:10" x14ac:dyDescent="0.25">
      <c r="J1423" s="15"/>
    </row>
    <row r="1424" spans="10:10" x14ac:dyDescent="0.25">
      <c r="J1424" s="15"/>
    </row>
    <row r="1425" spans="10:10" x14ac:dyDescent="0.25">
      <c r="J1425" s="15"/>
    </row>
    <row r="1426" spans="10:10" x14ac:dyDescent="0.25">
      <c r="J1426" s="15"/>
    </row>
    <row r="1427" spans="10:10" x14ac:dyDescent="0.25">
      <c r="J1427" s="15"/>
    </row>
    <row r="1428" spans="10:10" x14ac:dyDescent="0.25">
      <c r="J1428" s="15"/>
    </row>
    <row r="1429" spans="10:10" x14ac:dyDescent="0.25">
      <c r="J1429" s="15"/>
    </row>
    <row r="1430" spans="10:10" x14ac:dyDescent="0.25">
      <c r="J1430" s="15"/>
    </row>
    <row r="1431" spans="10:10" x14ac:dyDescent="0.25">
      <c r="J1431" s="15"/>
    </row>
    <row r="1432" spans="10:10" x14ac:dyDescent="0.25">
      <c r="J1432" s="15"/>
    </row>
    <row r="1433" spans="10:10" x14ac:dyDescent="0.25">
      <c r="J1433" s="15"/>
    </row>
    <row r="1434" spans="10:10" x14ac:dyDescent="0.25">
      <c r="J1434" s="15"/>
    </row>
    <row r="1435" spans="10:10" x14ac:dyDescent="0.25">
      <c r="J1435" s="15"/>
    </row>
    <row r="1436" spans="10:10" x14ac:dyDescent="0.25">
      <c r="J1436" s="15"/>
    </row>
    <row r="1437" spans="10:10" x14ac:dyDescent="0.25">
      <c r="J1437" s="15"/>
    </row>
    <row r="1438" spans="10:10" x14ac:dyDescent="0.25">
      <c r="J1438" s="15"/>
    </row>
    <row r="1439" spans="10:10" x14ac:dyDescent="0.25">
      <c r="J1439" s="15"/>
    </row>
    <row r="1440" spans="10:10" x14ac:dyDescent="0.25">
      <c r="J1440" s="15"/>
    </row>
    <row r="1441" spans="10:10" x14ac:dyDescent="0.25">
      <c r="J1441" s="15"/>
    </row>
    <row r="1442" spans="10:10" x14ac:dyDescent="0.25">
      <c r="J1442" s="15"/>
    </row>
    <row r="1443" spans="10:10" x14ac:dyDescent="0.25">
      <c r="J1443" s="15"/>
    </row>
    <row r="1444" spans="10:10" x14ac:dyDescent="0.25">
      <c r="J1444" s="15"/>
    </row>
    <row r="1445" spans="10:10" x14ac:dyDescent="0.25">
      <c r="J1445" s="15"/>
    </row>
    <row r="1446" spans="10:10" x14ac:dyDescent="0.25">
      <c r="J1446" s="15"/>
    </row>
    <row r="1447" spans="10:10" x14ac:dyDescent="0.25">
      <c r="J1447" s="15"/>
    </row>
    <row r="1448" spans="10:10" x14ac:dyDescent="0.25">
      <c r="J1448" s="15"/>
    </row>
    <row r="1449" spans="10:10" x14ac:dyDescent="0.25">
      <c r="J1449" s="15"/>
    </row>
    <row r="1450" spans="10:10" x14ac:dyDescent="0.25">
      <c r="J1450" s="15"/>
    </row>
    <row r="1451" spans="10:10" x14ac:dyDescent="0.25">
      <c r="J1451" s="15"/>
    </row>
    <row r="1452" spans="10:10" x14ac:dyDescent="0.25">
      <c r="J1452" s="15"/>
    </row>
    <row r="1453" spans="10:10" x14ac:dyDescent="0.25">
      <c r="J1453" s="15"/>
    </row>
    <row r="1454" spans="10:10" x14ac:dyDescent="0.25">
      <c r="J1454" s="15"/>
    </row>
    <row r="1455" spans="10:10" x14ac:dyDescent="0.25">
      <c r="J1455" s="15"/>
    </row>
    <row r="1456" spans="10:10" x14ac:dyDescent="0.25">
      <c r="J1456" s="15"/>
    </row>
    <row r="1457" spans="10:10" x14ac:dyDescent="0.25">
      <c r="J1457" s="15"/>
    </row>
    <row r="1458" spans="10:10" x14ac:dyDescent="0.25">
      <c r="J1458" s="15"/>
    </row>
    <row r="1459" spans="10:10" x14ac:dyDescent="0.25">
      <c r="J1459" s="15"/>
    </row>
    <row r="1460" spans="10:10" x14ac:dyDescent="0.25">
      <c r="J1460" s="15"/>
    </row>
    <row r="1461" spans="10:10" x14ac:dyDescent="0.25">
      <c r="J1461" s="15"/>
    </row>
    <row r="1462" spans="10:10" x14ac:dyDescent="0.25">
      <c r="J1462" s="15"/>
    </row>
    <row r="1463" spans="10:10" x14ac:dyDescent="0.25">
      <c r="J1463" s="15"/>
    </row>
    <row r="1464" spans="10:10" x14ac:dyDescent="0.25">
      <c r="J1464" s="15"/>
    </row>
    <row r="1465" spans="10:10" x14ac:dyDescent="0.25">
      <c r="J1465" s="15"/>
    </row>
    <row r="1466" spans="10:10" x14ac:dyDescent="0.25">
      <c r="J1466" s="15"/>
    </row>
    <row r="1467" spans="10:10" x14ac:dyDescent="0.25">
      <c r="J1467" s="15"/>
    </row>
    <row r="1468" spans="10:10" x14ac:dyDescent="0.25">
      <c r="J1468" s="15"/>
    </row>
    <row r="1469" spans="10:10" x14ac:dyDescent="0.25">
      <c r="J1469" s="15"/>
    </row>
    <row r="1470" spans="10:10" x14ac:dyDescent="0.25">
      <c r="J1470" s="15"/>
    </row>
    <row r="1471" spans="10:10" x14ac:dyDescent="0.25">
      <c r="J1471" s="15"/>
    </row>
    <row r="1472" spans="10:10" x14ac:dyDescent="0.25">
      <c r="J1472" s="15"/>
    </row>
    <row r="1473" spans="10:10" x14ac:dyDescent="0.25">
      <c r="J1473" s="15"/>
    </row>
    <row r="1474" spans="10:10" x14ac:dyDescent="0.25">
      <c r="J1474" s="15"/>
    </row>
    <row r="1475" spans="10:10" x14ac:dyDescent="0.25">
      <c r="J1475" s="15"/>
    </row>
    <row r="1476" spans="10:10" x14ac:dyDescent="0.25">
      <c r="J1476" s="15"/>
    </row>
    <row r="1477" spans="10:10" x14ac:dyDescent="0.25">
      <c r="J1477" s="15"/>
    </row>
    <row r="1478" spans="10:10" x14ac:dyDescent="0.25">
      <c r="J1478" s="15"/>
    </row>
    <row r="1479" spans="10:10" x14ac:dyDescent="0.25">
      <c r="J1479" s="15"/>
    </row>
    <row r="1480" spans="10:10" x14ac:dyDescent="0.25">
      <c r="J1480" s="15"/>
    </row>
    <row r="1481" spans="10:10" x14ac:dyDescent="0.25">
      <c r="J1481" s="15"/>
    </row>
    <row r="1482" spans="10:10" x14ac:dyDescent="0.25">
      <c r="J1482" s="15"/>
    </row>
    <row r="1483" spans="10:10" x14ac:dyDescent="0.25">
      <c r="J1483" s="15"/>
    </row>
    <row r="1484" spans="10:10" x14ac:dyDescent="0.25">
      <c r="J1484" s="15"/>
    </row>
    <row r="1485" spans="10:10" x14ac:dyDescent="0.25">
      <c r="J1485" s="15"/>
    </row>
    <row r="1486" spans="10:10" x14ac:dyDescent="0.25">
      <c r="J1486" s="15"/>
    </row>
    <row r="1487" spans="10:10" x14ac:dyDescent="0.25">
      <c r="J1487" s="15"/>
    </row>
    <row r="1488" spans="10:10" x14ac:dyDescent="0.25">
      <c r="J1488" s="15"/>
    </row>
    <row r="1489" spans="10:10" x14ac:dyDescent="0.25">
      <c r="J1489" s="15"/>
    </row>
    <row r="1490" spans="10:10" x14ac:dyDescent="0.25">
      <c r="J1490" s="15"/>
    </row>
    <row r="1491" spans="10:10" x14ac:dyDescent="0.25">
      <c r="J1491" s="15"/>
    </row>
    <row r="1492" spans="10:10" x14ac:dyDescent="0.25">
      <c r="J1492" s="15"/>
    </row>
    <row r="1493" spans="10:10" x14ac:dyDescent="0.25">
      <c r="J1493" s="15"/>
    </row>
    <row r="1494" spans="10:10" x14ac:dyDescent="0.25">
      <c r="J1494" s="15"/>
    </row>
    <row r="1495" spans="10:10" x14ac:dyDescent="0.25">
      <c r="J1495" s="15"/>
    </row>
    <row r="1496" spans="10:10" x14ac:dyDescent="0.25">
      <c r="J1496" s="15"/>
    </row>
    <row r="1497" spans="10:10" x14ac:dyDescent="0.25">
      <c r="J1497" s="15"/>
    </row>
    <row r="1498" spans="10:10" x14ac:dyDescent="0.25">
      <c r="J1498" s="15"/>
    </row>
    <row r="1499" spans="10:10" x14ac:dyDescent="0.25">
      <c r="J1499" s="15"/>
    </row>
    <row r="1500" spans="10:10" x14ac:dyDescent="0.25">
      <c r="J1500" s="15"/>
    </row>
    <row r="1501" spans="10:10" x14ac:dyDescent="0.25">
      <c r="J1501" s="15"/>
    </row>
    <row r="1502" spans="10:10" x14ac:dyDescent="0.25">
      <c r="J1502" s="15"/>
    </row>
    <row r="1503" spans="10:10" x14ac:dyDescent="0.25">
      <c r="J1503" s="15"/>
    </row>
    <row r="1504" spans="10:10" x14ac:dyDescent="0.25">
      <c r="J1504" s="15"/>
    </row>
    <row r="1505" spans="10:10" x14ac:dyDescent="0.25">
      <c r="J1505" s="15"/>
    </row>
    <row r="1506" spans="10:10" x14ac:dyDescent="0.25">
      <c r="J1506" s="15"/>
    </row>
    <row r="1507" spans="10:10" x14ac:dyDescent="0.25">
      <c r="J1507" s="15"/>
    </row>
    <row r="1508" spans="10:10" x14ac:dyDescent="0.25">
      <c r="J1508" s="15"/>
    </row>
    <row r="1509" spans="10:10" x14ac:dyDescent="0.25">
      <c r="J1509" s="15"/>
    </row>
    <row r="1510" spans="10:10" x14ac:dyDescent="0.25">
      <c r="J1510" s="15"/>
    </row>
    <row r="1511" spans="10:10" x14ac:dyDescent="0.25">
      <c r="J1511" s="15"/>
    </row>
    <row r="1512" spans="10:10" x14ac:dyDescent="0.25">
      <c r="J1512" s="15"/>
    </row>
    <row r="1513" spans="10:10" x14ac:dyDescent="0.25">
      <c r="J1513" s="15"/>
    </row>
    <row r="1514" spans="10:10" x14ac:dyDescent="0.25">
      <c r="J1514" s="15"/>
    </row>
    <row r="1515" spans="10:10" x14ac:dyDescent="0.25">
      <c r="J1515" s="15"/>
    </row>
    <row r="1516" spans="10:10" x14ac:dyDescent="0.25">
      <c r="J1516" s="15"/>
    </row>
    <row r="1517" spans="10:10" x14ac:dyDescent="0.25">
      <c r="J1517" s="15"/>
    </row>
    <row r="1518" spans="10:10" x14ac:dyDescent="0.25">
      <c r="J1518" s="15"/>
    </row>
    <row r="1519" spans="10:10" x14ac:dyDescent="0.25">
      <c r="J1519" s="15"/>
    </row>
    <row r="1520" spans="10:10" x14ac:dyDescent="0.25">
      <c r="J1520" s="15"/>
    </row>
    <row r="1521" spans="10:10" x14ac:dyDescent="0.25">
      <c r="J1521" s="15"/>
    </row>
    <row r="1522" spans="10:10" x14ac:dyDescent="0.25">
      <c r="J1522" s="15"/>
    </row>
    <row r="1523" spans="10:10" x14ac:dyDescent="0.25">
      <c r="J1523" s="15"/>
    </row>
    <row r="1524" spans="10:10" x14ac:dyDescent="0.25">
      <c r="J1524" s="15"/>
    </row>
    <row r="1525" spans="10:10" x14ac:dyDescent="0.25">
      <c r="J1525" s="15"/>
    </row>
    <row r="1526" spans="10:10" x14ac:dyDescent="0.25">
      <c r="J1526" s="15"/>
    </row>
    <row r="1527" spans="10:10" x14ac:dyDescent="0.25">
      <c r="J1527" s="15"/>
    </row>
    <row r="1528" spans="10:10" x14ac:dyDescent="0.25">
      <c r="J1528" s="15"/>
    </row>
    <row r="1529" spans="10:10" x14ac:dyDescent="0.25">
      <c r="J1529" s="15"/>
    </row>
    <row r="1530" spans="10:10" x14ac:dyDescent="0.25">
      <c r="J1530" s="15"/>
    </row>
    <row r="1531" spans="10:10" x14ac:dyDescent="0.25">
      <c r="J1531" s="15"/>
    </row>
    <row r="1532" spans="10:10" x14ac:dyDescent="0.25">
      <c r="J1532" s="15"/>
    </row>
    <row r="1533" spans="10:10" x14ac:dyDescent="0.25">
      <c r="J1533" s="15"/>
    </row>
    <row r="1534" spans="10:10" x14ac:dyDescent="0.25">
      <c r="J1534" s="15"/>
    </row>
    <row r="1535" spans="10:10" x14ac:dyDescent="0.25">
      <c r="J1535" s="15"/>
    </row>
    <row r="1536" spans="10:10" x14ac:dyDescent="0.25">
      <c r="J1536" s="15"/>
    </row>
    <row r="1537" spans="10:10" x14ac:dyDescent="0.25">
      <c r="J1537" s="15"/>
    </row>
    <row r="1538" spans="10:10" x14ac:dyDescent="0.25">
      <c r="J1538" s="15"/>
    </row>
    <row r="1539" spans="10:10" x14ac:dyDescent="0.25">
      <c r="J1539" s="15"/>
    </row>
    <row r="1540" spans="10:10" x14ac:dyDescent="0.25">
      <c r="J1540" s="15"/>
    </row>
    <row r="1541" spans="10:10" x14ac:dyDescent="0.25">
      <c r="J1541" s="15"/>
    </row>
    <row r="1542" spans="10:10" x14ac:dyDescent="0.25">
      <c r="J1542" s="15"/>
    </row>
    <row r="1543" spans="10:10" x14ac:dyDescent="0.25">
      <c r="J1543" s="15"/>
    </row>
    <row r="1544" spans="10:10" x14ac:dyDescent="0.25">
      <c r="J1544" s="15"/>
    </row>
    <row r="1545" spans="10:10" x14ac:dyDescent="0.25">
      <c r="J1545" s="15"/>
    </row>
    <row r="1546" spans="10:10" x14ac:dyDescent="0.25">
      <c r="J1546" s="15"/>
    </row>
    <row r="1547" spans="10:10" x14ac:dyDescent="0.25">
      <c r="J1547" s="15"/>
    </row>
    <row r="1548" spans="10:10" x14ac:dyDescent="0.25">
      <c r="J1548" s="15"/>
    </row>
    <row r="1549" spans="10:10" x14ac:dyDescent="0.25">
      <c r="J1549" s="15"/>
    </row>
    <row r="1550" spans="10:10" x14ac:dyDescent="0.25">
      <c r="J1550" s="15"/>
    </row>
    <row r="1551" spans="10:10" x14ac:dyDescent="0.25">
      <c r="J1551" s="15"/>
    </row>
    <row r="1552" spans="10:10" x14ac:dyDescent="0.25">
      <c r="J1552" s="15"/>
    </row>
    <row r="1553" spans="10:10" x14ac:dyDescent="0.25">
      <c r="J1553" s="15"/>
    </row>
    <row r="1554" spans="10:10" x14ac:dyDescent="0.25">
      <c r="J1554" s="15"/>
    </row>
    <row r="1555" spans="10:10" x14ac:dyDescent="0.25">
      <c r="J1555" s="15"/>
    </row>
    <row r="1556" spans="10:10" x14ac:dyDescent="0.25">
      <c r="J1556" s="15"/>
    </row>
    <row r="1557" spans="10:10" x14ac:dyDescent="0.25">
      <c r="J1557" s="15"/>
    </row>
    <row r="1558" spans="10:10" x14ac:dyDescent="0.25">
      <c r="J1558" s="15"/>
    </row>
    <row r="1559" spans="10:10" x14ac:dyDescent="0.25">
      <c r="J1559" s="15"/>
    </row>
    <row r="1560" spans="10:10" x14ac:dyDescent="0.25">
      <c r="J1560" s="15"/>
    </row>
    <row r="1561" spans="10:10" x14ac:dyDescent="0.25">
      <c r="J1561" s="15"/>
    </row>
    <row r="1562" spans="10:10" x14ac:dyDescent="0.25">
      <c r="J1562" s="15"/>
    </row>
    <row r="1563" spans="10:10" x14ac:dyDescent="0.25">
      <c r="J1563" s="15"/>
    </row>
    <row r="1564" spans="10:10" x14ac:dyDescent="0.25">
      <c r="J1564" s="15"/>
    </row>
    <row r="1565" spans="10:10" x14ac:dyDescent="0.25">
      <c r="J1565" s="15"/>
    </row>
    <row r="1566" spans="10:10" x14ac:dyDescent="0.25">
      <c r="J1566" s="15"/>
    </row>
    <row r="1567" spans="10:10" x14ac:dyDescent="0.25">
      <c r="J1567" s="15"/>
    </row>
    <row r="1568" spans="10:10" x14ac:dyDescent="0.25">
      <c r="J1568" s="15"/>
    </row>
    <row r="1569" spans="10:10" x14ac:dyDescent="0.25">
      <c r="J1569" s="15"/>
    </row>
    <row r="1570" spans="10:10" x14ac:dyDescent="0.25">
      <c r="J1570" s="15"/>
    </row>
    <row r="1571" spans="10:10" x14ac:dyDescent="0.25">
      <c r="J1571" s="15"/>
    </row>
    <row r="1572" spans="10:10" x14ac:dyDescent="0.25">
      <c r="J1572" s="15"/>
    </row>
    <row r="1573" spans="10:10" x14ac:dyDescent="0.25">
      <c r="J1573" s="15"/>
    </row>
    <row r="1574" spans="10:10" x14ac:dyDescent="0.25">
      <c r="J1574" s="15"/>
    </row>
    <row r="1575" spans="10:10" x14ac:dyDescent="0.25">
      <c r="J1575" s="15"/>
    </row>
    <row r="1576" spans="10:10" x14ac:dyDescent="0.25">
      <c r="J1576" s="15"/>
    </row>
    <row r="1577" spans="10:10" x14ac:dyDescent="0.25">
      <c r="J1577" s="15"/>
    </row>
    <row r="1578" spans="10:10" x14ac:dyDescent="0.25">
      <c r="J1578" s="15"/>
    </row>
    <row r="1579" spans="10:10" x14ac:dyDescent="0.25">
      <c r="J1579" s="15"/>
    </row>
    <row r="1580" spans="10:10" x14ac:dyDescent="0.25">
      <c r="J1580" s="15"/>
    </row>
    <row r="1581" spans="10:10" x14ac:dyDescent="0.25">
      <c r="J1581" s="15"/>
    </row>
    <row r="1582" spans="10:10" x14ac:dyDescent="0.25">
      <c r="J1582" s="15"/>
    </row>
    <row r="1583" spans="10:10" x14ac:dyDescent="0.25">
      <c r="J1583" s="15"/>
    </row>
    <row r="1584" spans="10:10" x14ac:dyDescent="0.25">
      <c r="J1584" s="15"/>
    </row>
    <row r="1585" spans="10:10" x14ac:dyDescent="0.25">
      <c r="J1585" s="15"/>
    </row>
    <row r="1586" spans="10:10" x14ac:dyDescent="0.25">
      <c r="J1586" s="15"/>
    </row>
    <row r="1587" spans="10:10" x14ac:dyDescent="0.25">
      <c r="J1587" s="15"/>
    </row>
    <row r="1588" spans="10:10" x14ac:dyDescent="0.25">
      <c r="J1588" s="15"/>
    </row>
    <row r="1589" spans="10:10" x14ac:dyDescent="0.25">
      <c r="J1589" s="15"/>
    </row>
    <row r="1590" spans="10:10" x14ac:dyDescent="0.25">
      <c r="J1590" s="15"/>
    </row>
    <row r="1591" spans="10:10" x14ac:dyDescent="0.25">
      <c r="J1591" s="15"/>
    </row>
    <row r="1592" spans="10:10" x14ac:dyDescent="0.25">
      <c r="J1592" s="15"/>
    </row>
    <row r="1593" spans="10:10" x14ac:dyDescent="0.25">
      <c r="J1593" s="15"/>
    </row>
    <row r="1594" spans="10:10" x14ac:dyDescent="0.25">
      <c r="J1594" s="15"/>
    </row>
    <row r="1595" spans="10:10" x14ac:dyDescent="0.25">
      <c r="J1595" s="15"/>
    </row>
    <row r="1596" spans="10:10" x14ac:dyDescent="0.25">
      <c r="J1596" s="15"/>
    </row>
    <row r="1597" spans="10:10" x14ac:dyDescent="0.25">
      <c r="J1597" s="15"/>
    </row>
    <row r="1598" spans="10:10" x14ac:dyDescent="0.25">
      <c r="J1598" s="15"/>
    </row>
    <row r="1599" spans="10:10" x14ac:dyDescent="0.25">
      <c r="J1599" s="15"/>
    </row>
    <row r="1600" spans="10:10" x14ac:dyDescent="0.25">
      <c r="J1600" s="15"/>
    </row>
    <row r="1601" spans="10:10" x14ac:dyDescent="0.25">
      <c r="J1601" s="15"/>
    </row>
    <row r="1602" spans="10:10" x14ac:dyDescent="0.25">
      <c r="J1602" s="15"/>
    </row>
    <row r="1603" spans="10:10" x14ac:dyDescent="0.25">
      <c r="J1603" s="15"/>
    </row>
    <row r="1604" spans="10:10" x14ac:dyDescent="0.25">
      <c r="J1604" s="15"/>
    </row>
    <row r="1605" spans="10:10" x14ac:dyDescent="0.25">
      <c r="J1605" s="15"/>
    </row>
    <row r="1606" spans="10:10" x14ac:dyDescent="0.25">
      <c r="J1606" s="15"/>
    </row>
    <row r="1607" spans="10:10" x14ac:dyDescent="0.25">
      <c r="J1607" s="15"/>
    </row>
    <row r="1608" spans="10:10" x14ac:dyDescent="0.25">
      <c r="J1608" s="15"/>
    </row>
    <row r="1609" spans="10:10" x14ac:dyDescent="0.25">
      <c r="J1609" s="15"/>
    </row>
    <row r="1610" spans="10:10" x14ac:dyDescent="0.25">
      <c r="J1610" s="15"/>
    </row>
    <row r="1611" spans="10:10" x14ac:dyDescent="0.25">
      <c r="J1611" s="15"/>
    </row>
    <row r="1612" spans="10:10" x14ac:dyDescent="0.25">
      <c r="J1612" s="15"/>
    </row>
    <row r="1613" spans="10:10" x14ac:dyDescent="0.25">
      <c r="J1613" s="15"/>
    </row>
    <row r="1614" spans="10:10" x14ac:dyDescent="0.25">
      <c r="J1614" s="15"/>
    </row>
    <row r="1615" spans="10:10" x14ac:dyDescent="0.25">
      <c r="J1615" s="15"/>
    </row>
    <row r="1616" spans="10:10" x14ac:dyDescent="0.25">
      <c r="J1616" s="15"/>
    </row>
    <row r="1617" spans="10:10" x14ac:dyDescent="0.25">
      <c r="J1617" s="15"/>
    </row>
    <row r="1618" spans="10:10" x14ac:dyDescent="0.25">
      <c r="J1618" s="15"/>
    </row>
    <row r="1619" spans="10:10" x14ac:dyDescent="0.25">
      <c r="J1619" s="15"/>
    </row>
    <row r="1620" spans="10:10" x14ac:dyDescent="0.25">
      <c r="J1620" s="15"/>
    </row>
    <row r="1621" spans="10:10" x14ac:dyDescent="0.25">
      <c r="J1621" s="15"/>
    </row>
    <row r="1622" spans="10:10" x14ac:dyDescent="0.25">
      <c r="J1622" s="15"/>
    </row>
    <row r="1623" spans="10:10" x14ac:dyDescent="0.25">
      <c r="J1623" s="15"/>
    </row>
    <row r="1624" spans="10:10" x14ac:dyDescent="0.25">
      <c r="J1624" s="15"/>
    </row>
    <row r="1625" spans="10:10" x14ac:dyDescent="0.25">
      <c r="J1625" s="15"/>
    </row>
    <row r="1626" spans="10:10" x14ac:dyDescent="0.25">
      <c r="J1626" s="15"/>
    </row>
    <row r="1627" spans="10:10" x14ac:dyDescent="0.25">
      <c r="J1627" s="15"/>
    </row>
    <row r="1628" spans="10:10" x14ac:dyDescent="0.25">
      <c r="J1628" s="15"/>
    </row>
    <row r="1629" spans="10:10" x14ac:dyDescent="0.25">
      <c r="J1629" s="15"/>
    </row>
    <row r="1630" spans="10:10" x14ac:dyDescent="0.25">
      <c r="J1630" s="15"/>
    </row>
    <row r="1631" spans="10:10" x14ac:dyDescent="0.25">
      <c r="J1631" s="15"/>
    </row>
    <row r="1632" spans="10:10" x14ac:dyDescent="0.25">
      <c r="J1632" s="15"/>
    </row>
    <row r="1633" spans="10:10" x14ac:dyDescent="0.25">
      <c r="J1633" s="15"/>
    </row>
    <row r="1634" spans="10:10" x14ac:dyDescent="0.25">
      <c r="J1634" s="15"/>
    </row>
    <row r="1635" spans="10:10" x14ac:dyDescent="0.25">
      <c r="J1635" s="15"/>
    </row>
    <row r="1636" spans="10:10" x14ac:dyDescent="0.25">
      <c r="J1636" s="15"/>
    </row>
    <row r="1637" spans="10:10" x14ac:dyDescent="0.25">
      <c r="J1637" s="15"/>
    </row>
    <row r="1638" spans="10:10" x14ac:dyDescent="0.25">
      <c r="J1638" s="15"/>
    </row>
    <row r="1639" spans="10:10" x14ac:dyDescent="0.25">
      <c r="J1639" s="15"/>
    </row>
    <row r="1640" spans="10:10" x14ac:dyDescent="0.25">
      <c r="J1640" s="15"/>
    </row>
    <row r="1641" spans="10:10" x14ac:dyDescent="0.25">
      <c r="J1641" s="15"/>
    </row>
    <row r="1642" spans="10:10" x14ac:dyDescent="0.25">
      <c r="J1642" s="15"/>
    </row>
    <row r="1643" spans="10:10" x14ac:dyDescent="0.25">
      <c r="J1643" s="15"/>
    </row>
    <row r="1644" spans="10:10" x14ac:dyDescent="0.25">
      <c r="J1644" s="15"/>
    </row>
    <row r="1645" spans="10:10" x14ac:dyDescent="0.25">
      <c r="J1645" s="15"/>
    </row>
    <row r="1646" spans="10:10" x14ac:dyDescent="0.25">
      <c r="J1646" s="15"/>
    </row>
    <row r="1647" spans="10:10" x14ac:dyDescent="0.25">
      <c r="J1647" s="15"/>
    </row>
    <row r="1648" spans="10:10" x14ac:dyDescent="0.25">
      <c r="J1648" s="15"/>
    </row>
    <row r="1649" spans="10:10" x14ac:dyDescent="0.25">
      <c r="J1649" s="15"/>
    </row>
    <row r="1650" spans="10:10" x14ac:dyDescent="0.25">
      <c r="J1650" s="15"/>
    </row>
    <row r="1651" spans="10:10" x14ac:dyDescent="0.25">
      <c r="J1651" s="15"/>
    </row>
    <row r="1652" spans="10:10" x14ac:dyDescent="0.25">
      <c r="J1652" s="15"/>
    </row>
    <row r="1653" spans="10:10" x14ac:dyDescent="0.25">
      <c r="J1653" s="15"/>
    </row>
    <row r="1654" spans="10:10" x14ac:dyDescent="0.25">
      <c r="J1654" s="15"/>
    </row>
    <row r="1655" spans="10:10" x14ac:dyDescent="0.25">
      <c r="J1655" s="15"/>
    </row>
    <row r="1656" spans="10:10" x14ac:dyDescent="0.25">
      <c r="J1656" s="15"/>
    </row>
    <row r="1657" spans="10:10" x14ac:dyDescent="0.25">
      <c r="J1657" s="15"/>
    </row>
    <row r="1658" spans="10:10" x14ac:dyDescent="0.25">
      <c r="J1658" s="15"/>
    </row>
    <row r="1659" spans="10:10" x14ac:dyDescent="0.25">
      <c r="J1659" s="15"/>
    </row>
    <row r="1660" spans="10:10" x14ac:dyDescent="0.25">
      <c r="J1660" s="15"/>
    </row>
    <row r="1661" spans="10:10" x14ac:dyDescent="0.25">
      <c r="J1661" s="15"/>
    </row>
    <row r="1662" spans="10:10" x14ac:dyDescent="0.25">
      <c r="J1662" s="15"/>
    </row>
    <row r="1663" spans="10:10" x14ac:dyDescent="0.25">
      <c r="J1663" s="15"/>
    </row>
    <row r="1664" spans="10:10" x14ac:dyDescent="0.25">
      <c r="J1664" s="15"/>
    </row>
    <row r="1665" spans="10:10" x14ac:dyDescent="0.25">
      <c r="J1665" s="15"/>
    </row>
    <row r="1666" spans="10:10" x14ac:dyDescent="0.25">
      <c r="J1666" s="15"/>
    </row>
    <row r="1667" spans="10:10" x14ac:dyDescent="0.25">
      <c r="J1667" s="15"/>
    </row>
    <row r="1668" spans="10:10" x14ac:dyDescent="0.25">
      <c r="J1668" s="15"/>
    </row>
    <row r="1669" spans="10:10" x14ac:dyDescent="0.25">
      <c r="J1669" s="15"/>
    </row>
    <row r="1670" spans="10:10" x14ac:dyDescent="0.25">
      <c r="J1670" s="15"/>
    </row>
    <row r="1671" spans="10:10" x14ac:dyDescent="0.25">
      <c r="J1671" s="15"/>
    </row>
    <row r="1672" spans="10:10" x14ac:dyDescent="0.25">
      <c r="J1672" s="15"/>
    </row>
    <row r="1673" spans="10:10" x14ac:dyDescent="0.25">
      <c r="J1673" s="15"/>
    </row>
    <row r="1674" spans="10:10" x14ac:dyDescent="0.25">
      <c r="J1674" s="15"/>
    </row>
    <row r="1675" spans="10:10" x14ac:dyDescent="0.25">
      <c r="J1675" s="15"/>
    </row>
    <row r="1676" spans="10:10" x14ac:dyDescent="0.25">
      <c r="J1676" s="15"/>
    </row>
    <row r="1677" spans="10:10" x14ac:dyDescent="0.25">
      <c r="J1677" s="15"/>
    </row>
    <row r="1678" spans="10:10" x14ac:dyDescent="0.25">
      <c r="J1678" s="15"/>
    </row>
    <row r="1679" spans="10:10" x14ac:dyDescent="0.25">
      <c r="J1679" s="15"/>
    </row>
    <row r="1680" spans="10:10" x14ac:dyDescent="0.25">
      <c r="J1680" s="15"/>
    </row>
    <row r="1681" spans="10:10" x14ac:dyDescent="0.25">
      <c r="J1681" s="15"/>
    </row>
    <row r="1682" spans="10:10" x14ac:dyDescent="0.25">
      <c r="J1682" s="15"/>
    </row>
    <row r="1683" spans="10:10" x14ac:dyDescent="0.25">
      <c r="J1683" s="15"/>
    </row>
    <row r="1684" spans="10:10" x14ac:dyDescent="0.25">
      <c r="J1684" s="15"/>
    </row>
    <row r="1685" spans="10:10" x14ac:dyDescent="0.25">
      <c r="J1685" s="15"/>
    </row>
    <row r="1686" spans="10:10" x14ac:dyDescent="0.25">
      <c r="J1686" s="15"/>
    </row>
    <row r="1687" spans="10:10" x14ac:dyDescent="0.25">
      <c r="J1687" s="15"/>
    </row>
    <row r="1688" spans="10:10" x14ac:dyDescent="0.25">
      <c r="J1688" s="15"/>
    </row>
    <row r="1689" spans="10:10" x14ac:dyDescent="0.25">
      <c r="J1689" s="15"/>
    </row>
    <row r="1690" spans="10:10" x14ac:dyDescent="0.25">
      <c r="J1690" s="15"/>
    </row>
    <row r="1691" spans="10:10" x14ac:dyDescent="0.25">
      <c r="J1691" s="15"/>
    </row>
    <row r="1692" spans="10:10" x14ac:dyDescent="0.25">
      <c r="J1692" s="15"/>
    </row>
    <row r="1693" spans="10:10" x14ac:dyDescent="0.25">
      <c r="J1693" s="15"/>
    </row>
    <row r="1694" spans="10:10" x14ac:dyDescent="0.25">
      <c r="J1694" s="15"/>
    </row>
    <row r="1695" spans="10:10" x14ac:dyDescent="0.25">
      <c r="J1695" s="15"/>
    </row>
    <row r="1696" spans="10:10" x14ac:dyDescent="0.25">
      <c r="J1696" s="15"/>
    </row>
    <row r="1697" spans="10:10" x14ac:dyDescent="0.25">
      <c r="J1697" s="15"/>
    </row>
    <row r="1698" spans="10:10" x14ac:dyDescent="0.25">
      <c r="J1698" s="15"/>
    </row>
    <row r="1699" spans="10:10" x14ac:dyDescent="0.25">
      <c r="J1699" s="15"/>
    </row>
    <row r="1700" spans="10:10" x14ac:dyDescent="0.25">
      <c r="J1700" s="15"/>
    </row>
    <row r="1701" spans="10:10" x14ac:dyDescent="0.25">
      <c r="J1701" s="15"/>
    </row>
    <row r="1702" spans="10:10" x14ac:dyDescent="0.25">
      <c r="J1702" s="15"/>
    </row>
    <row r="1703" spans="10:10" x14ac:dyDescent="0.25">
      <c r="J1703" s="15"/>
    </row>
    <row r="1704" spans="10:10" x14ac:dyDescent="0.25">
      <c r="J1704" s="15"/>
    </row>
    <row r="1705" spans="10:10" x14ac:dyDescent="0.25">
      <c r="J1705" s="15"/>
    </row>
    <row r="1706" spans="10:10" x14ac:dyDescent="0.25">
      <c r="J1706" s="15"/>
    </row>
    <row r="1707" spans="10:10" x14ac:dyDescent="0.25">
      <c r="J1707" s="15"/>
    </row>
    <row r="1708" spans="10:10" x14ac:dyDescent="0.25">
      <c r="J1708" s="15"/>
    </row>
    <row r="1709" spans="10:10" x14ac:dyDescent="0.25">
      <c r="J1709" s="15"/>
    </row>
    <row r="1710" spans="10:10" x14ac:dyDescent="0.25">
      <c r="J1710" s="15"/>
    </row>
    <row r="1711" spans="10:10" x14ac:dyDescent="0.25">
      <c r="J1711" s="15"/>
    </row>
    <row r="1712" spans="10:10" x14ac:dyDescent="0.25">
      <c r="J1712" s="15"/>
    </row>
    <row r="1713" spans="10:10" x14ac:dyDescent="0.25">
      <c r="J1713" s="15"/>
    </row>
    <row r="1714" spans="10:10" x14ac:dyDescent="0.25">
      <c r="J1714" s="15"/>
    </row>
    <row r="1715" spans="10:10" x14ac:dyDescent="0.25">
      <c r="J1715" s="15"/>
    </row>
    <row r="1716" spans="10:10" x14ac:dyDescent="0.25">
      <c r="J1716" s="15"/>
    </row>
    <row r="1717" spans="10:10" x14ac:dyDescent="0.25">
      <c r="J1717" s="15"/>
    </row>
    <row r="1718" spans="10:10" x14ac:dyDescent="0.25">
      <c r="J1718" s="15"/>
    </row>
    <row r="1719" spans="10:10" x14ac:dyDescent="0.25">
      <c r="J1719" s="15"/>
    </row>
    <row r="1720" spans="10:10" x14ac:dyDescent="0.25">
      <c r="J1720" s="15"/>
    </row>
    <row r="1721" spans="10:10" x14ac:dyDescent="0.25">
      <c r="J1721" s="15"/>
    </row>
    <row r="1722" spans="10:10" x14ac:dyDescent="0.25">
      <c r="J1722" s="15"/>
    </row>
    <row r="1723" spans="10:10" x14ac:dyDescent="0.25">
      <c r="J1723" s="15"/>
    </row>
    <row r="1724" spans="10:10" x14ac:dyDescent="0.25">
      <c r="J1724" s="15"/>
    </row>
    <row r="1725" spans="10:10" x14ac:dyDescent="0.25">
      <c r="J1725" s="15"/>
    </row>
    <row r="1726" spans="10:10" x14ac:dyDescent="0.25">
      <c r="J1726" s="15"/>
    </row>
    <row r="1727" spans="10:10" x14ac:dyDescent="0.25">
      <c r="J1727" s="15"/>
    </row>
    <row r="1728" spans="10:10" x14ac:dyDescent="0.25">
      <c r="J1728" s="15"/>
    </row>
    <row r="1729" spans="10:10" x14ac:dyDescent="0.25">
      <c r="J1729" s="15"/>
    </row>
    <row r="1730" spans="10:10" x14ac:dyDescent="0.25">
      <c r="J1730" s="15"/>
    </row>
    <row r="1731" spans="10:10" x14ac:dyDescent="0.25">
      <c r="J1731" s="15"/>
    </row>
    <row r="1732" spans="10:10" x14ac:dyDescent="0.25">
      <c r="J1732" s="15"/>
    </row>
    <row r="1733" spans="10:10" x14ac:dyDescent="0.25">
      <c r="J1733" s="15"/>
    </row>
    <row r="1734" spans="10:10" x14ac:dyDescent="0.25">
      <c r="J1734" s="15"/>
    </row>
    <row r="1735" spans="10:10" x14ac:dyDescent="0.25">
      <c r="J1735" s="15"/>
    </row>
    <row r="1736" spans="10:10" x14ac:dyDescent="0.25">
      <c r="J1736" s="15"/>
    </row>
    <row r="1737" spans="10:10" x14ac:dyDescent="0.25">
      <c r="J1737" s="15"/>
    </row>
    <row r="1738" spans="10:10" x14ac:dyDescent="0.25">
      <c r="J1738" s="15"/>
    </row>
    <row r="1739" spans="10:10" x14ac:dyDescent="0.25">
      <c r="J1739" s="15"/>
    </row>
    <row r="1740" spans="10:10" x14ac:dyDescent="0.25">
      <c r="J1740" s="15"/>
    </row>
    <row r="1741" spans="10:10" x14ac:dyDescent="0.25">
      <c r="J1741" s="15"/>
    </row>
    <row r="1742" spans="10:10" x14ac:dyDescent="0.25">
      <c r="J1742" s="15"/>
    </row>
    <row r="1743" spans="10:10" x14ac:dyDescent="0.25">
      <c r="J1743" s="15"/>
    </row>
    <row r="1744" spans="10:10" x14ac:dyDescent="0.25">
      <c r="J1744" s="15"/>
    </row>
    <row r="1745" spans="10:10" x14ac:dyDescent="0.25">
      <c r="J1745" s="15"/>
    </row>
    <row r="1746" spans="10:10" x14ac:dyDescent="0.25">
      <c r="J1746" s="15"/>
    </row>
    <row r="1747" spans="10:10" x14ac:dyDescent="0.25">
      <c r="J1747" s="15"/>
    </row>
    <row r="1748" spans="10:10" x14ac:dyDescent="0.25">
      <c r="J1748" s="15"/>
    </row>
    <row r="1749" spans="10:10" x14ac:dyDescent="0.25">
      <c r="J1749" s="15"/>
    </row>
    <row r="1750" spans="10:10" x14ac:dyDescent="0.25">
      <c r="J1750" s="15"/>
    </row>
    <row r="1751" spans="10:10" x14ac:dyDescent="0.25">
      <c r="J1751" s="15"/>
    </row>
    <row r="1752" spans="10:10" x14ac:dyDescent="0.25">
      <c r="J1752" s="15"/>
    </row>
    <row r="1753" spans="10:10" x14ac:dyDescent="0.25">
      <c r="J1753" s="15"/>
    </row>
    <row r="1754" spans="10:10" x14ac:dyDescent="0.25">
      <c r="J1754" s="15"/>
    </row>
    <row r="1755" spans="10:10" x14ac:dyDescent="0.25">
      <c r="J1755" s="15"/>
    </row>
    <row r="1756" spans="10:10" x14ac:dyDescent="0.25">
      <c r="J1756" s="15"/>
    </row>
    <row r="1757" spans="10:10" x14ac:dyDescent="0.25">
      <c r="J1757" s="15"/>
    </row>
    <row r="1758" spans="10:10" x14ac:dyDescent="0.25">
      <c r="J1758" s="15"/>
    </row>
    <row r="1759" spans="10:10" x14ac:dyDescent="0.25">
      <c r="J1759" s="15"/>
    </row>
    <row r="1760" spans="10:10" x14ac:dyDescent="0.25">
      <c r="J1760" s="15"/>
    </row>
    <row r="1761" spans="10:10" x14ac:dyDescent="0.25">
      <c r="J1761" s="15"/>
    </row>
    <row r="1762" spans="10:10" x14ac:dyDescent="0.25">
      <c r="J1762" s="15"/>
    </row>
    <row r="1763" spans="10:10" x14ac:dyDescent="0.25">
      <c r="J1763" s="15"/>
    </row>
    <row r="1764" spans="10:10" x14ac:dyDescent="0.25">
      <c r="J1764" s="15"/>
    </row>
    <row r="1765" spans="10:10" x14ac:dyDescent="0.25">
      <c r="J1765" s="15"/>
    </row>
    <row r="1766" spans="10:10" x14ac:dyDescent="0.25">
      <c r="J1766" s="15"/>
    </row>
    <row r="1767" spans="10:10" x14ac:dyDescent="0.25">
      <c r="J1767" s="15"/>
    </row>
    <row r="1768" spans="10:10" x14ac:dyDescent="0.25">
      <c r="J1768" s="15"/>
    </row>
    <row r="1769" spans="10:10" x14ac:dyDescent="0.25">
      <c r="J1769" s="15"/>
    </row>
    <row r="1770" spans="10:10" x14ac:dyDescent="0.25">
      <c r="J1770" s="15"/>
    </row>
    <row r="1771" spans="10:10" x14ac:dyDescent="0.25">
      <c r="J1771" s="15"/>
    </row>
    <row r="1772" spans="10:10" x14ac:dyDescent="0.25">
      <c r="J1772" s="15"/>
    </row>
    <row r="1773" spans="10:10" x14ac:dyDescent="0.25">
      <c r="J1773" s="15"/>
    </row>
    <row r="1774" spans="10:10" x14ac:dyDescent="0.25">
      <c r="J1774" s="15"/>
    </row>
    <row r="1775" spans="10:10" x14ac:dyDescent="0.25">
      <c r="J1775" s="15"/>
    </row>
    <row r="1776" spans="10:10" x14ac:dyDescent="0.25">
      <c r="J1776" s="15"/>
    </row>
    <row r="1777" spans="10:10" x14ac:dyDescent="0.25">
      <c r="J1777" s="15"/>
    </row>
    <row r="1778" spans="10:10" x14ac:dyDescent="0.25">
      <c r="J1778" s="15"/>
    </row>
    <row r="1779" spans="10:10" x14ac:dyDescent="0.25">
      <c r="J1779" s="15"/>
    </row>
    <row r="1780" spans="10:10" x14ac:dyDescent="0.25">
      <c r="J1780" s="15"/>
    </row>
    <row r="1781" spans="10:10" x14ac:dyDescent="0.25">
      <c r="J1781" s="15"/>
    </row>
    <row r="1782" spans="10:10" x14ac:dyDescent="0.25">
      <c r="J1782" s="15"/>
    </row>
    <row r="1783" spans="10:10" x14ac:dyDescent="0.25">
      <c r="J1783" s="15"/>
    </row>
    <row r="1784" spans="10:10" x14ac:dyDescent="0.25">
      <c r="J1784" s="15"/>
    </row>
    <row r="1785" spans="10:10" x14ac:dyDescent="0.25">
      <c r="J1785" s="15"/>
    </row>
    <row r="1786" spans="10:10" x14ac:dyDescent="0.25">
      <c r="J1786" s="15"/>
    </row>
    <row r="1787" spans="10:10" x14ac:dyDescent="0.25">
      <c r="J1787" s="15"/>
    </row>
    <row r="1788" spans="10:10" x14ac:dyDescent="0.25">
      <c r="J1788" s="15"/>
    </row>
    <row r="1789" spans="10:10" x14ac:dyDescent="0.25">
      <c r="J1789" s="15"/>
    </row>
    <row r="1790" spans="10:10" x14ac:dyDescent="0.25">
      <c r="J1790" s="15"/>
    </row>
    <row r="1791" spans="10:10" x14ac:dyDescent="0.25">
      <c r="J1791" s="15"/>
    </row>
    <row r="1792" spans="10:10" x14ac:dyDescent="0.25">
      <c r="J1792" s="15"/>
    </row>
    <row r="1793" spans="10:10" x14ac:dyDescent="0.25">
      <c r="J1793" s="15"/>
    </row>
    <row r="1794" spans="10:10" x14ac:dyDescent="0.25">
      <c r="J1794" s="15"/>
    </row>
    <row r="1795" spans="10:10" x14ac:dyDescent="0.25">
      <c r="J1795" s="15"/>
    </row>
    <row r="1796" spans="10:10" x14ac:dyDescent="0.25">
      <c r="J1796" s="15"/>
    </row>
    <row r="1797" spans="10:10" x14ac:dyDescent="0.25">
      <c r="J1797" s="15"/>
    </row>
    <row r="1798" spans="10:10" x14ac:dyDescent="0.25">
      <c r="J1798" s="15"/>
    </row>
    <row r="1799" spans="10:10" x14ac:dyDescent="0.25">
      <c r="J1799" s="15"/>
    </row>
    <row r="1800" spans="10:10" x14ac:dyDescent="0.25">
      <c r="J1800" s="15"/>
    </row>
    <row r="1801" spans="10:10" x14ac:dyDescent="0.25">
      <c r="J1801" s="15"/>
    </row>
    <row r="1802" spans="10:10" x14ac:dyDescent="0.25">
      <c r="J1802" s="15"/>
    </row>
    <row r="1803" spans="10:10" x14ac:dyDescent="0.25">
      <c r="J1803" s="15"/>
    </row>
    <row r="1804" spans="10:10" x14ac:dyDescent="0.25">
      <c r="J1804" s="15"/>
    </row>
    <row r="1805" spans="10:10" x14ac:dyDescent="0.25">
      <c r="J1805" s="15"/>
    </row>
    <row r="1806" spans="10:10" x14ac:dyDescent="0.25">
      <c r="J1806" s="15"/>
    </row>
    <row r="1807" spans="10:10" x14ac:dyDescent="0.25">
      <c r="J1807" s="15"/>
    </row>
    <row r="1808" spans="10:10" x14ac:dyDescent="0.25">
      <c r="J1808" s="15"/>
    </row>
    <row r="1809" spans="10:10" x14ac:dyDescent="0.25">
      <c r="J1809" s="15"/>
    </row>
    <row r="1810" spans="10:10" x14ac:dyDescent="0.25">
      <c r="J1810" s="15"/>
    </row>
    <row r="1811" spans="10:10" x14ac:dyDescent="0.25">
      <c r="J1811" s="15"/>
    </row>
    <row r="1812" spans="10:10" x14ac:dyDescent="0.25">
      <c r="J1812" s="15"/>
    </row>
    <row r="1813" spans="10:10" x14ac:dyDescent="0.25">
      <c r="J1813" s="15"/>
    </row>
    <row r="1814" spans="10:10" x14ac:dyDescent="0.25">
      <c r="J1814" s="15"/>
    </row>
    <row r="1815" spans="10:10" x14ac:dyDescent="0.25">
      <c r="J1815" s="15"/>
    </row>
    <row r="1816" spans="10:10" x14ac:dyDescent="0.25">
      <c r="J1816" s="15"/>
    </row>
    <row r="1817" spans="10:10" x14ac:dyDescent="0.25">
      <c r="J1817" s="15"/>
    </row>
    <row r="1818" spans="10:10" x14ac:dyDescent="0.25">
      <c r="J1818" s="15"/>
    </row>
    <row r="1819" spans="10:10" x14ac:dyDescent="0.25">
      <c r="J1819" s="15"/>
    </row>
    <row r="1820" spans="10:10" x14ac:dyDescent="0.25">
      <c r="J1820" s="15"/>
    </row>
    <row r="1821" spans="10:10" x14ac:dyDescent="0.25">
      <c r="J1821" s="15"/>
    </row>
    <row r="1822" spans="10:10" x14ac:dyDescent="0.25">
      <c r="J1822" s="15"/>
    </row>
    <row r="1823" spans="10:10" x14ac:dyDescent="0.25">
      <c r="J1823" s="15"/>
    </row>
    <row r="1824" spans="10:10" x14ac:dyDescent="0.25">
      <c r="J1824" s="15"/>
    </row>
    <row r="1825" spans="10:10" x14ac:dyDescent="0.25">
      <c r="J1825" s="15"/>
    </row>
    <row r="1826" spans="10:10" x14ac:dyDescent="0.25">
      <c r="J1826" s="15"/>
    </row>
    <row r="1827" spans="10:10" x14ac:dyDescent="0.25">
      <c r="J1827" s="15"/>
    </row>
    <row r="1828" spans="10:10" x14ac:dyDescent="0.25">
      <c r="J1828" s="15"/>
    </row>
    <row r="1829" spans="10:10" x14ac:dyDescent="0.25">
      <c r="J1829" s="15"/>
    </row>
    <row r="1830" spans="10:10" x14ac:dyDescent="0.25">
      <c r="J1830" s="15"/>
    </row>
    <row r="1831" spans="10:10" x14ac:dyDescent="0.25">
      <c r="J1831" s="15"/>
    </row>
    <row r="1832" spans="10:10" x14ac:dyDescent="0.25">
      <c r="J1832" s="15"/>
    </row>
    <row r="1833" spans="10:10" x14ac:dyDescent="0.25">
      <c r="J1833" s="15"/>
    </row>
    <row r="1834" spans="10:10" x14ac:dyDescent="0.25">
      <c r="J1834" s="15"/>
    </row>
    <row r="1835" spans="10:10" x14ac:dyDescent="0.25">
      <c r="J1835" s="15"/>
    </row>
    <row r="1836" spans="10:10" x14ac:dyDescent="0.25">
      <c r="J1836" s="15"/>
    </row>
    <row r="1837" spans="10:10" x14ac:dyDescent="0.25">
      <c r="J1837" s="15"/>
    </row>
    <row r="1838" spans="10:10" x14ac:dyDescent="0.25">
      <c r="J1838" s="15"/>
    </row>
    <row r="1839" spans="10:10" x14ac:dyDescent="0.25">
      <c r="J1839" s="15"/>
    </row>
    <row r="1840" spans="10:10" x14ac:dyDescent="0.25">
      <c r="J1840" s="15"/>
    </row>
    <row r="1841" spans="10:10" x14ac:dyDescent="0.25">
      <c r="J1841" s="15"/>
    </row>
    <row r="1842" spans="10:10" x14ac:dyDescent="0.25">
      <c r="J1842" s="15"/>
    </row>
    <row r="1843" spans="10:10" x14ac:dyDescent="0.25">
      <c r="J1843" s="15"/>
    </row>
    <row r="1844" spans="10:10" x14ac:dyDescent="0.25">
      <c r="J1844" s="15"/>
    </row>
    <row r="1845" spans="10:10" x14ac:dyDescent="0.25">
      <c r="J1845" s="15"/>
    </row>
    <row r="1846" spans="10:10" x14ac:dyDescent="0.25">
      <c r="J1846" s="15"/>
    </row>
    <row r="1847" spans="10:10" x14ac:dyDescent="0.25">
      <c r="J1847" s="15"/>
    </row>
    <row r="1848" spans="10:10" x14ac:dyDescent="0.25">
      <c r="J1848" s="15"/>
    </row>
    <row r="1849" spans="10:10" x14ac:dyDescent="0.25">
      <c r="J1849" s="15"/>
    </row>
    <row r="1850" spans="10:10" x14ac:dyDescent="0.25">
      <c r="J1850" s="15"/>
    </row>
    <row r="1851" spans="10:10" x14ac:dyDescent="0.25">
      <c r="J1851" s="15"/>
    </row>
    <row r="1852" spans="10:10" x14ac:dyDescent="0.25">
      <c r="J1852" s="15"/>
    </row>
    <row r="1853" spans="10:10" x14ac:dyDescent="0.25">
      <c r="J1853" s="15"/>
    </row>
    <row r="1854" spans="10:10" x14ac:dyDescent="0.25">
      <c r="J1854" s="15"/>
    </row>
    <row r="1855" spans="10:10" x14ac:dyDescent="0.25">
      <c r="J1855" s="15"/>
    </row>
    <row r="1856" spans="10:10" x14ac:dyDescent="0.25">
      <c r="J1856" s="15"/>
    </row>
    <row r="1857" spans="10:10" x14ac:dyDescent="0.25">
      <c r="J1857" s="15"/>
    </row>
    <row r="1858" spans="10:10" x14ac:dyDescent="0.25">
      <c r="J1858" s="15"/>
    </row>
    <row r="1859" spans="10:10" x14ac:dyDescent="0.25">
      <c r="J1859" s="15"/>
    </row>
    <row r="1860" spans="10:10" x14ac:dyDescent="0.25">
      <c r="J1860" s="15"/>
    </row>
    <row r="1861" spans="10:10" x14ac:dyDescent="0.25">
      <c r="J1861" s="15"/>
    </row>
    <row r="1862" spans="10:10" x14ac:dyDescent="0.25">
      <c r="J1862" s="15"/>
    </row>
    <row r="1863" spans="10:10" x14ac:dyDescent="0.25">
      <c r="J1863" s="15"/>
    </row>
    <row r="1864" spans="10:10" x14ac:dyDescent="0.25">
      <c r="J1864" s="15"/>
    </row>
    <row r="1865" spans="10:10" x14ac:dyDescent="0.25">
      <c r="J1865" s="15"/>
    </row>
    <row r="1866" spans="10:10" x14ac:dyDescent="0.25">
      <c r="J1866" s="15"/>
    </row>
    <row r="1867" spans="10:10" x14ac:dyDescent="0.25">
      <c r="J1867" s="15"/>
    </row>
    <row r="1868" spans="10:10" x14ac:dyDescent="0.25">
      <c r="J1868" s="15"/>
    </row>
    <row r="1869" spans="10:10" x14ac:dyDescent="0.25">
      <c r="J1869" s="15"/>
    </row>
    <row r="1870" spans="10:10" x14ac:dyDescent="0.25">
      <c r="J1870" s="15"/>
    </row>
    <row r="1871" spans="10:10" x14ac:dyDescent="0.25">
      <c r="J1871" s="15"/>
    </row>
    <row r="1872" spans="10:10" x14ac:dyDescent="0.25">
      <c r="J1872" s="15"/>
    </row>
    <row r="1873" spans="10:10" x14ac:dyDescent="0.25">
      <c r="J1873" s="15"/>
    </row>
    <row r="1874" spans="10:10" x14ac:dyDescent="0.25">
      <c r="J1874" s="15"/>
    </row>
    <row r="1875" spans="10:10" x14ac:dyDescent="0.25">
      <c r="J1875" s="15"/>
    </row>
    <row r="1876" spans="10:10" x14ac:dyDescent="0.25">
      <c r="J1876" s="15"/>
    </row>
    <row r="1877" spans="10:10" x14ac:dyDescent="0.25">
      <c r="J1877" s="15"/>
    </row>
    <row r="1878" spans="10:10" x14ac:dyDescent="0.25">
      <c r="J1878" s="15"/>
    </row>
    <row r="1879" spans="10:10" x14ac:dyDescent="0.25">
      <c r="J1879" s="15"/>
    </row>
    <row r="1880" spans="10:10" x14ac:dyDescent="0.25">
      <c r="J1880" s="15"/>
    </row>
    <row r="1881" spans="10:10" x14ac:dyDescent="0.25">
      <c r="J1881" s="15"/>
    </row>
    <row r="1882" spans="10:10" x14ac:dyDescent="0.25">
      <c r="J1882" s="15"/>
    </row>
    <row r="1883" spans="10:10" x14ac:dyDescent="0.25">
      <c r="J1883" s="15"/>
    </row>
    <row r="1884" spans="10:10" x14ac:dyDescent="0.25">
      <c r="J1884" s="15"/>
    </row>
    <row r="1885" spans="10:10" x14ac:dyDescent="0.25">
      <c r="J1885" s="15"/>
    </row>
    <row r="1886" spans="10:10" x14ac:dyDescent="0.25">
      <c r="J1886" s="15"/>
    </row>
    <row r="1887" spans="10:10" x14ac:dyDescent="0.25">
      <c r="J1887" s="15"/>
    </row>
    <row r="1888" spans="10:10" x14ac:dyDescent="0.25">
      <c r="J1888" s="15"/>
    </row>
    <row r="1889" spans="10:10" x14ac:dyDescent="0.25">
      <c r="J1889" s="15"/>
    </row>
    <row r="1890" spans="10:10" x14ac:dyDescent="0.25">
      <c r="J1890" s="15"/>
    </row>
    <row r="1891" spans="10:10" x14ac:dyDescent="0.25">
      <c r="J1891" s="15"/>
    </row>
    <row r="1892" spans="10:10" x14ac:dyDescent="0.25">
      <c r="J1892" s="15"/>
    </row>
    <row r="1893" spans="10:10" x14ac:dyDescent="0.25">
      <c r="J1893" s="15"/>
    </row>
    <row r="1894" spans="10:10" x14ac:dyDescent="0.25">
      <c r="J1894" s="15"/>
    </row>
    <row r="1895" spans="10:10" x14ac:dyDescent="0.25">
      <c r="J1895" s="15"/>
    </row>
    <row r="1896" spans="10:10" x14ac:dyDescent="0.25">
      <c r="J1896" s="15"/>
    </row>
    <row r="1897" spans="10:10" x14ac:dyDescent="0.25">
      <c r="J1897" s="15"/>
    </row>
    <row r="1898" spans="10:10" x14ac:dyDescent="0.25">
      <c r="J1898" s="15"/>
    </row>
    <row r="1899" spans="10:10" x14ac:dyDescent="0.25">
      <c r="J1899" s="15"/>
    </row>
    <row r="1900" spans="10:10" x14ac:dyDescent="0.25">
      <c r="J1900" s="15"/>
    </row>
    <row r="1901" spans="10:10" x14ac:dyDescent="0.25">
      <c r="J1901" s="15"/>
    </row>
    <row r="1902" spans="10:10" x14ac:dyDescent="0.25">
      <c r="J1902" s="15"/>
    </row>
    <row r="1903" spans="10:10" x14ac:dyDescent="0.25">
      <c r="J1903" s="15"/>
    </row>
    <row r="1904" spans="10:10" x14ac:dyDescent="0.25">
      <c r="J1904" s="15"/>
    </row>
    <row r="1905" spans="10:10" x14ac:dyDescent="0.25">
      <c r="J1905" s="15"/>
    </row>
    <row r="1906" spans="10:10" x14ac:dyDescent="0.25">
      <c r="J1906" s="15"/>
    </row>
    <row r="1907" spans="10:10" x14ac:dyDescent="0.25">
      <c r="J1907" s="15"/>
    </row>
    <row r="1908" spans="10:10" x14ac:dyDescent="0.25">
      <c r="J1908" s="15"/>
    </row>
    <row r="1909" spans="10:10" x14ac:dyDescent="0.25">
      <c r="J1909" s="15"/>
    </row>
    <row r="1910" spans="10:10" x14ac:dyDescent="0.25">
      <c r="J1910" s="15"/>
    </row>
    <row r="1911" spans="10:10" x14ac:dyDescent="0.25">
      <c r="J1911" s="15"/>
    </row>
    <row r="1912" spans="10:10" x14ac:dyDescent="0.25">
      <c r="J1912" s="15"/>
    </row>
    <row r="1913" spans="10:10" x14ac:dyDescent="0.25">
      <c r="J1913" s="15"/>
    </row>
    <row r="1914" spans="10:10" x14ac:dyDescent="0.25">
      <c r="J1914" s="15"/>
    </row>
    <row r="1915" spans="10:10" x14ac:dyDescent="0.25">
      <c r="J1915" s="15"/>
    </row>
    <row r="1916" spans="10:10" x14ac:dyDescent="0.25">
      <c r="J1916" s="15"/>
    </row>
    <row r="1917" spans="10:10" x14ac:dyDescent="0.25">
      <c r="J1917" s="15"/>
    </row>
    <row r="1918" spans="10:10" x14ac:dyDescent="0.25">
      <c r="J1918" s="15"/>
    </row>
    <row r="1919" spans="10:10" x14ac:dyDescent="0.25">
      <c r="J1919" s="15"/>
    </row>
    <row r="1920" spans="10:10" x14ac:dyDescent="0.25">
      <c r="J1920" s="15"/>
    </row>
    <row r="1921" spans="10:10" x14ac:dyDescent="0.25">
      <c r="J1921" s="15"/>
    </row>
    <row r="1922" spans="10:10" x14ac:dyDescent="0.25">
      <c r="J1922" s="15"/>
    </row>
    <row r="1923" spans="10:10" x14ac:dyDescent="0.25">
      <c r="J1923" s="15"/>
    </row>
    <row r="1924" spans="10:10" x14ac:dyDescent="0.25">
      <c r="J1924" s="15"/>
    </row>
    <row r="1925" spans="10:10" x14ac:dyDescent="0.25">
      <c r="J1925" s="15"/>
    </row>
    <row r="1926" spans="10:10" x14ac:dyDescent="0.25">
      <c r="J1926" s="15"/>
    </row>
    <row r="1927" spans="10:10" x14ac:dyDescent="0.25">
      <c r="J1927" s="15"/>
    </row>
    <row r="1928" spans="10:10" x14ac:dyDescent="0.25">
      <c r="J1928" s="15"/>
    </row>
    <row r="1929" spans="10:10" x14ac:dyDescent="0.25">
      <c r="J1929" s="15"/>
    </row>
    <row r="1930" spans="10:10" x14ac:dyDescent="0.25">
      <c r="J1930" s="15"/>
    </row>
    <row r="1931" spans="10:10" x14ac:dyDescent="0.25">
      <c r="J1931" s="15"/>
    </row>
    <row r="1932" spans="10:10" x14ac:dyDescent="0.25">
      <c r="J1932" s="15"/>
    </row>
    <row r="1933" spans="10:10" x14ac:dyDescent="0.25">
      <c r="J1933" s="15"/>
    </row>
    <row r="1934" spans="10:10" x14ac:dyDescent="0.25">
      <c r="J1934" s="15"/>
    </row>
    <row r="1935" spans="10:10" x14ac:dyDescent="0.25">
      <c r="J1935" s="15"/>
    </row>
    <row r="1936" spans="10:10" x14ac:dyDescent="0.25">
      <c r="J1936" s="15"/>
    </row>
    <row r="1937" spans="10:10" x14ac:dyDescent="0.25">
      <c r="J1937" s="15"/>
    </row>
    <row r="1938" spans="10:10" x14ac:dyDescent="0.25">
      <c r="J1938" s="15"/>
    </row>
    <row r="1939" spans="10:10" x14ac:dyDescent="0.25">
      <c r="J1939" s="15"/>
    </row>
    <row r="1940" spans="10:10" x14ac:dyDescent="0.25">
      <c r="J1940" s="15"/>
    </row>
    <row r="1941" spans="10:10" x14ac:dyDescent="0.25">
      <c r="J1941" s="15"/>
    </row>
    <row r="1942" spans="10:10" x14ac:dyDescent="0.25">
      <c r="J1942" s="15"/>
    </row>
    <row r="1943" spans="10:10" x14ac:dyDescent="0.25">
      <c r="J1943" s="15"/>
    </row>
    <row r="1944" spans="10:10" x14ac:dyDescent="0.25">
      <c r="J1944" s="15"/>
    </row>
    <row r="1945" spans="10:10" x14ac:dyDescent="0.25">
      <c r="J1945" s="15"/>
    </row>
    <row r="1946" spans="10:10" x14ac:dyDescent="0.25">
      <c r="J1946" s="15"/>
    </row>
    <row r="1947" spans="10:10" x14ac:dyDescent="0.25">
      <c r="J1947" s="15"/>
    </row>
    <row r="1948" spans="10:10" x14ac:dyDescent="0.25">
      <c r="J1948" s="15"/>
    </row>
    <row r="1949" spans="10:10" x14ac:dyDescent="0.25">
      <c r="J1949" s="15"/>
    </row>
    <row r="1950" spans="10:10" x14ac:dyDescent="0.25">
      <c r="J1950" s="15"/>
    </row>
    <row r="1951" spans="10:10" x14ac:dyDescent="0.25">
      <c r="J1951" s="15"/>
    </row>
    <row r="1952" spans="10:10" x14ac:dyDescent="0.25">
      <c r="J1952" s="15"/>
    </row>
    <row r="1953" spans="10:10" x14ac:dyDescent="0.25">
      <c r="J1953" s="15"/>
    </row>
    <row r="1954" spans="10:10" x14ac:dyDescent="0.25">
      <c r="J1954" s="15"/>
    </row>
    <row r="1955" spans="10:10" x14ac:dyDescent="0.25">
      <c r="J1955" s="15"/>
    </row>
    <row r="1956" spans="10:10" x14ac:dyDescent="0.25">
      <c r="J1956" s="15"/>
    </row>
    <row r="1957" spans="10:10" x14ac:dyDescent="0.25">
      <c r="J1957" s="15"/>
    </row>
    <row r="1958" spans="10:10" x14ac:dyDescent="0.25">
      <c r="J1958" s="15"/>
    </row>
    <row r="1959" spans="10:10" x14ac:dyDescent="0.25">
      <c r="J1959" s="15"/>
    </row>
    <row r="1960" spans="10:10" x14ac:dyDescent="0.25">
      <c r="J1960" s="15"/>
    </row>
    <row r="1961" spans="10:10" x14ac:dyDescent="0.25">
      <c r="J1961" s="15"/>
    </row>
    <row r="1962" spans="10:10" x14ac:dyDescent="0.25">
      <c r="J1962" s="15"/>
    </row>
    <row r="1963" spans="10:10" x14ac:dyDescent="0.25">
      <c r="J1963" s="15"/>
    </row>
    <row r="1964" spans="10:10" x14ac:dyDescent="0.25">
      <c r="J1964" s="15"/>
    </row>
    <row r="1965" spans="10:10" x14ac:dyDescent="0.25">
      <c r="J1965" s="15"/>
    </row>
    <row r="1966" spans="10:10" x14ac:dyDescent="0.25">
      <c r="J1966" s="15"/>
    </row>
    <row r="1967" spans="10:10" x14ac:dyDescent="0.25">
      <c r="J1967" s="15"/>
    </row>
    <row r="1968" spans="10:10" x14ac:dyDescent="0.25">
      <c r="J1968" s="15"/>
    </row>
    <row r="1969" spans="10:10" x14ac:dyDescent="0.25">
      <c r="J1969" s="15"/>
    </row>
    <row r="1970" spans="10:10" x14ac:dyDescent="0.25">
      <c r="J1970" s="15"/>
    </row>
    <row r="1971" spans="10:10" x14ac:dyDescent="0.25">
      <c r="J1971" s="15"/>
    </row>
    <row r="1972" spans="10:10" x14ac:dyDescent="0.25">
      <c r="J1972" s="15"/>
    </row>
    <row r="1973" spans="10:10" x14ac:dyDescent="0.25">
      <c r="J1973" s="15"/>
    </row>
    <row r="1974" spans="10:10" x14ac:dyDescent="0.25">
      <c r="J1974" s="15"/>
    </row>
    <row r="1975" spans="10:10" x14ac:dyDescent="0.25">
      <c r="J1975" s="15"/>
    </row>
    <row r="1976" spans="10:10" x14ac:dyDescent="0.25">
      <c r="J1976" s="15"/>
    </row>
    <row r="1977" spans="10:10" x14ac:dyDescent="0.25">
      <c r="J1977" s="15"/>
    </row>
    <row r="1978" spans="10:10" x14ac:dyDescent="0.25">
      <c r="J1978" s="15"/>
    </row>
    <row r="1979" spans="10:10" x14ac:dyDescent="0.25">
      <c r="J1979" s="15"/>
    </row>
    <row r="1980" spans="10:10" x14ac:dyDescent="0.25">
      <c r="J1980" s="15"/>
    </row>
    <row r="1981" spans="10:10" x14ac:dyDescent="0.25">
      <c r="J1981" s="15"/>
    </row>
    <row r="1982" spans="10:10" x14ac:dyDescent="0.25">
      <c r="J1982" s="15"/>
    </row>
    <row r="1983" spans="10:10" x14ac:dyDescent="0.25">
      <c r="J1983" s="15"/>
    </row>
    <row r="1984" spans="10:10" x14ac:dyDescent="0.25">
      <c r="J1984" s="15"/>
    </row>
    <row r="1985" spans="10:10" x14ac:dyDescent="0.25">
      <c r="J1985" s="15"/>
    </row>
    <row r="1986" spans="10:10" x14ac:dyDescent="0.25">
      <c r="J1986" s="15"/>
    </row>
    <row r="1987" spans="10:10" x14ac:dyDescent="0.25">
      <c r="J1987" s="15"/>
    </row>
    <row r="1988" spans="10:10" x14ac:dyDescent="0.25">
      <c r="J1988" s="15"/>
    </row>
    <row r="1989" spans="10:10" x14ac:dyDescent="0.25">
      <c r="J1989" s="15"/>
    </row>
    <row r="1990" spans="10:10" x14ac:dyDescent="0.25">
      <c r="J1990" s="15"/>
    </row>
    <row r="1991" spans="10:10" x14ac:dyDescent="0.25">
      <c r="J1991" s="15"/>
    </row>
    <row r="1992" spans="10:10" x14ac:dyDescent="0.25">
      <c r="J1992" s="15"/>
    </row>
    <row r="1993" spans="10:10" x14ac:dyDescent="0.25">
      <c r="J1993" s="15"/>
    </row>
    <row r="1994" spans="10:10" x14ac:dyDescent="0.25">
      <c r="J1994" s="15"/>
    </row>
    <row r="1995" spans="10:10" x14ac:dyDescent="0.25">
      <c r="J1995" s="15"/>
    </row>
    <row r="1996" spans="10:10" x14ac:dyDescent="0.25">
      <c r="J1996" s="15"/>
    </row>
    <row r="1997" spans="10:10" x14ac:dyDescent="0.25">
      <c r="J1997" s="15"/>
    </row>
    <row r="1998" spans="10:10" x14ac:dyDescent="0.25">
      <c r="J1998" s="15"/>
    </row>
    <row r="1999" spans="10:10" x14ac:dyDescent="0.25">
      <c r="J1999" s="15"/>
    </row>
    <row r="2000" spans="10:10" x14ac:dyDescent="0.25">
      <c r="J2000" s="15"/>
    </row>
    <row r="2001" spans="10:10" x14ac:dyDescent="0.25">
      <c r="J2001" s="15"/>
    </row>
    <row r="2002" spans="10:10" x14ac:dyDescent="0.25">
      <c r="J2002" s="15"/>
    </row>
    <row r="2003" spans="10:10" x14ac:dyDescent="0.25">
      <c r="J2003" s="15"/>
    </row>
    <row r="2004" spans="10:10" x14ac:dyDescent="0.25">
      <c r="J2004" s="15"/>
    </row>
    <row r="2005" spans="10:10" x14ac:dyDescent="0.25">
      <c r="J2005" s="15"/>
    </row>
    <row r="2006" spans="10:10" x14ac:dyDescent="0.25">
      <c r="J2006" s="15"/>
    </row>
    <row r="2007" spans="10:10" x14ac:dyDescent="0.25">
      <c r="J2007" s="15"/>
    </row>
    <row r="2008" spans="10:10" x14ac:dyDescent="0.25">
      <c r="J2008" s="15"/>
    </row>
    <row r="2009" spans="10:10" x14ac:dyDescent="0.25">
      <c r="J2009" s="15"/>
    </row>
    <row r="2010" spans="10:10" x14ac:dyDescent="0.25">
      <c r="J2010" s="15"/>
    </row>
    <row r="2011" spans="10:10" x14ac:dyDescent="0.25">
      <c r="J2011" s="15"/>
    </row>
    <row r="2012" spans="10:10" x14ac:dyDescent="0.25">
      <c r="J2012" s="15"/>
    </row>
    <row r="2013" spans="10:10" x14ac:dyDescent="0.25">
      <c r="J2013" s="15"/>
    </row>
    <row r="2014" spans="10:10" x14ac:dyDescent="0.25">
      <c r="J2014" s="15"/>
    </row>
    <row r="2015" spans="10:10" x14ac:dyDescent="0.25">
      <c r="J2015" s="15"/>
    </row>
    <row r="2016" spans="10:10" x14ac:dyDescent="0.25">
      <c r="J2016" s="15"/>
    </row>
    <row r="2017" spans="10:10" x14ac:dyDescent="0.25">
      <c r="J2017" s="15"/>
    </row>
    <row r="2018" spans="10:10" x14ac:dyDescent="0.25">
      <c r="J2018" s="15"/>
    </row>
    <row r="2019" spans="10:10" x14ac:dyDescent="0.25">
      <c r="J2019" s="15"/>
    </row>
    <row r="2020" spans="10:10" x14ac:dyDescent="0.25">
      <c r="J2020" s="15"/>
    </row>
    <row r="2021" spans="10:10" x14ac:dyDescent="0.25">
      <c r="J2021" s="15"/>
    </row>
    <row r="2022" spans="10:10" x14ac:dyDescent="0.25">
      <c r="J2022" s="15"/>
    </row>
    <row r="2023" spans="10:10" x14ac:dyDescent="0.25">
      <c r="J2023" s="15"/>
    </row>
    <row r="2024" spans="10:10" x14ac:dyDescent="0.25">
      <c r="J2024" s="15"/>
    </row>
    <row r="2025" spans="10:10" x14ac:dyDescent="0.25">
      <c r="J2025" s="15"/>
    </row>
    <row r="2026" spans="10:10" x14ac:dyDescent="0.25">
      <c r="J2026" s="15"/>
    </row>
    <row r="2027" spans="10:10" x14ac:dyDescent="0.25">
      <c r="J2027" s="15"/>
    </row>
    <row r="2028" spans="10:10" x14ac:dyDescent="0.25">
      <c r="J2028" s="15"/>
    </row>
    <row r="2029" spans="10:10" x14ac:dyDescent="0.25">
      <c r="J2029" s="15"/>
    </row>
    <row r="2030" spans="10:10" x14ac:dyDescent="0.25">
      <c r="J2030" s="15"/>
    </row>
    <row r="2031" spans="10:10" x14ac:dyDescent="0.25">
      <c r="J2031" s="15"/>
    </row>
    <row r="2032" spans="10:10" x14ac:dyDescent="0.25">
      <c r="J2032" s="15"/>
    </row>
    <row r="2033" spans="10:10" x14ac:dyDescent="0.25">
      <c r="J2033" s="15"/>
    </row>
    <row r="2034" spans="10:10" x14ac:dyDescent="0.25">
      <c r="J2034" s="15"/>
    </row>
    <row r="2035" spans="10:10" x14ac:dyDescent="0.25">
      <c r="J2035" s="15"/>
    </row>
    <row r="2036" spans="10:10" x14ac:dyDescent="0.25">
      <c r="J2036" s="15"/>
    </row>
    <row r="2037" spans="10:10" x14ac:dyDescent="0.25">
      <c r="J2037" s="15"/>
    </row>
    <row r="2038" spans="10:10" x14ac:dyDescent="0.25">
      <c r="J2038" s="15"/>
    </row>
    <row r="2039" spans="10:10" x14ac:dyDescent="0.25">
      <c r="J2039" s="15"/>
    </row>
    <row r="2040" spans="10:10" x14ac:dyDescent="0.25">
      <c r="J2040" s="15"/>
    </row>
    <row r="2041" spans="10:10" x14ac:dyDescent="0.25">
      <c r="J2041" s="15"/>
    </row>
    <row r="2042" spans="10:10" x14ac:dyDescent="0.25">
      <c r="J2042" s="15"/>
    </row>
    <row r="2043" spans="10:10" x14ac:dyDescent="0.25">
      <c r="J2043" s="15"/>
    </row>
    <row r="2044" spans="10:10" x14ac:dyDescent="0.25">
      <c r="J2044" s="15"/>
    </row>
    <row r="2045" spans="10:10" x14ac:dyDescent="0.25">
      <c r="J2045" s="15"/>
    </row>
    <row r="2046" spans="10:10" x14ac:dyDescent="0.25">
      <c r="J2046" s="15"/>
    </row>
    <row r="2047" spans="10:10" x14ac:dyDescent="0.25">
      <c r="J2047" s="15"/>
    </row>
    <row r="2048" spans="10:10" x14ac:dyDescent="0.25">
      <c r="J2048" s="15"/>
    </row>
    <row r="2049" spans="10:10" x14ac:dyDescent="0.25">
      <c r="J2049" s="15"/>
    </row>
    <row r="2050" spans="10:10" x14ac:dyDescent="0.25">
      <c r="J2050" s="15"/>
    </row>
    <row r="2051" spans="10:10" x14ac:dyDescent="0.25">
      <c r="J2051" s="15"/>
    </row>
    <row r="2052" spans="10:10" x14ac:dyDescent="0.25">
      <c r="J2052" s="15"/>
    </row>
    <row r="2053" spans="10:10" x14ac:dyDescent="0.25">
      <c r="J2053" s="15"/>
    </row>
    <row r="2054" spans="10:10" x14ac:dyDescent="0.25">
      <c r="J2054" s="15"/>
    </row>
    <row r="2055" spans="10:10" x14ac:dyDescent="0.25">
      <c r="J2055" s="15"/>
    </row>
    <row r="2056" spans="10:10" x14ac:dyDescent="0.25">
      <c r="J2056" s="15"/>
    </row>
    <row r="2057" spans="10:10" x14ac:dyDescent="0.25">
      <c r="J2057" s="15"/>
    </row>
    <row r="2058" spans="10:10" x14ac:dyDescent="0.25">
      <c r="J2058" s="15"/>
    </row>
    <row r="2059" spans="10:10" x14ac:dyDescent="0.25">
      <c r="J2059" s="15"/>
    </row>
    <row r="2060" spans="10:10" x14ac:dyDescent="0.25">
      <c r="J2060" s="15"/>
    </row>
    <row r="2061" spans="10:10" x14ac:dyDescent="0.25">
      <c r="J2061" s="15"/>
    </row>
    <row r="2062" spans="10:10" x14ac:dyDescent="0.25">
      <c r="J2062" s="15"/>
    </row>
    <row r="2063" spans="10:10" x14ac:dyDescent="0.25">
      <c r="J2063" s="15"/>
    </row>
    <row r="2064" spans="10:10" x14ac:dyDescent="0.25">
      <c r="J2064" s="15"/>
    </row>
    <row r="2065" spans="10:10" x14ac:dyDescent="0.25">
      <c r="J2065" s="15"/>
    </row>
    <row r="2066" spans="10:10" x14ac:dyDescent="0.25">
      <c r="J2066" s="15"/>
    </row>
    <row r="2067" spans="10:10" x14ac:dyDescent="0.25">
      <c r="J2067" s="15"/>
    </row>
    <row r="2068" spans="10:10" x14ac:dyDescent="0.25">
      <c r="J2068" s="15"/>
    </row>
    <row r="2069" spans="10:10" x14ac:dyDescent="0.25">
      <c r="J2069" s="15"/>
    </row>
    <row r="2070" spans="10:10" x14ac:dyDescent="0.25">
      <c r="J2070" s="15"/>
    </row>
    <row r="2071" spans="10:10" x14ac:dyDescent="0.25">
      <c r="J2071" s="15"/>
    </row>
    <row r="2072" spans="10:10" x14ac:dyDescent="0.25">
      <c r="J2072" s="15"/>
    </row>
    <row r="2073" spans="10:10" x14ac:dyDescent="0.25">
      <c r="J2073" s="15"/>
    </row>
    <row r="2074" spans="10:10" x14ac:dyDescent="0.25">
      <c r="J2074" s="15"/>
    </row>
    <row r="2075" spans="10:10" x14ac:dyDescent="0.25">
      <c r="J2075" s="15"/>
    </row>
    <row r="2076" spans="10:10" x14ac:dyDescent="0.25">
      <c r="J2076" s="15"/>
    </row>
    <row r="2077" spans="10:10" x14ac:dyDescent="0.25">
      <c r="J2077" s="15"/>
    </row>
    <row r="2078" spans="10:10" x14ac:dyDescent="0.25">
      <c r="J2078" s="15"/>
    </row>
    <row r="2079" spans="10:10" x14ac:dyDescent="0.25">
      <c r="J2079" s="15"/>
    </row>
    <row r="2080" spans="10:10" x14ac:dyDescent="0.25">
      <c r="J2080" s="15"/>
    </row>
    <row r="2081" spans="10:10" x14ac:dyDescent="0.25">
      <c r="J2081" s="15"/>
    </row>
    <row r="2082" spans="10:10" x14ac:dyDescent="0.25">
      <c r="J2082" s="15"/>
    </row>
    <row r="2083" spans="10:10" x14ac:dyDescent="0.25">
      <c r="J2083" s="15"/>
    </row>
    <row r="2084" spans="10:10" x14ac:dyDescent="0.25">
      <c r="J2084" s="15"/>
    </row>
    <row r="2085" spans="10:10" x14ac:dyDescent="0.25">
      <c r="J2085" s="15"/>
    </row>
    <row r="2086" spans="10:10" x14ac:dyDescent="0.25">
      <c r="J2086" s="15"/>
    </row>
    <row r="2087" spans="10:10" x14ac:dyDescent="0.25">
      <c r="J2087" s="15"/>
    </row>
    <row r="2088" spans="10:10" x14ac:dyDescent="0.25">
      <c r="J2088" s="15"/>
    </row>
    <row r="2089" spans="10:10" x14ac:dyDescent="0.25">
      <c r="J2089" s="15"/>
    </row>
    <row r="2090" spans="10:10" x14ac:dyDescent="0.25">
      <c r="J2090" s="15"/>
    </row>
    <row r="2091" spans="10:10" x14ac:dyDescent="0.25">
      <c r="J2091" s="15"/>
    </row>
    <row r="2092" spans="10:10" x14ac:dyDescent="0.25">
      <c r="J2092" s="15"/>
    </row>
    <row r="2093" spans="10:10" x14ac:dyDescent="0.25">
      <c r="J2093" s="15"/>
    </row>
    <row r="2094" spans="10:10" x14ac:dyDescent="0.25">
      <c r="J2094" s="15"/>
    </row>
    <row r="2095" spans="10:10" x14ac:dyDescent="0.25">
      <c r="J2095" s="15"/>
    </row>
    <row r="2096" spans="10:10" x14ac:dyDescent="0.25">
      <c r="J2096" s="15"/>
    </row>
    <row r="2097" spans="10:10" x14ac:dyDescent="0.25">
      <c r="J2097" s="15"/>
    </row>
    <row r="2098" spans="10:10" x14ac:dyDescent="0.25">
      <c r="J2098" s="15"/>
    </row>
    <row r="2099" spans="10:10" x14ac:dyDescent="0.25">
      <c r="J2099" s="15"/>
    </row>
    <row r="2100" spans="10:10" x14ac:dyDescent="0.25">
      <c r="J2100" s="15"/>
    </row>
    <row r="2101" spans="10:10" x14ac:dyDescent="0.25">
      <c r="J2101" s="15"/>
    </row>
    <row r="2102" spans="10:10" x14ac:dyDescent="0.25">
      <c r="J2102" s="15"/>
    </row>
    <row r="2103" spans="10:10" x14ac:dyDescent="0.25">
      <c r="J2103" s="15"/>
    </row>
    <row r="2104" spans="10:10" x14ac:dyDescent="0.25">
      <c r="J2104" s="15"/>
    </row>
    <row r="2105" spans="10:10" x14ac:dyDescent="0.25">
      <c r="J2105" s="15"/>
    </row>
    <row r="2106" spans="10:10" x14ac:dyDescent="0.25">
      <c r="J2106" s="15"/>
    </row>
    <row r="2107" spans="10:10" x14ac:dyDescent="0.25">
      <c r="J2107" s="15"/>
    </row>
    <row r="2108" spans="10:10" x14ac:dyDescent="0.25">
      <c r="J2108" s="15"/>
    </row>
    <row r="2109" spans="10:10" x14ac:dyDescent="0.25">
      <c r="J2109" s="15"/>
    </row>
    <row r="2110" spans="10:10" x14ac:dyDescent="0.25">
      <c r="J2110" s="15"/>
    </row>
    <row r="2111" spans="10:10" x14ac:dyDescent="0.25">
      <c r="J2111" s="15"/>
    </row>
    <row r="2112" spans="10:10" x14ac:dyDescent="0.25">
      <c r="J2112" s="15"/>
    </row>
    <row r="2113" spans="10:10" x14ac:dyDescent="0.25">
      <c r="J2113" s="15"/>
    </row>
    <row r="2114" spans="10:10" x14ac:dyDescent="0.25">
      <c r="J2114" s="15"/>
    </row>
    <row r="2115" spans="10:10" x14ac:dyDescent="0.25">
      <c r="J2115" s="15"/>
    </row>
    <row r="2116" spans="10:10" x14ac:dyDescent="0.25">
      <c r="J2116" s="15"/>
    </row>
    <row r="2117" spans="10:10" x14ac:dyDescent="0.25">
      <c r="J2117" s="15"/>
    </row>
    <row r="2118" spans="10:10" x14ac:dyDescent="0.25">
      <c r="J2118" s="15"/>
    </row>
    <row r="2119" spans="10:10" x14ac:dyDescent="0.25">
      <c r="J2119" s="15"/>
    </row>
    <row r="2120" spans="10:10" x14ac:dyDescent="0.25">
      <c r="J2120" s="15"/>
    </row>
    <row r="2121" spans="10:10" x14ac:dyDescent="0.25">
      <c r="J2121" s="15"/>
    </row>
    <row r="2122" spans="10:10" x14ac:dyDescent="0.25">
      <c r="J2122" s="15"/>
    </row>
    <row r="2123" spans="10:10" x14ac:dyDescent="0.25">
      <c r="J2123" s="15"/>
    </row>
    <row r="2124" spans="10:10" x14ac:dyDescent="0.25">
      <c r="J2124" s="15"/>
    </row>
    <row r="2125" spans="10:10" x14ac:dyDescent="0.25">
      <c r="J2125" s="15"/>
    </row>
    <row r="2126" spans="10:10" x14ac:dyDescent="0.25">
      <c r="J2126" s="15"/>
    </row>
    <row r="2127" spans="10:10" x14ac:dyDescent="0.25">
      <c r="J2127" s="15"/>
    </row>
    <row r="2128" spans="10:10" x14ac:dyDescent="0.25">
      <c r="J2128" s="15"/>
    </row>
    <row r="2129" spans="10:10" x14ac:dyDescent="0.25">
      <c r="J2129" s="15"/>
    </row>
    <row r="2130" spans="10:10" x14ac:dyDescent="0.25">
      <c r="J2130" s="15"/>
    </row>
    <row r="2131" spans="10:10" x14ac:dyDescent="0.25">
      <c r="J2131" s="15"/>
    </row>
    <row r="2132" spans="10:10" x14ac:dyDescent="0.25">
      <c r="J2132" s="15"/>
    </row>
    <row r="2133" spans="10:10" x14ac:dyDescent="0.25">
      <c r="J2133" s="15"/>
    </row>
    <row r="2134" spans="10:10" x14ac:dyDescent="0.25">
      <c r="J2134" s="15"/>
    </row>
    <row r="2135" spans="10:10" x14ac:dyDescent="0.25">
      <c r="J2135" s="15"/>
    </row>
    <row r="2136" spans="10:10" x14ac:dyDescent="0.25">
      <c r="J2136" s="15"/>
    </row>
    <row r="2137" spans="10:10" x14ac:dyDescent="0.25">
      <c r="J2137" s="15"/>
    </row>
    <row r="2138" spans="10:10" x14ac:dyDescent="0.25">
      <c r="J2138" s="15"/>
    </row>
    <row r="2139" spans="10:10" x14ac:dyDescent="0.25">
      <c r="J2139" s="15"/>
    </row>
    <row r="2140" spans="10:10" x14ac:dyDescent="0.25">
      <c r="J2140" s="15"/>
    </row>
    <row r="2141" spans="10:10" x14ac:dyDescent="0.25">
      <c r="J2141" s="15"/>
    </row>
    <row r="2142" spans="10:10" x14ac:dyDescent="0.25">
      <c r="J2142" s="15"/>
    </row>
    <row r="2143" spans="10:10" x14ac:dyDescent="0.25">
      <c r="J2143" s="15"/>
    </row>
    <row r="2144" spans="10:10" x14ac:dyDescent="0.25">
      <c r="J2144" s="15"/>
    </row>
    <row r="2145" spans="10:10" x14ac:dyDescent="0.25">
      <c r="J2145" s="15"/>
    </row>
    <row r="2146" spans="10:10" x14ac:dyDescent="0.25">
      <c r="J2146" s="15"/>
    </row>
    <row r="2147" spans="10:10" x14ac:dyDescent="0.25">
      <c r="J2147" s="15"/>
    </row>
    <row r="2148" spans="10:10" x14ac:dyDescent="0.25">
      <c r="J2148" s="15"/>
    </row>
    <row r="2149" spans="10:10" x14ac:dyDescent="0.25">
      <c r="J2149" s="15"/>
    </row>
    <row r="2150" spans="10:10" x14ac:dyDescent="0.25">
      <c r="J2150" s="15"/>
    </row>
    <row r="2151" spans="10:10" x14ac:dyDescent="0.25">
      <c r="J2151" s="15"/>
    </row>
    <row r="2152" spans="10:10" x14ac:dyDescent="0.25">
      <c r="J2152" s="15"/>
    </row>
    <row r="2153" spans="10:10" x14ac:dyDescent="0.25">
      <c r="J2153" s="15"/>
    </row>
    <row r="2154" spans="10:10" x14ac:dyDescent="0.25">
      <c r="J2154" s="15"/>
    </row>
    <row r="2155" spans="10:10" x14ac:dyDescent="0.25">
      <c r="J2155" s="15"/>
    </row>
    <row r="2156" spans="10:10" x14ac:dyDescent="0.25">
      <c r="J2156" s="15"/>
    </row>
    <row r="2157" spans="10:10" x14ac:dyDescent="0.25">
      <c r="J2157" s="15"/>
    </row>
    <row r="2158" spans="10:10" x14ac:dyDescent="0.25">
      <c r="J2158" s="15"/>
    </row>
    <row r="2159" spans="10:10" x14ac:dyDescent="0.25">
      <c r="J2159" s="15"/>
    </row>
    <row r="2160" spans="10:10" x14ac:dyDescent="0.25">
      <c r="J2160" s="15"/>
    </row>
    <row r="2161" spans="10:10" x14ac:dyDescent="0.25">
      <c r="J2161" s="15"/>
    </row>
    <row r="2162" spans="10:10" x14ac:dyDescent="0.25">
      <c r="J2162" s="15"/>
    </row>
    <row r="2163" spans="10:10" x14ac:dyDescent="0.25">
      <c r="J2163" s="15"/>
    </row>
    <row r="2164" spans="10:10" x14ac:dyDescent="0.25">
      <c r="J2164" s="15"/>
    </row>
    <row r="2165" spans="10:10" x14ac:dyDescent="0.25">
      <c r="J2165" s="15"/>
    </row>
    <row r="2166" spans="10:10" x14ac:dyDescent="0.25">
      <c r="J2166" s="15"/>
    </row>
    <row r="2167" spans="10:10" x14ac:dyDescent="0.25">
      <c r="J2167" s="15"/>
    </row>
    <row r="2168" spans="10:10" x14ac:dyDescent="0.25">
      <c r="J2168" s="15"/>
    </row>
    <row r="2169" spans="10:10" x14ac:dyDescent="0.25">
      <c r="J2169" s="15"/>
    </row>
    <row r="2170" spans="10:10" x14ac:dyDescent="0.25">
      <c r="J2170" s="15"/>
    </row>
    <row r="2171" spans="10:10" x14ac:dyDescent="0.25">
      <c r="J2171" s="15"/>
    </row>
    <row r="2172" spans="10:10" x14ac:dyDescent="0.25">
      <c r="J2172" s="15"/>
    </row>
    <row r="2173" spans="10:10" x14ac:dyDescent="0.25">
      <c r="J2173" s="15"/>
    </row>
    <row r="2174" spans="10:10" x14ac:dyDescent="0.25">
      <c r="J2174" s="15"/>
    </row>
    <row r="2175" spans="10:10" x14ac:dyDescent="0.25">
      <c r="J2175" s="15"/>
    </row>
    <row r="2176" spans="10:10" x14ac:dyDescent="0.25">
      <c r="J2176" s="15"/>
    </row>
    <row r="2177" spans="10:10" x14ac:dyDescent="0.25">
      <c r="J2177" s="15"/>
    </row>
    <row r="2178" spans="10:10" x14ac:dyDescent="0.25">
      <c r="J2178" s="15"/>
    </row>
    <row r="2179" spans="10:10" x14ac:dyDescent="0.25">
      <c r="J2179" s="15"/>
    </row>
    <row r="2180" spans="10:10" x14ac:dyDescent="0.25">
      <c r="J2180" s="15"/>
    </row>
    <row r="2181" spans="10:10" x14ac:dyDescent="0.25">
      <c r="J2181" s="15"/>
    </row>
    <row r="2182" spans="10:10" x14ac:dyDescent="0.25">
      <c r="J2182" s="15"/>
    </row>
    <row r="2183" spans="10:10" x14ac:dyDescent="0.25">
      <c r="J2183" s="15"/>
    </row>
    <row r="2184" spans="10:10" x14ac:dyDescent="0.25">
      <c r="J2184" s="15"/>
    </row>
    <row r="2185" spans="10:10" x14ac:dyDescent="0.25">
      <c r="J2185" s="15"/>
    </row>
    <row r="2186" spans="10:10" x14ac:dyDescent="0.25">
      <c r="J2186" s="15"/>
    </row>
    <row r="2187" spans="10:10" x14ac:dyDescent="0.25">
      <c r="J2187" s="15"/>
    </row>
    <row r="2188" spans="10:10" x14ac:dyDescent="0.25">
      <c r="J2188" s="15"/>
    </row>
    <row r="2189" spans="10:10" x14ac:dyDescent="0.25">
      <c r="J2189" s="15"/>
    </row>
    <row r="2190" spans="10:10" x14ac:dyDescent="0.25">
      <c r="J2190" s="15"/>
    </row>
    <row r="2191" spans="10:10" x14ac:dyDescent="0.25">
      <c r="J2191" s="15"/>
    </row>
    <row r="2192" spans="10:10" x14ac:dyDescent="0.25">
      <c r="J2192" s="15"/>
    </row>
    <row r="2193" spans="10:10" x14ac:dyDescent="0.25">
      <c r="J2193" s="15"/>
    </row>
    <row r="2194" spans="10:10" x14ac:dyDescent="0.25">
      <c r="J2194" s="15"/>
    </row>
    <row r="2195" spans="10:10" x14ac:dyDescent="0.25">
      <c r="J2195" s="15"/>
    </row>
    <row r="2196" spans="10:10" x14ac:dyDescent="0.25">
      <c r="J2196" s="15"/>
    </row>
    <row r="2197" spans="10:10" x14ac:dyDescent="0.25">
      <c r="J2197" s="15"/>
    </row>
    <row r="2198" spans="10:10" x14ac:dyDescent="0.25">
      <c r="J2198" s="15"/>
    </row>
    <row r="2199" spans="10:10" x14ac:dyDescent="0.25">
      <c r="J2199" s="15"/>
    </row>
    <row r="2200" spans="10:10" x14ac:dyDescent="0.25">
      <c r="J2200" s="15"/>
    </row>
    <row r="2201" spans="10:10" x14ac:dyDescent="0.25">
      <c r="J2201" s="15"/>
    </row>
    <row r="2202" spans="10:10" x14ac:dyDescent="0.25">
      <c r="J2202" s="15"/>
    </row>
    <row r="2203" spans="10:10" x14ac:dyDescent="0.25">
      <c r="J2203" s="15"/>
    </row>
    <row r="2204" spans="10:10" x14ac:dyDescent="0.25">
      <c r="J2204" s="15"/>
    </row>
    <row r="2205" spans="10:10" x14ac:dyDescent="0.25">
      <c r="J2205" s="15"/>
    </row>
    <row r="2206" spans="10:10" x14ac:dyDescent="0.25">
      <c r="J2206" s="15"/>
    </row>
    <row r="2207" spans="10:10" x14ac:dyDescent="0.25">
      <c r="J2207" s="15"/>
    </row>
    <row r="2208" spans="10:10" x14ac:dyDescent="0.25">
      <c r="J2208" s="15"/>
    </row>
    <row r="2209" spans="10:10" x14ac:dyDescent="0.25">
      <c r="J2209" s="15"/>
    </row>
    <row r="2210" spans="10:10" x14ac:dyDescent="0.25">
      <c r="J2210" s="15"/>
    </row>
    <row r="2211" spans="10:10" x14ac:dyDescent="0.25">
      <c r="J2211" s="15"/>
    </row>
    <row r="2212" spans="10:10" x14ac:dyDescent="0.25">
      <c r="J2212" s="15"/>
    </row>
    <row r="2213" spans="10:10" x14ac:dyDescent="0.25">
      <c r="J2213" s="15"/>
    </row>
    <row r="2214" spans="10:10" x14ac:dyDescent="0.25">
      <c r="J2214" s="15"/>
    </row>
    <row r="2215" spans="10:10" x14ac:dyDescent="0.25">
      <c r="J2215" s="15"/>
    </row>
    <row r="2216" spans="10:10" x14ac:dyDescent="0.25">
      <c r="J2216" s="15"/>
    </row>
    <row r="2217" spans="10:10" x14ac:dyDescent="0.25">
      <c r="J2217" s="15"/>
    </row>
    <row r="2218" spans="10:10" x14ac:dyDescent="0.25">
      <c r="J2218" s="15"/>
    </row>
    <row r="2219" spans="10:10" x14ac:dyDescent="0.25">
      <c r="J2219" s="15"/>
    </row>
    <row r="2220" spans="10:10" x14ac:dyDescent="0.25">
      <c r="J2220" s="15"/>
    </row>
    <row r="2221" spans="10:10" x14ac:dyDescent="0.25">
      <c r="J2221" s="15"/>
    </row>
    <row r="2222" spans="10:10" x14ac:dyDescent="0.25">
      <c r="J2222" s="15"/>
    </row>
    <row r="2223" spans="10:10" x14ac:dyDescent="0.25">
      <c r="J2223" s="15"/>
    </row>
    <row r="2224" spans="10:10" x14ac:dyDescent="0.25">
      <c r="J2224" s="15"/>
    </row>
    <row r="2225" spans="10:10" x14ac:dyDescent="0.25">
      <c r="J2225" s="15"/>
    </row>
    <row r="2226" spans="10:10" x14ac:dyDescent="0.25">
      <c r="J2226" s="15"/>
    </row>
    <row r="2227" spans="10:10" x14ac:dyDescent="0.25">
      <c r="J2227" s="15"/>
    </row>
    <row r="2228" spans="10:10" x14ac:dyDescent="0.25">
      <c r="J2228" s="15"/>
    </row>
    <row r="2229" spans="10:10" x14ac:dyDescent="0.25">
      <c r="J2229" s="15"/>
    </row>
    <row r="2230" spans="10:10" x14ac:dyDescent="0.25">
      <c r="J2230" s="15"/>
    </row>
    <row r="2231" spans="10:10" x14ac:dyDescent="0.25">
      <c r="J2231" s="15"/>
    </row>
    <row r="2232" spans="10:10" x14ac:dyDescent="0.25">
      <c r="J2232" s="15"/>
    </row>
    <row r="2233" spans="10:10" x14ac:dyDescent="0.25">
      <c r="J2233" s="15"/>
    </row>
    <row r="2234" spans="10:10" x14ac:dyDescent="0.25">
      <c r="J2234" s="15"/>
    </row>
    <row r="2235" spans="10:10" x14ac:dyDescent="0.25">
      <c r="J2235" s="15"/>
    </row>
    <row r="2236" spans="10:10" x14ac:dyDescent="0.25">
      <c r="J2236" s="15"/>
    </row>
    <row r="2237" spans="10:10" x14ac:dyDescent="0.25">
      <c r="J2237" s="15"/>
    </row>
    <row r="2238" spans="10:10" x14ac:dyDescent="0.25">
      <c r="J2238" s="15"/>
    </row>
    <row r="2239" spans="10:10" x14ac:dyDescent="0.25">
      <c r="J2239" s="15"/>
    </row>
    <row r="2240" spans="10:10" x14ac:dyDescent="0.25">
      <c r="J2240" s="15"/>
    </row>
    <row r="2241" spans="10:10" x14ac:dyDescent="0.25">
      <c r="J2241" s="15"/>
    </row>
    <row r="2242" spans="10:10" x14ac:dyDescent="0.25">
      <c r="J2242" s="15"/>
    </row>
    <row r="2243" spans="10:10" x14ac:dyDescent="0.25">
      <c r="J2243" s="15"/>
    </row>
    <row r="2244" spans="10:10" x14ac:dyDescent="0.25">
      <c r="J2244" s="15"/>
    </row>
    <row r="2245" spans="10:10" x14ac:dyDescent="0.25">
      <c r="J2245" s="15"/>
    </row>
    <row r="2246" spans="10:10" x14ac:dyDescent="0.25">
      <c r="J2246" s="15"/>
    </row>
    <row r="2247" spans="10:10" x14ac:dyDescent="0.25">
      <c r="J2247" s="15"/>
    </row>
    <row r="2248" spans="10:10" x14ac:dyDescent="0.25">
      <c r="J2248" s="15"/>
    </row>
    <row r="2249" spans="10:10" x14ac:dyDescent="0.25">
      <c r="J2249" s="15"/>
    </row>
    <row r="2250" spans="10:10" x14ac:dyDescent="0.25">
      <c r="J2250" s="15"/>
    </row>
    <row r="2251" spans="10:10" x14ac:dyDescent="0.25">
      <c r="J2251" s="15"/>
    </row>
    <row r="2252" spans="10:10" x14ac:dyDescent="0.25">
      <c r="J2252" s="15"/>
    </row>
    <row r="2253" spans="10:10" x14ac:dyDescent="0.25">
      <c r="J2253" s="15"/>
    </row>
    <row r="2254" spans="10:10" x14ac:dyDescent="0.25">
      <c r="J2254" s="15"/>
    </row>
    <row r="2255" spans="10:10" x14ac:dyDescent="0.25">
      <c r="J2255" s="15"/>
    </row>
    <row r="2256" spans="10:10" x14ac:dyDescent="0.25">
      <c r="J2256" s="15"/>
    </row>
    <row r="2257" spans="10:10" x14ac:dyDescent="0.25">
      <c r="J2257" s="15"/>
    </row>
    <row r="2258" spans="10:10" x14ac:dyDescent="0.25">
      <c r="J2258" s="15"/>
    </row>
    <row r="2259" spans="10:10" x14ac:dyDescent="0.25">
      <c r="J2259" s="15"/>
    </row>
    <row r="2260" spans="10:10" x14ac:dyDescent="0.25">
      <c r="J2260" s="15"/>
    </row>
    <row r="2261" spans="10:10" x14ac:dyDescent="0.25">
      <c r="J2261" s="15"/>
    </row>
    <row r="2262" spans="10:10" x14ac:dyDescent="0.25">
      <c r="J2262" s="15"/>
    </row>
    <row r="2263" spans="10:10" x14ac:dyDescent="0.25">
      <c r="J2263" s="15"/>
    </row>
    <row r="2264" spans="10:10" x14ac:dyDescent="0.25">
      <c r="J2264" s="15"/>
    </row>
    <row r="2265" spans="10:10" x14ac:dyDescent="0.25">
      <c r="J2265" s="15"/>
    </row>
    <row r="2266" spans="10:10" x14ac:dyDescent="0.25">
      <c r="J2266" s="15"/>
    </row>
    <row r="2267" spans="10:10" x14ac:dyDescent="0.25">
      <c r="J2267" s="15"/>
    </row>
    <row r="2268" spans="10:10" x14ac:dyDescent="0.25">
      <c r="J2268" s="15"/>
    </row>
    <row r="2269" spans="10:10" x14ac:dyDescent="0.25">
      <c r="J2269" s="15"/>
    </row>
    <row r="2270" spans="10:10" x14ac:dyDescent="0.25">
      <c r="J2270" s="15"/>
    </row>
    <row r="2271" spans="10:10" x14ac:dyDescent="0.25">
      <c r="J2271" s="15"/>
    </row>
    <row r="2272" spans="10:10" x14ac:dyDescent="0.25">
      <c r="J2272" s="15"/>
    </row>
    <row r="2273" spans="10:10" x14ac:dyDescent="0.25">
      <c r="J2273" s="15"/>
    </row>
    <row r="2274" spans="10:10" x14ac:dyDescent="0.25">
      <c r="J2274" s="15"/>
    </row>
    <row r="2275" spans="10:10" x14ac:dyDescent="0.25">
      <c r="J2275" s="15"/>
    </row>
    <row r="2276" spans="10:10" x14ac:dyDescent="0.25">
      <c r="J2276" s="15"/>
    </row>
    <row r="2277" spans="10:10" x14ac:dyDescent="0.25">
      <c r="J2277" s="15"/>
    </row>
    <row r="2278" spans="10:10" x14ac:dyDescent="0.25">
      <c r="J2278" s="15"/>
    </row>
    <row r="2279" spans="10:10" x14ac:dyDescent="0.25">
      <c r="J2279" s="15"/>
    </row>
    <row r="2280" spans="10:10" x14ac:dyDescent="0.25">
      <c r="J2280" s="15"/>
    </row>
    <row r="2281" spans="10:10" x14ac:dyDescent="0.25">
      <c r="J2281" s="15"/>
    </row>
    <row r="2282" spans="10:10" x14ac:dyDescent="0.25">
      <c r="J2282" s="15"/>
    </row>
    <row r="2283" spans="10:10" x14ac:dyDescent="0.25">
      <c r="J2283" s="15"/>
    </row>
    <row r="2284" spans="10:10" x14ac:dyDescent="0.25">
      <c r="J2284" s="15"/>
    </row>
    <row r="2285" spans="10:10" x14ac:dyDescent="0.25">
      <c r="J2285" s="15"/>
    </row>
    <row r="2286" spans="10:10" x14ac:dyDescent="0.25">
      <c r="J2286" s="15"/>
    </row>
    <row r="2287" spans="10:10" x14ac:dyDescent="0.25">
      <c r="J2287" s="15"/>
    </row>
    <row r="2288" spans="10:10" x14ac:dyDescent="0.25">
      <c r="J2288" s="15"/>
    </row>
    <row r="2289" spans="10:10" x14ac:dyDescent="0.25">
      <c r="J2289" s="15"/>
    </row>
    <row r="2290" spans="10:10" x14ac:dyDescent="0.25">
      <c r="J2290" s="15"/>
    </row>
    <row r="2291" spans="10:10" x14ac:dyDescent="0.25">
      <c r="J2291" s="15"/>
    </row>
    <row r="2292" spans="10:10" x14ac:dyDescent="0.25">
      <c r="J2292" s="15"/>
    </row>
    <row r="2293" spans="10:10" x14ac:dyDescent="0.25">
      <c r="J2293" s="15"/>
    </row>
    <row r="2294" spans="10:10" x14ac:dyDescent="0.25">
      <c r="J2294" s="15"/>
    </row>
    <row r="2295" spans="10:10" x14ac:dyDescent="0.25">
      <c r="J2295" s="15"/>
    </row>
    <row r="2296" spans="10:10" x14ac:dyDescent="0.25">
      <c r="J2296" s="15"/>
    </row>
    <row r="2297" spans="10:10" x14ac:dyDescent="0.25">
      <c r="J2297" s="15"/>
    </row>
    <row r="2298" spans="10:10" x14ac:dyDescent="0.25">
      <c r="J2298" s="15"/>
    </row>
    <row r="2299" spans="10:10" x14ac:dyDescent="0.25">
      <c r="J2299" s="15"/>
    </row>
    <row r="2300" spans="10:10" x14ac:dyDescent="0.25">
      <c r="J2300" s="15"/>
    </row>
    <row r="2301" spans="10:10" x14ac:dyDescent="0.25">
      <c r="J2301" s="15"/>
    </row>
    <row r="2302" spans="10:10" x14ac:dyDescent="0.25">
      <c r="J2302" s="15"/>
    </row>
    <row r="2303" spans="10:10" x14ac:dyDescent="0.25">
      <c r="J2303" s="15"/>
    </row>
    <row r="2304" spans="10:10" x14ac:dyDescent="0.25">
      <c r="J2304" s="15"/>
    </row>
    <row r="2305" spans="10:10" x14ac:dyDescent="0.25">
      <c r="J2305" s="15"/>
    </row>
    <row r="2306" spans="10:10" x14ac:dyDescent="0.25">
      <c r="J2306" s="15"/>
    </row>
    <row r="2307" spans="10:10" x14ac:dyDescent="0.25">
      <c r="J2307" s="15"/>
    </row>
    <row r="2308" spans="10:10" x14ac:dyDescent="0.25">
      <c r="J2308" s="15"/>
    </row>
    <row r="2309" spans="10:10" x14ac:dyDescent="0.25">
      <c r="J2309" s="15"/>
    </row>
    <row r="2310" spans="10:10" x14ac:dyDescent="0.25">
      <c r="J2310" s="15"/>
    </row>
    <row r="2311" spans="10:10" x14ac:dyDescent="0.25">
      <c r="J2311" s="15"/>
    </row>
    <row r="2312" spans="10:10" x14ac:dyDescent="0.25">
      <c r="J2312" s="15"/>
    </row>
    <row r="2313" spans="10:10" x14ac:dyDescent="0.25">
      <c r="J2313" s="15"/>
    </row>
    <row r="2314" spans="10:10" x14ac:dyDescent="0.25">
      <c r="J2314" s="15"/>
    </row>
    <row r="2315" spans="10:10" x14ac:dyDescent="0.25">
      <c r="J2315" s="15"/>
    </row>
    <row r="2316" spans="10:10" x14ac:dyDescent="0.25">
      <c r="J2316" s="15"/>
    </row>
    <row r="2317" spans="10:10" x14ac:dyDescent="0.25">
      <c r="J2317" s="15"/>
    </row>
    <row r="2318" spans="10:10" x14ac:dyDescent="0.25">
      <c r="J2318" s="15"/>
    </row>
    <row r="2319" spans="10:10" x14ac:dyDescent="0.25">
      <c r="J2319" s="15"/>
    </row>
    <row r="2320" spans="10:10" x14ac:dyDescent="0.25">
      <c r="J2320" s="15"/>
    </row>
    <row r="2321" spans="10:10" x14ac:dyDescent="0.25">
      <c r="J2321" s="15"/>
    </row>
    <row r="2322" spans="10:10" x14ac:dyDescent="0.25">
      <c r="J2322" s="15"/>
    </row>
    <row r="2323" spans="10:10" x14ac:dyDescent="0.25">
      <c r="J2323" s="15"/>
    </row>
    <row r="2324" spans="10:10" x14ac:dyDescent="0.25">
      <c r="J2324" s="15"/>
    </row>
    <row r="2325" spans="10:10" x14ac:dyDescent="0.25">
      <c r="J2325" s="15"/>
    </row>
    <row r="2326" spans="10:10" x14ac:dyDescent="0.25">
      <c r="J2326" s="15"/>
    </row>
    <row r="2327" spans="10:10" x14ac:dyDescent="0.25">
      <c r="J2327" s="15"/>
    </row>
    <row r="2328" spans="10:10" x14ac:dyDescent="0.25">
      <c r="J2328" s="15"/>
    </row>
    <row r="2329" spans="10:10" x14ac:dyDescent="0.25">
      <c r="J2329" s="15"/>
    </row>
    <row r="2330" spans="10:10" x14ac:dyDescent="0.25">
      <c r="J2330" s="15"/>
    </row>
    <row r="2331" spans="10:10" x14ac:dyDescent="0.25">
      <c r="J2331" s="15"/>
    </row>
    <row r="2332" spans="10:10" x14ac:dyDescent="0.25">
      <c r="J2332" s="15"/>
    </row>
    <row r="2333" spans="10:10" x14ac:dyDescent="0.25">
      <c r="J2333" s="15"/>
    </row>
    <row r="2334" spans="10:10" x14ac:dyDescent="0.25">
      <c r="J2334" s="15"/>
    </row>
    <row r="2335" spans="10:10" x14ac:dyDescent="0.25">
      <c r="J2335" s="15"/>
    </row>
    <row r="2336" spans="10:10" x14ac:dyDescent="0.25">
      <c r="J2336" s="15"/>
    </row>
    <row r="2337" spans="10:10" x14ac:dyDescent="0.25">
      <c r="J2337" s="15"/>
    </row>
    <row r="2338" spans="10:10" x14ac:dyDescent="0.25">
      <c r="J2338" s="15"/>
    </row>
    <row r="2339" spans="10:10" x14ac:dyDescent="0.25">
      <c r="J2339" s="15"/>
    </row>
    <row r="2340" spans="10:10" x14ac:dyDescent="0.25">
      <c r="J2340" s="15"/>
    </row>
    <row r="2341" spans="10:10" x14ac:dyDescent="0.25">
      <c r="J2341" s="15"/>
    </row>
    <row r="2342" spans="10:10" x14ac:dyDescent="0.25">
      <c r="J2342" s="15"/>
    </row>
    <row r="2343" spans="10:10" x14ac:dyDescent="0.25">
      <c r="J2343" s="15"/>
    </row>
    <row r="2344" spans="10:10" x14ac:dyDescent="0.25">
      <c r="J2344" s="15"/>
    </row>
    <row r="2345" spans="10:10" x14ac:dyDescent="0.25">
      <c r="J2345" s="15"/>
    </row>
    <row r="2346" spans="10:10" x14ac:dyDescent="0.25">
      <c r="J2346" s="15"/>
    </row>
    <row r="2347" spans="10:10" x14ac:dyDescent="0.25">
      <c r="J2347" s="15"/>
    </row>
    <row r="2348" spans="10:10" x14ac:dyDescent="0.25">
      <c r="J2348" s="15"/>
    </row>
    <row r="2349" spans="10:10" x14ac:dyDescent="0.25">
      <c r="J2349" s="15"/>
    </row>
    <row r="2350" spans="10:10" x14ac:dyDescent="0.25">
      <c r="J2350" s="15"/>
    </row>
    <row r="2351" spans="10:10" x14ac:dyDescent="0.25">
      <c r="J2351" s="15"/>
    </row>
    <row r="2352" spans="10:10" x14ac:dyDescent="0.25">
      <c r="J2352" s="15"/>
    </row>
    <row r="2353" spans="10:10" x14ac:dyDescent="0.25">
      <c r="J2353" s="15"/>
    </row>
    <row r="2354" spans="10:10" x14ac:dyDescent="0.25">
      <c r="J2354" s="15"/>
    </row>
    <row r="2355" spans="10:10" x14ac:dyDescent="0.25">
      <c r="J2355" s="15"/>
    </row>
    <row r="2356" spans="10:10" x14ac:dyDescent="0.25">
      <c r="J2356" s="15"/>
    </row>
    <row r="2357" spans="10:10" x14ac:dyDescent="0.25">
      <c r="J2357" s="15"/>
    </row>
    <row r="2358" spans="10:10" x14ac:dyDescent="0.25">
      <c r="J2358" s="15"/>
    </row>
    <row r="2359" spans="10:10" x14ac:dyDescent="0.25">
      <c r="J2359" s="15"/>
    </row>
    <row r="2360" spans="10:10" x14ac:dyDescent="0.25">
      <c r="J2360" s="15"/>
    </row>
    <row r="2361" spans="10:10" x14ac:dyDescent="0.25">
      <c r="J2361" s="15"/>
    </row>
    <row r="2362" spans="10:10" x14ac:dyDescent="0.25">
      <c r="J2362" s="15"/>
    </row>
    <row r="2363" spans="10:10" x14ac:dyDescent="0.25">
      <c r="J2363" s="15"/>
    </row>
    <row r="2364" spans="10:10" x14ac:dyDescent="0.25">
      <c r="J2364" s="15"/>
    </row>
    <row r="2365" spans="10:10" x14ac:dyDescent="0.25">
      <c r="J2365" s="15"/>
    </row>
    <row r="2366" spans="10:10" x14ac:dyDescent="0.25">
      <c r="J2366" s="15"/>
    </row>
    <row r="2367" spans="10:10" x14ac:dyDescent="0.25">
      <c r="J2367" s="15"/>
    </row>
    <row r="2368" spans="10:10" x14ac:dyDescent="0.25">
      <c r="J2368" s="15"/>
    </row>
    <row r="2369" spans="10:10" x14ac:dyDescent="0.25">
      <c r="J2369" s="15"/>
    </row>
    <row r="2370" spans="10:10" x14ac:dyDescent="0.25">
      <c r="J2370" s="15"/>
    </row>
    <row r="2371" spans="10:10" x14ac:dyDescent="0.25">
      <c r="J2371" s="15"/>
    </row>
    <row r="2372" spans="10:10" x14ac:dyDescent="0.25">
      <c r="J2372" s="15"/>
    </row>
    <row r="2373" spans="10:10" x14ac:dyDescent="0.25">
      <c r="J2373" s="15"/>
    </row>
    <row r="2374" spans="10:10" x14ac:dyDescent="0.25">
      <c r="J2374" s="15"/>
    </row>
    <row r="2375" spans="10:10" x14ac:dyDescent="0.25">
      <c r="J2375" s="15"/>
    </row>
    <row r="2376" spans="10:10" x14ac:dyDescent="0.25">
      <c r="J2376" s="15"/>
    </row>
    <row r="2377" spans="10:10" x14ac:dyDescent="0.25">
      <c r="J2377" s="15"/>
    </row>
    <row r="2378" spans="10:10" x14ac:dyDescent="0.25">
      <c r="J2378" s="15"/>
    </row>
    <row r="2379" spans="10:10" x14ac:dyDescent="0.25">
      <c r="J2379" s="15"/>
    </row>
    <row r="2380" spans="10:10" x14ac:dyDescent="0.25">
      <c r="J2380" s="15"/>
    </row>
    <row r="2381" spans="10:10" x14ac:dyDescent="0.25">
      <c r="J2381" s="15"/>
    </row>
    <row r="2382" spans="10:10" x14ac:dyDescent="0.25">
      <c r="J2382" s="15"/>
    </row>
    <row r="2383" spans="10:10" x14ac:dyDescent="0.25">
      <c r="J2383" s="15"/>
    </row>
    <row r="2384" spans="10:10" x14ac:dyDescent="0.25">
      <c r="J2384" s="15"/>
    </row>
    <row r="2385" spans="10:10" x14ac:dyDescent="0.25">
      <c r="J2385" s="15"/>
    </row>
    <row r="2386" spans="10:10" x14ac:dyDescent="0.25">
      <c r="J2386" s="15"/>
    </row>
    <row r="2387" spans="10:10" x14ac:dyDescent="0.25">
      <c r="J2387" s="15"/>
    </row>
    <row r="2388" spans="10:10" x14ac:dyDescent="0.25">
      <c r="J2388" s="15"/>
    </row>
    <row r="2389" spans="10:10" x14ac:dyDescent="0.25">
      <c r="J2389" s="15"/>
    </row>
    <row r="2390" spans="10:10" x14ac:dyDescent="0.25">
      <c r="J2390" s="15"/>
    </row>
    <row r="2391" spans="10:10" x14ac:dyDescent="0.25">
      <c r="J2391" s="15"/>
    </row>
    <row r="2392" spans="10:10" x14ac:dyDescent="0.25">
      <c r="J2392" s="15"/>
    </row>
    <row r="2393" spans="10:10" x14ac:dyDescent="0.25">
      <c r="J2393" s="15"/>
    </row>
    <row r="2394" spans="10:10" x14ac:dyDescent="0.25">
      <c r="J2394" s="15"/>
    </row>
    <row r="2395" spans="10:10" x14ac:dyDescent="0.25">
      <c r="J2395" s="15"/>
    </row>
    <row r="2396" spans="10:10" x14ac:dyDescent="0.25">
      <c r="J2396" s="15"/>
    </row>
    <row r="2397" spans="10:10" x14ac:dyDescent="0.25">
      <c r="J2397" s="15"/>
    </row>
    <row r="2398" spans="10:10" x14ac:dyDescent="0.25">
      <c r="J2398" s="15"/>
    </row>
    <row r="2399" spans="10:10" x14ac:dyDescent="0.25">
      <c r="J2399" s="15"/>
    </row>
    <row r="2400" spans="10:10" x14ac:dyDescent="0.25">
      <c r="J2400" s="15"/>
    </row>
    <row r="2401" spans="10:10" x14ac:dyDescent="0.25">
      <c r="J2401" s="15"/>
    </row>
    <row r="2402" spans="10:10" x14ac:dyDescent="0.25">
      <c r="J2402" s="15"/>
    </row>
    <row r="2403" spans="10:10" x14ac:dyDescent="0.25">
      <c r="J2403" s="15"/>
    </row>
    <row r="2404" spans="10:10" x14ac:dyDescent="0.25">
      <c r="J2404" s="15"/>
    </row>
    <row r="2405" spans="10:10" x14ac:dyDescent="0.25">
      <c r="J2405" s="15"/>
    </row>
    <row r="2406" spans="10:10" x14ac:dyDescent="0.25">
      <c r="J2406" s="15"/>
    </row>
    <row r="2407" spans="10:10" x14ac:dyDescent="0.25">
      <c r="J2407" s="15"/>
    </row>
    <row r="2408" spans="10:10" x14ac:dyDescent="0.25">
      <c r="J2408" s="15"/>
    </row>
    <row r="2409" spans="10:10" x14ac:dyDescent="0.25">
      <c r="J2409" s="15"/>
    </row>
    <row r="2410" spans="10:10" x14ac:dyDescent="0.25">
      <c r="J2410" s="15"/>
    </row>
    <row r="2411" spans="10:10" x14ac:dyDescent="0.25">
      <c r="J2411" s="15"/>
    </row>
    <row r="2412" spans="10:10" x14ac:dyDescent="0.25">
      <c r="J2412" s="15"/>
    </row>
    <row r="2413" spans="10:10" x14ac:dyDescent="0.25">
      <c r="J2413" s="15"/>
    </row>
    <row r="2414" spans="10:10" x14ac:dyDescent="0.25">
      <c r="J2414" s="15"/>
    </row>
    <row r="2415" spans="10:10" x14ac:dyDescent="0.25">
      <c r="J2415" s="15"/>
    </row>
    <row r="2416" spans="10:10" x14ac:dyDescent="0.25">
      <c r="J2416" s="15"/>
    </row>
    <row r="2417" spans="10:10" x14ac:dyDescent="0.25">
      <c r="J2417" s="15"/>
    </row>
    <row r="2418" spans="10:10" x14ac:dyDescent="0.25">
      <c r="J2418" s="15"/>
    </row>
    <row r="2419" spans="10:10" x14ac:dyDescent="0.25">
      <c r="J2419" s="15"/>
    </row>
    <row r="2420" spans="10:10" x14ac:dyDescent="0.25">
      <c r="J2420" s="15"/>
    </row>
    <row r="2421" spans="10:10" x14ac:dyDescent="0.25">
      <c r="J2421" s="15"/>
    </row>
    <row r="2422" spans="10:10" x14ac:dyDescent="0.25">
      <c r="J2422" s="15"/>
    </row>
    <row r="2423" spans="10:10" x14ac:dyDescent="0.25">
      <c r="J2423" s="15"/>
    </row>
    <row r="2424" spans="10:10" x14ac:dyDescent="0.25">
      <c r="J2424" s="15"/>
    </row>
    <row r="2425" spans="10:10" x14ac:dyDescent="0.25">
      <c r="J2425" s="15"/>
    </row>
    <row r="2426" spans="10:10" x14ac:dyDescent="0.25">
      <c r="J2426" s="15"/>
    </row>
    <row r="2427" spans="10:10" x14ac:dyDescent="0.25">
      <c r="J2427" s="15"/>
    </row>
    <row r="2428" spans="10:10" x14ac:dyDescent="0.25">
      <c r="J2428" s="15"/>
    </row>
    <row r="2429" spans="10:10" x14ac:dyDescent="0.25">
      <c r="J2429" s="15"/>
    </row>
    <row r="2430" spans="10:10" x14ac:dyDescent="0.25">
      <c r="J2430" s="15"/>
    </row>
    <row r="2431" spans="10:10" x14ac:dyDescent="0.25">
      <c r="J2431" s="15"/>
    </row>
    <row r="2432" spans="10:10" x14ac:dyDescent="0.25">
      <c r="J2432" s="15"/>
    </row>
    <row r="2433" spans="10:10" x14ac:dyDescent="0.25">
      <c r="J2433" s="15"/>
    </row>
    <row r="2434" spans="10:10" x14ac:dyDescent="0.25">
      <c r="J2434" s="15"/>
    </row>
    <row r="2435" spans="10:10" x14ac:dyDescent="0.25">
      <c r="J2435" s="15"/>
    </row>
    <row r="2436" spans="10:10" x14ac:dyDescent="0.25">
      <c r="J2436" s="15"/>
    </row>
    <row r="2437" spans="10:10" x14ac:dyDescent="0.25">
      <c r="J2437" s="15"/>
    </row>
    <row r="2438" spans="10:10" x14ac:dyDescent="0.25">
      <c r="J2438" s="15"/>
    </row>
    <row r="2439" spans="10:10" x14ac:dyDescent="0.25">
      <c r="J2439" s="15"/>
    </row>
    <row r="2440" spans="10:10" x14ac:dyDescent="0.25">
      <c r="J2440" s="15"/>
    </row>
    <row r="2441" spans="10:10" x14ac:dyDescent="0.25">
      <c r="J2441" s="15"/>
    </row>
    <row r="2442" spans="10:10" x14ac:dyDescent="0.25">
      <c r="J2442" s="15"/>
    </row>
    <row r="2443" spans="10:10" x14ac:dyDescent="0.25">
      <c r="J2443" s="15"/>
    </row>
    <row r="2444" spans="10:10" x14ac:dyDescent="0.25">
      <c r="J2444" s="15"/>
    </row>
    <row r="2445" spans="10:10" x14ac:dyDescent="0.25">
      <c r="J2445" s="15"/>
    </row>
    <row r="2446" spans="10:10" x14ac:dyDescent="0.25">
      <c r="J2446" s="15"/>
    </row>
    <row r="2447" spans="10:10" x14ac:dyDescent="0.25">
      <c r="J2447" s="15"/>
    </row>
    <row r="2448" spans="10:10" x14ac:dyDescent="0.25">
      <c r="J2448" s="15"/>
    </row>
    <row r="2449" spans="10:10" x14ac:dyDescent="0.25">
      <c r="J2449" s="15"/>
    </row>
    <row r="2450" spans="10:10" x14ac:dyDescent="0.25">
      <c r="J2450" s="15"/>
    </row>
    <row r="2451" spans="10:10" x14ac:dyDescent="0.25">
      <c r="J2451" s="15"/>
    </row>
    <row r="2452" spans="10:10" x14ac:dyDescent="0.25">
      <c r="J2452" s="15"/>
    </row>
    <row r="2453" spans="10:10" x14ac:dyDescent="0.25">
      <c r="J2453" s="15"/>
    </row>
    <row r="2454" spans="10:10" x14ac:dyDescent="0.25">
      <c r="J2454" s="15"/>
    </row>
    <row r="2455" spans="10:10" x14ac:dyDescent="0.25">
      <c r="J2455" s="15"/>
    </row>
    <row r="2456" spans="10:10" x14ac:dyDescent="0.25">
      <c r="J2456" s="15"/>
    </row>
    <row r="2457" spans="10:10" x14ac:dyDescent="0.25">
      <c r="J2457" s="15"/>
    </row>
    <row r="2458" spans="10:10" x14ac:dyDescent="0.25">
      <c r="J2458" s="15"/>
    </row>
    <row r="2459" spans="10:10" x14ac:dyDescent="0.25">
      <c r="J2459" s="15"/>
    </row>
    <row r="2460" spans="10:10" x14ac:dyDescent="0.25">
      <c r="J2460" s="15"/>
    </row>
    <row r="2461" spans="10:10" x14ac:dyDescent="0.25">
      <c r="J2461" s="15"/>
    </row>
    <row r="2462" spans="10:10" x14ac:dyDescent="0.25">
      <c r="J2462" s="15"/>
    </row>
    <row r="2463" spans="10:10" x14ac:dyDescent="0.25">
      <c r="J2463" s="15"/>
    </row>
    <row r="2464" spans="10:10" x14ac:dyDescent="0.25">
      <c r="J2464" s="15"/>
    </row>
    <row r="2465" spans="10:10" x14ac:dyDescent="0.25">
      <c r="J2465" s="15"/>
    </row>
    <row r="2466" spans="10:10" x14ac:dyDescent="0.25">
      <c r="J2466" s="15"/>
    </row>
    <row r="2467" spans="10:10" x14ac:dyDescent="0.25">
      <c r="J2467" s="15"/>
    </row>
    <row r="2468" spans="10:10" x14ac:dyDescent="0.25">
      <c r="J2468" s="15"/>
    </row>
    <row r="2469" spans="10:10" x14ac:dyDescent="0.25">
      <c r="J2469" s="15"/>
    </row>
    <row r="2470" spans="10:10" x14ac:dyDescent="0.25">
      <c r="J2470" s="15"/>
    </row>
    <row r="2471" spans="10:10" x14ac:dyDescent="0.25">
      <c r="J2471" s="15"/>
    </row>
    <row r="2472" spans="10:10" x14ac:dyDescent="0.25">
      <c r="J2472" s="15"/>
    </row>
    <row r="2473" spans="10:10" x14ac:dyDescent="0.25">
      <c r="J2473" s="15"/>
    </row>
    <row r="2474" spans="10:10" x14ac:dyDescent="0.25">
      <c r="J2474" s="15"/>
    </row>
    <row r="2475" spans="10:10" x14ac:dyDescent="0.25">
      <c r="J2475" s="15"/>
    </row>
    <row r="2476" spans="10:10" x14ac:dyDescent="0.25">
      <c r="J2476" s="15"/>
    </row>
    <row r="2477" spans="10:10" x14ac:dyDescent="0.25">
      <c r="J2477" s="15"/>
    </row>
    <row r="2478" spans="10:10" x14ac:dyDescent="0.25">
      <c r="J2478" s="15"/>
    </row>
    <row r="2479" spans="10:10" x14ac:dyDescent="0.25">
      <c r="J2479" s="15"/>
    </row>
    <row r="2480" spans="10:10" x14ac:dyDescent="0.25">
      <c r="J2480" s="15"/>
    </row>
    <row r="2481" spans="10:10" x14ac:dyDescent="0.25">
      <c r="J2481" s="15"/>
    </row>
    <row r="2482" spans="10:10" x14ac:dyDescent="0.25">
      <c r="J2482" s="15"/>
    </row>
    <row r="2483" spans="10:10" x14ac:dyDescent="0.25">
      <c r="J2483" s="15"/>
    </row>
    <row r="2484" spans="10:10" x14ac:dyDescent="0.25">
      <c r="J2484" s="15"/>
    </row>
    <row r="2485" spans="10:10" x14ac:dyDescent="0.25">
      <c r="J2485" s="15"/>
    </row>
    <row r="2486" spans="10:10" x14ac:dyDescent="0.25">
      <c r="J2486" s="15"/>
    </row>
    <row r="2487" spans="10:10" x14ac:dyDescent="0.25">
      <c r="J2487" s="15"/>
    </row>
    <row r="2488" spans="10:10" x14ac:dyDescent="0.25">
      <c r="J2488" s="15"/>
    </row>
    <row r="2489" spans="10:10" x14ac:dyDescent="0.25">
      <c r="J2489" s="15"/>
    </row>
    <row r="2490" spans="10:10" x14ac:dyDescent="0.25">
      <c r="J2490" s="15"/>
    </row>
    <row r="2491" spans="10:10" x14ac:dyDescent="0.25">
      <c r="J2491" s="15"/>
    </row>
    <row r="2492" spans="10:10" x14ac:dyDescent="0.25">
      <c r="J2492" s="15"/>
    </row>
    <row r="2493" spans="10:10" x14ac:dyDescent="0.25">
      <c r="J2493" s="15"/>
    </row>
    <row r="2494" spans="10:10" x14ac:dyDescent="0.25">
      <c r="J2494" s="15"/>
    </row>
    <row r="2495" spans="10:10" x14ac:dyDescent="0.25">
      <c r="J2495" s="15"/>
    </row>
    <row r="2496" spans="10:10" x14ac:dyDescent="0.25">
      <c r="J2496" s="15"/>
    </row>
    <row r="2497" spans="10:10" x14ac:dyDescent="0.25">
      <c r="J2497" s="15"/>
    </row>
    <row r="2498" spans="10:10" x14ac:dyDescent="0.25">
      <c r="J2498" s="15"/>
    </row>
    <row r="2499" spans="10:10" x14ac:dyDescent="0.25">
      <c r="J2499" s="15"/>
    </row>
    <row r="2500" spans="10:10" x14ac:dyDescent="0.25">
      <c r="J2500" s="15"/>
    </row>
    <row r="2501" spans="10:10" x14ac:dyDescent="0.25">
      <c r="J2501" s="15"/>
    </row>
    <row r="2502" spans="10:10" x14ac:dyDescent="0.25">
      <c r="J2502" s="15"/>
    </row>
    <row r="2503" spans="10:10" x14ac:dyDescent="0.25">
      <c r="J2503" s="15"/>
    </row>
    <row r="2504" spans="10:10" x14ac:dyDescent="0.25">
      <c r="J2504" s="15"/>
    </row>
    <row r="2505" spans="10:10" x14ac:dyDescent="0.25">
      <c r="J2505" s="15"/>
    </row>
    <row r="2506" spans="10:10" x14ac:dyDescent="0.25">
      <c r="J2506" s="15"/>
    </row>
    <row r="2507" spans="10:10" x14ac:dyDescent="0.25">
      <c r="J2507" s="15"/>
    </row>
    <row r="2508" spans="10:10" x14ac:dyDescent="0.25">
      <c r="J2508" s="15"/>
    </row>
    <row r="2509" spans="10:10" x14ac:dyDescent="0.25">
      <c r="J2509" s="15"/>
    </row>
    <row r="2510" spans="10:10" x14ac:dyDescent="0.25">
      <c r="J2510" s="15"/>
    </row>
    <row r="2511" spans="10:10" x14ac:dyDescent="0.25">
      <c r="J2511" s="15"/>
    </row>
    <row r="2512" spans="10:10" x14ac:dyDescent="0.25">
      <c r="J2512" s="15"/>
    </row>
    <row r="2513" spans="10:10" x14ac:dyDescent="0.25">
      <c r="J2513" s="15"/>
    </row>
    <row r="2514" spans="10:10" x14ac:dyDescent="0.25">
      <c r="J2514" s="15"/>
    </row>
    <row r="2515" spans="10:10" x14ac:dyDescent="0.25">
      <c r="J2515" s="15"/>
    </row>
    <row r="2516" spans="10:10" x14ac:dyDescent="0.25">
      <c r="J2516" s="15"/>
    </row>
    <row r="2517" spans="10:10" x14ac:dyDescent="0.25">
      <c r="J2517" s="15"/>
    </row>
    <row r="2518" spans="10:10" x14ac:dyDescent="0.25">
      <c r="J2518" s="15"/>
    </row>
    <row r="2519" spans="10:10" x14ac:dyDescent="0.25">
      <c r="J2519" s="15"/>
    </row>
    <row r="2520" spans="10:10" x14ac:dyDescent="0.25">
      <c r="J2520" s="15"/>
    </row>
    <row r="2521" spans="10:10" x14ac:dyDescent="0.25">
      <c r="J2521" s="15"/>
    </row>
    <row r="2522" spans="10:10" x14ac:dyDescent="0.25">
      <c r="J2522" s="15"/>
    </row>
    <row r="2523" spans="10:10" x14ac:dyDescent="0.25">
      <c r="J2523" s="15"/>
    </row>
    <row r="2524" spans="10:10" x14ac:dyDescent="0.25">
      <c r="J2524" s="15"/>
    </row>
    <row r="2525" spans="10:10" x14ac:dyDescent="0.25">
      <c r="J2525" s="15"/>
    </row>
    <row r="2526" spans="10:10" x14ac:dyDescent="0.25">
      <c r="J2526" s="15"/>
    </row>
    <row r="2527" spans="10:10" x14ac:dyDescent="0.25">
      <c r="J2527" s="15"/>
    </row>
    <row r="2528" spans="10:10" x14ac:dyDescent="0.25">
      <c r="J2528" s="15"/>
    </row>
    <row r="2529" spans="10:10" x14ac:dyDescent="0.25">
      <c r="J2529" s="15"/>
    </row>
    <row r="2530" spans="10:10" x14ac:dyDescent="0.25">
      <c r="J2530" s="15"/>
    </row>
    <row r="2531" spans="10:10" x14ac:dyDescent="0.25">
      <c r="J2531" s="15"/>
    </row>
    <row r="2532" spans="10:10" x14ac:dyDescent="0.25">
      <c r="J2532" s="15"/>
    </row>
    <row r="2533" spans="10:10" x14ac:dyDescent="0.25">
      <c r="J2533" s="15"/>
    </row>
    <row r="2534" spans="10:10" x14ac:dyDescent="0.25">
      <c r="J2534" s="15"/>
    </row>
    <row r="2535" spans="10:10" x14ac:dyDescent="0.25">
      <c r="J2535" s="15"/>
    </row>
    <row r="2536" spans="10:10" x14ac:dyDescent="0.25">
      <c r="J2536" s="15"/>
    </row>
    <row r="2537" spans="10:10" x14ac:dyDescent="0.25">
      <c r="J2537" s="15"/>
    </row>
    <row r="2538" spans="10:10" x14ac:dyDescent="0.25">
      <c r="J2538" s="15"/>
    </row>
    <row r="2539" spans="10:10" x14ac:dyDescent="0.25">
      <c r="J2539" s="15"/>
    </row>
    <row r="2540" spans="10:10" x14ac:dyDescent="0.25">
      <c r="J2540" s="15"/>
    </row>
    <row r="2541" spans="10:10" x14ac:dyDescent="0.25">
      <c r="J2541" s="15"/>
    </row>
    <row r="2542" spans="10:10" x14ac:dyDescent="0.25">
      <c r="J2542" s="15"/>
    </row>
    <row r="2543" spans="10:10" x14ac:dyDescent="0.25">
      <c r="J2543" s="15"/>
    </row>
    <row r="2544" spans="10:10" x14ac:dyDescent="0.25">
      <c r="J2544" s="15"/>
    </row>
    <row r="2545" spans="10:10" x14ac:dyDescent="0.25">
      <c r="J2545" s="15"/>
    </row>
    <row r="2546" spans="10:10" x14ac:dyDescent="0.25">
      <c r="J2546" s="15"/>
    </row>
    <row r="2547" spans="10:10" x14ac:dyDescent="0.25">
      <c r="J2547" s="15"/>
    </row>
    <row r="2548" spans="10:10" x14ac:dyDescent="0.25">
      <c r="J2548" s="15"/>
    </row>
    <row r="2549" spans="10:10" x14ac:dyDescent="0.25">
      <c r="J2549" s="15"/>
    </row>
    <row r="2550" spans="10:10" x14ac:dyDescent="0.25">
      <c r="J2550" s="15"/>
    </row>
    <row r="2551" spans="10:10" x14ac:dyDescent="0.25">
      <c r="J2551" s="15"/>
    </row>
    <row r="2552" spans="10:10" x14ac:dyDescent="0.25">
      <c r="J2552" s="15"/>
    </row>
    <row r="2553" spans="10:10" x14ac:dyDescent="0.25">
      <c r="J2553" s="15"/>
    </row>
    <row r="2554" spans="10:10" x14ac:dyDescent="0.25">
      <c r="J2554" s="15"/>
    </row>
    <row r="2555" spans="10:10" x14ac:dyDescent="0.25">
      <c r="J2555" s="15"/>
    </row>
    <row r="2556" spans="10:10" x14ac:dyDescent="0.25">
      <c r="J2556" s="15"/>
    </row>
    <row r="2557" spans="10:10" x14ac:dyDescent="0.25">
      <c r="J2557" s="15"/>
    </row>
    <row r="2558" spans="10:10" x14ac:dyDescent="0.25">
      <c r="J2558" s="15"/>
    </row>
    <row r="2559" spans="10:10" x14ac:dyDescent="0.25">
      <c r="J2559" s="15"/>
    </row>
    <row r="2560" spans="10:10" x14ac:dyDescent="0.25">
      <c r="J2560" s="15"/>
    </row>
    <row r="2561" spans="10:10" x14ac:dyDescent="0.25">
      <c r="J2561" s="15"/>
    </row>
    <row r="2562" spans="10:10" x14ac:dyDescent="0.25">
      <c r="J2562" s="15"/>
    </row>
    <row r="2563" spans="10:10" x14ac:dyDescent="0.25">
      <c r="J2563" s="15"/>
    </row>
    <row r="2564" spans="10:10" x14ac:dyDescent="0.25">
      <c r="J2564" s="15"/>
    </row>
    <row r="2565" spans="10:10" x14ac:dyDescent="0.25">
      <c r="J2565" s="15"/>
    </row>
    <row r="2566" spans="10:10" x14ac:dyDescent="0.25">
      <c r="J2566" s="15"/>
    </row>
    <row r="2567" spans="10:10" x14ac:dyDescent="0.25">
      <c r="J2567" s="15"/>
    </row>
    <row r="2568" spans="10:10" x14ac:dyDescent="0.25">
      <c r="J2568" s="15"/>
    </row>
    <row r="2569" spans="10:10" x14ac:dyDescent="0.25">
      <c r="J2569" s="15"/>
    </row>
    <row r="2570" spans="10:10" x14ac:dyDescent="0.25">
      <c r="J2570" s="15"/>
    </row>
    <row r="2571" spans="10:10" x14ac:dyDescent="0.25">
      <c r="J2571" s="15"/>
    </row>
    <row r="2572" spans="10:10" x14ac:dyDescent="0.25">
      <c r="J2572" s="15"/>
    </row>
    <row r="2573" spans="10:10" x14ac:dyDescent="0.25">
      <c r="J2573" s="15"/>
    </row>
    <row r="2574" spans="10:10" x14ac:dyDescent="0.25">
      <c r="J2574" s="15"/>
    </row>
    <row r="2575" spans="10:10" x14ac:dyDescent="0.25">
      <c r="J2575" s="15"/>
    </row>
    <row r="2576" spans="10:10" x14ac:dyDescent="0.25">
      <c r="J2576" s="15"/>
    </row>
    <row r="2577" spans="10:10" x14ac:dyDescent="0.25">
      <c r="J2577" s="15"/>
    </row>
    <row r="2578" spans="10:10" x14ac:dyDescent="0.25">
      <c r="J2578" s="15"/>
    </row>
    <row r="2579" spans="10:10" x14ac:dyDescent="0.25">
      <c r="J2579" s="15"/>
    </row>
    <row r="2580" spans="10:10" x14ac:dyDescent="0.25">
      <c r="J2580" s="15"/>
    </row>
    <row r="2581" spans="10:10" x14ac:dyDescent="0.25">
      <c r="J2581" s="15"/>
    </row>
    <row r="2582" spans="10:10" x14ac:dyDescent="0.25">
      <c r="J2582" s="15"/>
    </row>
    <row r="2583" spans="10:10" x14ac:dyDescent="0.25">
      <c r="J2583" s="15"/>
    </row>
    <row r="2584" spans="10:10" x14ac:dyDescent="0.25">
      <c r="J2584" s="15"/>
    </row>
    <row r="2585" spans="10:10" x14ac:dyDescent="0.25">
      <c r="J2585" s="15"/>
    </row>
    <row r="2586" spans="10:10" x14ac:dyDescent="0.25">
      <c r="J2586" s="15"/>
    </row>
    <row r="2587" spans="10:10" x14ac:dyDescent="0.25">
      <c r="J2587" s="15"/>
    </row>
    <row r="2588" spans="10:10" x14ac:dyDescent="0.25">
      <c r="J2588" s="15"/>
    </row>
    <row r="2589" spans="10:10" x14ac:dyDescent="0.25">
      <c r="J2589" s="15"/>
    </row>
    <row r="2590" spans="10:10" x14ac:dyDescent="0.25">
      <c r="J2590" s="15"/>
    </row>
    <row r="2591" spans="10:10" x14ac:dyDescent="0.25">
      <c r="J2591" s="15"/>
    </row>
    <row r="2592" spans="10:10" x14ac:dyDescent="0.25">
      <c r="J2592" s="15"/>
    </row>
    <row r="2593" spans="10:10" x14ac:dyDescent="0.25">
      <c r="J2593" s="15"/>
    </row>
    <row r="2594" spans="10:10" x14ac:dyDescent="0.25">
      <c r="J2594" s="15"/>
    </row>
    <row r="2595" spans="10:10" x14ac:dyDescent="0.25">
      <c r="J2595" s="15"/>
    </row>
    <row r="2596" spans="10:10" x14ac:dyDescent="0.25">
      <c r="J2596" s="15"/>
    </row>
    <row r="2597" spans="10:10" x14ac:dyDescent="0.25">
      <c r="J2597" s="15"/>
    </row>
    <row r="2598" spans="10:10" x14ac:dyDescent="0.25">
      <c r="J2598" s="15"/>
    </row>
    <row r="2599" spans="10:10" x14ac:dyDescent="0.25">
      <c r="J2599" s="15"/>
    </row>
    <row r="2600" spans="10:10" x14ac:dyDescent="0.25">
      <c r="J2600" s="15"/>
    </row>
    <row r="2601" spans="10:10" x14ac:dyDescent="0.25">
      <c r="J2601" s="15"/>
    </row>
    <row r="2602" spans="10:10" x14ac:dyDescent="0.25">
      <c r="J2602" s="15"/>
    </row>
    <row r="2603" spans="10:10" x14ac:dyDescent="0.25">
      <c r="J2603" s="15"/>
    </row>
    <row r="2604" spans="10:10" x14ac:dyDescent="0.25">
      <c r="J2604" s="15"/>
    </row>
    <row r="2605" spans="10:10" x14ac:dyDescent="0.25">
      <c r="J2605" s="15"/>
    </row>
    <row r="2606" spans="10:10" x14ac:dyDescent="0.25">
      <c r="J2606" s="15"/>
    </row>
    <row r="2607" spans="10:10" x14ac:dyDescent="0.25">
      <c r="J2607" s="15"/>
    </row>
    <row r="2608" spans="10:10" x14ac:dyDescent="0.25">
      <c r="J2608" s="15"/>
    </row>
    <row r="2609" spans="10:10" x14ac:dyDescent="0.25">
      <c r="J2609" s="15"/>
    </row>
    <row r="2610" spans="10:10" x14ac:dyDescent="0.25">
      <c r="J2610" s="15"/>
    </row>
    <row r="2611" spans="10:10" x14ac:dyDescent="0.25">
      <c r="J2611" s="15"/>
    </row>
    <row r="2612" spans="10:10" x14ac:dyDescent="0.25">
      <c r="J2612" s="15"/>
    </row>
    <row r="2613" spans="10:10" x14ac:dyDescent="0.25">
      <c r="J2613" s="15"/>
    </row>
    <row r="2614" spans="10:10" x14ac:dyDescent="0.25">
      <c r="J2614" s="15"/>
    </row>
    <row r="2615" spans="10:10" x14ac:dyDescent="0.25">
      <c r="J2615" s="15"/>
    </row>
    <row r="2616" spans="10:10" x14ac:dyDescent="0.25">
      <c r="J2616" s="15"/>
    </row>
    <row r="2617" spans="10:10" x14ac:dyDescent="0.25">
      <c r="J2617" s="15"/>
    </row>
    <row r="2618" spans="10:10" x14ac:dyDescent="0.25">
      <c r="J2618" s="15"/>
    </row>
    <row r="2619" spans="10:10" x14ac:dyDescent="0.25">
      <c r="J2619" s="15"/>
    </row>
    <row r="2620" spans="10:10" x14ac:dyDescent="0.25">
      <c r="J2620" s="15"/>
    </row>
    <row r="2621" spans="10:10" x14ac:dyDescent="0.25">
      <c r="J2621" s="15"/>
    </row>
    <row r="2622" spans="10:10" x14ac:dyDescent="0.25">
      <c r="J2622" s="15"/>
    </row>
    <row r="2623" spans="10:10" x14ac:dyDescent="0.25">
      <c r="J2623" s="15"/>
    </row>
    <row r="2624" spans="10:10" x14ac:dyDescent="0.25">
      <c r="J2624" s="15"/>
    </row>
    <row r="2625" spans="10:10" x14ac:dyDescent="0.25">
      <c r="J2625" s="15"/>
    </row>
    <row r="2626" spans="10:10" x14ac:dyDescent="0.25">
      <c r="J2626" s="15"/>
    </row>
    <row r="2627" spans="10:10" x14ac:dyDescent="0.25">
      <c r="J2627" s="15"/>
    </row>
    <row r="2628" spans="10:10" x14ac:dyDescent="0.25">
      <c r="J2628" s="15"/>
    </row>
    <row r="2629" spans="10:10" x14ac:dyDescent="0.25">
      <c r="J2629" s="15"/>
    </row>
    <row r="2630" spans="10:10" x14ac:dyDescent="0.25">
      <c r="J2630" s="15"/>
    </row>
    <row r="2631" spans="10:10" x14ac:dyDescent="0.25">
      <c r="J2631" s="15"/>
    </row>
    <row r="2632" spans="10:10" x14ac:dyDescent="0.25">
      <c r="J2632" s="15"/>
    </row>
    <row r="2633" spans="10:10" x14ac:dyDescent="0.25">
      <c r="J2633" s="15"/>
    </row>
    <row r="2634" spans="10:10" x14ac:dyDescent="0.25">
      <c r="J2634" s="15"/>
    </row>
    <row r="2635" spans="10:10" x14ac:dyDescent="0.25">
      <c r="J2635" s="15"/>
    </row>
    <row r="2636" spans="10:10" x14ac:dyDescent="0.25">
      <c r="J2636" s="15"/>
    </row>
    <row r="2637" spans="10:10" x14ac:dyDescent="0.25">
      <c r="J2637" s="15"/>
    </row>
    <row r="2638" spans="10:10" x14ac:dyDescent="0.25">
      <c r="J2638" s="15"/>
    </row>
    <row r="2639" spans="10:10" x14ac:dyDescent="0.25">
      <c r="J2639" s="15"/>
    </row>
    <row r="2640" spans="10:10" x14ac:dyDescent="0.25">
      <c r="J2640" s="15"/>
    </row>
    <row r="2641" spans="10:10" x14ac:dyDescent="0.25">
      <c r="J2641" s="15"/>
    </row>
    <row r="2642" spans="10:10" x14ac:dyDescent="0.25">
      <c r="J2642" s="15"/>
    </row>
    <row r="2643" spans="10:10" x14ac:dyDescent="0.25">
      <c r="J2643" s="15"/>
    </row>
    <row r="2644" spans="10:10" x14ac:dyDescent="0.25">
      <c r="J2644" s="15"/>
    </row>
    <row r="2645" spans="10:10" x14ac:dyDescent="0.25">
      <c r="J2645" s="15"/>
    </row>
    <row r="2646" spans="10:10" x14ac:dyDescent="0.25">
      <c r="J2646" s="15"/>
    </row>
    <row r="2647" spans="10:10" x14ac:dyDescent="0.25">
      <c r="J2647" s="15"/>
    </row>
    <row r="2648" spans="10:10" x14ac:dyDescent="0.25">
      <c r="J2648" s="15"/>
    </row>
    <row r="2649" spans="10:10" x14ac:dyDescent="0.25">
      <c r="J2649" s="15"/>
    </row>
    <row r="2650" spans="10:10" x14ac:dyDescent="0.25">
      <c r="J2650" s="15"/>
    </row>
    <row r="2651" spans="10:10" x14ac:dyDescent="0.25">
      <c r="J2651" s="15"/>
    </row>
    <row r="2652" spans="10:10" x14ac:dyDescent="0.25">
      <c r="J2652" s="15"/>
    </row>
    <row r="2653" spans="10:10" x14ac:dyDescent="0.25">
      <c r="J2653" s="15"/>
    </row>
    <row r="2654" spans="10:10" x14ac:dyDescent="0.25">
      <c r="J2654" s="15"/>
    </row>
    <row r="2655" spans="10:10" x14ac:dyDescent="0.25">
      <c r="J2655" s="15"/>
    </row>
    <row r="2656" spans="10:10" x14ac:dyDescent="0.25">
      <c r="J2656" s="15"/>
    </row>
    <row r="2657" spans="10:10" x14ac:dyDescent="0.25">
      <c r="J2657" s="15"/>
    </row>
    <row r="2658" spans="10:10" x14ac:dyDescent="0.25">
      <c r="J2658" s="15"/>
    </row>
    <row r="2659" spans="10:10" x14ac:dyDescent="0.25">
      <c r="J2659" s="15"/>
    </row>
    <row r="2660" spans="10:10" x14ac:dyDescent="0.25">
      <c r="J2660" s="15"/>
    </row>
    <row r="2661" spans="10:10" x14ac:dyDescent="0.25">
      <c r="J2661" s="15"/>
    </row>
    <row r="2662" spans="10:10" x14ac:dyDescent="0.25">
      <c r="J2662" s="15"/>
    </row>
    <row r="2663" spans="10:10" x14ac:dyDescent="0.25">
      <c r="J2663" s="15"/>
    </row>
    <row r="2664" spans="10:10" x14ac:dyDescent="0.25">
      <c r="J2664" s="15"/>
    </row>
    <row r="2665" spans="10:10" x14ac:dyDescent="0.25">
      <c r="J2665" s="15"/>
    </row>
    <row r="2666" spans="10:10" x14ac:dyDescent="0.25">
      <c r="J2666" s="15"/>
    </row>
    <row r="2667" spans="10:10" x14ac:dyDescent="0.25">
      <c r="J2667" s="15"/>
    </row>
    <row r="2668" spans="10:10" x14ac:dyDescent="0.25">
      <c r="J2668" s="15"/>
    </row>
    <row r="2669" spans="10:10" x14ac:dyDescent="0.25">
      <c r="J2669" s="15"/>
    </row>
    <row r="2670" spans="10:10" x14ac:dyDescent="0.25">
      <c r="J2670" s="15"/>
    </row>
    <row r="2671" spans="10:10" x14ac:dyDescent="0.25">
      <c r="J2671" s="15"/>
    </row>
    <row r="2672" spans="10:10" x14ac:dyDescent="0.25">
      <c r="J2672" s="15"/>
    </row>
    <row r="2673" spans="10:10" x14ac:dyDescent="0.25">
      <c r="J2673" s="15"/>
    </row>
    <row r="2674" spans="10:10" x14ac:dyDescent="0.25">
      <c r="J2674" s="15"/>
    </row>
    <row r="2675" spans="10:10" x14ac:dyDescent="0.25">
      <c r="J2675" s="15"/>
    </row>
    <row r="2676" spans="10:10" x14ac:dyDescent="0.25">
      <c r="J2676" s="15"/>
    </row>
    <row r="2677" spans="10:10" x14ac:dyDescent="0.25">
      <c r="J2677" s="15"/>
    </row>
    <row r="2678" spans="10:10" x14ac:dyDescent="0.25">
      <c r="J2678" s="15"/>
    </row>
    <row r="2679" spans="10:10" x14ac:dyDescent="0.25">
      <c r="J2679" s="15"/>
    </row>
    <row r="2680" spans="10:10" x14ac:dyDescent="0.25">
      <c r="J2680" s="15"/>
    </row>
    <row r="2681" spans="10:10" x14ac:dyDescent="0.25">
      <c r="J2681" s="15"/>
    </row>
    <row r="2682" spans="10:10" x14ac:dyDescent="0.25">
      <c r="J2682" s="15"/>
    </row>
    <row r="2683" spans="10:10" x14ac:dyDescent="0.25">
      <c r="J2683" s="15"/>
    </row>
    <row r="2684" spans="10:10" x14ac:dyDescent="0.25">
      <c r="J2684" s="15"/>
    </row>
    <row r="2685" spans="10:10" x14ac:dyDescent="0.25">
      <c r="J2685" s="15"/>
    </row>
    <row r="2686" spans="10:10" x14ac:dyDescent="0.25">
      <c r="J2686" s="15"/>
    </row>
    <row r="2687" spans="10:10" x14ac:dyDescent="0.25">
      <c r="J2687" s="15"/>
    </row>
    <row r="2688" spans="10:10" x14ac:dyDescent="0.25">
      <c r="J2688" s="15"/>
    </row>
    <row r="2689" spans="10:10" x14ac:dyDescent="0.25">
      <c r="J2689" s="15"/>
    </row>
    <row r="2690" spans="10:10" x14ac:dyDescent="0.25">
      <c r="J2690" s="15"/>
    </row>
    <row r="2691" spans="10:10" x14ac:dyDescent="0.25">
      <c r="J2691" s="15"/>
    </row>
    <row r="2692" spans="10:10" x14ac:dyDescent="0.25">
      <c r="J2692" s="15"/>
    </row>
    <row r="2693" spans="10:10" x14ac:dyDescent="0.25">
      <c r="J2693" s="15"/>
    </row>
    <row r="2694" spans="10:10" x14ac:dyDescent="0.25">
      <c r="J2694" s="15"/>
    </row>
    <row r="2695" spans="10:10" x14ac:dyDescent="0.25">
      <c r="J2695" s="15"/>
    </row>
    <row r="2696" spans="10:10" x14ac:dyDescent="0.25">
      <c r="J2696" s="15"/>
    </row>
    <row r="2697" spans="10:10" x14ac:dyDescent="0.25">
      <c r="J2697" s="15"/>
    </row>
    <row r="2698" spans="10:10" x14ac:dyDescent="0.25">
      <c r="J2698" s="15"/>
    </row>
    <row r="2699" spans="10:10" x14ac:dyDescent="0.25">
      <c r="J2699" s="15"/>
    </row>
    <row r="2700" spans="10:10" x14ac:dyDescent="0.25">
      <c r="J2700" s="15"/>
    </row>
    <row r="2701" spans="10:10" x14ac:dyDescent="0.25">
      <c r="J2701" s="15"/>
    </row>
    <row r="2702" spans="10:10" x14ac:dyDescent="0.25">
      <c r="J2702" s="15"/>
    </row>
    <row r="2703" spans="10:10" x14ac:dyDescent="0.25">
      <c r="J2703" s="15"/>
    </row>
    <row r="2704" spans="10:10" x14ac:dyDescent="0.25">
      <c r="J2704" s="15"/>
    </row>
    <row r="2705" spans="10:10" x14ac:dyDescent="0.25">
      <c r="J2705" s="15"/>
    </row>
    <row r="2706" spans="10:10" x14ac:dyDescent="0.25">
      <c r="J2706" s="15"/>
    </row>
    <row r="2707" spans="10:10" x14ac:dyDescent="0.25">
      <c r="J2707" s="15"/>
    </row>
    <row r="2708" spans="10:10" x14ac:dyDescent="0.25">
      <c r="J2708" s="15"/>
    </row>
    <row r="2709" spans="10:10" x14ac:dyDescent="0.25">
      <c r="J2709" s="15"/>
    </row>
    <row r="2710" spans="10:10" x14ac:dyDescent="0.25">
      <c r="J2710" s="15"/>
    </row>
    <row r="2711" spans="10:10" x14ac:dyDescent="0.25">
      <c r="J2711" s="15"/>
    </row>
    <row r="2712" spans="10:10" x14ac:dyDescent="0.25">
      <c r="J2712" s="15"/>
    </row>
    <row r="2713" spans="10:10" x14ac:dyDescent="0.25">
      <c r="J2713" s="15"/>
    </row>
    <row r="2714" spans="10:10" x14ac:dyDescent="0.25">
      <c r="J2714" s="15"/>
    </row>
    <row r="2715" spans="10:10" x14ac:dyDescent="0.25">
      <c r="J2715" s="15"/>
    </row>
    <row r="2716" spans="10:10" x14ac:dyDescent="0.25">
      <c r="J2716" s="15"/>
    </row>
    <row r="2717" spans="10:10" x14ac:dyDescent="0.25">
      <c r="J2717" s="15"/>
    </row>
    <row r="2718" spans="10:10" x14ac:dyDescent="0.25">
      <c r="J2718" s="15"/>
    </row>
    <row r="2719" spans="10:10" x14ac:dyDescent="0.25">
      <c r="J2719" s="15"/>
    </row>
    <row r="2720" spans="10:10" x14ac:dyDescent="0.25">
      <c r="J2720" s="15"/>
    </row>
    <row r="2721" spans="10:10" x14ac:dyDescent="0.25">
      <c r="J2721" s="15"/>
    </row>
    <row r="2722" spans="10:10" x14ac:dyDescent="0.25">
      <c r="J2722" s="15"/>
    </row>
    <row r="2723" spans="10:10" x14ac:dyDescent="0.25">
      <c r="J2723" s="15"/>
    </row>
    <row r="2724" spans="10:10" x14ac:dyDescent="0.25">
      <c r="J2724" s="15"/>
    </row>
    <row r="2725" spans="10:10" x14ac:dyDescent="0.25">
      <c r="J2725" s="15"/>
    </row>
  </sheetData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4"/>
  <dimension ref="G1:DZ3843"/>
  <sheetViews>
    <sheetView showGridLines="0" zoomScale="80" zoomScaleNormal="80" workbookViewId="0">
      <selection activeCell="P43" sqref="P43"/>
    </sheetView>
  </sheetViews>
  <sheetFormatPr baseColWidth="10" defaultColWidth="10.5703125" defaultRowHeight="15" x14ac:dyDescent="0.25"/>
  <cols>
    <col min="1" max="3" width="10.5703125" style="15"/>
    <col min="4" max="4" width="4.5703125" style="15" customWidth="1"/>
    <col min="5" max="6" width="3.42578125" style="15" customWidth="1"/>
    <col min="7" max="7" width="28.7109375" style="15" customWidth="1"/>
    <col min="8" max="9" width="11.5703125" style="15" bestFit="1" customWidth="1"/>
    <col min="10" max="10" width="11.5703125" style="26" bestFit="1" customWidth="1"/>
    <col min="11" max="14" width="11.5703125" style="15" bestFit="1" customWidth="1"/>
    <col min="15" max="15" width="12.85546875" style="24" bestFit="1" customWidth="1"/>
    <col min="16" max="17" width="12.7109375" style="15" customWidth="1"/>
    <col min="18" max="20" width="11.5703125" style="15" customWidth="1"/>
    <col min="21" max="21" width="11.5703125" style="13" customWidth="1"/>
    <col min="22" max="22" width="11.5703125" style="15" customWidth="1"/>
    <col min="23" max="23" width="12.7109375" style="15" customWidth="1"/>
    <col min="24" max="28" width="11.5703125" style="15" customWidth="1"/>
    <col min="29" max="29" width="12.7109375" style="15" customWidth="1"/>
    <col min="30" max="37" width="11.5703125" style="15" customWidth="1"/>
    <col min="38" max="38" width="12.7109375" style="15" customWidth="1"/>
    <col min="39" max="97" width="11.5703125" style="15" customWidth="1"/>
    <col min="98" max="98" width="11.5703125" style="25" customWidth="1"/>
    <col min="99" max="129" width="11.5703125" style="15" customWidth="1"/>
    <col min="130" max="130" width="12.7109375" style="15" customWidth="1"/>
    <col min="131" max="160" width="11.5703125" style="15" customWidth="1"/>
    <col min="161" max="161" width="12.5703125" style="15" customWidth="1"/>
    <col min="162" max="218" width="11.5703125" style="15" customWidth="1"/>
    <col min="219" max="219" width="11.5703125" style="15" bestFit="1" customWidth="1"/>
    <col min="220" max="220" width="11.5703125" style="15" customWidth="1"/>
    <col min="221" max="221" width="11.5703125" style="15" bestFit="1" customWidth="1"/>
    <col min="222" max="222" width="11.5703125" style="15" customWidth="1"/>
    <col min="223" max="223" width="11.5703125" style="15" bestFit="1" customWidth="1"/>
    <col min="224" max="224" width="11.5703125" style="15" customWidth="1"/>
    <col min="225" max="225" width="11.5703125" style="15" bestFit="1" customWidth="1"/>
    <col min="226" max="226" width="11.5703125" style="15" customWidth="1"/>
    <col min="227" max="227" width="11.5703125" style="15" bestFit="1" customWidth="1"/>
    <col min="228" max="230" width="11.5703125" style="15" customWidth="1"/>
    <col min="231" max="231" width="11.5703125" style="15" bestFit="1" customWidth="1"/>
    <col min="232" max="232" width="11.5703125" style="15" customWidth="1"/>
    <col min="233" max="233" width="11.5703125" style="15" bestFit="1" customWidth="1"/>
    <col min="234" max="234" width="11.5703125" style="15" customWidth="1"/>
    <col min="235" max="235" width="11.5703125" style="15" bestFit="1" customWidth="1"/>
    <col min="236" max="236" width="11.5703125" style="15" customWidth="1"/>
    <col min="237" max="237" width="11.5703125" style="15" bestFit="1" customWidth="1"/>
    <col min="238" max="238" width="11.5703125" style="15" customWidth="1"/>
    <col min="239" max="239" width="11.5703125" style="15" bestFit="1" customWidth="1"/>
    <col min="240" max="240" width="11.5703125" style="15" customWidth="1"/>
    <col min="241" max="241" width="11.5703125" style="15" bestFit="1" customWidth="1"/>
    <col min="242" max="242" width="11.5703125" style="15" customWidth="1"/>
    <col min="243" max="243" width="11.5703125" style="15" bestFit="1" customWidth="1"/>
    <col min="244" max="244" width="11.5703125" style="15" customWidth="1"/>
    <col min="245" max="245" width="11.5703125" style="15" bestFit="1" customWidth="1"/>
    <col min="246" max="246" width="11.5703125" style="15" customWidth="1"/>
    <col min="247" max="247" width="11.5703125" style="15" bestFit="1" customWidth="1"/>
    <col min="248" max="248" width="11.5703125" style="15" customWidth="1"/>
    <col min="249" max="249" width="11.5703125" style="15" bestFit="1" customWidth="1"/>
    <col min="250" max="250" width="11.5703125" style="15" customWidth="1"/>
    <col min="251" max="251" width="11.5703125" style="15" bestFit="1" customWidth="1"/>
    <col min="252" max="252" width="11.5703125" style="15" customWidth="1"/>
    <col min="253" max="253" width="11.5703125" style="15" bestFit="1" customWidth="1"/>
    <col min="254" max="254" width="11.5703125" style="15" customWidth="1"/>
    <col min="255" max="255" width="11.5703125" style="15" bestFit="1" customWidth="1"/>
    <col min="256" max="256" width="11.5703125" style="15" customWidth="1"/>
    <col min="257" max="257" width="11.5703125" style="15" bestFit="1" customWidth="1"/>
    <col min="258" max="258" width="11.5703125" style="15" customWidth="1"/>
    <col min="259" max="259" width="11.5703125" style="15" bestFit="1" customWidth="1"/>
    <col min="260" max="260" width="11.5703125" style="15" customWidth="1"/>
    <col min="261" max="261" width="11.5703125" style="15" bestFit="1" customWidth="1"/>
    <col min="262" max="262" width="11.5703125" style="15" customWidth="1"/>
    <col min="263" max="263" width="11.5703125" style="15" bestFit="1" customWidth="1"/>
    <col min="264" max="264" width="11.5703125" style="15" customWidth="1"/>
    <col min="265" max="265" width="11.5703125" style="15" bestFit="1" customWidth="1"/>
    <col min="266" max="266" width="11.5703125" style="15" customWidth="1"/>
    <col min="267" max="267" width="11.5703125" style="15" bestFit="1" customWidth="1"/>
    <col min="268" max="268" width="11.5703125" style="15" customWidth="1"/>
    <col min="269" max="319" width="11.5703125" style="15" bestFit="1" customWidth="1"/>
    <col min="320" max="320" width="11.5703125" style="15" customWidth="1"/>
    <col min="321" max="322" width="11.5703125" style="15" bestFit="1" customWidth="1"/>
    <col min="323" max="323" width="11.5703125" style="15" customWidth="1"/>
    <col min="324" max="324" width="11.5703125" style="15" bestFit="1" customWidth="1"/>
    <col min="325" max="325" width="11.5703125" style="15" customWidth="1"/>
    <col min="326" max="326" width="11.5703125" style="15" bestFit="1" customWidth="1"/>
    <col min="327" max="327" width="11.5703125" style="15" customWidth="1"/>
    <col min="328" max="328" width="11.5703125" style="15" bestFit="1" customWidth="1"/>
    <col min="329" max="329" width="11.5703125" style="15" customWidth="1"/>
    <col min="330" max="330" width="11.5703125" style="15" bestFit="1" customWidth="1"/>
    <col min="331" max="331" width="11.5703125" style="15" customWidth="1"/>
    <col min="332" max="332" width="11.5703125" style="15" bestFit="1" customWidth="1"/>
    <col min="333" max="333" width="11.5703125" style="15" customWidth="1"/>
    <col min="334" max="334" width="11.5703125" style="15" bestFit="1" customWidth="1"/>
    <col min="335" max="335" width="11.5703125" style="15" customWidth="1"/>
    <col min="336" max="336" width="11.5703125" style="15" bestFit="1" customWidth="1"/>
    <col min="337" max="337" width="11.5703125" style="15" customWidth="1"/>
    <col min="338" max="338" width="11.5703125" style="15" bestFit="1" customWidth="1"/>
    <col min="339" max="339" width="11.5703125" style="15" customWidth="1"/>
    <col min="340" max="340" width="11.5703125" style="15" bestFit="1" customWidth="1"/>
    <col min="341" max="341" width="12.5703125" style="15" customWidth="1"/>
    <col min="342" max="342" width="10.42578125" style="15" bestFit="1" customWidth="1"/>
    <col min="343" max="343" width="13.5703125" style="15" bestFit="1" customWidth="1"/>
    <col min="344" max="344" width="10.42578125" style="15" bestFit="1" customWidth="1"/>
    <col min="345" max="345" width="13.5703125" style="15" bestFit="1" customWidth="1"/>
    <col min="346" max="346" width="10.42578125" style="15" bestFit="1" customWidth="1"/>
    <col min="347" max="347" width="13.5703125" style="15" bestFit="1" customWidth="1"/>
    <col min="348" max="348" width="10.42578125" style="15" bestFit="1" customWidth="1"/>
    <col min="349" max="349" width="13.5703125" style="15" bestFit="1" customWidth="1"/>
    <col min="350" max="350" width="10.42578125" style="15" bestFit="1" customWidth="1"/>
    <col min="351" max="351" width="13.5703125" style="15" bestFit="1" customWidth="1"/>
    <col min="352" max="352" width="10.42578125" style="15" bestFit="1" customWidth="1"/>
    <col min="353" max="353" width="13.5703125" style="15" bestFit="1" customWidth="1"/>
    <col min="354" max="354" width="10.42578125" style="15" bestFit="1" customWidth="1"/>
    <col min="355" max="355" width="13.5703125" style="15" bestFit="1" customWidth="1"/>
    <col min="356" max="356" width="10.42578125" style="15" bestFit="1" customWidth="1"/>
    <col min="357" max="357" width="13.5703125" style="15" bestFit="1" customWidth="1"/>
    <col min="358" max="358" width="10.42578125" style="15" bestFit="1" customWidth="1"/>
    <col min="359" max="359" width="13.5703125" style="15" bestFit="1" customWidth="1"/>
    <col min="360" max="360" width="10.42578125" style="15" bestFit="1" customWidth="1"/>
    <col min="361" max="361" width="13.5703125" style="15" bestFit="1" customWidth="1"/>
    <col min="362" max="362" width="10.42578125" style="15" bestFit="1" customWidth="1"/>
    <col min="363" max="363" width="13.5703125" style="15" bestFit="1" customWidth="1"/>
    <col min="364" max="364" width="10.42578125" style="15" bestFit="1" customWidth="1"/>
    <col min="365" max="365" width="13.5703125" style="15" bestFit="1" customWidth="1"/>
    <col min="366" max="366" width="10.42578125" style="15" bestFit="1" customWidth="1"/>
    <col min="367" max="367" width="13.5703125" style="15" bestFit="1" customWidth="1"/>
    <col min="368" max="368" width="10.42578125" style="15" bestFit="1" customWidth="1"/>
    <col min="369" max="369" width="13.5703125" style="15" bestFit="1" customWidth="1"/>
    <col min="370" max="370" width="10.42578125" style="15" bestFit="1" customWidth="1"/>
    <col min="371" max="371" width="13.5703125" style="15" bestFit="1" customWidth="1"/>
    <col min="372" max="372" width="10.42578125" style="15" bestFit="1" customWidth="1"/>
    <col min="373" max="373" width="13.5703125" style="15" bestFit="1" customWidth="1"/>
    <col min="374" max="421" width="8.5703125" style="15" bestFit="1" customWidth="1"/>
    <col min="422" max="423" width="10.5703125" style="15"/>
    <col min="424" max="424" width="13.5703125" style="15" bestFit="1" customWidth="1"/>
    <col min="425" max="425" width="17.42578125" style="15" bestFit="1" customWidth="1"/>
    <col min="426" max="426" width="12.42578125" style="15" bestFit="1" customWidth="1"/>
    <col min="427" max="427" width="16.42578125" style="15" bestFit="1" customWidth="1"/>
    <col min="428" max="16384" width="10.5703125" style="15"/>
  </cols>
  <sheetData>
    <row r="1" spans="7:130" x14ac:dyDescent="0.25">
      <c r="I1" s="13">
        <v>43910</v>
      </c>
      <c r="J1" s="13">
        <v>44007</v>
      </c>
      <c r="CP1" s="13"/>
      <c r="CQ1" s="13"/>
    </row>
    <row r="2" spans="7:130" x14ac:dyDescent="0.25">
      <c r="G2" s="137" t="s">
        <v>3</v>
      </c>
      <c r="H2" s="135" t="s">
        <v>47</v>
      </c>
      <c r="DF2" s="25"/>
    </row>
    <row r="3" spans="7:130" x14ac:dyDescent="0.25">
      <c r="G3" s="137" t="s">
        <v>1</v>
      </c>
      <c r="H3" s="135" t="s">
        <v>47</v>
      </c>
      <c r="J3" s="15"/>
      <c r="DF3" s="27"/>
    </row>
    <row r="4" spans="7:130" x14ac:dyDescent="0.25">
      <c r="J4" s="15"/>
      <c r="DF4" s="27"/>
    </row>
    <row r="5" spans="7:130" x14ac:dyDescent="0.25">
      <c r="G5" s="137" t="s">
        <v>62</v>
      </c>
      <c r="H5" s="137" t="s">
        <v>4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</row>
    <row r="6" spans="7:130" x14ac:dyDescent="0.25">
      <c r="G6" s="138" t="s">
        <v>12</v>
      </c>
      <c r="H6" s="136">
        <v>44726</v>
      </c>
      <c r="I6" s="136">
        <v>44727</v>
      </c>
      <c r="J6" s="136">
        <v>44728</v>
      </c>
      <c r="K6" s="136">
        <v>44729</v>
      </c>
      <c r="L6" s="136">
        <v>44730</v>
      </c>
      <c r="M6" s="136">
        <v>44731</v>
      </c>
      <c r="N6" s="136">
        <v>44732</v>
      </c>
      <c r="O6" s="135" t="s">
        <v>46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</row>
    <row r="7" spans="7:130" x14ac:dyDescent="0.25">
      <c r="G7" s="135" t="s">
        <v>45</v>
      </c>
      <c r="H7" s="140">
        <v>1</v>
      </c>
      <c r="I7" s="140">
        <v>1</v>
      </c>
      <c r="J7" s="140">
        <v>1</v>
      </c>
      <c r="K7" s="140">
        <v>1</v>
      </c>
      <c r="L7" s="140">
        <v>1</v>
      </c>
      <c r="M7" s="140">
        <v>1</v>
      </c>
      <c r="N7" s="140">
        <v>1</v>
      </c>
      <c r="O7" s="140">
        <v>7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</row>
    <row r="8" spans="7:130" x14ac:dyDescent="0.25">
      <c r="G8" s="135" t="s">
        <v>80</v>
      </c>
      <c r="H8" s="140">
        <v>1</v>
      </c>
      <c r="I8" s="140">
        <v>1</v>
      </c>
      <c r="J8" s="140">
        <v>1</v>
      </c>
      <c r="K8" s="140">
        <v>1</v>
      </c>
      <c r="L8" s="140">
        <v>1</v>
      </c>
      <c r="M8" s="140">
        <v>1</v>
      </c>
      <c r="N8" s="140">
        <v>1</v>
      </c>
      <c r="O8" s="140">
        <v>7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</row>
    <row r="9" spans="7:130" x14ac:dyDescent="0.25">
      <c r="G9" s="135" t="s">
        <v>76</v>
      </c>
      <c r="H9" s="140">
        <v>1</v>
      </c>
      <c r="I9" s="140">
        <v>1</v>
      </c>
      <c r="J9" s="140">
        <v>1</v>
      </c>
      <c r="K9" s="140">
        <v>1</v>
      </c>
      <c r="L9" s="140">
        <v>1</v>
      </c>
      <c r="M9" s="140">
        <v>1</v>
      </c>
      <c r="N9" s="140">
        <v>1</v>
      </c>
      <c r="O9" s="140">
        <v>7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</row>
    <row r="10" spans="7:130" x14ac:dyDescent="0.25">
      <c r="G10" s="135" t="s">
        <v>83</v>
      </c>
      <c r="H10" s="140">
        <v>1</v>
      </c>
      <c r="I10" s="140">
        <v>1</v>
      </c>
      <c r="J10" s="140">
        <v>1</v>
      </c>
      <c r="K10" s="140">
        <v>1</v>
      </c>
      <c r="L10" s="140">
        <v>1</v>
      </c>
      <c r="M10" s="140">
        <v>1</v>
      </c>
      <c r="N10" s="140">
        <v>1</v>
      </c>
      <c r="O10" s="140">
        <v>7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</row>
    <row r="11" spans="7:130" x14ac:dyDescent="0.25">
      <c r="G11" s="135" t="s">
        <v>87</v>
      </c>
      <c r="H11" s="140">
        <v>1</v>
      </c>
      <c r="I11" s="140">
        <v>1</v>
      </c>
      <c r="J11" s="140">
        <v>1</v>
      </c>
      <c r="K11" s="140">
        <v>1</v>
      </c>
      <c r="L11" s="140">
        <v>1</v>
      </c>
      <c r="M11" s="140">
        <v>1</v>
      </c>
      <c r="N11" s="140">
        <v>1</v>
      </c>
      <c r="O11" s="140">
        <v>7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</row>
    <row r="12" spans="7:130" x14ac:dyDescent="0.25">
      <c r="G12" s="135" t="s">
        <v>85</v>
      </c>
      <c r="H12" s="140">
        <v>1</v>
      </c>
      <c r="I12" s="140">
        <v>1</v>
      </c>
      <c r="J12" s="140">
        <v>1</v>
      </c>
      <c r="K12" s="140">
        <v>1</v>
      </c>
      <c r="L12" s="140">
        <v>1</v>
      </c>
      <c r="M12" s="140">
        <v>1</v>
      </c>
      <c r="N12" s="140">
        <v>1</v>
      </c>
      <c r="O12" s="140">
        <v>7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</row>
    <row r="13" spans="7:130" ht="15.75" customHeight="1" x14ac:dyDescent="0.25">
      <c r="G13" s="135" t="s">
        <v>91</v>
      </c>
      <c r="H13" s="140">
        <v>1</v>
      </c>
      <c r="I13" s="140">
        <v>1</v>
      </c>
      <c r="J13" s="140">
        <v>1</v>
      </c>
      <c r="K13" s="140">
        <v>1</v>
      </c>
      <c r="L13" s="140">
        <v>1</v>
      </c>
      <c r="M13" s="140">
        <v>1</v>
      </c>
      <c r="N13" s="140">
        <v>1</v>
      </c>
      <c r="O13" s="140">
        <v>7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</row>
    <row r="14" spans="7:130" x14ac:dyDescent="0.25">
      <c r="G14" s="135" t="s">
        <v>89</v>
      </c>
      <c r="H14" s="140">
        <v>1</v>
      </c>
      <c r="I14" s="140">
        <v>1</v>
      </c>
      <c r="J14" s="140">
        <v>1</v>
      </c>
      <c r="K14" s="140">
        <v>1</v>
      </c>
      <c r="L14" s="140">
        <v>1</v>
      </c>
      <c r="M14" s="140">
        <v>1</v>
      </c>
      <c r="N14" s="140">
        <v>1</v>
      </c>
      <c r="O14" s="140">
        <v>7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</row>
    <row r="15" spans="7:130" x14ac:dyDescent="0.25">
      <c r="G15" s="135" t="s">
        <v>94</v>
      </c>
      <c r="H15" s="140">
        <v>1</v>
      </c>
      <c r="I15" s="140">
        <v>1</v>
      </c>
      <c r="J15" s="140">
        <v>1</v>
      </c>
      <c r="K15" s="140">
        <v>1</v>
      </c>
      <c r="L15" s="140">
        <v>1</v>
      </c>
      <c r="M15" s="140">
        <v>1</v>
      </c>
      <c r="N15" s="140">
        <v>1</v>
      </c>
      <c r="O15" s="140">
        <v>7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</row>
    <row r="16" spans="7:130" x14ac:dyDescent="0.25">
      <c r="G16" s="135" t="s">
        <v>102</v>
      </c>
      <c r="H16" s="140">
        <v>1</v>
      </c>
      <c r="I16" s="140">
        <v>1</v>
      </c>
      <c r="J16" s="140">
        <v>1</v>
      </c>
      <c r="K16" s="140">
        <v>1</v>
      </c>
      <c r="L16" s="140">
        <v>1</v>
      </c>
      <c r="M16" s="140">
        <v>1</v>
      </c>
      <c r="N16" s="140">
        <v>1</v>
      </c>
      <c r="O16" s="140">
        <v>7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</row>
    <row r="17" spans="7:130" x14ac:dyDescent="0.25">
      <c r="G17" s="135" t="s">
        <v>88</v>
      </c>
      <c r="H17" s="140">
        <v>1</v>
      </c>
      <c r="I17" s="140">
        <v>1</v>
      </c>
      <c r="J17" s="140">
        <v>1</v>
      </c>
      <c r="K17" s="140">
        <v>1</v>
      </c>
      <c r="L17" s="140">
        <v>1</v>
      </c>
      <c r="M17" s="140">
        <v>1</v>
      </c>
      <c r="N17" s="140">
        <v>1</v>
      </c>
      <c r="O17" s="140">
        <v>7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7:130" x14ac:dyDescent="0.25">
      <c r="G18" s="135" t="s">
        <v>106</v>
      </c>
      <c r="H18" s="140">
        <v>1</v>
      </c>
      <c r="I18" s="140">
        <v>1</v>
      </c>
      <c r="J18" s="140">
        <v>1</v>
      </c>
      <c r="K18" s="140">
        <v>1</v>
      </c>
      <c r="L18" s="140">
        <v>1</v>
      </c>
      <c r="M18" s="140">
        <v>1</v>
      </c>
      <c r="N18" s="140">
        <v>1</v>
      </c>
      <c r="O18" s="140">
        <v>7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7:130" x14ac:dyDescent="0.25">
      <c r="G19" s="135" t="s">
        <v>110</v>
      </c>
      <c r="H19" s="140">
        <v>1</v>
      </c>
      <c r="I19" s="140">
        <v>1</v>
      </c>
      <c r="J19" s="140">
        <v>1</v>
      </c>
      <c r="K19" s="140">
        <v>1</v>
      </c>
      <c r="L19" s="140">
        <v>1</v>
      </c>
      <c r="M19" s="140">
        <v>1</v>
      </c>
      <c r="N19" s="140">
        <v>1</v>
      </c>
      <c r="O19" s="140">
        <v>7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7:130" x14ac:dyDescent="0.25">
      <c r="G20" s="135" t="s">
        <v>126</v>
      </c>
      <c r="H20" s="140">
        <v>1</v>
      </c>
      <c r="I20" s="140">
        <v>1</v>
      </c>
      <c r="J20" s="140">
        <v>1</v>
      </c>
      <c r="K20" s="140">
        <v>1</v>
      </c>
      <c r="L20" s="140">
        <v>1</v>
      </c>
      <c r="M20" s="140">
        <v>1</v>
      </c>
      <c r="N20" s="140">
        <v>1</v>
      </c>
      <c r="O20" s="140">
        <v>7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7:130" x14ac:dyDescent="0.25">
      <c r="G21" s="135" t="s">
        <v>141</v>
      </c>
      <c r="H21" s="140">
        <v>1</v>
      </c>
      <c r="I21" s="140">
        <v>1</v>
      </c>
      <c r="J21" s="140">
        <v>1</v>
      </c>
      <c r="K21" s="140">
        <v>1</v>
      </c>
      <c r="L21" s="140">
        <v>1</v>
      </c>
      <c r="M21" s="140">
        <v>1</v>
      </c>
      <c r="N21" s="140">
        <v>1</v>
      </c>
      <c r="O21" s="140">
        <v>7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7:130" x14ac:dyDescent="0.25">
      <c r="G22" s="135" t="s">
        <v>120</v>
      </c>
      <c r="H22" s="140">
        <v>1</v>
      </c>
      <c r="I22" s="140">
        <v>1</v>
      </c>
      <c r="J22" s="140">
        <v>1</v>
      </c>
      <c r="K22" s="140">
        <v>1</v>
      </c>
      <c r="L22" s="140">
        <v>1</v>
      </c>
      <c r="M22" s="140">
        <v>1</v>
      </c>
      <c r="N22" s="140">
        <v>1</v>
      </c>
      <c r="O22" s="140">
        <v>7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7:130" x14ac:dyDescent="0.25">
      <c r="G23" s="135" t="s">
        <v>144</v>
      </c>
      <c r="H23" s="140">
        <v>1</v>
      </c>
      <c r="I23" s="140">
        <v>1</v>
      </c>
      <c r="J23" s="140">
        <v>1</v>
      </c>
      <c r="K23" s="140">
        <v>1</v>
      </c>
      <c r="L23" s="140">
        <v>1</v>
      </c>
      <c r="M23" s="140">
        <v>1</v>
      </c>
      <c r="N23" s="140">
        <v>1</v>
      </c>
      <c r="O23" s="140">
        <v>7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7:130" x14ac:dyDescent="0.25">
      <c r="G24" s="135" t="s">
        <v>197</v>
      </c>
      <c r="H24" s="140">
        <v>1</v>
      </c>
      <c r="I24" s="140">
        <v>1</v>
      </c>
      <c r="J24" s="140">
        <v>1</v>
      </c>
      <c r="K24" s="140">
        <v>1</v>
      </c>
      <c r="L24" s="140">
        <v>1</v>
      </c>
      <c r="M24" s="140">
        <v>1</v>
      </c>
      <c r="N24" s="140">
        <v>1</v>
      </c>
      <c r="O24" s="140">
        <v>7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7:130" x14ac:dyDescent="0.25">
      <c r="G25" s="135" t="s">
        <v>196</v>
      </c>
      <c r="H25" s="140">
        <v>1</v>
      </c>
      <c r="I25" s="140">
        <v>1</v>
      </c>
      <c r="J25" s="140">
        <v>1</v>
      </c>
      <c r="K25" s="140">
        <v>1</v>
      </c>
      <c r="L25" s="140">
        <v>1</v>
      </c>
      <c r="M25" s="140">
        <v>1</v>
      </c>
      <c r="N25" s="140">
        <v>1</v>
      </c>
      <c r="O25" s="140">
        <v>7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7:130" x14ac:dyDescent="0.25">
      <c r="G26" s="135" t="s">
        <v>198</v>
      </c>
      <c r="H26" s="140">
        <v>1</v>
      </c>
      <c r="I26" s="140">
        <v>1</v>
      </c>
      <c r="J26" s="140">
        <v>1</v>
      </c>
      <c r="K26" s="140">
        <v>1</v>
      </c>
      <c r="L26" s="140">
        <v>1</v>
      </c>
      <c r="M26" s="140">
        <v>1</v>
      </c>
      <c r="N26" s="140">
        <v>1</v>
      </c>
      <c r="O26" s="140">
        <v>7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7:130" x14ac:dyDescent="0.25">
      <c r="G27" s="135" t="s">
        <v>209</v>
      </c>
      <c r="H27" s="140">
        <v>1</v>
      </c>
      <c r="I27" s="140">
        <v>1</v>
      </c>
      <c r="J27" s="140">
        <v>1</v>
      </c>
      <c r="K27" s="140">
        <v>1</v>
      </c>
      <c r="L27" s="140">
        <v>1</v>
      </c>
      <c r="M27" s="140">
        <v>1</v>
      </c>
      <c r="N27" s="140">
        <v>1</v>
      </c>
      <c r="O27" s="140">
        <v>7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7:130" x14ac:dyDescent="0.25">
      <c r="G28" s="135" t="s">
        <v>210</v>
      </c>
      <c r="H28" s="140">
        <v>1</v>
      </c>
      <c r="I28" s="140">
        <v>1</v>
      </c>
      <c r="J28" s="140">
        <v>1</v>
      </c>
      <c r="K28" s="140">
        <v>1</v>
      </c>
      <c r="L28" s="140">
        <v>1</v>
      </c>
      <c r="M28" s="140">
        <v>1</v>
      </c>
      <c r="N28" s="140">
        <v>1</v>
      </c>
      <c r="O28" s="140">
        <v>7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7:130" x14ac:dyDescent="0.25">
      <c r="G29" s="135" t="s">
        <v>212</v>
      </c>
      <c r="H29" s="140">
        <v>1</v>
      </c>
      <c r="I29" s="140">
        <v>1</v>
      </c>
      <c r="J29" s="140">
        <v>1</v>
      </c>
      <c r="K29" s="140">
        <v>1</v>
      </c>
      <c r="L29" s="140">
        <v>1</v>
      </c>
      <c r="M29" s="140">
        <v>1</v>
      </c>
      <c r="N29" s="140">
        <v>1</v>
      </c>
      <c r="O29" s="140">
        <v>7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CT29" s="15"/>
    </row>
    <row r="30" spans="7:130" x14ac:dyDescent="0.25">
      <c r="G30" s="135" t="s">
        <v>213</v>
      </c>
      <c r="H30" s="140">
        <v>1</v>
      </c>
      <c r="I30" s="140">
        <v>1</v>
      </c>
      <c r="J30" s="140">
        <v>1</v>
      </c>
      <c r="K30" s="140">
        <v>1</v>
      </c>
      <c r="L30" s="140">
        <v>1</v>
      </c>
      <c r="M30" s="140">
        <v>1</v>
      </c>
      <c r="N30" s="140">
        <v>1</v>
      </c>
      <c r="O30" s="140">
        <v>7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CT30" s="15"/>
    </row>
    <row r="31" spans="7:130" x14ac:dyDescent="0.25">
      <c r="G31" s="135" t="s">
        <v>214</v>
      </c>
      <c r="H31" s="140">
        <v>1</v>
      </c>
      <c r="I31" s="140">
        <v>1</v>
      </c>
      <c r="J31" s="140">
        <v>1</v>
      </c>
      <c r="K31" s="140">
        <v>1</v>
      </c>
      <c r="L31" s="140">
        <v>1</v>
      </c>
      <c r="M31" s="140">
        <v>1</v>
      </c>
      <c r="N31" s="140">
        <v>1</v>
      </c>
      <c r="O31" s="140">
        <v>7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CT31" s="15"/>
    </row>
    <row r="32" spans="7:130" x14ac:dyDescent="0.25">
      <c r="G32" s="135" t="s">
        <v>215</v>
      </c>
      <c r="H32" s="140">
        <v>1</v>
      </c>
      <c r="I32" s="140">
        <v>1</v>
      </c>
      <c r="J32" s="140">
        <v>1</v>
      </c>
      <c r="K32" s="140">
        <v>1</v>
      </c>
      <c r="L32" s="140">
        <v>1</v>
      </c>
      <c r="M32" s="140">
        <v>1</v>
      </c>
      <c r="N32" s="140">
        <v>1</v>
      </c>
      <c r="O32" s="140">
        <v>7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CT32" s="15"/>
    </row>
    <row r="33" spans="7:98" x14ac:dyDescent="0.25">
      <c r="G33" s="135" t="s">
        <v>216</v>
      </c>
      <c r="H33" s="140">
        <v>1</v>
      </c>
      <c r="I33" s="140">
        <v>1</v>
      </c>
      <c r="J33" s="140">
        <v>1</v>
      </c>
      <c r="K33" s="140">
        <v>1</v>
      </c>
      <c r="L33" s="140">
        <v>1</v>
      </c>
      <c r="M33" s="140">
        <v>1</v>
      </c>
      <c r="N33" s="140">
        <v>1</v>
      </c>
      <c r="O33" s="140">
        <v>7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CT33" s="15"/>
    </row>
    <row r="34" spans="7:98" x14ac:dyDescent="0.25">
      <c r="G34" s="135" t="s">
        <v>217</v>
      </c>
      <c r="H34" s="140">
        <v>1</v>
      </c>
      <c r="I34" s="140">
        <v>1</v>
      </c>
      <c r="J34" s="140">
        <v>1</v>
      </c>
      <c r="K34" s="140">
        <v>1</v>
      </c>
      <c r="L34" s="140">
        <v>1</v>
      </c>
      <c r="M34" s="140">
        <v>1</v>
      </c>
      <c r="N34" s="140">
        <v>1</v>
      </c>
      <c r="O34" s="140">
        <v>7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CT34" s="15"/>
    </row>
    <row r="35" spans="7:98" x14ac:dyDescent="0.25">
      <c r="G35" s="135" t="s">
        <v>218</v>
      </c>
      <c r="H35" s="140">
        <v>1</v>
      </c>
      <c r="I35" s="140">
        <v>1</v>
      </c>
      <c r="J35" s="140">
        <v>1</v>
      </c>
      <c r="K35" s="140">
        <v>1</v>
      </c>
      <c r="L35" s="140">
        <v>1</v>
      </c>
      <c r="M35" s="140">
        <v>1</v>
      </c>
      <c r="N35" s="140">
        <v>1</v>
      </c>
      <c r="O35" s="140">
        <v>7</v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CT35" s="15"/>
    </row>
    <row r="36" spans="7:98" x14ac:dyDescent="0.25">
      <c r="G36" s="135" t="s">
        <v>219</v>
      </c>
      <c r="H36" s="140">
        <v>1</v>
      </c>
      <c r="I36" s="140">
        <v>1</v>
      </c>
      <c r="J36" s="140">
        <v>1</v>
      </c>
      <c r="K36" s="140">
        <v>1</v>
      </c>
      <c r="L36" s="140">
        <v>1</v>
      </c>
      <c r="M36" s="140">
        <v>1</v>
      </c>
      <c r="N36" s="140">
        <v>1</v>
      </c>
      <c r="O36" s="140">
        <v>7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CT36" s="15"/>
    </row>
    <row r="37" spans="7:98" x14ac:dyDescent="0.25">
      <c r="G37" s="135" t="s">
        <v>220</v>
      </c>
      <c r="H37" s="140">
        <v>1</v>
      </c>
      <c r="I37" s="140">
        <v>1</v>
      </c>
      <c r="J37" s="140">
        <v>1</v>
      </c>
      <c r="K37" s="140">
        <v>1</v>
      </c>
      <c r="L37" s="140">
        <v>1</v>
      </c>
      <c r="M37" s="140">
        <v>1</v>
      </c>
      <c r="N37" s="140">
        <v>1</v>
      </c>
      <c r="O37" s="140">
        <v>7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CT37" s="15"/>
    </row>
    <row r="38" spans="7:98" x14ac:dyDescent="0.25">
      <c r="G38" s="135" t="s">
        <v>221</v>
      </c>
      <c r="H38" s="140">
        <v>1</v>
      </c>
      <c r="I38" s="140">
        <v>1</v>
      </c>
      <c r="J38" s="140">
        <v>1</v>
      </c>
      <c r="K38" s="140">
        <v>1</v>
      </c>
      <c r="L38" s="140">
        <v>1</v>
      </c>
      <c r="M38" s="140">
        <v>1</v>
      </c>
      <c r="N38" s="140">
        <v>1</v>
      </c>
      <c r="O38" s="140">
        <v>7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CT38" s="15"/>
    </row>
    <row r="39" spans="7:98" x14ac:dyDescent="0.25">
      <c r="G39" s="135" t="s">
        <v>223</v>
      </c>
      <c r="H39" s="140">
        <v>1</v>
      </c>
      <c r="I39" s="140">
        <v>1</v>
      </c>
      <c r="J39" s="140">
        <v>1</v>
      </c>
      <c r="K39" s="140">
        <v>1</v>
      </c>
      <c r="L39" s="140">
        <v>1</v>
      </c>
      <c r="M39" s="140">
        <v>1</v>
      </c>
      <c r="N39" s="140">
        <v>1</v>
      </c>
      <c r="O39" s="140">
        <v>7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CT39" s="15"/>
    </row>
    <row r="40" spans="7:98" x14ac:dyDescent="0.25">
      <c r="G40" s="135" t="s">
        <v>46</v>
      </c>
      <c r="H40" s="140">
        <v>33</v>
      </c>
      <c r="I40" s="140">
        <v>33</v>
      </c>
      <c r="J40" s="140">
        <v>33</v>
      </c>
      <c r="K40" s="140">
        <v>33</v>
      </c>
      <c r="L40" s="140">
        <v>33</v>
      </c>
      <c r="M40" s="140">
        <v>33</v>
      </c>
      <c r="N40" s="140">
        <v>33</v>
      </c>
      <c r="O40" s="140">
        <v>231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CT40" s="15"/>
    </row>
    <row r="41" spans="7:98" x14ac:dyDescent="0.25"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CT41" s="15"/>
    </row>
    <row r="42" spans="7:98" x14ac:dyDescent="0.25"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CT42" s="15"/>
    </row>
    <row r="43" spans="7:98" x14ac:dyDescent="0.25"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CT43" s="15"/>
    </row>
    <row r="44" spans="7:98" x14ac:dyDescent="0.25"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CT44" s="15"/>
    </row>
    <row r="45" spans="7:98" x14ac:dyDescent="0.25"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CT45" s="15"/>
    </row>
    <row r="46" spans="7:98" x14ac:dyDescent="0.25"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CT46" s="15"/>
    </row>
    <row r="47" spans="7:98" x14ac:dyDescent="0.25"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CT47" s="15"/>
    </row>
    <row r="48" spans="7:98" x14ac:dyDescent="0.25"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CT48" s="15"/>
    </row>
    <row r="49" spans="7:98" x14ac:dyDescent="0.25"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CT49" s="15"/>
    </row>
    <row r="50" spans="7:98" x14ac:dyDescent="0.25"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CT50" s="15"/>
    </row>
    <row r="51" spans="7:98" x14ac:dyDescent="0.25"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CT51" s="15"/>
    </row>
    <row r="52" spans="7:98" x14ac:dyDescent="0.25"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CT52" s="15"/>
    </row>
    <row r="53" spans="7:98" x14ac:dyDescent="0.25"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CT53" s="15"/>
    </row>
    <row r="54" spans="7:98" x14ac:dyDescent="0.25"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CT54" s="15"/>
    </row>
    <row r="55" spans="7:98" x14ac:dyDescent="0.25"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CT55" s="15"/>
    </row>
    <row r="56" spans="7:98" x14ac:dyDescent="0.25"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CT56" s="15"/>
    </row>
    <row r="57" spans="7:98" x14ac:dyDescent="0.25"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CT57" s="15"/>
    </row>
    <row r="58" spans="7:98" x14ac:dyDescent="0.25"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CT58" s="15"/>
    </row>
    <row r="59" spans="7:98" x14ac:dyDescent="0.25"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CT59" s="15"/>
    </row>
    <row r="60" spans="7:98" x14ac:dyDescent="0.25"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CT60" s="15"/>
    </row>
    <row r="61" spans="7:98" x14ac:dyDescent="0.25"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CT61" s="15"/>
    </row>
    <row r="62" spans="7:98" x14ac:dyDescent="0.25"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CT62" s="15"/>
    </row>
    <row r="63" spans="7:98" x14ac:dyDescent="0.25"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CT63" s="15"/>
    </row>
    <row r="64" spans="7:98" x14ac:dyDescent="0.25"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CT64" s="15"/>
    </row>
    <row r="65" spans="7:98" x14ac:dyDescent="0.25"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CT65" s="15"/>
    </row>
    <row r="66" spans="7:98" x14ac:dyDescent="0.25"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CT66" s="15"/>
    </row>
    <row r="67" spans="7:98" x14ac:dyDescent="0.25"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CT67" s="15"/>
    </row>
    <row r="68" spans="7:98" x14ac:dyDescent="0.25"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CT68" s="15"/>
    </row>
    <row r="69" spans="7:98" x14ac:dyDescent="0.25"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CT69" s="15"/>
    </row>
    <row r="70" spans="7:98" x14ac:dyDescent="0.25"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CT70" s="15"/>
    </row>
    <row r="71" spans="7:98" x14ac:dyDescent="0.25"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CT71" s="15"/>
    </row>
    <row r="72" spans="7:98" x14ac:dyDescent="0.25"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CT72" s="15"/>
    </row>
    <row r="73" spans="7:98" x14ac:dyDescent="0.25"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CT73" s="15"/>
    </row>
    <row r="74" spans="7:98" x14ac:dyDescent="0.25"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CT74" s="15"/>
    </row>
    <row r="75" spans="7:98" x14ac:dyDescent="0.25"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CT75" s="15"/>
    </row>
    <row r="76" spans="7:98" x14ac:dyDescent="0.25"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CT76" s="15"/>
    </row>
    <row r="77" spans="7:98" x14ac:dyDescent="0.25"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CT77" s="15"/>
    </row>
    <row r="78" spans="7:98" x14ac:dyDescent="0.25"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CT78" s="15"/>
    </row>
    <row r="79" spans="7:98" x14ac:dyDescent="0.25"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CT79" s="15"/>
    </row>
    <row r="80" spans="7:98" x14ac:dyDescent="0.25"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CT80" s="15"/>
    </row>
    <row r="81" spans="7:98" x14ac:dyDescent="0.25"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CT81" s="15"/>
    </row>
    <row r="82" spans="7:98" x14ac:dyDescent="0.25"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CT82" s="15"/>
    </row>
    <row r="83" spans="7:98" x14ac:dyDescent="0.25"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CT83" s="15"/>
    </row>
    <row r="84" spans="7:98" x14ac:dyDescent="0.25">
      <c r="J84" s="15"/>
      <c r="O84" s="15"/>
      <c r="U84" s="15"/>
      <c r="CT84" s="15"/>
    </row>
    <row r="85" spans="7:98" x14ac:dyDescent="0.25">
      <c r="J85" s="15"/>
      <c r="O85" s="15"/>
      <c r="U85" s="15"/>
      <c r="CT85" s="15"/>
    </row>
    <row r="86" spans="7:98" x14ac:dyDescent="0.25">
      <c r="J86" s="15"/>
      <c r="O86" s="15"/>
      <c r="U86" s="15"/>
      <c r="CT86" s="15"/>
    </row>
    <row r="87" spans="7:98" x14ac:dyDescent="0.25">
      <c r="J87" s="15"/>
      <c r="O87" s="15"/>
      <c r="U87" s="15"/>
      <c r="CT87" s="15"/>
    </row>
    <row r="88" spans="7:98" x14ac:dyDescent="0.25">
      <c r="J88" s="15"/>
      <c r="O88" s="15"/>
      <c r="U88" s="15"/>
      <c r="CT88" s="15"/>
    </row>
    <row r="89" spans="7:98" x14ac:dyDescent="0.25">
      <c r="J89" s="15"/>
      <c r="O89" s="15"/>
      <c r="U89" s="15"/>
      <c r="CT89" s="15"/>
    </row>
    <row r="90" spans="7:98" x14ac:dyDescent="0.25">
      <c r="J90" s="15"/>
      <c r="O90" s="15"/>
      <c r="U90" s="15"/>
      <c r="CT90" s="15"/>
    </row>
    <row r="91" spans="7:98" x14ac:dyDescent="0.25">
      <c r="J91" s="15"/>
      <c r="O91" s="15"/>
      <c r="U91" s="15"/>
      <c r="CT91" s="15"/>
    </row>
    <row r="92" spans="7:98" x14ac:dyDescent="0.25">
      <c r="J92" s="15"/>
      <c r="O92" s="15"/>
      <c r="U92" s="15"/>
      <c r="CT92" s="15"/>
    </row>
    <row r="93" spans="7:98" x14ac:dyDescent="0.25">
      <c r="J93" s="15"/>
      <c r="O93" s="15"/>
      <c r="U93" s="15"/>
      <c r="CT93" s="15"/>
    </row>
    <row r="94" spans="7:98" x14ac:dyDescent="0.25">
      <c r="J94" s="15"/>
      <c r="O94" s="15"/>
      <c r="U94" s="15"/>
      <c r="CT94" s="15"/>
    </row>
    <row r="95" spans="7:98" x14ac:dyDescent="0.25">
      <c r="J95" s="15"/>
      <c r="O95" s="15"/>
      <c r="U95" s="15"/>
      <c r="CT95" s="15"/>
    </row>
    <row r="96" spans="7:98" x14ac:dyDescent="0.25">
      <c r="J96" s="15"/>
      <c r="O96" s="15"/>
      <c r="U96" s="15"/>
      <c r="CT96" s="15"/>
    </row>
    <row r="97" s="15" customFormat="1" x14ac:dyDescent="0.25"/>
    <row r="98" s="15" customFormat="1" x14ac:dyDescent="0.25"/>
    <row r="99" s="15" customFormat="1" x14ac:dyDescent="0.25"/>
    <row r="100" s="15" customFormat="1" x14ac:dyDescent="0.25"/>
    <row r="101" s="15" customFormat="1" x14ac:dyDescent="0.25"/>
    <row r="102" s="15" customFormat="1" x14ac:dyDescent="0.25"/>
    <row r="103" s="15" customFormat="1" x14ac:dyDescent="0.25"/>
    <row r="104" s="15" customFormat="1" x14ac:dyDescent="0.25"/>
    <row r="105" s="15" customFormat="1" x14ac:dyDescent="0.25"/>
    <row r="106" s="15" customFormat="1" x14ac:dyDescent="0.25"/>
    <row r="107" s="15" customFormat="1" x14ac:dyDescent="0.25"/>
    <row r="108" s="15" customFormat="1" x14ac:dyDescent="0.25"/>
    <row r="109" s="15" customFormat="1" x14ac:dyDescent="0.25"/>
    <row r="110" s="15" customFormat="1" x14ac:dyDescent="0.25"/>
    <row r="111" s="15" customFormat="1" x14ac:dyDescent="0.25"/>
    <row r="112" s="15" customFormat="1" x14ac:dyDescent="0.25"/>
    <row r="113" s="15" customFormat="1" x14ac:dyDescent="0.25"/>
    <row r="114" s="15" customFormat="1" x14ac:dyDescent="0.25"/>
    <row r="115" s="15" customFormat="1" x14ac:dyDescent="0.25"/>
    <row r="116" s="15" customFormat="1" x14ac:dyDescent="0.25"/>
    <row r="117" s="15" customFormat="1" x14ac:dyDescent="0.25"/>
    <row r="118" s="15" customFormat="1" x14ac:dyDescent="0.25"/>
    <row r="119" s="15" customFormat="1" x14ac:dyDescent="0.25"/>
    <row r="120" s="15" customFormat="1" x14ac:dyDescent="0.25"/>
    <row r="121" s="15" customFormat="1" x14ac:dyDescent="0.25"/>
    <row r="122" s="15" customFormat="1" x14ac:dyDescent="0.25"/>
    <row r="123" s="15" customFormat="1" x14ac:dyDescent="0.25"/>
    <row r="124" s="15" customFormat="1" x14ac:dyDescent="0.25"/>
    <row r="125" s="15" customFormat="1" x14ac:dyDescent="0.25"/>
    <row r="126" s="15" customFormat="1" x14ac:dyDescent="0.25"/>
    <row r="127" s="15" customFormat="1" x14ac:dyDescent="0.25"/>
    <row r="128" s="15" customFormat="1" x14ac:dyDescent="0.25"/>
    <row r="129" s="15" customFormat="1" x14ac:dyDescent="0.25"/>
    <row r="130" s="15" customFormat="1" x14ac:dyDescent="0.25"/>
    <row r="131" s="15" customFormat="1" x14ac:dyDescent="0.25"/>
    <row r="132" s="15" customFormat="1" x14ac:dyDescent="0.25"/>
    <row r="133" s="15" customFormat="1" x14ac:dyDescent="0.25"/>
    <row r="134" s="15" customFormat="1" x14ac:dyDescent="0.25"/>
    <row r="135" s="15" customFormat="1" x14ac:dyDescent="0.25"/>
    <row r="136" s="15" customFormat="1" x14ac:dyDescent="0.25"/>
    <row r="137" s="15" customFormat="1" x14ac:dyDescent="0.25"/>
    <row r="138" s="15" customFormat="1" x14ac:dyDescent="0.25"/>
    <row r="139" s="15" customFormat="1" x14ac:dyDescent="0.25"/>
    <row r="140" s="15" customFormat="1" x14ac:dyDescent="0.25"/>
    <row r="141" s="15" customFormat="1" x14ac:dyDescent="0.25"/>
    <row r="142" s="15" customFormat="1" x14ac:dyDescent="0.25"/>
    <row r="143" s="15" customFormat="1" x14ac:dyDescent="0.25"/>
    <row r="144" s="15" customFormat="1" x14ac:dyDescent="0.25"/>
    <row r="145" s="15" customFormat="1" x14ac:dyDescent="0.25"/>
    <row r="146" s="15" customFormat="1" x14ac:dyDescent="0.25"/>
    <row r="147" s="15" customFormat="1" x14ac:dyDescent="0.25"/>
    <row r="148" s="15" customFormat="1" x14ac:dyDescent="0.25"/>
    <row r="149" s="15" customFormat="1" x14ac:dyDescent="0.25"/>
    <row r="150" s="15" customFormat="1" x14ac:dyDescent="0.25"/>
    <row r="151" s="15" customFormat="1" x14ac:dyDescent="0.25"/>
    <row r="152" s="15" customFormat="1" x14ac:dyDescent="0.25"/>
    <row r="153" s="15" customFormat="1" x14ac:dyDescent="0.25"/>
    <row r="154" s="15" customFormat="1" x14ac:dyDescent="0.25"/>
    <row r="155" s="15" customFormat="1" x14ac:dyDescent="0.25"/>
    <row r="156" s="15" customFormat="1" x14ac:dyDescent="0.25"/>
    <row r="157" s="15" customFormat="1" x14ac:dyDescent="0.25"/>
    <row r="158" s="15" customFormat="1" x14ac:dyDescent="0.25"/>
    <row r="159" s="15" customFormat="1" x14ac:dyDescent="0.25"/>
    <row r="160" s="15" customFormat="1" x14ac:dyDescent="0.25"/>
    <row r="161" spans="10:98" x14ac:dyDescent="0.25">
      <c r="J161" s="15"/>
      <c r="O161" s="15"/>
      <c r="U161" s="15"/>
      <c r="CT161" s="15"/>
    </row>
    <row r="162" spans="10:98" x14ac:dyDescent="0.25">
      <c r="J162" s="15"/>
      <c r="O162" s="15"/>
      <c r="U162" s="15"/>
      <c r="CT162" s="15"/>
    </row>
    <row r="163" spans="10:98" x14ac:dyDescent="0.25">
      <c r="J163" s="15"/>
      <c r="O163" s="15"/>
      <c r="U163" s="15"/>
      <c r="CT163" s="15"/>
    </row>
    <row r="164" spans="10:98" x14ac:dyDescent="0.25">
      <c r="J164" s="15"/>
      <c r="O164" s="15"/>
      <c r="U164" s="15"/>
      <c r="CT164" s="15"/>
    </row>
    <row r="165" spans="10:98" x14ac:dyDescent="0.25">
      <c r="J165" s="15"/>
      <c r="O165" s="15"/>
      <c r="U165" s="15"/>
      <c r="CT165" s="15"/>
    </row>
    <row r="166" spans="10:98" x14ac:dyDescent="0.25">
      <c r="J166" s="15"/>
      <c r="O166" s="15"/>
      <c r="U166" s="15"/>
      <c r="CT166" s="15"/>
    </row>
    <row r="167" spans="10:98" x14ac:dyDescent="0.25">
      <c r="J167" s="15"/>
      <c r="O167" s="15"/>
      <c r="U167" s="15"/>
      <c r="CT167" s="15"/>
    </row>
    <row r="168" spans="10:98" x14ac:dyDescent="0.25">
      <c r="J168" s="15"/>
      <c r="O168" s="15"/>
      <c r="U168" s="15"/>
    </row>
    <row r="169" spans="10:98" x14ac:dyDescent="0.25">
      <c r="J169" s="15"/>
      <c r="O169" s="15"/>
      <c r="U169" s="15"/>
    </row>
    <row r="170" spans="10:98" x14ac:dyDescent="0.25">
      <c r="J170" s="15"/>
      <c r="O170" s="15"/>
      <c r="U170" s="15"/>
    </row>
    <row r="171" spans="10:98" x14ac:dyDescent="0.25">
      <c r="J171" s="15"/>
      <c r="O171" s="15"/>
      <c r="U171" s="15"/>
    </row>
    <row r="172" spans="10:98" x14ac:dyDescent="0.25">
      <c r="J172" s="15"/>
      <c r="O172" s="15"/>
      <c r="U172" s="15"/>
    </row>
    <row r="173" spans="10:98" x14ac:dyDescent="0.25">
      <c r="J173" s="15"/>
      <c r="O173" s="15"/>
      <c r="U173" s="15"/>
    </row>
    <row r="174" spans="10:98" x14ac:dyDescent="0.25">
      <c r="J174" s="15"/>
      <c r="O174" s="15"/>
      <c r="U174" s="15"/>
    </row>
    <row r="175" spans="10:98" x14ac:dyDescent="0.25">
      <c r="J175" s="15"/>
      <c r="O175" s="15"/>
      <c r="U175" s="15"/>
    </row>
    <row r="176" spans="10:98" x14ac:dyDescent="0.25">
      <c r="J176" s="15"/>
      <c r="O176" s="15"/>
      <c r="U176" s="15"/>
    </row>
    <row r="177" spans="10:21" x14ac:dyDescent="0.25">
      <c r="J177" s="15"/>
      <c r="O177" s="15"/>
      <c r="U177" s="15"/>
    </row>
    <row r="178" spans="10:21" x14ac:dyDescent="0.25">
      <c r="J178" s="15"/>
      <c r="O178" s="15"/>
      <c r="U178" s="15"/>
    </row>
    <row r="179" spans="10:21" x14ac:dyDescent="0.25">
      <c r="J179" s="15"/>
      <c r="O179" s="15"/>
      <c r="U179" s="15"/>
    </row>
    <row r="180" spans="10:21" x14ac:dyDescent="0.25">
      <c r="J180" s="15"/>
      <c r="O180" s="15"/>
      <c r="U180" s="15"/>
    </row>
    <row r="181" spans="10:21" x14ac:dyDescent="0.25">
      <c r="J181" s="15"/>
      <c r="O181" s="15"/>
      <c r="U181" s="15"/>
    </row>
    <row r="182" spans="10:21" x14ac:dyDescent="0.25">
      <c r="J182" s="15"/>
      <c r="O182" s="15"/>
      <c r="U182" s="15"/>
    </row>
    <row r="183" spans="10:21" x14ac:dyDescent="0.25">
      <c r="J183" s="15"/>
      <c r="O183" s="15"/>
      <c r="U183" s="15"/>
    </row>
    <row r="184" spans="10:21" x14ac:dyDescent="0.25">
      <c r="J184" s="15"/>
      <c r="O184" s="15"/>
      <c r="U184" s="15"/>
    </row>
    <row r="185" spans="10:21" x14ac:dyDescent="0.25">
      <c r="J185" s="15"/>
      <c r="O185" s="15"/>
      <c r="U185" s="15"/>
    </row>
    <row r="186" spans="10:21" x14ac:dyDescent="0.25">
      <c r="J186" s="15"/>
      <c r="O186" s="15"/>
      <c r="U186" s="15"/>
    </row>
    <row r="187" spans="10:21" x14ac:dyDescent="0.25">
      <c r="J187" s="15"/>
      <c r="O187" s="15"/>
      <c r="U187" s="15"/>
    </row>
    <row r="188" spans="10:21" x14ac:dyDescent="0.25">
      <c r="J188" s="15"/>
      <c r="O188" s="15"/>
      <c r="U188" s="15"/>
    </row>
    <row r="189" spans="10:21" x14ac:dyDescent="0.25">
      <c r="J189" s="15"/>
    </row>
    <row r="190" spans="10:21" x14ac:dyDescent="0.25">
      <c r="J190" s="15"/>
    </row>
    <row r="191" spans="10:21" x14ac:dyDescent="0.25">
      <c r="J191" s="15"/>
    </row>
    <row r="192" spans="10:21" x14ac:dyDescent="0.25">
      <c r="J192" s="15"/>
    </row>
    <row r="193" spans="10:10" x14ac:dyDescent="0.25">
      <c r="J193" s="15"/>
    </row>
    <row r="194" spans="10:10" x14ac:dyDescent="0.25">
      <c r="J194" s="15"/>
    </row>
    <row r="195" spans="10:10" x14ac:dyDescent="0.25">
      <c r="J195" s="15"/>
    </row>
    <row r="196" spans="10:10" x14ac:dyDescent="0.25">
      <c r="J196" s="15"/>
    </row>
    <row r="197" spans="10:10" x14ac:dyDescent="0.25">
      <c r="J197" s="15"/>
    </row>
    <row r="198" spans="10:10" x14ac:dyDescent="0.25">
      <c r="J198" s="15"/>
    </row>
    <row r="199" spans="10:10" x14ac:dyDescent="0.25">
      <c r="J199" s="15"/>
    </row>
    <row r="200" spans="10:10" x14ac:dyDescent="0.25">
      <c r="J200" s="15"/>
    </row>
    <row r="201" spans="10:10" x14ac:dyDescent="0.25">
      <c r="J201" s="15"/>
    </row>
    <row r="202" spans="10:10" x14ac:dyDescent="0.25">
      <c r="J202" s="15"/>
    </row>
    <row r="203" spans="10:10" x14ac:dyDescent="0.25">
      <c r="J203" s="15"/>
    </row>
    <row r="204" spans="10:10" x14ac:dyDescent="0.25">
      <c r="J204" s="15"/>
    </row>
    <row r="205" spans="10:10" x14ac:dyDescent="0.25">
      <c r="J205" s="15"/>
    </row>
    <row r="206" spans="10:10" x14ac:dyDescent="0.25">
      <c r="J206" s="15"/>
    </row>
    <row r="207" spans="10:10" x14ac:dyDescent="0.25">
      <c r="J207" s="15"/>
    </row>
    <row r="208" spans="10:10" x14ac:dyDescent="0.25">
      <c r="J208" s="15"/>
    </row>
    <row r="209" spans="10:10" x14ac:dyDescent="0.25">
      <c r="J209" s="15"/>
    </row>
    <row r="210" spans="10:10" x14ac:dyDescent="0.25">
      <c r="J210" s="15"/>
    </row>
    <row r="211" spans="10:10" x14ac:dyDescent="0.25">
      <c r="J211" s="15"/>
    </row>
    <row r="212" spans="10:10" x14ac:dyDescent="0.25">
      <c r="J212" s="15"/>
    </row>
    <row r="213" spans="10:10" x14ac:dyDescent="0.25">
      <c r="J213" s="15"/>
    </row>
    <row r="214" spans="10:10" x14ac:dyDescent="0.25">
      <c r="J214" s="15"/>
    </row>
    <row r="215" spans="10:10" x14ac:dyDescent="0.25">
      <c r="J215" s="15"/>
    </row>
    <row r="216" spans="10:10" x14ac:dyDescent="0.25">
      <c r="J216" s="15"/>
    </row>
    <row r="217" spans="10:10" x14ac:dyDescent="0.25">
      <c r="J217" s="15"/>
    </row>
    <row r="218" spans="10:10" x14ac:dyDescent="0.25">
      <c r="J218" s="15"/>
    </row>
    <row r="219" spans="10:10" x14ac:dyDescent="0.25">
      <c r="J219" s="15"/>
    </row>
    <row r="220" spans="10:10" x14ac:dyDescent="0.25">
      <c r="J220" s="15"/>
    </row>
    <row r="221" spans="10:10" x14ac:dyDescent="0.25">
      <c r="J221" s="15"/>
    </row>
    <row r="222" spans="10:10" x14ac:dyDescent="0.25">
      <c r="J222" s="15"/>
    </row>
    <row r="223" spans="10:10" x14ac:dyDescent="0.25">
      <c r="J223" s="15"/>
    </row>
    <row r="224" spans="10:10" x14ac:dyDescent="0.25">
      <c r="J224" s="15"/>
    </row>
    <row r="225" spans="10:10" x14ac:dyDescent="0.25">
      <c r="J225" s="15"/>
    </row>
    <row r="226" spans="10:10" x14ac:dyDescent="0.25">
      <c r="J226" s="15"/>
    </row>
    <row r="227" spans="10:10" x14ac:dyDescent="0.25">
      <c r="J227" s="15"/>
    </row>
    <row r="228" spans="10:10" x14ac:dyDescent="0.25">
      <c r="J228" s="15"/>
    </row>
    <row r="229" spans="10:10" x14ac:dyDescent="0.25">
      <c r="J229" s="15"/>
    </row>
    <row r="230" spans="10:10" x14ac:dyDescent="0.25">
      <c r="J230" s="15"/>
    </row>
    <row r="231" spans="10:10" x14ac:dyDescent="0.25">
      <c r="J231" s="15"/>
    </row>
    <row r="232" spans="10:10" x14ac:dyDescent="0.25">
      <c r="J232" s="15"/>
    </row>
    <row r="233" spans="10:10" x14ac:dyDescent="0.25">
      <c r="J233" s="15"/>
    </row>
    <row r="234" spans="10:10" x14ac:dyDescent="0.25">
      <c r="J234" s="15"/>
    </row>
    <row r="235" spans="10:10" x14ac:dyDescent="0.25">
      <c r="J235" s="15"/>
    </row>
    <row r="236" spans="10:10" x14ac:dyDescent="0.25">
      <c r="J236" s="15"/>
    </row>
    <row r="237" spans="10:10" x14ac:dyDescent="0.25">
      <c r="J237" s="15"/>
    </row>
    <row r="238" spans="10:10" x14ac:dyDescent="0.25">
      <c r="J238" s="15"/>
    </row>
    <row r="239" spans="10:10" x14ac:dyDescent="0.25">
      <c r="J239" s="15"/>
    </row>
    <row r="240" spans="10:10" x14ac:dyDescent="0.25">
      <c r="J240" s="15"/>
    </row>
    <row r="241" spans="10:10" x14ac:dyDescent="0.25">
      <c r="J241" s="15"/>
    </row>
    <row r="242" spans="10:10" x14ac:dyDescent="0.25">
      <c r="J242" s="15"/>
    </row>
    <row r="243" spans="10:10" x14ac:dyDescent="0.25">
      <c r="J243" s="15"/>
    </row>
    <row r="244" spans="10:10" x14ac:dyDescent="0.25">
      <c r="J244" s="15"/>
    </row>
    <row r="245" spans="10:10" x14ac:dyDescent="0.25">
      <c r="J245" s="15"/>
    </row>
    <row r="246" spans="10:10" x14ac:dyDescent="0.25">
      <c r="J246" s="15"/>
    </row>
    <row r="247" spans="10:10" x14ac:dyDescent="0.25">
      <c r="J247" s="15"/>
    </row>
    <row r="248" spans="10:10" x14ac:dyDescent="0.25">
      <c r="J248" s="15"/>
    </row>
    <row r="249" spans="10:10" x14ac:dyDescent="0.25">
      <c r="J249" s="15"/>
    </row>
    <row r="250" spans="10:10" x14ac:dyDescent="0.25">
      <c r="J250" s="15"/>
    </row>
    <row r="251" spans="10:10" x14ac:dyDescent="0.25">
      <c r="J251" s="15"/>
    </row>
    <row r="252" spans="10:10" x14ac:dyDescent="0.25">
      <c r="J252" s="15"/>
    </row>
    <row r="253" spans="10:10" x14ac:dyDescent="0.25">
      <c r="J253" s="15"/>
    </row>
    <row r="254" spans="10:10" x14ac:dyDescent="0.25">
      <c r="J254" s="15"/>
    </row>
    <row r="255" spans="10:10" x14ac:dyDescent="0.25">
      <c r="J255" s="15"/>
    </row>
    <row r="256" spans="10:10" x14ac:dyDescent="0.25">
      <c r="J256" s="15"/>
    </row>
    <row r="257" spans="10:10" x14ac:dyDescent="0.25">
      <c r="J257" s="15"/>
    </row>
    <row r="258" spans="10:10" x14ac:dyDescent="0.25">
      <c r="J258" s="15"/>
    </row>
    <row r="259" spans="10:10" x14ac:dyDescent="0.25">
      <c r="J259" s="15"/>
    </row>
    <row r="260" spans="10:10" x14ac:dyDescent="0.25">
      <c r="J260" s="15"/>
    </row>
    <row r="261" spans="10:10" x14ac:dyDescent="0.25">
      <c r="J261" s="15"/>
    </row>
    <row r="262" spans="10:10" x14ac:dyDescent="0.25">
      <c r="J262" s="15"/>
    </row>
    <row r="263" spans="10:10" x14ac:dyDescent="0.25">
      <c r="J263" s="15"/>
    </row>
    <row r="264" spans="10:10" x14ac:dyDescent="0.25">
      <c r="J264" s="15"/>
    </row>
    <row r="265" spans="10:10" x14ac:dyDescent="0.25">
      <c r="J265" s="15"/>
    </row>
    <row r="266" spans="10:10" x14ac:dyDescent="0.25">
      <c r="J266" s="15"/>
    </row>
    <row r="267" spans="10:10" x14ac:dyDescent="0.25">
      <c r="J267" s="15"/>
    </row>
    <row r="268" spans="10:10" x14ac:dyDescent="0.25">
      <c r="J268" s="15"/>
    </row>
    <row r="269" spans="10:10" x14ac:dyDescent="0.25">
      <c r="J269" s="15"/>
    </row>
    <row r="270" spans="10:10" x14ac:dyDescent="0.25">
      <c r="J270" s="15"/>
    </row>
    <row r="271" spans="10:10" x14ac:dyDescent="0.25">
      <c r="J271" s="15"/>
    </row>
    <row r="272" spans="10:10" x14ac:dyDescent="0.25">
      <c r="J272" s="15"/>
    </row>
    <row r="273" spans="10:10" x14ac:dyDescent="0.25">
      <c r="J273" s="15"/>
    </row>
    <row r="274" spans="10:10" x14ac:dyDescent="0.25">
      <c r="J274" s="15"/>
    </row>
    <row r="275" spans="10:10" x14ac:dyDescent="0.25">
      <c r="J275" s="15"/>
    </row>
    <row r="276" spans="10:10" x14ac:dyDescent="0.25">
      <c r="J276" s="15"/>
    </row>
    <row r="277" spans="10:10" x14ac:dyDescent="0.25">
      <c r="J277" s="15"/>
    </row>
    <row r="278" spans="10:10" x14ac:dyDescent="0.25">
      <c r="J278" s="15"/>
    </row>
    <row r="279" spans="10:10" x14ac:dyDescent="0.25">
      <c r="J279" s="15"/>
    </row>
    <row r="280" spans="10:10" x14ac:dyDescent="0.25">
      <c r="J280" s="15"/>
    </row>
    <row r="281" spans="10:10" x14ac:dyDescent="0.25">
      <c r="J281" s="15"/>
    </row>
    <row r="282" spans="10:10" x14ac:dyDescent="0.25">
      <c r="J282" s="15"/>
    </row>
    <row r="283" spans="10:10" x14ac:dyDescent="0.25">
      <c r="J283" s="15"/>
    </row>
    <row r="284" spans="10:10" x14ac:dyDescent="0.25">
      <c r="J284" s="15"/>
    </row>
    <row r="285" spans="10:10" x14ac:dyDescent="0.25">
      <c r="J285" s="15"/>
    </row>
    <row r="286" spans="10:10" x14ac:dyDescent="0.25">
      <c r="J286" s="15"/>
    </row>
    <row r="287" spans="10:10" x14ac:dyDescent="0.25">
      <c r="J287" s="15"/>
    </row>
    <row r="288" spans="10:10" x14ac:dyDescent="0.25">
      <c r="J288" s="15"/>
    </row>
    <row r="289" spans="10:10" x14ac:dyDescent="0.25">
      <c r="J289" s="15"/>
    </row>
    <row r="290" spans="10:10" x14ac:dyDescent="0.25">
      <c r="J290" s="15"/>
    </row>
    <row r="291" spans="10:10" x14ac:dyDescent="0.25">
      <c r="J291" s="15"/>
    </row>
    <row r="292" spans="10:10" x14ac:dyDescent="0.25">
      <c r="J292" s="15"/>
    </row>
    <row r="293" spans="10:10" x14ac:dyDescent="0.25">
      <c r="J293" s="15"/>
    </row>
    <row r="294" spans="10:10" x14ac:dyDescent="0.25">
      <c r="J294" s="15"/>
    </row>
    <row r="295" spans="10:10" x14ac:dyDescent="0.25">
      <c r="J295" s="15"/>
    </row>
    <row r="296" spans="10:10" x14ac:dyDescent="0.25">
      <c r="J296" s="15"/>
    </row>
    <row r="297" spans="10:10" x14ac:dyDescent="0.25">
      <c r="J297" s="15"/>
    </row>
    <row r="298" spans="10:10" x14ac:dyDescent="0.25">
      <c r="J298" s="15"/>
    </row>
    <row r="299" spans="10:10" x14ac:dyDescent="0.25">
      <c r="J299" s="15"/>
    </row>
    <row r="300" spans="10:10" x14ac:dyDescent="0.25">
      <c r="J300" s="15"/>
    </row>
    <row r="301" spans="10:10" x14ac:dyDescent="0.25">
      <c r="J301" s="15"/>
    </row>
    <row r="302" spans="10:10" x14ac:dyDescent="0.25">
      <c r="J302" s="15"/>
    </row>
    <row r="303" spans="10:10" x14ac:dyDescent="0.25">
      <c r="J303" s="15"/>
    </row>
    <row r="304" spans="10:10" x14ac:dyDescent="0.25">
      <c r="J304" s="15"/>
    </row>
    <row r="305" spans="10:10" x14ac:dyDescent="0.25">
      <c r="J305" s="15"/>
    </row>
    <row r="306" spans="10:10" x14ac:dyDescent="0.25">
      <c r="J306" s="15"/>
    </row>
    <row r="307" spans="10:10" x14ac:dyDescent="0.25">
      <c r="J307" s="15"/>
    </row>
    <row r="308" spans="10:10" x14ac:dyDescent="0.25">
      <c r="J308" s="15"/>
    </row>
    <row r="309" spans="10:10" x14ac:dyDescent="0.25">
      <c r="J309" s="15"/>
    </row>
    <row r="310" spans="10:10" x14ac:dyDescent="0.25">
      <c r="J310" s="15"/>
    </row>
    <row r="311" spans="10:10" x14ac:dyDescent="0.25">
      <c r="J311" s="15"/>
    </row>
    <row r="312" spans="10:10" x14ac:dyDescent="0.25">
      <c r="J312" s="15"/>
    </row>
    <row r="313" spans="10:10" x14ac:dyDescent="0.25">
      <c r="J313" s="15"/>
    </row>
    <row r="314" spans="10:10" x14ac:dyDescent="0.25">
      <c r="J314" s="15"/>
    </row>
    <row r="315" spans="10:10" x14ac:dyDescent="0.25">
      <c r="J315" s="15"/>
    </row>
    <row r="316" spans="10:10" x14ac:dyDescent="0.25">
      <c r="J316" s="15"/>
    </row>
    <row r="317" spans="10:10" x14ac:dyDescent="0.25">
      <c r="J317" s="15"/>
    </row>
    <row r="318" spans="10:10" x14ac:dyDescent="0.25">
      <c r="J318" s="15"/>
    </row>
    <row r="319" spans="10:10" x14ac:dyDescent="0.25">
      <c r="J319" s="15"/>
    </row>
    <row r="320" spans="10:10" x14ac:dyDescent="0.25">
      <c r="J320" s="15"/>
    </row>
    <row r="321" spans="10:10" x14ac:dyDescent="0.25">
      <c r="J321" s="15"/>
    </row>
    <row r="322" spans="10:10" x14ac:dyDescent="0.25">
      <c r="J322" s="15"/>
    </row>
    <row r="323" spans="10:10" x14ac:dyDescent="0.25">
      <c r="J323" s="15"/>
    </row>
    <row r="324" spans="10:10" x14ac:dyDescent="0.25">
      <c r="J324" s="15"/>
    </row>
    <row r="325" spans="10:10" x14ac:dyDescent="0.25">
      <c r="J325" s="15"/>
    </row>
    <row r="326" spans="10:10" x14ac:dyDescent="0.25">
      <c r="J326" s="15"/>
    </row>
    <row r="327" spans="10:10" x14ac:dyDescent="0.25">
      <c r="J327" s="15"/>
    </row>
    <row r="328" spans="10:10" x14ac:dyDescent="0.25">
      <c r="J328" s="15"/>
    </row>
    <row r="329" spans="10:10" x14ac:dyDescent="0.25">
      <c r="J329" s="15"/>
    </row>
    <row r="330" spans="10:10" x14ac:dyDescent="0.25">
      <c r="J330" s="15"/>
    </row>
    <row r="331" spans="10:10" x14ac:dyDescent="0.25">
      <c r="J331" s="15"/>
    </row>
    <row r="332" spans="10:10" x14ac:dyDescent="0.25">
      <c r="J332" s="15"/>
    </row>
    <row r="333" spans="10:10" x14ac:dyDescent="0.25">
      <c r="J333" s="15"/>
    </row>
    <row r="334" spans="10:10" x14ac:dyDescent="0.25">
      <c r="J334" s="15"/>
    </row>
    <row r="335" spans="10:10" x14ac:dyDescent="0.25">
      <c r="J335" s="15"/>
    </row>
    <row r="336" spans="10:10" x14ac:dyDescent="0.25">
      <c r="J336" s="15"/>
    </row>
    <row r="337" spans="10:10" x14ac:dyDescent="0.25">
      <c r="J337" s="15"/>
    </row>
    <row r="338" spans="10:10" x14ac:dyDescent="0.25">
      <c r="J338" s="15"/>
    </row>
    <row r="339" spans="10:10" x14ac:dyDescent="0.25">
      <c r="J339" s="15"/>
    </row>
    <row r="340" spans="10:10" x14ac:dyDescent="0.25">
      <c r="J340" s="15"/>
    </row>
    <row r="341" spans="10:10" x14ac:dyDescent="0.25">
      <c r="J341" s="15"/>
    </row>
    <row r="342" spans="10:10" x14ac:dyDescent="0.25">
      <c r="J342" s="15"/>
    </row>
    <row r="343" spans="10:10" x14ac:dyDescent="0.25">
      <c r="J343" s="15"/>
    </row>
    <row r="344" spans="10:10" x14ac:dyDescent="0.25">
      <c r="J344" s="15"/>
    </row>
    <row r="345" spans="10:10" x14ac:dyDescent="0.25">
      <c r="J345" s="15"/>
    </row>
    <row r="346" spans="10:10" x14ac:dyDescent="0.25">
      <c r="J346" s="15"/>
    </row>
    <row r="347" spans="10:10" x14ac:dyDescent="0.25">
      <c r="J347" s="15"/>
    </row>
    <row r="348" spans="10:10" x14ac:dyDescent="0.25">
      <c r="J348" s="15"/>
    </row>
    <row r="349" spans="10:10" x14ac:dyDescent="0.25">
      <c r="J349" s="15"/>
    </row>
    <row r="350" spans="10:10" x14ac:dyDescent="0.25">
      <c r="J350" s="15"/>
    </row>
    <row r="351" spans="10:10" x14ac:dyDescent="0.25">
      <c r="J351" s="15"/>
    </row>
    <row r="352" spans="10:10" x14ac:dyDescent="0.25">
      <c r="J352" s="15"/>
    </row>
    <row r="353" spans="10:10" x14ac:dyDescent="0.25">
      <c r="J353" s="15"/>
    </row>
    <row r="354" spans="10:10" x14ac:dyDescent="0.25">
      <c r="J354" s="15"/>
    </row>
    <row r="355" spans="10:10" x14ac:dyDescent="0.25">
      <c r="J355" s="15"/>
    </row>
    <row r="356" spans="10:10" x14ac:dyDescent="0.25">
      <c r="J356" s="15"/>
    </row>
    <row r="357" spans="10:10" x14ac:dyDescent="0.25">
      <c r="J357" s="15"/>
    </row>
    <row r="358" spans="10:10" x14ac:dyDescent="0.25">
      <c r="J358" s="15"/>
    </row>
    <row r="359" spans="10:10" x14ac:dyDescent="0.25">
      <c r="J359" s="15"/>
    </row>
    <row r="360" spans="10:10" x14ac:dyDescent="0.25">
      <c r="J360" s="15"/>
    </row>
    <row r="361" spans="10:10" x14ac:dyDescent="0.25">
      <c r="J361" s="15"/>
    </row>
    <row r="362" spans="10:10" x14ac:dyDescent="0.25">
      <c r="J362" s="15"/>
    </row>
    <row r="363" spans="10:10" x14ac:dyDescent="0.25">
      <c r="J363" s="15"/>
    </row>
    <row r="364" spans="10:10" x14ac:dyDescent="0.25">
      <c r="J364" s="15"/>
    </row>
    <row r="365" spans="10:10" x14ac:dyDescent="0.25">
      <c r="J365" s="15"/>
    </row>
    <row r="366" spans="10:10" x14ac:dyDescent="0.25">
      <c r="J366" s="15"/>
    </row>
    <row r="367" spans="10:10" x14ac:dyDescent="0.25">
      <c r="J367" s="15"/>
    </row>
    <row r="368" spans="10:10" x14ac:dyDescent="0.25">
      <c r="J368" s="15"/>
    </row>
    <row r="369" spans="10:10" x14ac:dyDescent="0.25">
      <c r="J369" s="15"/>
    </row>
    <row r="370" spans="10:10" x14ac:dyDescent="0.25">
      <c r="J370" s="15"/>
    </row>
    <row r="371" spans="10:10" x14ac:dyDescent="0.25">
      <c r="J371" s="15"/>
    </row>
    <row r="372" spans="10:10" x14ac:dyDescent="0.25">
      <c r="J372" s="15"/>
    </row>
    <row r="373" spans="10:10" x14ac:dyDescent="0.25">
      <c r="J373" s="15"/>
    </row>
    <row r="374" spans="10:10" x14ac:dyDescent="0.25">
      <c r="J374" s="15"/>
    </row>
    <row r="375" spans="10:10" x14ac:dyDescent="0.25">
      <c r="J375" s="15"/>
    </row>
    <row r="376" spans="10:10" x14ac:dyDescent="0.25">
      <c r="J376" s="15"/>
    </row>
    <row r="377" spans="10:10" x14ac:dyDescent="0.25">
      <c r="J377" s="15"/>
    </row>
    <row r="378" spans="10:10" x14ac:dyDescent="0.25">
      <c r="J378" s="15"/>
    </row>
    <row r="379" spans="10:10" x14ac:dyDescent="0.25">
      <c r="J379" s="15"/>
    </row>
    <row r="380" spans="10:10" x14ac:dyDescent="0.25">
      <c r="J380" s="15"/>
    </row>
    <row r="381" spans="10:10" x14ac:dyDescent="0.25">
      <c r="J381" s="15"/>
    </row>
    <row r="382" spans="10:10" x14ac:dyDescent="0.25">
      <c r="J382" s="15"/>
    </row>
    <row r="383" spans="10:10" x14ac:dyDescent="0.25">
      <c r="J383" s="15"/>
    </row>
    <row r="384" spans="10:10" x14ac:dyDescent="0.25">
      <c r="J384" s="15"/>
    </row>
    <row r="385" spans="10:10" x14ac:dyDescent="0.25">
      <c r="J385" s="15"/>
    </row>
    <row r="386" spans="10:10" x14ac:dyDescent="0.25">
      <c r="J386" s="15"/>
    </row>
    <row r="387" spans="10:10" x14ac:dyDescent="0.25">
      <c r="J387" s="15"/>
    </row>
    <row r="388" spans="10:10" x14ac:dyDescent="0.25">
      <c r="J388" s="15"/>
    </row>
    <row r="389" spans="10:10" x14ac:dyDescent="0.25">
      <c r="J389" s="15"/>
    </row>
    <row r="390" spans="10:10" x14ac:dyDescent="0.25">
      <c r="J390" s="15"/>
    </row>
    <row r="391" spans="10:10" x14ac:dyDescent="0.25">
      <c r="J391" s="15"/>
    </row>
    <row r="392" spans="10:10" x14ac:dyDescent="0.25">
      <c r="J392" s="15"/>
    </row>
    <row r="393" spans="10:10" x14ac:dyDescent="0.25">
      <c r="J393" s="15"/>
    </row>
    <row r="394" spans="10:10" x14ac:dyDescent="0.25">
      <c r="J394" s="15"/>
    </row>
    <row r="395" spans="10:10" x14ac:dyDescent="0.25">
      <c r="J395" s="15"/>
    </row>
    <row r="396" spans="10:10" x14ac:dyDescent="0.25">
      <c r="J396" s="15"/>
    </row>
    <row r="397" spans="10:10" x14ac:dyDescent="0.25">
      <c r="J397" s="15"/>
    </row>
    <row r="398" spans="10:10" x14ac:dyDescent="0.25">
      <c r="J398" s="15"/>
    </row>
    <row r="399" spans="10:10" x14ac:dyDescent="0.25">
      <c r="J399" s="15"/>
    </row>
    <row r="400" spans="10:10" x14ac:dyDescent="0.25">
      <c r="J400" s="15"/>
    </row>
    <row r="401" spans="10:10" x14ac:dyDescent="0.25">
      <c r="J401" s="15"/>
    </row>
    <row r="402" spans="10:10" x14ac:dyDescent="0.25">
      <c r="J402" s="15"/>
    </row>
    <row r="403" spans="10:10" x14ac:dyDescent="0.25">
      <c r="J403" s="15"/>
    </row>
    <row r="404" spans="10:10" x14ac:dyDescent="0.25">
      <c r="J404" s="15"/>
    </row>
    <row r="405" spans="10:10" x14ac:dyDescent="0.25">
      <c r="J405" s="15"/>
    </row>
    <row r="406" spans="10:10" x14ac:dyDescent="0.25">
      <c r="J406" s="15"/>
    </row>
    <row r="407" spans="10:10" x14ac:dyDescent="0.25">
      <c r="J407" s="15"/>
    </row>
    <row r="408" spans="10:10" x14ac:dyDescent="0.25">
      <c r="J408" s="15"/>
    </row>
    <row r="409" spans="10:10" x14ac:dyDescent="0.25">
      <c r="J409" s="15"/>
    </row>
    <row r="410" spans="10:10" x14ac:dyDescent="0.25">
      <c r="J410" s="15"/>
    </row>
    <row r="411" spans="10:10" x14ac:dyDescent="0.25">
      <c r="J411" s="15"/>
    </row>
    <row r="412" spans="10:10" x14ac:dyDescent="0.25">
      <c r="J412" s="15"/>
    </row>
    <row r="413" spans="10:10" x14ac:dyDescent="0.25">
      <c r="J413" s="15"/>
    </row>
    <row r="414" spans="10:10" x14ac:dyDescent="0.25">
      <c r="J414" s="15"/>
    </row>
    <row r="415" spans="10:10" x14ac:dyDescent="0.25">
      <c r="J415" s="15"/>
    </row>
    <row r="416" spans="10:10" x14ac:dyDescent="0.25">
      <c r="J416" s="15"/>
    </row>
    <row r="417" spans="10:10" x14ac:dyDescent="0.25">
      <c r="J417" s="15"/>
    </row>
    <row r="418" spans="10:10" x14ac:dyDescent="0.25">
      <c r="J418" s="15"/>
    </row>
    <row r="419" spans="10:10" x14ac:dyDescent="0.25">
      <c r="J419" s="15"/>
    </row>
    <row r="420" spans="10:10" x14ac:dyDescent="0.25">
      <c r="J420" s="15"/>
    </row>
    <row r="421" spans="10:10" x14ac:dyDescent="0.25">
      <c r="J421" s="15"/>
    </row>
    <row r="422" spans="10:10" x14ac:dyDescent="0.25">
      <c r="J422" s="15"/>
    </row>
    <row r="423" spans="10:10" x14ac:dyDescent="0.25">
      <c r="J423" s="15"/>
    </row>
    <row r="424" spans="10:10" x14ac:dyDescent="0.25">
      <c r="J424" s="15"/>
    </row>
    <row r="425" spans="10:10" x14ac:dyDescent="0.25">
      <c r="J425" s="15"/>
    </row>
    <row r="426" spans="10:10" x14ac:dyDescent="0.25">
      <c r="J426" s="15"/>
    </row>
    <row r="427" spans="10:10" x14ac:dyDescent="0.25">
      <c r="J427" s="15"/>
    </row>
    <row r="428" spans="10:10" x14ac:dyDescent="0.25">
      <c r="J428" s="15"/>
    </row>
    <row r="429" spans="10:10" x14ac:dyDescent="0.25">
      <c r="J429" s="15"/>
    </row>
    <row r="430" spans="10:10" x14ac:dyDescent="0.25">
      <c r="J430" s="15"/>
    </row>
    <row r="431" spans="10:10" x14ac:dyDescent="0.25">
      <c r="J431" s="15"/>
    </row>
    <row r="432" spans="10:10" x14ac:dyDescent="0.25">
      <c r="J432" s="15"/>
    </row>
    <row r="433" spans="10:10" x14ac:dyDescent="0.25">
      <c r="J433" s="15"/>
    </row>
    <row r="434" spans="10:10" x14ac:dyDescent="0.25">
      <c r="J434" s="15"/>
    </row>
    <row r="435" spans="10:10" x14ac:dyDescent="0.25">
      <c r="J435" s="15"/>
    </row>
    <row r="436" spans="10:10" x14ac:dyDescent="0.25">
      <c r="J436" s="15"/>
    </row>
    <row r="437" spans="10:10" x14ac:dyDescent="0.25">
      <c r="J437" s="15"/>
    </row>
    <row r="438" spans="10:10" x14ac:dyDescent="0.25">
      <c r="J438" s="15"/>
    </row>
    <row r="439" spans="10:10" x14ac:dyDescent="0.25">
      <c r="J439" s="15"/>
    </row>
    <row r="440" spans="10:10" x14ac:dyDescent="0.25">
      <c r="J440" s="15"/>
    </row>
    <row r="441" spans="10:10" x14ac:dyDescent="0.25">
      <c r="J441" s="15"/>
    </row>
    <row r="442" spans="10:10" x14ac:dyDescent="0.25">
      <c r="J442" s="15"/>
    </row>
    <row r="443" spans="10:10" x14ac:dyDescent="0.25">
      <c r="J443" s="15"/>
    </row>
    <row r="444" spans="10:10" x14ac:dyDescent="0.25">
      <c r="J444" s="15"/>
    </row>
    <row r="445" spans="10:10" x14ac:dyDescent="0.25">
      <c r="J445" s="15"/>
    </row>
    <row r="446" spans="10:10" x14ac:dyDescent="0.25">
      <c r="J446" s="15"/>
    </row>
    <row r="447" spans="10:10" x14ac:dyDescent="0.25">
      <c r="J447" s="15"/>
    </row>
    <row r="448" spans="10:10" x14ac:dyDescent="0.25">
      <c r="J448" s="15"/>
    </row>
    <row r="449" spans="10:10" x14ac:dyDescent="0.25">
      <c r="J449" s="15"/>
    </row>
    <row r="450" spans="10:10" x14ac:dyDescent="0.25">
      <c r="J450" s="15"/>
    </row>
    <row r="451" spans="10:10" x14ac:dyDescent="0.25">
      <c r="J451" s="15"/>
    </row>
    <row r="452" spans="10:10" x14ac:dyDescent="0.25">
      <c r="J452" s="15"/>
    </row>
    <row r="453" spans="10:10" x14ac:dyDescent="0.25">
      <c r="J453" s="15"/>
    </row>
    <row r="454" spans="10:10" x14ac:dyDescent="0.25">
      <c r="J454" s="15"/>
    </row>
    <row r="455" spans="10:10" x14ac:dyDescent="0.25">
      <c r="J455" s="15"/>
    </row>
    <row r="456" spans="10:10" x14ac:dyDescent="0.25">
      <c r="J456" s="15"/>
    </row>
    <row r="457" spans="10:10" x14ac:dyDescent="0.25">
      <c r="J457" s="15"/>
    </row>
    <row r="458" spans="10:10" x14ac:dyDescent="0.25">
      <c r="J458" s="15"/>
    </row>
    <row r="459" spans="10:10" x14ac:dyDescent="0.25">
      <c r="J459" s="15"/>
    </row>
    <row r="460" spans="10:10" x14ac:dyDescent="0.25">
      <c r="J460" s="15"/>
    </row>
    <row r="461" spans="10:10" x14ac:dyDescent="0.25">
      <c r="J461" s="15"/>
    </row>
    <row r="462" spans="10:10" x14ac:dyDescent="0.25">
      <c r="J462" s="15"/>
    </row>
    <row r="463" spans="10:10" x14ac:dyDescent="0.25">
      <c r="J463" s="15"/>
    </row>
    <row r="464" spans="10:10" x14ac:dyDescent="0.25">
      <c r="J464" s="15"/>
    </row>
    <row r="465" spans="10:10" x14ac:dyDescent="0.25">
      <c r="J465" s="15"/>
    </row>
    <row r="466" spans="10:10" x14ac:dyDescent="0.25">
      <c r="J466" s="15"/>
    </row>
    <row r="467" spans="10:10" x14ac:dyDescent="0.25">
      <c r="J467" s="15"/>
    </row>
    <row r="468" spans="10:10" x14ac:dyDescent="0.25">
      <c r="J468" s="15"/>
    </row>
    <row r="469" spans="10:10" x14ac:dyDescent="0.25">
      <c r="J469" s="15"/>
    </row>
    <row r="470" spans="10:10" x14ac:dyDescent="0.25">
      <c r="J470" s="15"/>
    </row>
    <row r="471" spans="10:10" x14ac:dyDescent="0.25">
      <c r="J471" s="15"/>
    </row>
    <row r="472" spans="10:10" x14ac:dyDescent="0.25">
      <c r="J472" s="15"/>
    </row>
    <row r="473" spans="10:10" x14ac:dyDescent="0.25">
      <c r="J473" s="15"/>
    </row>
    <row r="474" spans="10:10" x14ac:dyDescent="0.25">
      <c r="J474" s="15"/>
    </row>
    <row r="475" spans="10:10" x14ac:dyDescent="0.25">
      <c r="J475" s="15"/>
    </row>
    <row r="476" spans="10:10" x14ac:dyDescent="0.25">
      <c r="J476" s="15"/>
    </row>
    <row r="477" spans="10:10" x14ac:dyDescent="0.25">
      <c r="J477" s="15"/>
    </row>
    <row r="478" spans="10:10" x14ac:dyDescent="0.25">
      <c r="J478" s="15"/>
    </row>
    <row r="479" spans="10:10" x14ac:dyDescent="0.25">
      <c r="J479" s="15"/>
    </row>
    <row r="480" spans="10:10" x14ac:dyDescent="0.25">
      <c r="J480" s="15"/>
    </row>
    <row r="481" spans="10:10" x14ac:dyDescent="0.25">
      <c r="J481" s="15"/>
    </row>
    <row r="482" spans="10:10" x14ac:dyDescent="0.25">
      <c r="J482" s="15"/>
    </row>
    <row r="483" spans="10:10" x14ac:dyDescent="0.25">
      <c r="J483" s="15"/>
    </row>
    <row r="484" spans="10:10" x14ac:dyDescent="0.25">
      <c r="J484" s="15"/>
    </row>
    <row r="485" spans="10:10" x14ac:dyDescent="0.25">
      <c r="J485" s="15"/>
    </row>
    <row r="486" spans="10:10" x14ac:dyDescent="0.25">
      <c r="J486" s="15"/>
    </row>
    <row r="487" spans="10:10" x14ac:dyDescent="0.25">
      <c r="J487" s="15"/>
    </row>
    <row r="488" spans="10:10" x14ac:dyDescent="0.25">
      <c r="J488" s="15"/>
    </row>
    <row r="489" spans="10:10" x14ac:dyDescent="0.25">
      <c r="J489" s="15"/>
    </row>
    <row r="490" spans="10:10" x14ac:dyDescent="0.25">
      <c r="J490" s="15"/>
    </row>
    <row r="491" spans="10:10" x14ac:dyDescent="0.25">
      <c r="J491" s="15"/>
    </row>
    <row r="492" spans="10:10" x14ac:dyDescent="0.25">
      <c r="J492" s="15"/>
    </row>
    <row r="493" spans="10:10" x14ac:dyDescent="0.25">
      <c r="J493" s="15"/>
    </row>
    <row r="494" spans="10:10" x14ac:dyDescent="0.25">
      <c r="J494" s="15"/>
    </row>
    <row r="495" spans="10:10" x14ac:dyDescent="0.25">
      <c r="J495" s="15"/>
    </row>
    <row r="496" spans="10:10" x14ac:dyDescent="0.25">
      <c r="J496" s="15"/>
    </row>
    <row r="497" spans="10:10" x14ac:dyDescent="0.25">
      <c r="J497" s="15"/>
    </row>
    <row r="498" spans="10:10" x14ac:dyDescent="0.25">
      <c r="J498" s="15"/>
    </row>
    <row r="499" spans="10:10" x14ac:dyDescent="0.25">
      <c r="J499" s="15"/>
    </row>
    <row r="500" spans="10:10" x14ac:dyDescent="0.25">
      <c r="J500" s="15"/>
    </row>
    <row r="501" spans="10:10" x14ac:dyDescent="0.25">
      <c r="J501" s="15"/>
    </row>
    <row r="502" spans="10:10" x14ac:dyDescent="0.25">
      <c r="J502" s="15"/>
    </row>
    <row r="503" spans="10:10" x14ac:dyDescent="0.25">
      <c r="J503" s="15"/>
    </row>
    <row r="504" spans="10:10" x14ac:dyDescent="0.25">
      <c r="J504" s="15"/>
    </row>
    <row r="505" spans="10:10" x14ac:dyDescent="0.25">
      <c r="J505" s="15"/>
    </row>
    <row r="506" spans="10:10" x14ac:dyDescent="0.25">
      <c r="J506" s="15"/>
    </row>
    <row r="507" spans="10:10" x14ac:dyDescent="0.25">
      <c r="J507" s="15"/>
    </row>
    <row r="508" spans="10:10" x14ac:dyDescent="0.25">
      <c r="J508" s="15"/>
    </row>
    <row r="509" spans="10:10" x14ac:dyDescent="0.25">
      <c r="J509" s="15"/>
    </row>
    <row r="510" spans="10:10" x14ac:dyDescent="0.25">
      <c r="J510" s="15"/>
    </row>
    <row r="511" spans="10:10" x14ac:dyDescent="0.25">
      <c r="J511" s="15"/>
    </row>
    <row r="512" spans="10:10" x14ac:dyDescent="0.25">
      <c r="J512" s="15"/>
    </row>
    <row r="513" spans="10:10" x14ac:dyDescent="0.25">
      <c r="J513" s="15"/>
    </row>
    <row r="514" spans="10:10" x14ac:dyDescent="0.25">
      <c r="J514" s="15"/>
    </row>
    <row r="515" spans="10:10" x14ac:dyDescent="0.25">
      <c r="J515" s="15"/>
    </row>
    <row r="516" spans="10:10" x14ac:dyDescent="0.25">
      <c r="J516" s="15"/>
    </row>
    <row r="517" spans="10:10" x14ac:dyDescent="0.25">
      <c r="J517" s="15"/>
    </row>
    <row r="518" spans="10:10" x14ac:dyDescent="0.25">
      <c r="J518" s="15"/>
    </row>
    <row r="519" spans="10:10" x14ac:dyDescent="0.25">
      <c r="J519" s="15"/>
    </row>
    <row r="520" spans="10:10" x14ac:dyDescent="0.25">
      <c r="J520" s="15"/>
    </row>
    <row r="521" spans="10:10" x14ac:dyDescent="0.25">
      <c r="J521" s="15"/>
    </row>
    <row r="522" spans="10:10" x14ac:dyDescent="0.25">
      <c r="J522" s="15"/>
    </row>
    <row r="523" spans="10:10" x14ac:dyDescent="0.25">
      <c r="J523" s="15"/>
    </row>
    <row r="524" spans="10:10" x14ac:dyDescent="0.25">
      <c r="J524" s="15"/>
    </row>
    <row r="525" spans="10:10" x14ac:dyDescent="0.25">
      <c r="J525" s="15"/>
    </row>
    <row r="526" spans="10:10" x14ac:dyDescent="0.25">
      <c r="J526" s="15"/>
    </row>
    <row r="527" spans="10:10" x14ac:dyDescent="0.25">
      <c r="J527" s="15"/>
    </row>
    <row r="528" spans="10:10" x14ac:dyDescent="0.25">
      <c r="J528" s="15"/>
    </row>
    <row r="529" spans="10:10" x14ac:dyDescent="0.25">
      <c r="J529" s="15"/>
    </row>
    <row r="530" spans="10:10" x14ac:dyDescent="0.25">
      <c r="J530" s="15"/>
    </row>
    <row r="531" spans="10:10" x14ac:dyDescent="0.25">
      <c r="J531" s="15"/>
    </row>
    <row r="532" spans="10:10" x14ac:dyDescent="0.25">
      <c r="J532" s="15"/>
    </row>
    <row r="533" spans="10:10" x14ac:dyDescent="0.25">
      <c r="J533" s="15"/>
    </row>
    <row r="534" spans="10:10" x14ac:dyDescent="0.25">
      <c r="J534" s="15"/>
    </row>
    <row r="535" spans="10:10" x14ac:dyDescent="0.25">
      <c r="J535" s="15"/>
    </row>
    <row r="536" spans="10:10" x14ac:dyDescent="0.25">
      <c r="J536" s="15"/>
    </row>
    <row r="537" spans="10:10" x14ac:dyDescent="0.25">
      <c r="J537" s="15"/>
    </row>
    <row r="538" spans="10:10" x14ac:dyDescent="0.25">
      <c r="J538" s="15"/>
    </row>
    <row r="539" spans="10:10" x14ac:dyDescent="0.25">
      <c r="J539" s="15"/>
    </row>
    <row r="540" spans="10:10" x14ac:dyDescent="0.25">
      <c r="J540" s="15"/>
    </row>
    <row r="541" spans="10:10" x14ac:dyDescent="0.25">
      <c r="J541" s="15"/>
    </row>
    <row r="542" spans="10:10" x14ac:dyDescent="0.25">
      <c r="J542" s="15"/>
    </row>
    <row r="543" spans="10:10" x14ac:dyDescent="0.25">
      <c r="J543" s="15"/>
    </row>
    <row r="544" spans="10:10" x14ac:dyDescent="0.25">
      <c r="J544" s="15"/>
    </row>
    <row r="545" spans="10:10" x14ac:dyDescent="0.25">
      <c r="J545" s="15"/>
    </row>
    <row r="546" spans="10:10" x14ac:dyDescent="0.25">
      <c r="J546" s="15"/>
    </row>
    <row r="547" spans="10:10" x14ac:dyDescent="0.25">
      <c r="J547" s="15"/>
    </row>
    <row r="548" spans="10:10" x14ac:dyDescent="0.25">
      <c r="J548" s="15"/>
    </row>
    <row r="549" spans="10:10" x14ac:dyDescent="0.25">
      <c r="J549" s="15"/>
    </row>
    <row r="550" spans="10:10" x14ac:dyDescent="0.25">
      <c r="J550" s="15"/>
    </row>
    <row r="551" spans="10:10" x14ac:dyDescent="0.25">
      <c r="J551" s="15"/>
    </row>
    <row r="552" spans="10:10" x14ac:dyDescent="0.25">
      <c r="J552" s="15"/>
    </row>
    <row r="553" spans="10:10" x14ac:dyDescent="0.25">
      <c r="J553" s="15"/>
    </row>
    <row r="554" spans="10:10" x14ac:dyDescent="0.25">
      <c r="J554" s="15"/>
    </row>
    <row r="555" spans="10:10" x14ac:dyDescent="0.25">
      <c r="J555" s="15"/>
    </row>
    <row r="556" spans="10:10" x14ac:dyDescent="0.25">
      <c r="J556" s="15"/>
    </row>
    <row r="557" spans="10:10" x14ac:dyDescent="0.25">
      <c r="J557" s="15"/>
    </row>
    <row r="558" spans="10:10" x14ac:dyDescent="0.25">
      <c r="J558" s="15"/>
    </row>
    <row r="559" spans="10:10" x14ac:dyDescent="0.25">
      <c r="J559" s="15"/>
    </row>
    <row r="560" spans="10:10" x14ac:dyDescent="0.25">
      <c r="J560" s="15"/>
    </row>
    <row r="561" spans="10:10" x14ac:dyDescent="0.25">
      <c r="J561" s="15"/>
    </row>
    <row r="562" spans="10:10" x14ac:dyDescent="0.25">
      <c r="J562" s="15"/>
    </row>
    <row r="563" spans="10:10" x14ac:dyDescent="0.25">
      <c r="J563" s="15"/>
    </row>
    <row r="564" spans="10:10" x14ac:dyDescent="0.25">
      <c r="J564" s="15"/>
    </row>
    <row r="565" spans="10:10" x14ac:dyDescent="0.25">
      <c r="J565" s="15"/>
    </row>
    <row r="566" spans="10:10" x14ac:dyDescent="0.25">
      <c r="J566" s="15"/>
    </row>
    <row r="567" spans="10:10" x14ac:dyDescent="0.25">
      <c r="J567" s="15"/>
    </row>
    <row r="568" spans="10:10" x14ac:dyDescent="0.25">
      <c r="J568" s="15"/>
    </row>
    <row r="569" spans="10:10" x14ac:dyDescent="0.25">
      <c r="J569" s="15"/>
    </row>
    <row r="570" spans="10:10" x14ac:dyDescent="0.25">
      <c r="J570" s="15"/>
    </row>
    <row r="571" spans="10:10" x14ac:dyDescent="0.25">
      <c r="J571" s="15"/>
    </row>
    <row r="572" spans="10:10" x14ac:dyDescent="0.25">
      <c r="J572" s="15"/>
    </row>
    <row r="573" spans="10:10" x14ac:dyDescent="0.25">
      <c r="J573" s="15"/>
    </row>
    <row r="574" spans="10:10" x14ac:dyDescent="0.25">
      <c r="J574" s="15"/>
    </row>
    <row r="575" spans="10:10" x14ac:dyDescent="0.25">
      <c r="J575" s="15"/>
    </row>
    <row r="576" spans="10:10" x14ac:dyDescent="0.25">
      <c r="J576" s="15"/>
    </row>
    <row r="577" spans="10:10" x14ac:dyDescent="0.25">
      <c r="J577" s="15"/>
    </row>
    <row r="578" spans="10:10" x14ac:dyDescent="0.25">
      <c r="J578" s="15"/>
    </row>
    <row r="579" spans="10:10" x14ac:dyDescent="0.25">
      <c r="J579" s="15"/>
    </row>
    <row r="580" spans="10:10" x14ac:dyDescent="0.25">
      <c r="J580" s="15"/>
    </row>
    <row r="581" spans="10:10" x14ac:dyDescent="0.25">
      <c r="J581" s="15"/>
    </row>
    <row r="582" spans="10:10" x14ac:dyDescent="0.25">
      <c r="J582" s="15"/>
    </row>
    <row r="583" spans="10:10" x14ac:dyDescent="0.25">
      <c r="J583" s="15"/>
    </row>
    <row r="584" spans="10:10" x14ac:dyDescent="0.25">
      <c r="J584" s="15"/>
    </row>
    <row r="585" spans="10:10" x14ac:dyDescent="0.25">
      <c r="J585" s="15"/>
    </row>
    <row r="586" spans="10:10" x14ac:dyDescent="0.25">
      <c r="J586" s="15"/>
    </row>
    <row r="587" spans="10:10" x14ac:dyDescent="0.25">
      <c r="J587" s="15"/>
    </row>
    <row r="588" spans="10:10" x14ac:dyDescent="0.25">
      <c r="J588" s="15"/>
    </row>
    <row r="589" spans="10:10" x14ac:dyDescent="0.25">
      <c r="J589" s="15"/>
    </row>
    <row r="590" spans="10:10" x14ac:dyDescent="0.25">
      <c r="J590" s="15"/>
    </row>
    <row r="591" spans="10:10" x14ac:dyDescent="0.25">
      <c r="J591" s="15"/>
    </row>
    <row r="592" spans="10:10" x14ac:dyDescent="0.25">
      <c r="J592" s="15"/>
    </row>
    <row r="593" spans="10:10" x14ac:dyDescent="0.25">
      <c r="J593" s="15"/>
    </row>
    <row r="594" spans="10:10" x14ac:dyDescent="0.25">
      <c r="J594" s="15"/>
    </row>
    <row r="595" spans="10:10" x14ac:dyDescent="0.25">
      <c r="J595" s="15"/>
    </row>
    <row r="596" spans="10:10" x14ac:dyDescent="0.25">
      <c r="J596" s="15"/>
    </row>
    <row r="597" spans="10:10" x14ac:dyDescent="0.25">
      <c r="J597" s="15"/>
    </row>
    <row r="598" spans="10:10" x14ac:dyDescent="0.25">
      <c r="J598" s="15"/>
    </row>
    <row r="599" spans="10:10" x14ac:dyDescent="0.25">
      <c r="J599" s="15"/>
    </row>
    <row r="600" spans="10:10" x14ac:dyDescent="0.25">
      <c r="J600" s="15"/>
    </row>
    <row r="601" spans="10:10" x14ac:dyDescent="0.25">
      <c r="J601" s="15"/>
    </row>
    <row r="602" spans="10:10" x14ac:dyDescent="0.25">
      <c r="J602" s="15"/>
    </row>
    <row r="603" spans="10:10" x14ac:dyDescent="0.25">
      <c r="J603" s="15"/>
    </row>
    <row r="604" spans="10:10" x14ac:dyDescent="0.25">
      <c r="J604" s="15"/>
    </row>
    <row r="605" spans="10:10" x14ac:dyDescent="0.25">
      <c r="J605" s="15"/>
    </row>
    <row r="606" spans="10:10" x14ac:dyDescent="0.25">
      <c r="J606" s="15"/>
    </row>
    <row r="607" spans="10:10" x14ac:dyDescent="0.25">
      <c r="J607" s="15"/>
    </row>
    <row r="608" spans="10:10" x14ac:dyDescent="0.25">
      <c r="J608" s="15"/>
    </row>
    <row r="609" spans="10:10" x14ac:dyDescent="0.25">
      <c r="J609" s="15"/>
    </row>
    <row r="610" spans="10:10" x14ac:dyDescent="0.25">
      <c r="J610" s="15"/>
    </row>
    <row r="611" spans="10:10" x14ac:dyDescent="0.25">
      <c r="J611" s="15"/>
    </row>
    <row r="612" spans="10:10" x14ac:dyDescent="0.25">
      <c r="J612" s="15"/>
    </row>
    <row r="613" spans="10:10" x14ac:dyDescent="0.25">
      <c r="J613" s="15"/>
    </row>
    <row r="614" spans="10:10" x14ac:dyDescent="0.25">
      <c r="J614" s="15"/>
    </row>
    <row r="615" spans="10:10" x14ac:dyDescent="0.25">
      <c r="J615" s="15"/>
    </row>
    <row r="616" spans="10:10" x14ac:dyDescent="0.25">
      <c r="J616" s="15"/>
    </row>
    <row r="617" spans="10:10" x14ac:dyDescent="0.25">
      <c r="J617" s="15"/>
    </row>
    <row r="618" spans="10:10" x14ac:dyDescent="0.25">
      <c r="J618" s="15"/>
    </row>
    <row r="619" spans="10:10" x14ac:dyDescent="0.25">
      <c r="J619" s="15"/>
    </row>
    <row r="620" spans="10:10" x14ac:dyDescent="0.25">
      <c r="J620" s="15"/>
    </row>
    <row r="621" spans="10:10" x14ac:dyDescent="0.25">
      <c r="J621" s="15"/>
    </row>
    <row r="622" spans="10:10" x14ac:dyDescent="0.25">
      <c r="J622" s="15"/>
    </row>
    <row r="623" spans="10:10" x14ac:dyDescent="0.25">
      <c r="J623" s="15"/>
    </row>
    <row r="624" spans="10:10" x14ac:dyDescent="0.25">
      <c r="J624" s="15"/>
    </row>
    <row r="625" spans="10:10" x14ac:dyDescent="0.25">
      <c r="J625" s="15"/>
    </row>
    <row r="626" spans="10:10" x14ac:dyDescent="0.25">
      <c r="J626" s="15"/>
    </row>
    <row r="627" spans="10:10" x14ac:dyDescent="0.25">
      <c r="J627" s="15"/>
    </row>
    <row r="628" spans="10:10" x14ac:dyDescent="0.25">
      <c r="J628" s="15"/>
    </row>
    <row r="629" spans="10:10" x14ac:dyDescent="0.25">
      <c r="J629" s="15"/>
    </row>
    <row r="630" spans="10:10" x14ac:dyDescent="0.25">
      <c r="J630" s="15"/>
    </row>
    <row r="631" spans="10:10" x14ac:dyDescent="0.25">
      <c r="J631" s="15"/>
    </row>
    <row r="632" spans="10:10" x14ac:dyDescent="0.25">
      <c r="J632" s="15"/>
    </row>
    <row r="633" spans="10:10" x14ac:dyDescent="0.25">
      <c r="J633" s="15"/>
    </row>
    <row r="634" spans="10:10" x14ac:dyDescent="0.25">
      <c r="J634" s="15"/>
    </row>
    <row r="635" spans="10:10" x14ac:dyDescent="0.25">
      <c r="J635" s="15"/>
    </row>
    <row r="636" spans="10:10" x14ac:dyDescent="0.25">
      <c r="J636" s="15"/>
    </row>
    <row r="637" spans="10:10" x14ac:dyDescent="0.25">
      <c r="J637" s="15"/>
    </row>
    <row r="638" spans="10:10" x14ac:dyDescent="0.25">
      <c r="J638" s="15"/>
    </row>
    <row r="639" spans="10:10" x14ac:dyDescent="0.25">
      <c r="J639" s="15"/>
    </row>
    <row r="640" spans="10:10" x14ac:dyDescent="0.25">
      <c r="J640" s="15"/>
    </row>
    <row r="641" spans="10:10" x14ac:dyDescent="0.25">
      <c r="J641" s="15"/>
    </row>
    <row r="642" spans="10:10" x14ac:dyDescent="0.25">
      <c r="J642" s="15"/>
    </row>
    <row r="643" spans="10:10" x14ac:dyDescent="0.25">
      <c r="J643" s="15"/>
    </row>
    <row r="644" spans="10:10" x14ac:dyDescent="0.25">
      <c r="J644" s="15"/>
    </row>
    <row r="645" spans="10:10" x14ac:dyDescent="0.25">
      <c r="J645" s="15"/>
    </row>
    <row r="646" spans="10:10" x14ac:dyDescent="0.25">
      <c r="J646" s="15"/>
    </row>
    <row r="647" spans="10:10" x14ac:dyDescent="0.25">
      <c r="J647" s="15"/>
    </row>
    <row r="648" spans="10:10" x14ac:dyDescent="0.25">
      <c r="J648" s="15"/>
    </row>
    <row r="649" spans="10:10" x14ac:dyDescent="0.25">
      <c r="J649" s="15"/>
    </row>
    <row r="650" spans="10:10" x14ac:dyDescent="0.25">
      <c r="J650" s="15"/>
    </row>
    <row r="651" spans="10:10" x14ac:dyDescent="0.25">
      <c r="J651" s="15"/>
    </row>
    <row r="652" spans="10:10" x14ac:dyDescent="0.25">
      <c r="J652" s="15"/>
    </row>
    <row r="653" spans="10:10" x14ac:dyDescent="0.25">
      <c r="J653" s="15"/>
    </row>
    <row r="654" spans="10:10" x14ac:dyDescent="0.25">
      <c r="J654" s="15"/>
    </row>
    <row r="655" spans="10:10" x14ac:dyDescent="0.25">
      <c r="J655" s="15"/>
    </row>
    <row r="656" spans="10:10" x14ac:dyDescent="0.25">
      <c r="J656" s="15"/>
    </row>
    <row r="657" spans="10:10" x14ac:dyDescent="0.25">
      <c r="J657" s="15"/>
    </row>
    <row r="658" spans="10:10" x14ac:dyDescent="0.25">
      <c r="J658" s="15"/>
    </row>
    <row r="659" spans="10:10" x14ac:dyDescent="0.25">
      <c r="J659" s="15"/>
    </row>
    <row r="660" spans="10:10" x14ac:dyDescent="0.25">
      <c r="J660" s="15"/>
    </row>
    <row r="661" spans="10:10" x14ac:dyDescent="0.25">
      <c r="J661" s="15"/>
    </row>
    <row r="662" spans="10:10" x14ac:dyDescent="0.25">
      <c r="J662" s="15"/>
    </row>
    <row r="663" spans="10:10" x14ac:dyDescent="0.25">
      <c r="J663" s="15"/>
    </row>
    <row r="664" spans="10:10" x14ac:dyDescent="0.25">
      <c r="J664" s="15"/>
    </row>
    <row r="665" spans="10:10" x14ac:dyDescent="0.25">
      <c r="J665" s="15"/>
    </row>
    <row r="666" spans="10:10" x14ac:dyDescent="0.25">
      <c r="J666" s="15"/>
    </row>
    <row r="667" spans="10:10" x14ac:dyDescent="0.25">
      <c r="J667" s="15"/>
    </row>
    <row r="668" spans="10:10" x14ac:dyDescent="0.25">
      <c r="J668" s="15"/>
    </row>
    <row r="669" spans="10:10" x14ac:dyDescent="0.25">
      <c r="J669" s="15"/>
    </row>
    <row r="670" spans="10:10" x14ac:dyDescent="0.25">
      <c r="J670" s="15"/>
    </row>
    <row r="671" spans="10:10" x14ac:dyDescent="0.25">
      <c r="J671" s="15"/>
    </row>
    <row r="672" spans="10:10" x14ac:dyDescent="0.25">
      <c r="J672" s="15"/>
    </row>
    <row r="673" spans="10:10" x14ac:dyDescent="0.25">
      <c r="J673" s="15"/>
    </row>
    <row r="674" spans="10:10" x14ac:dyDescent="0.25">
      <c r="J674" s="15"/>
    </row>
    <row r="675" spans="10:10" x14ac:dyDescent="0.25">
      <c r="J675" s="15"/>
    </row>
    <row r="676" spans="10:10" x14ac:dyDescent="0.25">
      <c r="J676" s="15"/>
    </row>
    <row r="677" spans="10:10" x14ac:dyDescent="0.25">
      <c r="J677" s="15"/>
    </row>
    <row r="678" spans="10:10" x14ac:dyDescent="0.25">
      <c r="J678" s="15"/>
    </row>
    <row r="679" spans="10:10" x14ac:dyDescent="0.25">
      <c r="J679" s="15"/>
    </row>
    <row r="680" spans="10:10" x14ac:dyDescent="0.25">
      <c r="J680" s="15"/>
    </row>
    <row r="681" spans="10:10" x14ac:dyDescent="0.25">
      <c r="J681" s="15"/>
    </row>
    <row r="682" spans="10:10" x14ac:dyDescent="0.25">
      <c r="J682" s="15"/>
    </row>
    <row r="683" spans="10:10" x14ac:dyDescent="0.25">
      <c r="J683" s="15"/>
    </row>
    <row r="684" spans="10:10" x14ac:dyDescent="0.25">
      <c r="J684" s="15"/>
    </row>
    <row r="685" spans="10:10" x14ac:dyDescent="0.25">
      <c r="J685" s="15"/>
    </row>
    <row r="686" spans="10:10" x14ac:dyDescent="0.25">
      <c r="J686" s="15"/>
    </row>
    <row r="687" spans="10:10" x14ac:dyDescent="0.25">
      <c r="J687" s="15"/>
    </row>
    <row r="688" spans="10:10" x14ac:dyDescent="0.25">
      <c r="J688" s="15"/>
    </row>
    <row r="689" spans="10:10" x14ac:dyDescent="0.25">
      <c r="J689" s="15"/>
    </row>
    <row r="690" spans="10:10" x14ac:dyDescent="0.25">
      <c r="J690" s="15"/>
    </row>
    <row r="691" spans="10:10" x14ac:dyDescent="0.25">
      <c r="J691" s="15"/>
    </row>
    <row r="692" spans="10:10" x14ac:dyDescent="0.25">
      <c r="J692" s="15"/>
    </row>
    <row r="693" spans="10:10" x14ac:dyDescent="0.25">
      <c r="J693" s="15"/>
    </row>
    <row r="694" spans="10:10" x14ac:dyDescent="0.25">
      <c r="J694" s="15"/>
    </row>
    <row r="695" spans="10:10" x14ac:dyDescent="0.25">
      <c r="J695" s="15"/>
    </row>
    <row r="696" spans="10:10" x14ac:dyDescent="0.25">
      <c r="J696" s="15"/>
    </row>
    <row r="697" spans="10:10" x14ac:dyDescent="0.25">
      <c r="J697" s="15"/>
    </row>
    <row r="698" spans="10:10" x14ac:dyDescent="0.25">
      <c r="J698" s="15"/>
    </row>
    <row r="699" spans="10:10" x14ac:dyDescent="0.25">
      <c r="J699" s="15"/>
    </row>
    <row r="700" spans="10:10" x14ac:dyDescent="0.25">
      <c r="J700" s="15"/>
    </row>
    <row r="701" spans="10:10" x14ac:dyDescent="0.25">
      <c r="J701" s="15"/>
    </row>
    <row r="702" spans="10:10" x14ac:dyDescent="0.25">
      <c r="J702" s="15"/>
    </row>
    <row r="703" spans="10:10" x14ac:dyDescent="0.25">
      <c r="J703" s="15"/>
    </row>
    <row r="704" spans="10:10" x14ac:dyDescent="0.25">
      <c r="J704" s="15"/>
    </row>
    <row r="705" spans="10:10" x14ac:dyDescent="0.25">
      <c r="J705" s="15"/>
    </row>
    <row r="706" spans="10:10" x14ac:dyDescent="0.25">
      <c r="J706" s="15"/>
    </row>
    <row r="707" spans="10:10" x14ac:dyDescent="0.25">
      <c r="J707" s="15"/>
    </row>
    <row r="708" spans="10:10" x14ac:dyDescent="0.25">
      <c r="J708" s="15"/>
    </row>
    <row r="709" spans="10:10" x14ac:dyDescent="0.25">
      <c r="J709" s="15"/>
    </row>
    <row r="710" spans="10:10" x14ac:dyDescent="0.25">
      <c r="J710" s="15"/>
    </row>
    <row r="711" spans="10:10" x14ac:dyDescent="0.25">
      <c r="J711" s="15"/>
    </row>
    <row r="712" spans="10:10" x14ac:dyDescent="0.25">
      <c r="J712" s="15"/>
    </row>
    <row r="713" spans="10:10" x14ac:dyDescent="0.25">
      <c r="J713" s="15"/>
    </row>
    <row r="714" spans="10:10" x14ac:dyDescent="0.25">
      <c r="J714" s="15"/>
    </row>
    <row r="715" spans="10:10" x14ac:dyDescent="0.25">
      <c r="J715" s="15"/>
    </row>
    <row r="716" spans="10:10" x14ac:dyDescent="0.25">
      <c r="J716" s="15"/>
    </row>
    <row r="717" spans="10:10" x14ac:dyDescent="0.25">
      <c r="J717" s="15"/>
    </row>
    <row r="718" spans="10:10" x14ac:dyDescent="0.25">
      <c r="J718" s="15"/>
    </row>
    <row r="719" spans="10:10" x14ac:dyDescent="0.25">
      <c r="J719" s="15"/>
    </row>
    <row r="720" spans="10:10" x14ac:dyDescent="0.25">
      <c r="J720" s="15"/>
    </row>
    <row r="721" spans="10:10" x14ac:dyDescent="0.25">
      <c r="J721" s="15"/>
    </row>
    <row r="722" spans="10:10" x14ac:dyDescent="0.25">
      <c r="J722" s="15"/>
    </row>
    <row r="723" spans="10:10" x14ac:dyDescent="0.25">
      <c r="J723" s="15"/>
    </row>
    <row r="724" spans="10:10" x14ac:dyDescent="0.25">
      <c r="J724" s="15"/>
    </row>
    <row r="725" spans="10:10" x14ac:dyDescent="0.25">
      <c r="J725" s="15"/>
    </row>
    <row r="726" spans="10:10" x14ac:dyDescent="0.25">
      <c r="J726" s="15"/>
    </row>
    <row r="727" spans="10:10" x14ac:dyDescent="0.25">
      <c r="J727" s="15"/>
    </row>
    <row r="728" spans="10:10" x14ac:dyDescent="0.25">
      <c r="J728" s="15"/>
    </row>
    <row r="729" spans="10:10" x14ac:dyDescent="0.25">
      <c r="J729" s="15"/>
    </row>
    <row r="730" spans="10:10" x14ac:dyDescent="0.25">
      <c r="J730" s="15"/>
    </row>
    <row r="731" spans="10:10" x14ac:dyDescent="0.25">
      <c r="J731" s="15"/>
    </row>
    <row r="732" spans="10:10" x14ac:dyDescent="0.25">
      <c r="J732" s="15"/>
    </row>
    <row r="733" spans="10:10" x14ac:dyDescent="0.25">
      <c r="J733" s="15"/>
    </row>
    <row r="734" spans="10:10" x14ac:dyDescent="0.25">
      <c r="J734" s="15"/>
    </row>
    <row r="735" spans="10:10" x14ac:dyDescent="0.25">
      <c r="J735" s="15"/>
    </row>
    <row r="736" spans="10:10" x14ac:dyDescent="0.25">
      <c r="J736" s="15"/>
    </row>
    <row r="737" spans="10:10" x14ac:dyDescent="0.25">
      <c r="J737" s="15"/>
    </row>
    <row r="738" spans="10:10" x14ac:dyDescent="0.25">
      <c r="J738" s="15"/>
    </row>
    <row r="739" spans="10:10" x14ac:dyDescent="0.25">
      <c r="J739" s="15"/>
    </row>
    <row r="740" spans="10:10" x14ac:dyDescent="0.25">
      <c r="J740" s="15"/>
    </row>
    <row r="741" spans="10:10" x14ac:dyDescent="0.25">
      <c r="J741" s="15"/>
    </row>
    <row r="742" spans="10:10" x14ac:dyDescent="0.25">
      <c r="J742" s="15"/>
    </row>
    <row r="743" spans="10:10" x14ac:dyDescent="0.25">
      <c r="J743" s="15"/>
    </row>
    <row r="744" spans="10:10" x14ac:dyDescent="0.25">
      <c r="J744" s="15"/>
    </row>
    <row r="745" spans="10:10" x14ac:dyDescent="0.25">
      <c r="J745" s="15"/>
    </row>
    <row r="746" spans="10:10" x14ac:dyDescent="0.25">
      <c r="J746" s="15"/>
    </row>
    <row r="747" spans="10:10" x14ac:dyDescent="0.25">
      <c r="J747" s="15"/>
    </row>
    <row r="748" spans="10:10" x14ac:dyDescent="0.25">
      <c r="J748" s="15"/>
    </row>
    <row r="749" spans="10:10" x14ac:dyDescent="0.25">
      <c r="J749" s="15"/>
    </row>
    <row r="750" spans="10:10" x14ac:dyDescent="0.25">
      <c r="J750" s="15"/>
    </row>
    <row r="751" spans="10:10" x14ac:dyDescent="0.25">
      <c r="J751" s="15"/>
    </row>
    <row r="752" spans="10:10" x14ac:dyDescent="0.25">
      <c r="J752" s="15"/>
    </row>
    <row r="753" spans="10:10" x14ac:dyDescent="0.25">
      <c r="J753" s="15"/>
    </row>
    <row r="754" spans="10:10" x14ac:dyDescent="0.25">
      <c r="J754" s="15"/>
    </row>
    <row r="755" spans="10:10" x14ac:dyDescent="0.25">
      <c r="J755" s="15"/>
    </row>
    <row r="756" spans="10:10" x14ac:dyDescent="0.25">
      <c r="J756" s="15"/>
    </row>
    <row r="757" spans="10:10" x14ac:dyDescent="0.25">
      <c r="J757" s="15"/>
    </row>
    <row r="758" spans="10:10" x14ac:dyDescent="0.25">
      <c r="J758" s="15"/>
    </row>
    <row r="759" spans="10:10" x14ac:dyDescent="0.25">
      <c r="J759" s="15"/>
    </row>
    <row r="760" spans="10:10" x14ac:dyDescent="0.25">
      <c r="J760" s="15"/>
    </row>
    <row r="761" spans="10:10" x14ac:dyDescent="0.25">
      <c r="J761" s="15"/>
    </row>
    <row r="762" spans="10:10" x14ac:dyDescent="0.25">
      <c r="J762" s="15"/>
    </row>
    <row r="763" spans="10:10" x14ac:dyDescent="0.25">
      <c r="J763" s="15"/>
    </row>
    <row r="764" spans="10:10" x14ac:dyDescent="0.25">
      <c r="J764" s="15"/>
    </row>
    <row r="765" spans="10:10" x14ac:dyDescent="0.25">
      <c r="J765" s="15"/>
    </row>
    <row r="766" spans="10:10" x14ac:dyDescent="0.25">
      <c r="J766" s="15"/>
    </row>
    <row r="767" spans="10:10" x14ac:dyDescent="0.25">
      <c r="J767" s="15"/>
    </row>
    <row r="768" spans="10:10" x14ac:dyDescent="0.25">
      <c r="J768" s="15"/>
    </row>
    <row r="769" spans="10:10" x14ac:dyDescent="0.25">
      <c r="J769" s="15"/>
    </row>
    <row r="770" spans="10:10" x14ac:dyDescent="0.25">
      <c r="J770" s="15"/>
    </row>
    <row r="771" spans="10:10" x14ac:dyDescent="0.25">
      <c r="J771" s="15"/>
    </row>
    <row r="772" spans="10:10" x14ac:dyDescent="0.25">
      <c r="J772" s="15"/>
    </row>
    <row r="773" spans="10:10" x14ac:dyDescent="0.25">
      <c r="J773" s="15"/>
    </row>
    <row r="774" spans="10:10" x14ac:dyDescent="0.25">
      <c r="J774" s="15"/>
    </row>
    <row r="775" spans="10:10" x14ac:dyDescent="0.25">
      <c r="J775" s="15"/>
    </row>
    <row r="776" spans="10:10" x14ac:dyDescent="0.25">
      <c r="J776" s="15"/>
    </row>
    <row r="777" spans="10:10" x14ac:dyDescent="0.25">
      <c r="J777" s="15"/>
    </row>
    <row r="778" spans="10:10" x14ac:dyDescent="0.25">
      <c r="J778" s="15"/>
    </row>
    <row r="779" spans="10:10" x14ac:dyDescent="0.25">
      <c r="J779" s="15"/>
    </row>
    <row r="780" spans="10:10" x14ac:dyDescent="0.25">
      <c r="J780" s="15"/>
    </row>
    <row r="781" spans="10:10" x14ac:dyDescent="0.25">
      <c r="J781" s="15"/>
    </row>
    <row r="782" spans="10:10" x14ac:dyDescent="0.25">
      <c r="J782" s="15"/>
    </row>
    <row r="783" spans="10:10" x14ac:dyDescent="0.25">
      <c r="J783" s="15"/>
    </row>
    <row r="784" spans="10:10" x14ac:dyDescent="0.25">
      <c r="J784" s="15"/>
    </row>
    <row r="785" spans="10:10" x14ac:dyDescent="0.25">
      <c r="J785" s="15"/>
    </row>
    <row r="786" spans="10:10" x14ac:dyDescent="0.25">
      <c r="J786" s="15"/>
    </row>
    <row r="787" spans="10:10" x14ac:dyDescent="0.25">
      <c r="J787" s="15"/>
    </row>
    <row r="788" spans="10:10" x14ac:dyDescent="0.25">
      <c r="J788" s="15"/>
    </row>
    <row r="789" spans="10:10" x14ac:dyDescent="0.25">
      <c r="J789" s="15"/>
    </row>
    <row r="790" spans="10:10" x14ac:dyDescent="0.25">
      <c r="J790" s="15"/>
    </row>
    <row r="791" spans="10:10" x14ac:dyDescent="0.25">
      <c r="J791" s="15"/>
    </row>
    <row r="792" spans="10:10" x14ac:dyDescent="0.25">
      <c r="J792" s="15"/>
    </row>
    <row r="793" spans="10:10" x14ac:dyDescent="0.25">
      <c r="J793" s="15"/>
    </row>
    <row r="794" spans="10:10" x14ac:dyDescent="0.25">
      <c r="J794" s="15"/>
    </row>
    <row r="795" spans="10:10" x14ac:dyDescent="0.25">
      <c r="J795" s="15"/>
    </row>
    <row r="796" spans="10:10" x14ac:dyDescent="0.25">
      <c r="J796" s="15"/>
    </row>
    <row r="797" spans="10:10" x14ac:dyDescent="0.25">
      <c r="J797" s="15"/>
    </row>
    <row r="798" spans="10:10" x14ac:dyDescent="0.25">
      <c r="J798" s="15"/>
    </row>
    <row r="799" spans="10:10" x14ac:dyDescent="0.25">
      <c r="J799" s="15"/>
    </row>
    <row r="800" spans="10:10" x14ac:dyDescent="0.25">
      <c r="J800" s="15"/>
    </row>
    <row r="801" spans="10:10" x14ac:dyDescent="0.25">
      <c r="J801" s="15"/>
    </row>
    <row r="802" spans="10:10" x14ac:dyDescent="0.25">
      <c r="J802" s="15"/>
    </row>
    <row r="803" spans="10:10" x14ac:dyDescent="0.25">
      <c r="J803" s="15"/>
    </row>
    <row r="804" spans="10:10" x14ac:dyDescent="0.25">
      <c r="J804" s="15"/>
    </row>
    <row r="805" spans="10:10" x14ac:dyDescent="0.25">
      <c r="J805" s="15"/>
    </row>
    <row r="806" spans="10:10" x14ac:dyDescent="0.25">
      <c r="J806" s="15"/>
    </row>
    <row r="807" spans="10:10" x14ac:dyDescent="0.25">
      <c r="J807" s="15"/>
    </row>
    <row r="808" spans="10:10" x14ac:dyDescent="0.25">
      <c r="J808" s="15"/>
    </row>
    <row r="809" spans="10:10" x14ac:dyDescent="0.25">
      <c r="J809" s="15"/>
    </row>
    <row r="810" spans="10:10" x14ac:dyDescent="0.25">
      <c r="J810" s="15"/>
    </row>
    <row r="811" spans="10:10" x14ac:dyDescent="0.25">
      <c r="J811" s="15"/>
    </row>
    <row r="812" spans="10:10" x14ac:dyDescent="0.25">
      <c r="J812" s="15"/>
    </row>
    <row r="813" spans="10:10" x14ac:dyDescent="0.25">
      <c r="J813" s="15"/>
    </row>
    <row r="814" spans="10:10" x14ac:dyDescent="0.25">
      <c r="J814" s="15"/>
    </row>
    <row r="815" spans="10:10" x14ac:dyDescent="0.25">
      <c r="J815" s="15"/>
    </row>
    <row r="816" spans="10:10" x14ac:dyDescent="0.25">
      <c r="J816" s="15"/>
    </row>
    <row r="817" spans="10:10" x14ac:dyDescent="0.25">
      <c r="J817" s="15"/>
    </row>
    <row r="818" spans="10:10" x14ac:dyDescent="0.25">
      <c r="J818" s="15"/>
    </row>
    <row r="819" spans="10:10" x14ac:dyDescent="0.25">
      <c r="J819" s="15"/>
    </row>
    <row r="820" spans="10:10" x14ac:dyDescent="0.25">
      <c r="J820" s="15"/>
    </row>
    <row r="821" spans="10:10" x14ac:dyDescent="0.25">
      <c r="J821" s="15"/>
    </row>
    <row r="822" spans="10:10" x14ac:dyDescent="0.25">
      <c r="J822" s="15"/>
    </row>
    <row r="823" spans="10:10" x14ac:dyDescent="0.25">
      <c r="J823" s="15"/>
    </row>
    <row r="824" spans="10:10" x14ac:dyDescent="0.25">
      <c r="J824" s="15"/>
    </row>
    <row r="825" spans="10:10" x14ac:dyDescent="0.25">
      <c r="J825" s="15"/>
    </row>
    <row r="826" spans="10:10" x14ac:dyDescent="0.25">
      <c r="J826" s="15"/>
    </row>
    <row r="827" spans="10:10" x14ac:dyDescent="0.25">
      <c r="J827" s="15"/>
    </row>
    <row r="828" spans="10:10" x14ac:dyDescent="0.25">
      <c r="J828" s="15"/>
    </row>
    <row r="829" spans="10:10" x14ac:dyDescent="0.25">
      <c r="J829" s="15"/>
    </row>
    <row r="830" spans="10:10" x14ac:dyDescent="0.25">
      <c r="J830" s="15"/>
    </row>
    <row r="831" spans="10:10" x14ac:dyDescent="0.25">
      <c r="J831" s="15"/>
    </row>
    <row r="832" spans="10:10" x14ac:dyDescent="0.25">
      <c r="J832" s="15"/>
    </row>
    <row r="833" spans="10:10" x14ac:dyDescent="0.25">
      <c r="J833" s="15"/>
    </row>
    <row r="834" spans="10:10" x14ac:dyDescent="0.25">
      <c r="J834" s="15"/>
    </row>
    <row r="835" spans="10:10" x14ac:dyDescent="0.25">
      <c r="J835" s="15"/>
    </row>
    <row r="836" spans="10:10" x14ac:dyDescent="0.25">
      <c r="J836" s="15"/>
    </row>
    <row r="837" spans="10:10" x14ac:dyDescent="0.25">
      <c r="J837" s="15"/>
    </row>
    <row r="838" spans="10:10" x14ac:dyDescent="0.25">
      <c r="J838" s="15"/>
    </row>
    <row r="839" spans="10:10" x14ac:dyDescent="0.25">
      <c r="J839" s="15"/>
    </row>
    <row r="840" spans="10:10" x14ac:dyDescent="0.25">
      <c r="J840" s="15"/>
    </row>
    <row r="841" spans="10:10" x14ac:dyDescent="0.25">
      <c r="J841" s="15"/>
    </row>
    <row r="842" spans="10:10" x14ac:dyDescent="0.25">
      <c r="J842" s="15"/>
    </row>
    <row r="843" spans="10:10" x14ac:dyDescent="0.25">
      <c r="J843" s="15"/>
    </row>
    <row r="844" spans="10:10" x14ac:dyDescent="0.25">
      <c r="J844" s="15"/>
    </row>
    <row r="845" spans="10:10" x14ac:dyDescent="0.25">
      <c r="J845" s="15"/>
    </row>
    <row r="846" spans="10:10" x14ac:dyDescent="0.25">
      <c r="J846" s="15"/>
    </row>
    <row r="847" spans="10:10" x14ac:dyDescent="0.25">
      <c r="J847" s="15"/>
    </row>
    <row r="848" spans="10:10" x14ac:dyDescent="0.25">
      <c r="J848" s="15"/>
    </row>
    <row r="849" spans="10:10" x14ac:dyDescent="0.25">
      <c r="J849" s="15"/>
    </row>
    <row r="850" spans="10:10" x14ac:dyDescent="0.25">
      <c r="J850" s="15"/>
    </row>
    <row r="851" spans="10:10" x14ac:dyDescent="0.25">
      <c r="J851" s="15"/>
    </row>
    <row r="852" spans="10:10" x14ac:dyDescent="0.25">
      <c r="J852" s="15"/>
    </row>
    <row r="853" spans="10:10" x14ac:dyDescent="0.25">
      <c r="J853" s="15"/>
    </row>
    <row r="854" spans="10:10" x14ac:dyDescent="0.25">
      <c r="J854" s="15"/>
    </row>
    <row r="855" spans="10:10" x14ac:dyDescent="0.25">
      <c r="J855" s="15"/>
    </row>
    <row r="856" spans="10:10" x14ac:dyDescent="0.25">
      <c r="J856" s="15"/>
    </row>
    <row r="857" spans="10:10" x14ac:dyDescent="0.25">
      <c r="J857" s="15"/>
    </row>
    <row r="858" spans="10:10" x14ac:dyDescent="0.25">
      <c r="J858" s="15"/>
    </row>
    <row r="859" spans="10:10" x14ac:dyDescent="0.25">
      <c r="J859" s="15"/>
    </row>
    <row r="860" spans="10:10" x14ac:dyDescent="0.25">
      <c r="J860" s="15"/>
    </row>
    <row r="861" spans="10:10" x14ac:dyDescent="0.25">
      <c r="J861" s="15"/>
    </row>
    <row r="862" spans="10:10" x14ac:dyDescent="0.25">
      <c r="J862" s="15"/>
    </row>
    <row r="863" spans="10:10" x14ac:dyDescent="0.25">
      <c r="J863" s="15"/>
    </row>
    <row r="864" spans="10:10" x14ac:dyDescent="0.25">
      <c r="J864" s="15"/>
    </row>
    <row r="865" spans="10:10" x14ac:dyDescent="0.25">
      <c r="J865" s="15"/>
    </row>
    <row r="866" spans="10:10" x14ac:dyDescent="0.25">
      <c r="J866" s="15"/>
    </row>
    <row r="867" spans="10:10" x14ac:dyDescent="0.25">
      <c r="J867" s="15"/>
    </row>
    <row r="868" spans="10:10" x14ac:dyDescent="0.25">
      <c r="J868" s="15"/>
    </row>
    <row r="869" spans="10:10" x14ac:dyDescent="0.25">
      <c r="J869" s="15"/>
    </row>
    <row r="870" spans="10:10" x14ac:dyDescent="0.25">
      <c r="J870" s="15"/>
    </row>
    <row r="871" spans="10:10" x14ac:dyDescent="0.25">
      <c r="J871" s="15"/>
    </row>
    <row r="872" spans="10:10" x14ac:dyDescent="0.25">
      <c r="J872" s="15"/>
    </row>
    <row r="873" spans="10:10" x14ac:dyDescent="0.25">
      <c r="J873" s="15"/>
    </row>
    <row r="874" spans="10:10" x14ac:dyDescent="0.25">
      <c r="J874" s="15"/>
    </row>
    <row r="875" spans="10:10" x14ac:dyDescent="0.25">
      <c r="J875" s="15"/>
    </row>
    <row r="876" spans="10:10" x14ac:dyDescent="0.25">
      <c r="J876" s="15"/>
    </row>
    <row r="877" spans="10:10" x14ac:dyDescent="0.25">
      <c r="J877" s="15"/>
    </row>
    <row r="878" spans="10:10" x14ac:dyDescent="0.25">
      <c r="J878" s="15"/>
    </row>
    <row r="879" spans="10:10" x14ac:dyDescent="0.25">
      <c r="J879" s="15"/>
    </row>
    <row r="880" spans="10:10" x14ac:dyDescent="0.25">
      <c r="J880" s="15"/>
    </row>
    <row r="881" spans="10:10" x14ac:dyDescent="0.25">
      <c r="J881" s="15"/>
    </row>
    <row r="882" spans="10:10" x14ac:dyDescent="0.25">
      <c r="J882" s="15"/>
    </row>
    <row r="883" spans="10:10" x14ac:dyDescent="0.25">
      <c r="J883" s="15"/>
    </row>
    <row r="884" spans="10:10" x14ac:dyDescent="0.25">
      <c r="J884" s="15"/>
    </row>
    <row r="885" spans="10:10" x14ac:dyDescent="0.25">
      <c r="J885" s="15"/>
    </row>
    <row r="886" spans="10:10" x14ac:dyDescent="0.25">
      <c r="J886" s="15"/>
    </row>
    <row r="887" spans="10:10" x14ac:dyDescent="0.25">
      <c r="J887" s="15"/>
    </row>
    <row r="888" spans="10:10" x14ac:dyDescent="0.25">
      <c r="J888" s="15"/>
    </row>
    <row r="889" spans="10:10" x14ac:dyDescent="0.25">
      <c r="J889" s="15"/>
    </row>
    <row r="890" spans="10:10" x14ac:dyDescent="0.25">
      <c r="J890" s="15"/>
    </row>
    <row r="891" spans="10:10" x14ac:dyDescent="0.25">
      <c r="J891" s="15"/>
    </row>
    <row r="892" spans="10:10" x14ac:dyDescent="0.25">
      <c r="J892" s="15"/>
    </row>
    <row r="893" spans="10:10" x14ac:dyDescent="0.25">
      <c r="J893" s="15"/>
    </row>
    <row r="894" spans="10:10" x14ac:dyDescent="0.25">
      <c r="J894" s="15"/>
    </row>
    <row r="895" spans="10:10" x14ac:dyDescent="0.25">
      <c r="J895" s="15"/>
    </row>
    <row r="896" spans="10:10" x14ac:dyDescent="0.25">
      <c r="J896" s="15"/>
    </row>
    <row r="897" spans="10:10" x14ac:dyDescent="0.25">
      <c r="J897" s="15"/>
    </row>
    <row r="898" spans="10:10" x14ac:dyDescent="0.25">
      <c r="J898" s="15"/>
    </row>
    <row r="899" spans="10:10" x14ac:dyDescent="0.25">
      <c r="J899" s="15"/>
    </row>
    <row r="900" spans="10:10" x14ac:dyDescent="0.25">
      <c r="J900" s="15"/>
    </row>
    <row r="901" spans="10:10" x14ac:dyDescent="0.25">
      <c r="J901" s="15"/>
    </row>
    <row r="902" spans="10:10" x14ac:dyDescent="0.25">
      <c r="J902" s="15"/>
    </row>
    <row r="903" spans="10:10" x14ac:dyDescent="0.25">
      <c r="J903" s="15"/>
    </row>
    <row r="904" spans="10:10" x14ac:dyDescent="0.25">
      <c r="J904" s="15"/>
    </row>
    <row r="905" spans="10:10" x14ac:dyDescent="0.25">
      <c r="J905" s="15"/>
    </row>
    <row r="906" spans="10:10" x14ac:dyDescent="0.25">
      <c r="J906" s="15"/>
    </row>
    <row r="907" spans="10:10" x14ac:dyDescent="0.25">
      <c r="J907" s="15"/>
    </row>
    <row r="908" spans="10:10" x14ac:dyDescent="0.25">
      <c r="J908" s="15"/>
    </row>
    <row r="909" spans="10:10" x14ac:dyDescent="0.25">
      <c r="J909" s="15"/>
    </row>
    <row r="910" spans="10:10" x14ac:dyDescent="0.25">
      <c r="J910" s="15"/>
    </row>
    <row r="911" spans="10:10" x14ac:dyDescent="0.25">
      <c r="J911" s="15"/>
    </row>
    <row r="912" spans="10:10" x14ac:dyDescent="0.25">
      <c r="J912" s="15"/>
    </row>
    <row r="913" spans="10:10" x14ac:dyDescent="0.25">
      <c r="J913" s="15"/>
    </row>
    <row r="914" spans="10:10" x14ac:dyDescent="0.25">
      <c r="J914" s="15"/>
    </row>
    <row r="915" spans="10:10" x14ac:dyDescent="0.25">
      <c r="J915" s="15"/>
    </row>
    <row r="916" spans="10:10" x14ac:dyDescent="0.25">
      <c r="J916" s="15"/>
    </row>
    <row r="917" spans="10:10" x14ac:dyDescent="0.25">
      <c r="J917" s="15"/>
    </row>
    <row r="918" spans="10:10" x14ac:dyDescent="0.25">
      <c r="J918" s="15"/>
    </row>
    <row r="919" spans="10:10" x14ac:dyDescent="0.25">
      <c r="J919" s="15"/>
    </row>
    <row r="920" spans="10:10" x14ac:dyDescent="0.25">
      <c r="J920" s="15"/>
    </row>
    <row r="921" spans="10:10" x14ac:dyDescent="0.25">
      <c r="J921" s="15"/>
    </row>
    <row r="922" spans="10:10" x14ac:dyDescent="0.25">
      <c r="J922" s="15"/>
    </row>
    <row r="923" spans="10:10" x14ac:dyDescent="0.25">
      <c r="J923" s="15"/>
    </row>
    <row r="924" spans="10:10" x14ac:dyDescent="0.25">
      <c r="J924" s="15"/>
    </row>
    <row r="925" spans="10:10" x14ac:dyDescent="0.25">
      <c r="J925" s="15"/>
    </row>
    <row r="926" spans="10:10" x14ac:dyDescent="0.25">
      <c r="J926" s="15"/>
    </row>
    <row r="927" spans="10:10" x14ac:dyDescent="0.25">
      <c r="J927" s="15"/>
    </row>
    <row r="928" spans="10:10" x14ac:dyDescent="0.25">
      <c r="J928" s="15"/>
    </row>
    <row r="929" spans="10:10" x14ac:dyDescent="0.25">
      <c r="J929" s="15"/>
    </row>
    <row r="930" spans="10:10" x14ac:dyDescent="0.25">
      <c r="J930" s="15"/>
    </row>
    <row r="931" spans="10:10" x14ac:dyDescent="0.25">
      <c r="J931" s="15"/>
    </row>
    <row r="932" spans="10:10" x14ac:dyDescent="0.25">
      <c r="J932" s="15"/>
    </row>
    <row r="933" spans="10:10" x14ac:dyDescent="0.25">
      <c r="J933" s="15"/>
    </row>
    <row r="934" spans="10:10" x14ac:dyDescent="0.25">
      <c r="J934" s="15"/>
    </row>
    <row r="935" spans="10:10" x14ac:dyDescent="0.25">
      <c r="J935" s="15"/>
    </row>
    <row r="936" spans="10:10" x14ac:dyDescent="0.25">
      <c r="J936" s="15"/>
    </row>
    <row r="937" spans="10:10" x14ac:dyDescent="0.25">
      <c r="J937" s="15"/>
    </row>
    <row r="938" spans="10:10" x14ac:dyDescent="0.25">
      <c r="J938" s="15"/>
    </row>
    <row r="939" spans="10:10" x14ac:dyDescent="0.25">
      <c r="J939" s="15"/>
    </row>
    <row r="940" spans="10:10" x14ac:dyDescent="0.25">
      <c r="J940" s="15"/>
    </row>
    <row r="941" spans="10:10" x14ac:dyDescent="0.25">
      <c r="J941" s="15"/>
    </row>
    <row r="942" spans="10:10" x14ac:dyDescent="0.25">
      <c r="J942" s="15"/>
    </row>
    <row r="943" spans="10:10" x14ac:dyDescent="0.25">
      <c r="J943" s="15"/>
    </row>
    <row r="944" spans="10:10" x14ac:dyDescent="0.25">
      <c r="J944" s="15"/>
    </row>
    <row r="945" spans="10:10" x14ac:dyDescent="0.25">
      <c r="J945" s="15"/>
    </row>
    <row r="946" spans="10:10" x14ac:dyDescent="0.25">
      <c r="J946" s="15"/>
    </row>
    <row r="947" spans="10:10" x14ac:dyDescent="0.25">
      <c r="J947" s="15"/>
    </row>
    <row r="948" spans="10:10" x14ac:dyDescent="0.25">
      <c r="J948" s="15"/>
    </row>
    <row r="949" spans="10:10" x14ac:dyDescent="0.25">
      <c r="J949" s="15"/>
    </row>
    <row r="950" spans="10:10" x14ac:dyDescent="0.25">
      <c r="J950" s="15"/>
    </row>
    <row r="951" spans="10:10" x14ac:dyDescent="0.25">
      <c r="J951" s="15"/>
    </row>
    <row r="952" spans="10:10" x14ac:dyDescent="0.25">
      <c r="J952" s="15"/>
    </row>
    <row r="953" spans="10:10" x14ac:dyDescent="0.25">
      <c r="J953" s="15"/>
    </row>
    <row r="954" spans="10:10" x14ac:dyDescent="0.25">
      <c r="J954" s="15"/>
    </row>
    <row r="955" spans="10:10" x14ac:dyDescent="0.25">
      <c r="J955" s="15"/>
    </row>
    <row r="956" spans="10:10" x14ac:dyDescent="0.25">
      <c r="J956" s="15"/>
    </row>
    <row r="957" spans="10:10" x14ac:dyDescent="0.25">
      <c r="J957" s="15"/>
    </row>
    <row r="958" spans="10:10" x14ac:dyDescent="0.25">
      <c r="J958" s="15"/>
    </row>
    <row r="959" spans="10:10" x14ac:dyDescent="0.25">
      <c r="J959" s="15"/>
    </row>
    <row r="960" spans="10:10" x14ac:dyDescent="0.25">
      <c r="J960" s="15"/>
    </row>
    <row r="961" spans="10:10" x14ac:dyDescent="0.25">
      <c r="J961" s="15"/>
    </row>
    <row r="962" spans="10:10" x14ac:dyDescent="0.25">
      <c r="J962" s="15"/>
    </row>
    <row r="963" spans="10:10" x14ac:dyDescent="0.25">
      <c r="J963" s="15"/>
    </row>
    <row r="964" spans="10:10" x14ac:dyDescent="0.25">
      <c r="J964" s="15"/>
    </row>
    <row r="965" spans="10:10" x14ac:dyDescent="0.25">
      <c r="J965" s="15"/>
    </row>
    <row r="966" spans="10:10" x14ac:dyDescent="0.25">
      <c r="J966" s="15"/>
    </row>
    <row r="967" spans="10:10" x14ac:dyDescent="0.25">
      <c r="J967" s="15"/>
    </row>
    <row r="968" spans="10:10" x14ac:dyDescent="0.25">
      <c r="J968" s="15"/>
    </row>
    <row r="969" spans="10:10" x14ac:dyDescent="0.25">
      <c r="J969" s="15"/>
    </row>
    <row r="970" spans="10:10" x14ac:dyDescent="0.25">
      <c r="J970" s="15"/>
    </row>
    <row r="971" spans="10:10" x14ac:dyDescent="0.25">
      <c r="J971" s="15"/>
    </row>
    <row r="972" spans="10:10" x14ac:dyDescent="0.25">
      <c r="J972" s="15"/>
    </row>
    <row r="973" spans="10:10" x14ac:dyDescent="0.25">
      <c r="J973" s="15"/>
    </row>
    <row r="974" spans="10:10" x14ac:dyDescent="0.25">
      <c r="J974" s="15"/>
    </row>
    <row r="975" spans="10:10" x14ac:dyDescent="0.25">
      <c r="J975" s="15"/>
    </row>
    <row r="976" spans="10:10" x14ac:dyDescent="0.25">
      <c r="J976" s="15"/>
    </row>
    <row r="977" spans="10:10" x14ac:dyDescent="0.25">
      <c r="J977" s="15"/>
    </row>
    <row r="978" spans="10:10" x14ac:dyDescent="0.25">
      <c r="J978" s="15"/>
    </row>
    <row r="979" spans="10:10" x14ac:dyDescent="0.25">
      <c r="J979" s="15"/>
    </row>
    <row r="980" spans="10:10" x14ac:dyDescent="0.25">
      <c r="J980" s="15"/>
    </row>
    <row r="981" spans="10:10" x14ac:dyDescent="0.25">
      <c r="J981" s="15"/>
    </row>
    <row r="982" spans="10:10" x14ac:dyDescent="0.25">
      <c r="J982" s="15"/>
    </row>
    <row r="983" spans="10:10" x14ac:dyDescent="0.25">
      <c r="J983" s="15"/>
    </row>
    <row r="984" spans="10:10" x14ac:dyDescent="0.25">
      <c r="J984" s="15"/>
    </row>
    <row r="985" spans="10:10" x14ac:dyDescent="0.25">
      <c r="J985" s="15"/>
    </row>
    <row r="986" spans="10:10" x14ac:dyDescent="0.25">
      <c r="J986" s="15"/>
    </row>
    <row r="987" spans="10:10" x14ac:dyDescent="0.25">
      <c r="J987" s="15"/>
    </row>
    <row r="988" spans="10:10" x14ac:dyDescent="0.25">
      <c r="J988" s="15"/>
    </row>
    <row r="989" spans="10:10" x14ac:dyDescent="0.25">
      <c r="J989" s="15"/>
    </row>
    <row r="990" spans="10:10" x14ac:dyDescent="0.25">
      <c r="J990" s="15"/>
    </row>
    <row r="991" spans="10:10" x14ac:dyDescent="0.25">
      <c r="J991" s="15"/>
    </row>
    <row r="992" spans="10:10" x14ac:dyDescent="0.25">
      <c r="J992" s="15"/>
    </row>
    <row r="993" spans="10:10" x14ac:dyDescent="0.25">
      <c r="J993" s="15"/>
    </row>
    <row r="994" spans="10:10" x14ac:dyDescent="0.25">
      <c r="J994" s="15"/>
    </row>
    <row r="995" spans="10:10" x14ac:dyDescent="0.25">
      <c r="J995" s="15"/>
    </row>
    <row r="996" spans="10:10" x14ac:dyDescent="0.25">
      <c r="J996" s="15"/>
    </row>
    <row r="997" spans="10:10" x14ac:dyDescent="0.25">
      <c r="J997" s="15"/>
    </row>
    <row r="998" spans="10:10" x14ac:dyDescent="0.25">
      <c r="J998" s="15"/>
    </row>
    <row r="999" spans="10:10" x14ac:dyDescent="0.25">
      <c r="J999" s="15"/>
    </row>
    <row r="1000" spans="10:10" x14ac:dyDescent="0.25">
      <c r="J1000" s="15"/>
    </row>
    <row r="1001" spans="10:10" x14ac:dyDescent="0.25">
      <c r="J1001" s="15"/>
    </row>
    <row r="1002" spans="10:10" x14ac:dyDescent="0.25">
      <c r="J1002" s="15"/>
    </row>
    <row r="1003" spans="10:10" x14ac:dyDescent="0.25">
      <c r="J1003" s="15"/>
    </row>
    <row r="1004" spans="10:10" x14ac:dyDescent="0.25">
      <c r="J1004" s="15"/>
    </row>
    <row r="1005" spans="10:10" x14ac:dyDescent="0.25">
      <c r="J1005" s="15"/>
    </row>
    <row r="1006" spans="10:10" x14ac:dyDescent="0.25">
      <c r="J1006" s="15"/>
    </row>
    <row r="1007" spans="10:10" x14ac:dyDescent="0.25">
      <c r="J1007" s="15"/>
    </row>
    <row r="1008" spans="10:10" x14ac:dyDescent="0.25">
      <c r="J1008" s="15"/>
    </row>
    <row r="1009" spans="10:10" x14ac:dyDescent="0.25">
      <c r="J1009" s="15"/>
    </row>
    <row r="1010" spans="10:10" x14ac:dyDescent="0.25">
      <c r="J1010" s="15"/>
    </row>
    <row r="1011" spans="10:10" x14ac:dyDescent="0.25">
      <c r="J1011" s="15"/>
    </row>
    <row r="1012" spans="10:10" x14ac:dyDescent="0.25">
      <c r="J1012" s="15"/>
    </row>
    <row r="1013" spans="10:10" x14ac:dyDescent="0.25">
      <c r="J1013" s="15"/>
    </row>
    <row r="1014" spans="10:10" x14ac:dyDescent="0.25">
      <c r="J1014" s="15"/>
    </row>
    <row r="1015" spans="10:10" x14ac:dyDescent="0.25">
      <c r="J1015" s="15"/>
    </row>
    <row r="1016" spans="10:10" x14ac:dyDescent="0.25">
      <c r="J1016" s="15"/>
    </row>
    <row r="1017" spans="10:10" x14ac:dyDescent="0.25">
      <c r="J1017" s="15"/>
    </row>
    <row r="1018" spans="10:10" x14ac:dyDescent="0.25">
      <c r="J1018" s="15"/>
    </row>
    <row r="1019" spans="10:10" x14ac:dyDescent="0.25">
      <c r="J1019" s="15"/>
    </row>
    <row r="1020" spans="10:10" x14ac:dyDescent="0.25">
      <c r="J1020" s="15"/>
    </row>
    <row r="1021" spans="10:10" x14ac:dyDescent="0.25">
      <c r="J1021" s="15"/>
    </row>
    <row r="1022" spans="10:10" x14ac:dyDescent="0.25">
      <c r="J1022" s="15"/>
    </row>
    <row r="1023" spans="10:10" x14ac:dyDescent="0.25">
      <c r="J1023" s="15"/>
    </row>
    <row r="1024" spans="10:10" x14ac:dyDescent="0.25">
      <c r="J1024" s="15"/>
    </row>
    <row r="1025" spans="10:10" x14ac:dyDescent="0.25">
      <c r="J1025" s="15"/>
    </row>
    <row r="1026" spans="10:10" x14ac:dyDescent="0.25">
      <c r="J1026" s="15"/>
    </row>
    <row r="1027" spans="10:10" x14ac:dyDescent="0.25">
      <c r="J1027" s="15"/>
    </row>
    <row r="1028" spans="10:10" x14ac:dyDescent="0.25">
      <c r="J1028" s="15"/>
    </row>
    <row r="1029" spans="10:10" x14ac:dyDescent="0.25">
      <c r="J1029" s="15"/>
    </row>
    <row r="1030" spans="10:10" x14ac:dyDescent="0.25">
      <c r="J1030" s="15"/>
    </row>
    <row r="1031" spans="10:10" x14ac:dyDescent="0.25">
      <c r="J1031" s="15"/>
    </row>
    <row r="1032" spans="10:10" x14ac:dyDescent="0.25">
      <c r="J1032" s="15"/>
    </row>
    <row r="1033" spans="10:10" x14ac:dyDescent="0.25">
      <c r="J1033" s="15"/>
    </row>
    <row r="1034" spans="10:10" x14ac:dyDescent="0.25">
      <c r="J1034" s="15"/>
    </row>
    <row r="1035" spans="10:10" x14ac:dyDescent="0.25">
      <c r="J1035" s="15"/>
    </row>
    <row r="1036" spans="10:10" x14ac:dyDescent="0.25">
      <c r="J1036" s="15"/>
    </row>
    <row r="1037" spans="10:10" x14ac:dyDescent="0.25">
      <c r="J1037" s="15"/>
    </row>
    <row r="1038" spans="10:10" x14ac:dyDescent="0.25">
      <c r="J1038" s="15"/>
    </row>
    <row r="1039" spans="10:10" x14ac:dyDescent="0.25">
      <c r="J1039" s="15"/>
    </row>
    <row r="1040" spans="10:10" x14ac:dyDescent="0.25">
      <c r="J1040" s="15"/>
    </row>
    <row r="1041" spans="10:10" x14ac:dyDescent="0.25">
      <c r="J1041" s="15"/>
    </row>
    <row r="1042" spans="10:10" x14ac:dyDescent="0.25">
      <c r="J1042" s="15"/>
    </row>
    <row r="1043" spans="10:10" x14ac:dyDescent="0.25">
      <c r="J1043" s="15"/>
    </row>
    <row r="1044" spans="10:10" x14ac:dyDescent="0.25">
      <c r="J1044" s="15"/>
    </row>
    <row r="1045" spans="10:10" x14ac:dyDescent="0.25">
      <c r="J1045" s="15"/>
    </row>
    <row r="1046" spans="10:10" x14ac:dyDescent="0.25">
      <c r="J1046" s="15"/>
    </row>
    <row r="1047" spans="10:10" x14ac:dyDescent="0.25">
      <c r="J1047" s="15"/>
    </row>
    <row r="1048" spans="10:10" x14ac:dyDescent="0.25">
      <c r="J1048" s="15"/>
    </row>
    <row r="1049" spans="10:10" x14ac:dyDescent="0.25">
      <c r="J1049" s="15"/>
    </row>
    <row r="1050" spans="10:10" x14ac:dyDescent="0.25">
      <c r="J1050" s="15"/>
    </row>
    <row r="1051" spans="10:10" x14ac:dyDescent="0.25">
      <c r="J1051" s="15"/>
    </row>
    <row r="1052" spans="10:10" x14ac:dyDescent="0.25">
      <c r="J1052" s="15"/>
    </row>
    <row r="1053" spans="10:10" x14ac:dyDescent="0.25">
      <c r="J1053" s="15"/>
    </row>
    <row r="1054" spans="10:10" x14ac:dyDescent="0.25">
      <c r="J1054" s="15"/>
    </row>
    <row r="1055" spans="10:10" x14ac:dyDescent="0.25">
      <c r="J1055" s="15"/>
    </row>
    <row r="1056" spans="10:10" x14ac:dyDescent="0.25">
      <c r="J1056" s="15"/>
    </row>
    <row r="1057" spans="10:10" x14ac:dyDescent="0.25">
      <c r="J1057" s="15"/>
    </row>
    <row r="1058" spans="10:10" x14ac:dyDescent="0.25">
      <c r="J1058" s="15"/>
    </row>
    <row r="1059" spans="10:10" x14ac:dyDescent="0.25">
      <c r="J1059" s="15"/>
    </row>
    <row r="1060" spans="10:10" x14ac:dyDescent="0.25">
      <c r="J1060" s="15"/>
    </row>
    <row r="1061" spans="10:10" x14ac:dyDescent="0.25">
      <c r="J1061" s="15"/>
    </row>
    <row r="1062" spans="10:10" x14ac:dyDescent="0.25">
      <c r="J1062" s="15"/>
    </row>
    <row r="1063" spans="10:10" x14ac:dyDescent="0.25">
      <c r="J1063" s="15"/>
    </row>
    <row r="1064" spans="10:10" x14ac:dyDescent="0.25">
      <c r="J1064" s="15"/>
    </row>
    <row r="1065" spans="10:10" x14ac:dyDescent="0.25">
      <c r="J1065" s="15"/>
    </row>
    <row r="1066" spans="10:10" x14ac:dyDescent="0.25">
      <c r="J1066" s="15"/>
    </row>
    <row r="1067" spans="10:10" x14ac:dyDescent="0.25">
      <c r="J1067" s="15"/>
    </row>
    <row r="1068" spans="10:10" x14ac:dyDescent="0.25">
      <c r="J1068" s="15"/>
    </row>
    <row r="1069" spans="10:10" x14ac:dyDescent="0.25">
      <c r="J1069" s="15"/>
    </row>
    <row r="1070" spans="10:10" x14ac:dyDescent="0.25">
      <c r="J1070" s="15"/>
    </row>
    <row r="1071" spans="10:10" x14ac:dyDescent="0.25">
      <c r="J1071" s="15"/>
    </row>
    <row r="1072" spans="10:10" x14ac:dyDescent="0.25">
      <c r="J1072" s="15"/>
    </row>
    <row r="1073" spans="10:10" x14ac:dyDescent="0.25">
      <c r="J1073" s="15"/>
    </row>
    <row r="1074" spans="10:10" x14ac:dyDescent="0.25">
      <c r="J1074" s="15"/>
    </row>
    <row r="1075" spans="10:10" x14ac:dyDescent="0.25">
      <c r="J1075" s="15"/>
    </row>
    <row r="1076" spans="10:10" x14ac:dyDescent="0.25">
      <c r="J1076" s="15"/>
    </row>
    <row r="1077" spans="10:10" x14ac:dyDescent="0.25">
      <c r="J1077" s="15"/>
    </row>
    <row r="1078" spans="10:10" x14ac:dyDescent="0.25">
      <c r="J1078" s="15"/>
    </row>
    <row r="1079" spans="10:10" x14ac:dyDescent="0.25">
      <c r="J1079" s="15"/>
    </row>
    <row r="1080" spans="10:10" x14ac:dyDescent="0.25">
      <c r="J1080" s="15"/>
    </row>
    <row r="1081" spans="10:10" x14ac:dyDescent="0.25">
      <c r="J1081" s="15"/>
    </row>
    <row r="1082" spans="10:10" x14ac:dyDescent="0.25">
      <c r="J1082" s="15"/>
    </row>
    <row r="1083" spans="10:10" x14ac:dyDescent="0.25">
      <c r="J1083" s="15"/>
    </row>
    <row r="1084" spans="10:10" x14ac:dyDescent="0.25">
      <c r="J1084" s="15"/>
    </row>
    <row r="1085" spans="10:10" x14ac:dyDescent="0.25">
      <c r="J1085" s="15"/>
    </row>
    <row r="1086" spans="10:10" x14ac:dyDescent="0.25">
      <c r="J1086" s="15"/>
    </row>
    <row r="1087" spans="10:10" x14ac:dyDescent="0.25">
      <c r="J1087" s="15"/>
    </row>
    <row r="1088" spans="10:10" x14ac:dyDescent="0.25">
      <c r="J1088" s="15"/>
    </row>
    <row r="1089" spans="10:10" x14ac:dyDescent="0.25">
      <c r="J1089" s="15"/>
    </row>
    <row r="1090" spans="10:10" x14ac:dyDescent="0.25">
      <c r="J1090" s="15"/>
    </row>
    <row r="1091" spans="10:10" x14ac:dyDescent="0.25">
      <c r="J1091" s="15"/>
    </row>
    <row r="1092" spans="10:10" x14ac:dyDescent="0.25">
      <c r="J1092" s="15"/>
    </row>
    <row r="1093" spans="10:10" x14ac:dyDescent="0.25">
      <c r="J1093" s="15"/>
    </row>
    <row r="1094" spans="10:10" x14ac:dyDescent="0.25">
      <c r="J1094" s="15"/>
    </row>
    <row r="1095" spans="10:10" x14ac:dyDescent="0.25">
      <c r="J1095" s="15"/>
    </row>
    <row r="1096" spans="10:10" x14ac:dyDescent="0.25">
      <c r="J1096" s="15"/>
    </row>
    <row r="1097" spans="10:10" x14ac:dyDescent="0.25">
      <c r="J1097" s="15"/>
    </row>
    <row r="1098" spans="10:10" x14ac:dyDescent="0.25">
      <c r="J1098" s="15"/>
    </row>
    <row r="1099" spans="10:10" x14ac:dyDescent="0.25">
      <c r="J1099" s="15"/>
    </row>
    <row r="1100" spans="10:10" x14ac:dyDescent="0.25">
      <c r="J1100" s="15"/>
    </row>
    <row r="1101" spans="10:10" x14ac:dyDescent="0.25">
      <c r="J1101" s="15"/>
    </row>
    <row r="1102" spans="10:10" x14ac:dyDescent="0.25">
      <c r="J1102" s="15"/>
    </row>
    <row r="1103" spans="10:10" x14ac:dyDescent="0.25">
      <c r="J1103" s="15"/>
    </row>
    <row r="1104" spans="10:10" x14ac:dyDescent="0.25">
      <c r="J1104" s="15"/>
    </row>
    <row r="1105" spans="10:10" x14ac:dyDescent="0.25">
      <c r="J1105" s="15"/>
    </row>
    <row r="1106" spans="10:10" x14ac:dyDescent="0.25">
      <c r="J1106" s="15"/>
    </row>
    <row r="1107" spans="10:10" x14ac:dyDescent="0.25">
      <c r="J1107" s="15"/>
    </row>
    <row r="1108" spans="10:10" x14ac:dyDescent="0.25">
      <c r="J1108" s="15"/>
    </row>
    <row r="1109" spans="10:10" x14ac:dyDescent="0.25">
      <c r="J1109" s="15"/>
    </row>
    <row r="1110" spans="10:10" x14ac:dyDescent="0.25">
      <c r="J1110" s="15"/>
    </row>
    <row r="1111" spans="10:10" x14ac:dyDescent="0.25">
      <c r="J1111" s="15"/>
    </row>
    <row r="1112" spans="10:10" x14ac:dyDescent="0.25">
      <c r="J1112" s="15"/>
    </row>
    <row r="1113" spans="10:10" x14ac:dyDescent="0.25">
      <c r="J1113" s="15"/>
    </row>
    <row r="1114" spans="10:10" x14ac:dyDescent="0.25">
      <c r="J1114" s="15"/>
    </row>
    <row r="1115" spans="10:10" x14ac:dyDescent="0.25">
      <c r="J1115" s="15"/>
    </row>
    <row r="1116" spans="10:10" x14ac:dyDescent="0.25">
      <c r="J1116" s="15"/>
    </row>
    <row r="1117" spans="10:10" x14ac:dyDescent="0.25">
      <c r="J1117" s="15"/>
    </row>
    <row r="1118" spans="10:10" x14ac:dyDescent="0.25">
      <c r="J1118" s="15"/>
    </row>
    <row r="1119" spans="10:10" x14ac:dyDescent="0.25">
      <c r="J1119" s="15"/>
    </row>
    <row r="1120" spans="10:10" x14ac:dyDescent="0.25">
      <c r="J1120" s="15"/>
    </row>
    <row r="1121" spans="10:10" x14ac:dyDescent="0.25">
      <c r="J1121" s="15"/>
    </row>
    <row r="1122" spans="10:10" x14ac:dyDescent="0.25">
      <c r="J1122" s="15"/>
    </row>
    <row r="1123" spans="10:10" x14ac:dyDescent="0.25">
      <c r="J1123" s="15"/>
    </row>
    <row r="1124" spans="10:10" x14ac:dyDescent="0.25">
      <c r="J1124" s="15"/>
    </row>
    <row r="1125" spans="10:10" x14ac:dyDescent="0.25">
      <c r="J1125" s="15"/>
    </row>
    <row r="1126" spans="10:10" x14ac:dyDescent="0.25">
      <c r="J1126" s="15"/>
    </row>
    <row r="1127" spans="10:10" x14ac:dyDescent="0.25">
      <c r="J1127" s="15"/>
    </row>
    <row r="1128" spans="10:10" x14ac:dyDescent="0.25">
      <c r="J1128" s="15"/>
    </row>
    <row r="1129" spans="10:10" x14ac:dyDescent="0.25">
      <c r="J1129" s="15"/>
    </row>
    <row r="1130" spans="10:10" x14ac:dyDescent="0.25">
      <c r="J1130" s="15"/>
    </row>
    <row r="1131" spans="10:10" x14ac:dyDescent="0.25">
      <c r="J1131" s="15"/>
    </row>
    <row r="1132" spans="10:10" x14ac:dyDescent="0.25">
      <c r="J1132" s="15"/>
    </row>
    <row r="1133" spans="10:10" x14ac:dyDescent="0.25">
      <c r="J1133" s="15"/>
    </row>
    <row r="1134" spans="10:10" x14ac:dyDescent="0.25">
      <c r="J1134" s="15"/>
    </row>
    <row r="1135" spans="10:10" x14ac:dyDescent="0.25">
      <c r="J1135" s="15"/>
    </row>
    <row r="1136" spans="10:10" x14ac:dyDescent="0.25">
      <c r="J1136" s="15"/>
    </row>
    <row r="1137" spans="10:10" x14ac:dyDescent="0.25">
      <c r="J1137" s="15"/>
    </row>
    <row r="1138" spans="10:10" x14ac:dyDescent="0.25">
      <c r="J1138" s="15"/>
    </row>
    <row r="1139" spans="10:10" x14ac:dyDescent="0.25">
      <c r="J1139" s="15"/>
    </row>
    <row r="1140" spans="10:10" x14ac:dyDescent="0.25">
      <c r="J1140" s="15"/>
    </row>
    <row r="1141" spans="10:10" x14ac:dyDescent="0.25">
      <c r="J1141" s="15"/>
    </row>
    <row r="1142" spans="10:10" x14ac:dyDescent="0.25">
      <c r="J1142" s="15"/>
    </row>
    <row r="1143" spans="10:10" x14ac:dyDescent="0.25">
      <c r="J1143" s="15"/>
    </row>
    <row r="1144" spans="10:10" x14ac:dyDescent="0.25">
      <c r="J1144" s="15"/>
    </row>
    <row r="1145" spans="10:10" x14ac:dyDescent="0.25">
      <c r="J1145" s="15"/>
    </row>
    <row r="1146" spans="10:10" x14ac:dyDescent="0.25">
      <c r="J1146" s="15"/>
    </row>
    <row r="1147" spans="10:10" x14ac:dyDescent="0.25">
      <c r="J1147" s="15"/>
    </row>
    <row r="1148" spans="10:10" x14ac:dyDescent="0.25">
      <c r="J1148" s="15"/>
    </row>
    <row r="1149" spans="10:10" x14ac:dyDescent="0.25">
      <c r="J1149" s="15"/>
    </row>
    <row r="1150" spans="10:10" x14ac:dyDescent="0.25">
      <c r="J1150" s="15"/>
    </row>
    <row r="1151" spans="10:10" x14ac:dyDescent="0.25">
      <c r="J1151" s="15"/>
    </row>
    <row r="1152" spans="10:10" x14ac:dyDescent="0.25">
      <c r="J1152" s="15"/>
    </row>
    <row r="1153" spans="10:10" x14ac:dyDescent="0.25">
      <c r="J1153" s="15"/>
    </row>
    <row r="1154" spans="10:10" x14ac:dyDescent="0.25">
      <c r="J1154" s="15"/>
    </row>
    <row r="1155" spans="10:10" x14ac:dyDescent="0.25">
      <c r="J1155" s="15"/>
    </row>
    <row r="1156" spans="10:10" x14ac:dyDescent="0.25">
      <c r="J1156" s="15"/>
    </row>
    <row r="1157" spans="10:10" x14ac:dyDescent="0.25">
      <c r="J1157" s="15"/>
    </row>
    <row r="1158" spans="10:10" x14ac:dyDescent="0.25">
      <c r="J1158" s="15"/>
    </row>
    <row r="1159" spans="10:10" x14ac:dyDescent="0.25">
      <c r="J1159" s="15"/>
    </row>
    <row r="1160" spans="10:10" x14ac:dyDescent="0.25">
      <c r="J1160" s="15"/>
    </row>
    <row r="1161" spans="10:10" x14ac:dyDescent="0.25">
      <c r="J1161" s="15"/>
    </row>
    <row r="1162" spans="10:10" x14ac:dyDescent="0.25">
      <c r="J1162" s="15"/>
    </row>
    <row r="1163" spans="10:10" x14ac:dyDescent="0.25">
      <c r="J1163" s="15"/>
    </row>
    <row r="1164" spans="10:10" x14ac:dyDescent="0.25">
      <c r="J1164" s="15"/>
    </row>
    <row r="1165" spans="10:10" x14ac:dyDescent="0.25">
      <c r="J1165" s="15"/>
    </row>
    <row r="1166" spans="10:10" x14ac:dyDescent="0.25">
      <c r="J1166" s="15"/>
    </row>
    <row r="1167" spans="10:10" x14ac:dyDescent="0.25">
      <c r="J1167" s="15"/>
    </row>
    <row r="1168" spans="10:10" x14ac:dyDescent="0.25">
      <c r="J1168" s="15"/>
    </row>
    <row r="1169" spans="10:10" x14ac:dyDescent="0.25">
      <c r="J1169" s="15"/>
    </row>
    <row r="1170" spans="10:10" x14ac:dyDescent="0.25">
      <c r="J1170" s="15"/>
    </row>
    <row r="1171" spans="10:10" x14ac:dyDescent="0.25">
      <c r="J1171" s="15"/>
    </row>
    <row r="1172" spans="10:10" x14ac:dyDescent="0.25">
      <c r="J1172" s="15"/>
    </row>
    <row r="1173" spans="10:10" x14ac:dyDescent="0.25">
      <c r="J1173" s="15"/>
    </row>
    <row r="1174" spans="10:10" x14ac:dyDescent="0.25">
      <c r="J1174" s="15"/>
    </row>
    <row r="1175" spans="10:10" x14ac:dyDescent="0.25">
      <c r="J1175" s="15"/>
    </row>
    <row r="1176" spans="10:10" x14ac:dyDescent="0.25">
      <c r="J1176" s="15"/>
    </row>
    <row r="1177" spans="10:10" x14ac:dyDescent="0.25">
      <c r="J1177" s="15"/>
    </row>
    <row r="1178" spans="10:10" x14ac:dyDescent="0.25">
      <c r="J1178" s="15"/>
    </row>
    <row r="1179" spans="10:10" x14ac:dyDescent="0.25">
      <c r="J1179" s="15"/>
    </row>
    <row r="1180" spans="10:10" x14ac:dyDescent="0.25">
      <c r="J1180" s="15"/>
    </row>
    <row r="1181" spans="10:10" x14ac:dyDescent="0.25">
      <c r="J1181" s="15"/>
    </row>
    <row r="1182" spans="10:10" x14ac:dyDescent="0.25">
      <c r="J1182" s="15"/>
    </row>
    <row r="1183" spans="10:10" x14ac:dyDescent="0.25">
      <c r="J1183" s="15"/>
    </row>
    <row r="1184" spans="10:10" x14ac:dyDescent="0.25">
      <c r="J1184" s="15"/>
    </row>
    <row r="1185" spans="10:10" x14ac:dyDescent="0.25">
      <c r="J1185" s="15"/>
    </row>
    <row r="1186" spans="10:10" x14ac:dyDescent="0.25">
      <c r="J1186" s="15"/>
    </row>
    <row r="1187" spans="10:10" x14ac:dyDescent="0.25">
      <c r="J1187" s="15"/>
    </row>
    <row r="1188" spans="10:10" x14ac:dyDescent="0.25">
      <c r="J1188" s="15"/>
    </row>
    <row r="1189" spans="10:10" x14ac:dyDescent="0.25">
      <c r="J1189" s="15"/>
    </row>
    <row r="1190" spans="10:10" x14ac:dyDescent="0.25">
      <c r="J1190" s="15"/>
    </row>
    <row r="1191" spans="10:10" x14ac:dyDescent="0.25">
      <c r="J1191" s="15"/>
    </row>
    <row r="1192" spans="10:10" x14ac:dyDescent="0.25">
      <c r="J1192" s="15"/>
    </row>
    <row r="1193" spans="10:10" x14ac:dyDescent="0.25">
      <c r="J1193" s="15"/>
    </row>
    <row r="1194" spans="10:10" x14ac:dyDescent="0.25">
      <c r="J1194" s="15"/>
    </row>
    <row r="1195" spans="10:10" x14ac:dyDescent="0.25">
      <c r="J1195" s="15"/>
    </row>
    <row r="1196" spans="10:10" x14ac:dyDescent="0.25">
      <c r="J1196" s="15"/>
    </row>
    <row r="1197" spans="10:10" x14ac:dyDescent="0.25">
      <c r="J1197" s="15"/>
    </row>
    <row r="1198" spans="10:10" x14ac:dyDescent="0.25">
      <c r="J1198" s="15"/>
    </row>
    <row r="1199" spans="10:10" x14ac:dyDescent="0.25">
      <c r="J1199" s="15"/>
    </row>
    <row r="1200" spans="10:10" x14ac:dyDescent="0.25">
      <c r="J1200" s="15"/>
    </row>
    <row r="1201" spans="10:10" x14ac:dyDescent="0.25">
      <c r="J1201" s="15"/>
    </row>
    <row r="1202" spans="10:10" x14ac:dyDescent="0.25">
      <c r="J1202" s="15"/>
    </row>
    <row r="1203" spans="10:10" x14ac:dyDescent="0.25">
      <c r="J1203" s="15"/>
    </row>
    <row r="1204" spans="10:10" x14ac:dyDescent="0.25">
      <c r="J1204" s="15"/>
    </row>
    <row r="1205" spans="10:10" x14ac:dyDescent="0.25">
      <c r="J1205" s="15"/>
    </row>
    <row r="1206" spans="10:10" x14ac:dyDescent="0.25">
      <c r="J1206" s="15"/>
    </row>
    <row r="1207" spans="10:10" x14ac:dyDescent="0.25">
      <c r="J1207" s="15"/>
    </row>
    <row r="1208" spans="10:10" x14ac:dyDescent="0.25">
      <c r="J1208" s="15"/>
    </row>
    <row r="1209" spans="10:10" x14ac:dyDescent="0.25">
      <c r="J1209" s="15"/>
    </row>
    <row r="1210" spans="10:10" x14ac:dyDescent="0.25">
      <c r="J1210" s="15"/>
    </row>
    <row r="1211" spans="10:10" x14ac:dyDescent="0.25">
      <c r="J1211" s="15"/>
    </row>
    <row r="1212" spans="10:10" x14ac:dyDescent="0.25">
      <c r="J1212" s="15"/>
    </row>
    <row r="1213" spans="10:10" x14ac:dyDescent="0.25">
      <c r="J1213" s="15"/>
    </row>
    <row r="1214" spans="10:10" x14ac:dyDescent="0.25">
      <c r="J1214" s="15"/>
    </row>
    <row r="1215" spans="10:10" x14ac:dyDescent="0.25">
      <c r="J1215" s="15"/>
    </row>
    <row r="1216" spans="10:10" x14ac:dyDescent="0.25">
      <c r="J1216" s="15"/>
    </row>
    <row r="1217" spans="10:10" x14ac:dyDescent="0.25">
      <c r="J1217" s="15"/>
    </row>
    <row r="1218" spans="10:10" x14ac:dyDescent="0.25">
      <c r="J1218" s="15"/>
    </row>
    <row r="1219" spans="10:10" x14ac:dyDescent="0.25">
      <c r="J1219" s="15"/>
    </row>
    <row r="1220" spans="10:10" x14ac:dyDescent="0.25">
      <c r="J1220" s="15"/>
    </row>
    <row r="1221" spans="10:10" x14ac:dyDescent="0.25">
      <c r="J1221" s="15"/>
    </row>
    <row r="1222" spans="10:10" x14ac:dyDescent="0.25">
      <c r="J1222" s="15"/>
    </row>
    <row r="1223" spans="10:10" x14ac:dyDescent="0.25">
      <c r="J1223" s="15"/>
    </row>
    <row r="1224" spans="10:10" x14ac:dyDescent="0.25">
      <c r="J1224" s="15"/>
    </row>
    <row r="1225" spans="10:10" x14ac:dyDescent="0.25">
      <c r="J1225" s="15"/>
    </row>
    <row r="1226" spans="10:10" x14ac:dyDescent="0.25">
      <c r="J1226" s="15"/>
    </row>
    <row r="1227" spans="10:10" x14ac:dyDescent="0.25">
      <c r="J1227" s="15"/>
    </row>
    <row r="1228" spans="10:10" x14ac:dyDescent="0.25">
      <c r="J1228" s="15"/>
    </row>
    <row r="1229" spans="10:10" x14ac:dyDescent="0.25">
      <c r="J1229" s="15"/>
    </row>
    <row r="1230" spans="10:10" x14ac:dyDescent="0.25">
      <c r="J1230" s="15"/>
    </row>
    <row r="1231" spans="10:10" x14ac:dyDescent="0.25">
      <c r="J1231" s="15"/>
    </row>
    <row r="1232" spans="10:10" x14ac:dyDescent="0.25">
      <c r="J1232" s="15"/>
    </row>
    <row r="1233" spans="10:10" x14ac:dyDescent="0.25">
      <c r="J1233" s="15"/>
    </row>
    <row r="1234" spans="10:10" x14ac:dyDescent="0.25">
      <c r="J1234" s="15"/>
    </row>
    <row r="1235" spans="10:10" x14ac:dyDescent="0.25">
      <c r="J1235" s="15"/>
    </row>
    <row r="1236" spans="10:10" x14ac:dyDescent="0.25">
      <c r="J1236" s="15"/>
    </row>
    <row r="1237" spans="10:10" x14ac:dyDescent="0.25">
      <c r="J1237" s="15"/>
    </row>
    <row r="1238" spans="10:10" x14ac:dyDescent="0.25">
      <c r="J1238" s="15"/>
    </row>
    <row r="1239" spans="10:10" x14ac:dyDescent="0.25">
      <c r="J1239" s="15"/>
    </row>
    <row r="1240" spans="10:10" x14ac:dyDescent="0.25">
      <c r="J1240" s="15"/>
    </row>
    <row r="1241" spans="10:10" x14ac:dyDescent="0.25">
      <c r="J1241" s="15"/>
    </row>
    <row r="1242" spans="10:10" x14ac:dyDescent="0.25">
      <c r="J1242" s="15"/>
    </row>
    <row r="1243" spans="10:10" x14ac:dyDescent="0.25">
      <c r="J1243" s="15"/>
    </row>
    <row r="1244" spans="10:10" x14ac:dyDescent="0.25">
      <c r="J1244" s="15"/>
    </row>
    <row r="1245" spans="10:10" x14ac:dyDescent="0.25">
      <c r="J1245" s="15"/>
    </row>
    <row r="1246" spans="10:10" x14ac:dyDescent="0.25">
      <c r="J1246" s="15"/>
    </row>
    <row r="1247" spans="10:10" x14ac:dyDescent="0.25">
      <c r="J1247" s="15"/>
    </row>
    <row r="1248" spans="10:10" x14ac:dyDescent="0.25">
      <c r="J1248" s="15"/>
    </row>
    <row r="1249" spans="10:10" x14ac:dyDescent="0.25">
      <c r="J1249" s="15"/>
    </row>
    <row r="1250" spans="10:10" x14ac:dyDescent="0.25">
      <c r="J1250" s="15"/>
    </row>
    <row r="1251" spans="10:10" x14ac:dyDescent="0.25">
      <c r="J1251" s="15"/>
    </row>
    <row r="1252" spans="10:10" x14ac:dyDescent="0.25">
      <c r="J1252" s="15"/>
    </row>
    <row r="1253" spans="10:10" x14ac:dyDescent="0.25">
      <c r="J1253" s="15"/>
    </row>
    <row r="1254" spans="10:10" x14ac:dyDescent="0.25">
      <c r="J1254" s="15"/>
    </row>
    <row r="1255" spans="10:10" x14ac:dyDescent="0.25">
      <c r="J1255" s="15"/>
    </row>
    <row r="1256" spans="10:10" x14ac:dyDescent="0.25">
      <c r="J1256" s="15"/>
    </row>
    <row r="1257" spans="10:10" x14ac:dyDescent="0.25">
      <c r="J1257" s="15"/>
    </row>
    <row r="1258" spans="10:10" x14ac:dyDescent="0.25">
      <c r="J1258" s="15"/>
    </row>
    <row r="1259" spans="10:10" x14ac:dyDescent="0.25">
      <c r="J1259" s="15"/>
    </row>
    <row r="1260" spans="10:10" x14ac:dyDescent="0.25">
      <c r="J1260" s="15"/>
    </row>
    <row r="1261" spans="10:10" x14ac:dyDescent="0.25">
      <c r="J1261" s="15"/>
    </row>
    <row r="1262" spans="10:10" x14ac:dyDescent="0.25">
      <c r="J1262" s="15"/>
    </row>
    <row r="1263" spans="10:10" x14ac:dyDescent="0.25">
      <c r="J1263" s="15"/>
    </row>
    <row r="1264" spans="10:10" x14ac:dyDescent="0.25">
      <c r="J1264" s="15"/>
    </row>
    <row r="1265" spans="10:10" x14ac:dyDescent="0.25">
      <c r="J1265" s="15"/>
    </row>
    <row r="1266" spans="10:10" x14ac:dyDescent="0.25">
      <c r="J1266" s="15"/>
    </row>
    <row r="1267" spans="10:10" x14ac:dyDescent="0.25">
      <c r="J1267" s="15"/>
    </row>
    <row r="1268" spans="10:10" x14ac:dyDescent="0.25">
      <c r="J1268" s="15"/>
    </row>
    <row r="1269" spans="10:10" x14ac:dyDescent="0.25">
      <c r="J1269" s="15"/>
    </row>
    <row r="1270" spans="10:10" x14ac:dyDescent="0.25">
      <c r="J1270" s="15"/>
    </row>
    <row r="1271" spans="10:10" x14ac:dyDescent="0.25">
      <c r="J1271" s="15"/>
    </row>
    <row r="1272" spans="10:10" x14ac:dyDescent="0.25">
      <c r="J1272" s="15"/>
    </row>
    <row r="1273" spans="10:10" x14ac:dyDescent="0.25">
      <c r="J1273" s="15"/>
    </row>
    <row r="1274" spans="10:10" x14ac:dyDescent="0.25">
      <c r="J1274" s="15"/>
    </row>
    <row r="1275" spans="10:10" x14ac:dyDescent="0.25">
      <c r="J1275" s="15"/>
    </row>
    <row r="1276" spans="10:10" x14ac:dyDescent="0.25">
      <c r="J1276" s="15"/>
    </row>
    <row r="1277" spans="10:10" x14ac:dyDescent="0.25">
      <c r="J1277" s="15"/>
    </row>
    <row r="1278" spans="10:10" x14ac:dyDescent="0.25">
      <c r="J1278" s="15"/>
    </row>
    <row r="1279" spans="10:10" x14ac:dyDescent="0.25">
      <c r="J1279" s="15"/>
    </row>
    <row r="1280" spans="10:10" x14ac:dyDescent="0.25">
      <c r="J1280" s="15"/>
    </row>
    <row r="1281" spans="10:10" x14ac:dyDescent="0.25">
      <c r="J1281" s="15"/>
    </row>
    <row r="1282" spans="10:10" x14ac:dyDescent="0.25">
      <c r="J1282" s="15"/>
    </row>
    <row r="1283" spans="10:10" x14ac:dyDescent="0.25">
      <c r="J1283" s="15"/>
    </row>
    <row r="1284" spans="10:10" x14ac:dyDescent="0.25">
      <c r="J1284" s="15"/>
    </row>
    <row r="1285" spans="10:10" x14ac:dyDescent="0.25">
      <c r="J1285" s="15"/>
    </row>
    <row r="1286" spans="10:10" x14ac:dyDescent="0.25">
      <c r="J1286" s="15"/>
    </row>
    <row r="1287" spans="10:10" x14ac:dyDescent="0.25">
      <c r="J1287" s="15"/>
    </row>
    <row r="1288" spans="10:10" x14ac:dyDescent="0.25">
      <c r="J1288" s="15"/>
    </row>
    <row r="1289" spans="10:10" x14ac:dyDescent="0.25">
      <c r="J1289" s="15"/>
    </row>
    <row r="1290" spans="10:10" x14ac:dyDescent="0.25">
      <c r="J1290" s="15"/>
    </row>
    <row r="1291" spans="10:10" x14ac:dyDescent="0.25">
      <c r="J1291" s="15"/>
    </row>
    <row r="1292" spans="10:10" x14ac:dyDescent="0.25">
      <c r="J1292" s="15"/>
    </row>
    <row r="1293" spans="10:10" x14ac:dyDescent="0.25">
      <c r="J1293" s="15"/>
    </row>
    <row r="1294" spans="10:10" x14ac:dyDescent="0.25">
      <c r="J1294" s="15"/>
    </row>
    <row r="1295" spans="10:10" x14ac:dyDescent="0.25">
      <c r="J1295" s="15"/>
    </row>
    <row r="1296" spans="10:10" x14ac:dyDescent="0.25">
      <c r="J1296" s="15"/>
    </row>
    <row r="1297" spans="10:10" x14ac:dyDescent="0.25">
      <c r="J1297" s="15"/>
    </row>
    <row r="1298" spans="10:10" x14ac:dyDescent="0.25">
      <c r="J1298" s="15"/>
    </row>
    <row r="1299" spans="10:10" x14ac:dyDescent="0.25">
      <c r="J1299" s="15"/>
    </row>
    <row r="1300" spans="10:10" x14ac:dyDescent="0.25">
      <c r="J1300" s="15"/>
    </row>
    <row r="1301" spans="10:10" x14ac:dyDescent="0.25">
      <c r="J1301" s="15"/>
    </row>
    <row r="1302" spans="10:10" x14ac:dyDescent="0.25">
      <c r="J1302" s="15"/>
    </row>
    <row r="1303" spans="10:10" x14ac:dyDescent="0.25">
      <c r="J1303" s="15"/>
    </row>
    <row r="1304" spans="10:10" x14ac:dyDescent="0.25">
      <c r="J1304" s="15"/>
    </row>
    <row r="1305" spans="10:10" x14ac:dyDescent="0.25">
      <c r="J1305" s="15"/>
    </row>
    <row r="1306" spans="10:10" x14ac:dyDescent="0.25">
      <c r="J1306" s="15"/>
    </row>
    <row r="1307" spans="10:10" x14ac:dyDescent="0.25">
      <c r="J1307" s="15"/>
    </row>
    <row r="1308" spans="10:10" x14ac:dyDescent="0.25">
      <c r="J1308" s="15"/>
    </row>
    <row r="1309" spans="10:10" x14ac:dyDescent="0.25">
      <c r="J1309" s="15"/>
    </row>
    <row r="1310" spans="10:10" x14ac:dyDescent="0.25">
      <c r="J1310" s="15"/>
    </row>
    <row r="1311" spans="10:10" x14ac:dyDescent="0.25">
      <c r="J1311" s="15"/>
    </row>
    <row r="1312" spans="10:10" x14ac:dyDescent="0.25">
      <c r="J1312" s="15"/>
    </row>
    <row r="1313" spans="10:10" x14ac:dyDescent="0.25">
      <c r="J1313" s="15"/>
    </row>
    <row r="1314" spans="10:10" x14ac:dyDescent="0.25">
      <c r="J1314" s="15"/>
    </row>
    <row r="1315" spans="10:10" x14ac:dyDescent="0.25">
      <c r="J1315" s="15"/>
    </row>
    <row r="1316" spans="10:10" x14ac:dyDescent="0.25">
      <c r="J1316" s="15"/>
    </row>
    <row r="1317" spans="10:10" x14ac:dyDescent="0.25">
      <c r="J1317" s="15"/>
    </row>
    <row r="1318" spans="10:10" x14ac:dyDescent="0.25">
      <c r="J1318" s="15"/>
    </row>
    <row r="1319" spans="10:10" x14ac:dyDescent="0.25">
      <c r="J1319" s="15"/>
    </row>
    <row r="1320" spans="10:10" x14ac:dyDescent="0.25">
      <c r="J1320" s="15"/>
    </row>
    <row r="1321" spans="10:10" x14ac:dyDescent="0.25">
      <c r="J1321" s="15"/>
    </row>
    <row r="1322" spans="10:10" x14ac:dyDescent="0.25">
      <c r="J1322" s="15"/>
    </row>
    <row r="1323" spans="10:10" x14ac:dyDescent="0.25">
      <c r="J1323" s="15"/>
    </row>
    <row r="1324" spans="10:10" x14ac:dyDescent="0.25">
      <c r="J1324" s="15"/>
    </row>
    <row r="1325" spans="10:10" x14ac:dyDescent="0.25">
      <c r="J1325" s="15"/>
    </row>
    <row r="1326" spans="10:10" x14ac:dyDescent="0.25">
      <c r="J1326" s="15"/>
    </row>
    <row r="1327" spans="10:10" x14ac:dyDescent="0.25">
      <c r="J1327" s="15"/>
    </row>
    <row r="1328" spans="10:10" x14ac:dyDescent="0.25">
      <c r="J1328" s="15"/>
    </row>
    <row r="1329" spans="10:10" x14ac:dyDescent="0.25">
      <c r="J1329" s="15"/>
    </row>
    <row r="1330" spans="10:10" x14ac:dyDescent="0.25">
      <c r="J1330" s="15"/>
    </row>
    <row r="1331" spans="10:10" x14ac:dyDescent="0.25">
      <c r="J1331" s="15"/>
    </row>
    <row r="1332" spans="10:10" x14ac:dyDescent="0.25">
      <c r="J1332" s="15"/>
    </row>
    <row r="1333" spans="10:10" x14ac:dyDescent="0.25">
      <c r="J1333" s="15"/>
    </row>
    <row r="1334" spans="10:10" x14ac:dyDescent="0.25">
      <c r="J1334" s="15"/>
    </row>
    <row r="1335" spans="10:10" x14ac:dyDescent="0.25">
      <c r="J1335" s="15"/>
    </row>
    <row r="1336" spans="10:10" x14ac:dyDescent="0.25">
      <c r="J1336" s="15"/>
    </row>
    <row r="1337" spans="10:10" x14ac:dyDescent="0.25">
      <c r="J1337" s="15"/>
    </row>
    <row r="1338" spans="10:10" x14ac:dyDescent="0.25">
      <c r="J1338" s="15"/>
    </row>
    <row r="1339" spans="10:10" x14ac:dyDescent="0.25">
      <c r="J1339" s="15"/>
    </row>
    <row r="1340" spans="10:10" x14ac:dyDescent="0.25">
      <c r="J1340" s="15"/>
    </row>
    <row r="1341" spans="10:10" x14ac:dyDescent="0.25">
      <c r="J1341" s="15"/>
    </row>
    <row r="1342" spans="10:10" x14ac:dyDescent="0.25">
      <c r="J1342" s="15"/>
    </row>
    <row r="1343" spans="10:10" x14ac:dyDescent="0.25">
      <c r="J1343" s="15"/>
    </row>
    <row r="1344" spans="10:10" x14ac:dyDescent="0.25">
      <c r="J1344" s="15"/>
    </row>
    <row r="1345" spans="10:10" x14ac:dyDescent="0.25">
      <c r="J1345" s="15"/>
    </row>
    <row r="1346" spans="10:10" x14ac:dyDescent="0.25">
      <c r="J1346" s="15"/>
    </row>
    <row r="1347" spans="10:10" x14ac:dyDescent="0.25">
      <c r="J1347" s="15"/>
    </row>
    <row r="1348" spans="10:10" x14ac:dyDescent="0.25">
      <c r="J1348" s="15"/>
    </row>
    <row r="1349" spans="10:10" x14ac:dyDescent="0.25">
      <c r="J1349" s="15"/>
    </row>
    <row r="1350" spans="10:10" x14ac:dyDescent="0.25">
      <c r="J1350" s="15"/>
    </row>
    <row r="1351" spans="10:10" x14ac:dyDescent="0.25">
      <c r="J1351" s="15"/>
    </row>
    <row r="1352" spans="10:10" x14ac:dyDescent="0.25">
      <c r="J1352" s="15"/>
    </row>
    <row r="1353" spans="10:10" x14ac:dyDescent="0.25">
      <c r="J1353" s="15"/>
    </row>
    <row r="1354" spans="10:10" x14ac:dyDescent="0.25">
      <c r="J1354" s="15"/>
    </row>
    <row r="1355" spans="10:10" x14ac:dyDescent="0.25">
      <c r="J1355" s="15"/>
    </row>
    <row r="1356" spans="10:10" x14ac:dyDescent="0.25">
      <c r="J1356" s="15"/>
    </row>
    <row r="1357" spans="10:10" x14ac:dyDescent="0.25">
      <c r="J1357" s="15"/>
    </row>
    <row r="1358" spans="10:10" x14ac:dyDescent="0.25">
      <c r="J1358" s="15"/>
    </row>
    <row r="1359" spans="10:10" x14ac:dyDescent="0.25">
      <c r="J1359" s="15"/>
    </row>
    <row r="1360" spans="10:10" x14ac:dyDescent="0.25">
      <c r="J1360" s="15"/>
    </row>
    <row r="1361" spans="10:10" x14ac:dyDescent="0.25">
      <c r="J1361" s="15"/>
    </row>
    <row r="1362" spans="10:10" x14ac:dyDescent="0.25">
      <c r="J1362" s="15"/>
    </row>
    <row r="1363" spans="10:10" x14ac:dyDescent="0.25">
      <c r="J1363" s="15"/>
    </row>
    <row r="1364" spans="10:10" x14ac:dyDescent="0.25">
      <c r="J1364" s="15"/>
    </row>
    <row r="1365" spans="10:10" x14ac:dyDescent="0.25">
      <c r="J1365" s="15"/>
    </row>
    <row r="1366" spans="10:10" x14ac:dyDescent="0.25">
      <c r="J1366" s="15"/>
    </row>
    <row r="1367" spans="10:10" x14ac:dyDescent="0.25">
      <c r="J1367" s="15"/>
    </row>
    <row r="1368" spans="10:10" x14ac:dyDescent="0.25">
      <c r="J1368" s="15"/>
    </row>
    <row r="1369" spans="10:10" x14ac:dyDescent="0.25">
      <c r="J1369" s="15"/>
    </row>
    <row r="1370" spans="10:10" x14ac:dyDescent="0.25">
      <c r="J1370" s="15"/>
    </row>
    <row r="1371" spans="10:10" x14ac:dyDescent="0.25">
      <c r="J1371" s="15"/>
    </row>
    <row r="1372" spans="10:10" x14ac:dyDescent="0.25">
      <c r="J1372" s="15"/>
    </row>
    <row r="1373" spans="10:10" x14ac:dyDescent="0.25">
      <c r="J1373" s="15"/>
    </row>
    <row r="1374" spans="10:10" x14ac:dyDescent="0.25">
      <c r="J1374" s="15"/>
    </row>
    <row r="1375" spans="10:10" x14ac:dyDescent="0.25">
      <c r="J1375" s="15"/>
    </row>
    <row r="1376" spans="10:10" x14ac:dyDescent="0.25">
      <c r="J1376" s="15"/>
    </row>
    <row r="1377" spans="10:10" x14ac:dyDescent="0.25">
      <c r="J1377" s="15"/>
    </row>
    <row r="1378" spans="10:10" x14ac:dyDescent="0.25">
      <c r="J1378" s="15"/>
    </row>
    <row r="1379" spans="10:10" x14ac:dyDescent="0.25">
      <c r="J1379" s="15"/>
    </row>
    <row r="1380" spans="10:10" x14ac:dyDescent="0.25">
      <c r="J1380" s="15"/>
    </row>
    <row r="1381" spans="10:10" x14ac:dyDescent="0.25">
      <c r="J1381" s="15"/>
    </row>
    <row r="1382" spans="10:10" x14ac:dyDescent="0.25">
      <c r="J1382" s="15"/>
    </row>
    <row r="1383" spans="10:10" x14ac:dyDescent="0.25">
      <c r="J1383" s="15"/>
    </row>
    <row r="1384" spans="10:10" x14ac:dyDescent="0.25">
      <c r="J1384" s="15"/>
    </row>
    <row r="1385" spans="10:10" x14ac:dyDescent="0.25">
      <c r="J1385" s="15"/>
    </row>
    <row r="1386" spans="10:10" x14ac:dyDescent="0.25">
      <c r="J1386" s="15"/>
    </row>
    <row r="1387" spans="10:10" x14ac:dyDescent="0.25">
      <c r="J1387" s="15"/>
    </row>
    <row r="1388" spans="10:10" x14ac:dyDescent="0.25">
      <c r="J1388" s="15"/>
    </row>
    <row r="1389" spans="10:10" x14ac:dyDescent="0.25">
      <c r="J1389" s="15"/>
    </row>
    <row r="1390" spans="10:10" x14ac:dyDescent="0.25">
      <c r="J1390" s="15"/>
    </row>
    <row r="1391" spans="10:10" x14ac:dyDescent="0.25">
      <c r="J1391" s="15"/>
    </row>
    <row r="1392" spans="10:10" x14ac:dyDescent="0.25">
      <c r="J1392" s="15"/>
    </row>
    <row r="1393" spans="10:10" x14ac:dyDescent="0.25">
      <c r="J1393" s="15"/>
    </row>
    <row r="1394" spans="10:10" x14ac:dyDescent="0.25">
      <c r="J1394" s="15"/>
    </row>
    <row r="1395" spans="10:10" x14ac:dyDescent="0.25">
      <c r="J1395" s="15"/>
    </row>
    <row r="1396" spans="10:10" x14ac:dyDescent="0.25">
      <c r="J1396" s="15"/>
    </row>
    <row r="1397" spans="10:10" x14ac:dyDescent="0.25">
      <c r="J1397" s="15"/>
    </row>
    <row r="1398" spans="10:10" x14ac:dyDescent="0.25">
      <c r="J1398" s="15"/>
    </row>
    <row r="1399" spans="10:10" x14ac:dyDescent="0.25">
      <c r="J1399" s="15"/>
    </row>
    <row r="1400" spans="10:10" x14ac:dyDescent="0.25">
      <c r="J1400" s="15"/>
    </row>
    <row r="1401" spans="10:10" x14ac:dyDescent="0.25">
      <c r="J1401" s="15"/>
    </row>
    <row r="1402" spans="10:10" x14ac:dyDescent="0.25">
      <c r="J1402" s="15"/>
    </row>
    <row r="1403" spans="10:10" x14ac:dyDescent="0.25">
      <c r="J1403" s="15"/>
    </row>
    <row r="1404" spans="10:10" x14ac:dyDescent="0.25">
      <c r="J1404" s="15"/>
    </row>
    <row r="1405" spans="10:10" x14ac:dyDescent="0.25">
      <c r="J1405" s="15"/>
    </row>
    <row r="1406" spans="10:10" x14ac:dyDescent="0.25">
      <c r="J1406" s="15"/>
    </row>
    <row r="1407" spans="10:10" x14ac:dyDescent="0.25">
      <c r="J1407" s="15"/>
    </row>
    <row r="1408" spans="10:10" x14ac:dyDescent="0.25">
      <c r="J1408" s="15"/>
    </row>
    <row r="1409" spans="10:10" x14ac:dyDescent="0.25">
      <c r="J1409" s="15"/>
    </row>
    <row r="1410" spans="10:10" x14ac:dyDescent="0.25">
      <c r="J1410" s="15"/>
    </row>
    <row r="1411" spans="10:10" x14ac:dyDescent="0.25">
      <c r="J1411" s="15"/>
    </row>
    <row r="1412" spans="10:10" x14ac:dyDescent="0.25">
      <c r="J1412" s="15"/>
    </row>
    <row r="1413" spans="10:10" x14ac:dyDescent="0.25">
      <c r="J1413" s="15"/>
    </row>
    <row r="1414" spans="10:10" x14ac:dyDescent="0.25">
      <c r="J1414" s="15"/>
    </row>
    <row r="1415" spans="10:10" x14ac:dyDescent="0.25">
      <c r="J1415" s="15"/>
    </row>
    <row r="1416" spans="10:10" x14ac:dyDescent="0.25">
      <c r="J1416" s="15"/>
    </row>
    <row r="1417" spans="10:10" x14ac:dyDescent="0.25">
      <c r="J1417" s="15"/>
    </row>
    <row r="1418" spans="10:10" x14ac:dyDescent="0.25">
      <c r="J1418" s="15"/>
    </row>
    <row r="1419" spans="10:10" x14ac:dyDescent="0.25">
      <c r="J1419" s="15"/>
    </row>
    <row r="1420" spans="10:10" x14ac:dyDescent="0.25">
      <c r="J1420" s="15"/>
    </row>
    <row r="1421" spans="10:10" x14ac:dyDescent="0.25">
      <c r="J1421" s="15"/>
    </row>
    <row r="1422" spans="10:10" x14ac:dyDescent="0.25">
      <c r="J1422" s="15"/>
    </row>
    <row r="1423" spans="10:10" x14ac:dyDescent="0.25">
      <c r="J1423" s="15"/>
    </row>
    <row r="1424" spans="10:10" x14ac:dyDescent="0.25">
      <c r="J1424" s="15"/>
    </row>
    <row r="1425" spans="10:10" x14ac:dyDescent="0.25">
      <c r="J1425" s="15"/>
    </row>
    <row r="1426" spans="10:10" x14ac:dyDescent="0.25">
      <c r="J1426" s="15"/>
    </row>
    <row r="1427" spans="10:10" x14ac:dyDescent="0.25">
      <c r="J1427" s="15"/>
    </row>
    <row r="1428" spans="10:10" x14ac:dyDescent="0.25">
      <c r="J1428" s="15"/>
    </row>
    <row r="1429" spans="10:10" x14ac:dyDescent="0.25">
      <c r="J1429" s="15"/>
    </row>
    <row r="1430" spans="10:10" x14ac:dyDescent="0.25">
      <c r="J1430" s="15"/>
    </row>
    <row r="1431" spans="10:10" x14ac:dyDescent="0.25">
      <c r="J1431" s="15"/>
    </row>
    <row r="1432" spans="10:10" x14ac:dyDescent="0.25">
      <c r="J1432" s="15"/>
    </row>
    <row r="1433" spans="10:10" x14ac:dyDescent="0.25">
      <c r="J1433" s="15"/>
    </row>
    <row r="1434" spans="10:10" x14ac:dyDescent="0.25">
      <c r="J1434" s="15"/>
    </row>
    <row r="1435" spans="10:10" x14ac:dyDescent="0.25">
      <c r="J1435" s="15"/>
    </row>
    <row r="1436" spans="10:10" x14ac:dyDescent="0.25">
      <c r="J1436" s="15"/>
    </row>
    <row r="1437" spans="10:10" x14ac:dyDescent="0.25">
      <c r="J1437" s="15"/>
    </row>
    <row r="1438" spans="10:10" x14ac:dyDescent="0.25">
      <c r="J1438" s="15"/>
    </row>
    <row r="1439" spans="10:10" x14ac:dyDescent="0.25">
      <c r="J1439" s="15"/>
    </row>
    <row r="1440" spans="10:10" x14ac:dyDescent="0.25">
      <c r="J1440" s="15"/>
    </row>
    <row r="1441" spans="10:10" x14ac:dyDescent="0.25">
      <c r="J1441" s="15"/>
    </row>
    <row r="1442" spans="10:10" x14ac:dyDescent="0.25">
      <c r="J1442" s="15"/>
    </row>
    <row r="1443" spans="10:10" x14ac:dyDescent="0.25">
      <c r="J1443" s="15"/>
    </row>
    <row r="1444" spans="10:10" x14ac:dyDescent="0.25">
      <c r="J1444" s="15"/>
    </row>
    <row r="1445" spans="10:10" x14ac:dyDescent="0.25">
      <c r="J1445" s="15"/>
    </row>
    <row r="1446" spans="10:10" x14ac:dyDescent="0.25">
      <c r="J1446" s="15"/>
    </row>
    <row r="1447" spans="10:10" x14ac:dyDescent="0.25">
      <c r="J1447" s="15"/>
    </row>
    <row r="1448" spans="10:10" x14ac:dyDescent="0.25">
      <c r="J1448" s="15"/>
    </row>
    <row r="1449" spans="10:10" x14ac:dyDescent="0.25">
      <c r="J1449" s="15"/>
    </row>
    <row r="1450" spans="10:10" x14ac:dyDescent="0.25">
      <c r="J1450" s="15"/>
    </row>
    <row r="1451" spans="10:10" x14ac:dyDescent="0.25">
      <c r="J1451" s="15"/>
    </row>
    <row r="1452" spans="10:10" x14ac:dyDescent="0.25">
      <c r="J1452" s="15"/>
    </row>
    <row r="1453" spans="10:10" x14ac:dyDescent="0.25">
      <c r="J1453" s="15"/>
    </row>
    <row r="1454" spans="10:10" x14ac:dyDescent="0.25">
      <c r="J1454" s="15"/>
    </row>
    <row r="1455" spans="10:10" x14ac:dyDescent="0.25">
      <c r="J1455" s="15"/>
    </row>
    <row r="1456" spans="10:10" x14ac:dyDescent="0.25">
      <c r="J1456" s="15"/>
    </row>
    <row r="1457" spans="10:10" x14ac:dyDescent="0.25">
      <c r="J1457" s="15"/>
    </row>
    <row r="1458" spans="10:10" x14ac:dyDescent="0.25">
      <c r="J1458" s="15"/>
    </row>
    <row r="1459" spans="10:10" x14ac:dyDescent="0.25">
      <c r="J1459" s="15"/>
    </row>
    <row r="1460" spans="10:10" x14ac:dyDescent="0.25">
      <c r="J1460" s="15"/>
    </row>
    <row r="1461" spans="10:10" x14ac:dyDescent="0.25">
      <c r="J1461" s="15"/>
    </row>
    <row r="1462" spans="10:10" x14ac:dyDescent="0.25">
      <c r="J1462" s="15"/>
    </row>
    <row r="1463" spans="10:10" x14ac:dyDescent="0.25">
      <c r="J1463" s="15"/>
    </row>
    <row r="1464" spans="10:10" x14ac:dyDescent="0.25">
      <c r="J1464" s="15"/>
    </row>
    <row r="1465" spans="10:10" x14ac:dyDescent="0.25">
      <c r="J1465" s="15"/>
    </row>
    <row r="1466" spans="10:10" x14ac:dyDescent="0.25">
      <c r="J1466" s="15"/>
    </row>
    <row r="1467" spans="10:10" x14ac:dyDescent="0.25">
      <c r="J1467" s="15"/>
    </row>
    <row r="1468" spans="10:10" x14ac:dyDescent="0.25">
      <c r="J1468" s="15"/>
    </row>
    <row r="1469" spans="10:10" x14ac:dyDescent="0.25">
      <c r="J1469" s="15"/>
    </row>
    <row r="1470" spans="10:10" x14ac:dyDescent="0.25">
      <c r="J1470" s="15"/>
    </row>
    <row r="1471" spans="10:10" x14ac:dyDescent="0.25">
      <c r="J1471" s="15"/>
    </row>
    <row r="1472" spans="10:10" x14ac:dyDescent="0.25">
      <c r="J1472" s="15"/>
    </row>
    <row r="1473" spans="10:10" x14ac:dyDescent="0.25">
      <c r="J1473" s="15"/>
    </row>
    <row r="1474" spans="10:10" x14ac:dyDescent="0.25">
      <c r="J1474" s="15"/>
    </row>
    <row r="1475" spans="10:10" x14ac:dyDescent="0.25">
      <c r="J1475" s="15"/>
    </row>
    <row r="1476" spans="10:10" x14ac:dyDescent="0.25">
      <c r="J1476" s="15"/>
    </row>
    <row r="1477" spans="10:10" x14ac:dyDescent="0.25">
      <c r="J1477" s="15"/>
    </row>
    <row r="1478" spans="10:10" x14ac:dyDescent="0.25">
      <c r="J1478" s="15"/>
    </row>
    <row r="1479" spans="10:10" x14ac:dyDescent="0.25">
      <c r="J1479" s="15"/>
    </row>
    <row r="1480" spans="10:10" x14ac:dyDescent="0.25">
      <c r="J1480" s="15"/>
    </row>
    <row r="1481" spans="10:10" x14ac:dyDescent="0.25">
      <c r="J1481" s="15"/>
    </row>
    <row r="1482" spans="10:10" x14ac:dyDescent="0.25">
      <c r="J1482" s="15"/>
    </row>
    <row r="1483" spans="10:10" x14ac:dyDescent="0.25">
      <c r="J1483" s="15"/>
    </row>
    <row r="1484" spans="10:10" x14ac:dyDescent="0.25">
      <c r="J1484" s="15"/>
    </row>
    <row r="1485" spans="10:10" x14ac:dyDescent="0.25">
      <c r="J1485" s="15"/>
    </row>
    <row r="1486" spans="10:10" x14ac:dyDescent="0.25">
      <c r="J1486" s="15"/>
    </row>
    <row r="1487" spans="10:10" x14ac:dyDescent="0.25">
      <c r="J1487" s="15"/>
    </row>
    <row r="1488" spans="10:10" x14ac:dyDescent="0.25">
      <c r="J1488" s="15"/>
    </row>
    <row r="1489" spans="10:10" x14ac:dyDescent="0.25">
      <c r="J1489" s="15"/>
    </row>
    <row r="1490" spans="10:10" x14ac:dyDescent="0.25">
      <c r="J1490" s="15"/>
    </row>
    <row r="1491" spans="10:10" x14ac:dyDescent="0.25">
      <c r="J1491" s="15"/>
    </row>
    <row r="1492" spans="10:10" x14ac:dyDescent="0.25">
      <c r="J1492" s="15"/>
    </row>
    <row r="1493" spans="10:10" x14ac:dyDescent="0.25">
      <c r="J1493" s="15"/>
    </row>
    <row r="1494" spans="10:10" x14ac:dyDescent="0.25">
      <c r="J1494" s="15"/>
    </row>
    <row r="1495" spans="10:10" x14ac:dyDescent="0.25">
      <c r="J1495" s="15"/>
    </row>
    <row r="1496" spans="10:10" x14ac:dyDescent="0.25">
      <c r="J1496" s="15"/>
    </row>
    <row r="1497" spans="10:10" x14ac:dyDescent="0.25">
      <c r="J1497" s="15"/>
    </row>
    <row r="1498" spans="10:10" x14ac:dyDescent="0.25">
      <c r="J1498" s="15"/>
    </row>
    <row r="1499" spans="10:10" x14ac:dyDescent="0.25">
      <c r="J1499" s="15"/>
    </row>
    <row r="1500" spans="10:10" x14ac:dyDescent="0.25">
      <c r="J1500" s="15"/>
    </row>
    <row r="1501" spans="10:10" x14ac:dyDescent="0.25">
      <c r="J1501" s="15"/>
    </row>
    <row r="1502" spans="10:10" x14ac:dyDescent="0.25">
      <c r="J1502" s="15"/>
    </row>
    <row r="1503" spans="10:10" x14ac:dyDescent="0.25">
      <c r="J1503" s="15"/>
    </row>
    <row r="1504" spans="10:10" x14ac:dyDescent="0.25">
      <c r="J1504" s="15"/>
    </row>
    <row r="1505" spans="10:10" x14ac:dyDescent="0.25">
      <c r="J1505" s="15"/>
    </row>
    <row r="1506" spans="10:10" x14ac:dyDescent="0.25">
      <c r="J1506" s="15"/>
    </row>
    <row r="1507" spans="10:10" x14ac:dyDescent="0.25">
      <c r="J1507" s="15"/>
    </row>
    <row r="1508" spans="10:10" x14ac:dyDescent="0.25">
      <c r="J1508" s="15"/>
    </row>
    <row r="1509" spans="10:10" x14ac:dyDescent="0.25">
      <c r="J1509" s="15"/>
    </row>
    <row r="1510" spans="10:10" x14ac:dyDescent="0.25">
      <c r="J1510" s="15"/>
    </row>
    <row r="1511" spans="10:10" x14ac:dyDescent="0.25">
      <c r="J1511" s="15"/>
    </row>
    <row r="1512" spans="10:10" x14ac:dyDescent="0.25">
      <c r="J1512" s="15"/>
    </row>
    <row r="1513" spans="10:10" x14ac:dyDescent="0.25">
      <c r="J1513" s="15"/>
    </row>
    <row r="1514" spans="10:10" x14ac:dyDescent="0.25">
      <c r="J1514" s="15"/>
    </row>
    <row r="1515" spans="10:10" x14ac:dyDescent="0.25">
      <c r="J1515" s="15"/>
    </row>
    <row r="1516" spans="10:10" x14ac:dyDescent="0.25">
      <c r="J1516" s="15"/>
    </row>
    <row r="1517" spans="10:10" x14ac:dyDescent="0.25">
      <c r="J1517" s="15"/>
    </row>
    <row r="1518" spans="10:10" x14ac:dyDescent="0.25">
      <c r="J1518" s="15"/>
    </row>
    <row r="1519" spans="10:10" x14ac:dyDescent="0.25">
      <c r="J1519" s="15"/>
    </row>
    <row r="1520" spans="10:10" x14ac:dyDescent="0.25">
      <c r="J1520" s="15"/>
    </row>
    <row r="1521" spans="10:10" x14ac:dyDescent="0.25">
      <c r="J1521" s="15"/>
    </row>
    <row r="1522" spans="10:10" x14ac:dyDescent="0.25">
      <c r="J1522" s="15"/>
    </row>
    <row r="1523" spans="10:10" x14ac:dyDescent="0.25">
      <c r="J1523" s="15"/>
    </row>
    <row r="1524" spans="10:10" x14ac:dyDescent="0.25">
      <c r="J1524" s="15"/>
    </row>
    <row r="1525" spans="10:10" x14ac:dyDescent="0.25">
      <c r="J1525" s="15"/>
    </row>
    <row r="1526" spans="10:10" x14ac:dyDescent="0.25">
      <c r="J1526" s="15"/>
    </row>
    <row r="1527" spans="10:10" x14ac:dyDescent="0.25">
      <c r="J1527" s="15"/>
    </row>
    <row r="1528" spans="10:10" x14ac:dyDescent="0.25">
      <c r="J1528" s="15"/>
    </row>
    <row r="1529" spans="10:10" x14ac:dyDescent="0.25">
      <c r="J1529" s="15"/>
    </row>
    <row r="1530" spans="10:10" x14ac:dyDescent="0.25">
      <c r="J1530" s="15"/>
    </row>
    <row r="1531" spans="10:10" x14ac:dyDescent="0.25">
      <c r="J1531" s="15"/>
    </row>
    <row r="1532" spans="10:10" x14ac:dyDescent="0.25">
      <c r="J1532" s="15"/>
    </row>
    <row r="1533" spans="10:10" x14ac:dyDescent="0.25">
      <c r="J1533" s="15"/>
    </row>
    <row r="1534" spans="10:10" x14ac:dyDescent="0.25">
      <c r="J1534" s="15"/>
    </row>
    <row r="1535" spans="10:10" x14ac:dyDescent="0.25">
      <c r="J1535" s="15"/>
    </row>
    <row r="1536" spans="10:10" x14ac:dyDescent="0.25">
      <c r="J1536" s="15"/>
    </row>
    <row r="1537" spans="10:10" x14ac:dyDescent="0.25">
      <c r="J1537" s="15"/>
    </row>
    <row r="1538" spans="10:10" x14ac:dyDescent="0.25">
      <c r="J1538" s="15"/>
    </row>
    <row r="1539" spans="10:10" x14ac:dyDescent="0.25">
      <c r="J1539" s="15"/>
    </row>
    <row r="1540" spans="10:10" x14ac:dyDescent="0.25">
      <c r="J1540" s="15"/>
    </row>
    <row r="1541" spans="10:10" x14ac:dyDescent="0.25">
      <c r="J1541" s="15"/>
    </row>
    <row r="1542" spans="10:10" x14ac:dyDescent="0.25">
      <c r="J1542" s="15"/>
    </row>
    <row r="1543" spans="10:10" x14ac:dyDescent="0.25">
      <c r="J1543" s="15"/>
    </row>
    <row r="1544" spans="10:10" x14ac:dyDescent="0.25">
      <c r="J1544" s="15"/>
    </row>
    <row r="1545" spans="10:10" x14ac:dyDescent="0.25">
      <c r="J1545" s="15"/>
    </row>
    <row r="1546" spans="10:10" x14ac:dyDescent="0.25">
      <c r="J1546" s="15"/>
    </row>
    <row r="1547" spans="10:10" x14ac:dyDescent="0.25">
      <c r="J1547" s="15"/>
    </row>
    <row r="1548" spans="10:10" x14ac:dyDescent="0.25">
      <c r="J1548" s="15"/>
    </row>
    <row r="1549" spans="10:10" x14ac:dyDescent="0.25">
      <c r="J1549" s="15"/>
    </row>
    <row r="1550" spans="10:10" x14ac:dyDescent="0.25">
      <c r="J1550" s="15"/>
    </row>
    <row r="1551" spans="10:10" x14ac:dyDescent="0.25">
      <c r="J1551" s="15"/>
    </row>
    <row r="1552" spans="10:10" x14ac:dyDescent="0.25">
      <c r="J1552" s="15"/>
    </row>
    <row r="1553" spans="10:10" x14ac:dyDescent="0.25">
      <c r="J1553" s="15"/>
    </row>
    <row r="1554" spans="10:10" x14ac:dyDescent="0.25">
      <c r="J1554" s="15"/>
    </row>
    <row r="1555" spans="10:10" x14ac:dyDescent="0.25">
      <c r="J1555" s="15"/>
    </row>
    <row r="1556" spans="10:10" x14ac:dyDescent="0.25">
      <c r="J1556" s="15"/>
    </row>
    <row r="1557" spans="10:10" x14ac:dyDescent="0.25">
      <c r="J1557" s="15"/>
    </row>
    <row r="1558" spans="10:10" x14ac:dyDescent="0.25">
      <c r="J1558" s="15"/>
    </row>
    <row r="1559" spans="10:10" x14ac:dyDescent="0.25">
      <c r="J1559" s="15"/>
    </row>
    <row r="1560" spans="10:10" x14ac:dyDescent="0.25">
      <c r="J1560" s="15"/>
    </row>
    <row r="1561" spans="10:10" x14ac:dyDescent="0.25">
      <c r="J1561" s="15"/>
    </row>
    <row r="1562" spans="10:10" x14ac:dyDescent="0.25">
      <c r="J1562" s="15"/>
    </row>
    <row r="1563" spans="10:10" x14ac:dyDescent="0.25">
      <c r="J1563" s="15"/>
    </row>
    <row r="1564" spans="10:10" x14ac:dyDescent="0.25">
      <c r="J1564" s="15"/>
    </row>
    <row r="1565" spans="10:10" x14ac:dyDescent="0.25">
      <c r="J1565" s="15"/>
    </row>
    <row r="1566" spans="10:10" x14ac:dyDescent="0.25">
      <c r="J1566" s="15"/>
    </row>
    <row r="1567" spans="10:10" x14ac:dyDescent="0.25">
      <c r="J1567" s="15"/>
    </row>
    <row r="1568" spans="10:10" x14ac:dyDescent="0.25">
      <c r="J1568" s="15"/>
    </row>
    <row r="1569" spans="10:10" x14ac:dyDescent="0.25">
      <c r="J1569" s="15"/>
    </row>
    <row r="1570" spans="10:10" x14ac:dyDescent="0.25">
      <c r="J1570" s="15"/>
    </row>
    <row r="1571" spans="10:10" x14ac:dyDescent="0.25">
      <c r="J1571" s="15"/>
    </row>
    <row r="1572" spans="10:10" x14ac:dyDescent="0.25">
      <c r="J1572" s="15"/>
    </row>
    <row r="1573" spans="10:10" x14ac:dyDescent="0.25">
      <c r="J1573" s="15"/>
    </row>
    <row r="1574" spans="10:10" x14ac:dyDescent="0.25">
      <c r="J1574" s="15"/>
    </row>
    <row r="1575" spans="10:10" x14ac:dyDescent="0.25">
      <c r="J1575" s="15"/>
    </row>
    <row r="1576" spans="10:10" x14ac:dyDescent="0.25">
      <c r="J1576" s="15"/>
    </row>
    <row r="1577" spans="10:10" x14ac:dyDescent="0.25">
      <c r="J1577" s="15"/>
    </row>
    <row r="1578" spans="10:10" x14ac:dyDescent="0.25">
      <c r="J1578" s="15"/>
    </row>
    <row r="1579" spans="10:10" x14ac:dyDescent="0.25">
      <c r="J1579" s="15"/>
    </row>
    <row r="1580" spans="10:10" x14ac:dyDescent="0.25">
      <c r="J1580" s="15"/>
    </row>
    <row r="1581" spans="10:10" x14ac:dyDescent="0.25">
      <c r="J1581" s="15"/>
    </row>
    <row r="1582" spans="10:10" x14ac:dyDescent="0.25">
      <c r="J1582" s="15"/>
    </row>
    <row r="1583" spans="10:10" x14ac:dyDescent="0.25">
      <c r="J1583" s="15"/>
    </row>
    <row r="1584" spans="10:10" x14ac:dyDescent="0.25">
      <c r="J1584" s="15"/>
    </row>
    <row r="1585" spans="10:10" x14ac:dyDescent="0.25">
      <c r="J1585" s="15"/>
    </row>
    <row r="1586" spans="10:10" x14ac:dyDescent="0.25">
      <c r="J1586" s="15"/>
    </row>
    <row r="1587" spans="10:10" x14ac:dyDescent="0.25">
      <c r="J1587" s="15"/>
    </row>
    <row r="1588" spans="10:10" x14ac:dyDescent="0.25">
      <c r="J1588" s="15"/>
    </row>
    <row r="1589" spans="10:10" x14ac:dyDescent="0.25">
      <c r="J1589" s="15"/>
    </row>
    <row r="1590" spans="10:10" x14ac:dyDescent="0.25">
      <c r="J1590" s="15"/>
    </row>
    <row r="1591" spans="10:10" x14ac:dyDescent="0.25">
      <c r="J1591" s="15"/>
    </row>
    <row r="1592" spans="10:10" x14ac:dyDescent="0.25">
      <c r="J1592" s="15"/>
    </row>
    <row r="1593" spans="10:10" x14ac:dyDescent="0.25">
      <c r="J1593" s="15"/>
    </row>
    <row r="1594" spans="10:10" x14ac:dyDescent="0.25">
      <c r="J1594" s="15"/>
    </row>
    <row r="1595" spans="10:10" x14ac:dyDescent="0.25">
      <c r="J1595" s="15"/>
    </row>
    <row r="1596" spans="10:10" x14ac:dyDescent="0.25">
      <c r="J1596" s="15"/>
    </row>
    <row r="1597" spans="10:10" x14ac:dyDescent="0.25">
      <c r="J1597" s="15"/>
    </row>
    <row r="1598" spans="10:10" x14ac:dyDescent="0.25">
      <c r="J1598" s="15"/>
    </row>
    <row r="1599" spans="10:10" x14ac:dyDescent="0.25">
      <c r="J1599" s="15"/>
    </row>
    <row r="1600" spans="10:10" x14ac:dyDescent="0.25">
      <c r="J1600" s="15"/>
    </row>
    <row r="1601" spans="10:10" x14ac:dyDescent="0.25">
      <c r="J1601" s="15"/>
    </row>
    <row r="1602" spans="10:10" x14ac:dyDescent="0.25">
      <c r="J1602" s="15"/>
    </row>
    <row r="1603" spans="10:10" x14ac:dyDescent="0.25">
      <c r="J1603" s="15"/>
    </row>
    <row r="1604" spans="10:10" x14ac:dyDescent="0.25">
      <c r="J1604" s="15"/>
    </row>
    <row r="1605" spans="10:10" x14ac:dyDescent="0.25">
      <c r="J1605" s="15"/>
    </row>
    <row r="1606" spans="10:10" x14ac:dyDescent="0.25">
      <c r="J1606" s="15"/>
    </row>
    <row r="1607" spans="10:10" x14ac:dyDescent="0.25">
      <c r="J1607" s="15"/>
    </row>
    <row r="1608" spans="10:10" x14ac:dyDescent="0.25">
      <c r="J1608" s="15"/>
    </row>
    <row r="1609" spans="10:10" x14ac:dyDescent="0.25">
      <c r="J1609" s="15"/>
    </row>
    <row r="1610" spans="10:10" x14ac:dyDescent="0.25">
      <c r="J1610" s="15"/>
    </row>
    <row r="1611" spans="10:10" x14ac:dyDescent="0.25">
      <c r="J1611" s="15"/>
    </row>
    <row r="1612" spans="10:10" x14ac:dyDescent="0.25">
      <c r="J1612" s="15"/>
    </row>
    <row r="1613" spans="10:10" x14ac:dyDescent="0.25">
      <c r="J1613" s="15"/>
    </row>
    <row r="1614" spans="10:10" x14ac:dyDescent="0.25">
      <c r="J1614" s="15"/>
    </row>
    <row r="1615" spans="10:10" x14ac:dyDescent="0.25">
      <c r="J1615" s="15"/>
    </row>
    <row r="1616" spans="10:10" x14ac:dyDescent="0.25">
      <c r="J1616" s="15"/>
    </row>
    <row r="1617" spans="10:10" x14ac:dyDescent="0.25">
      <c r="J1617" s="15"/>
    </row>
    <row r="1618" spans="10:10" x14ac:dyDescent="0.25">
      <c r="J1618" s="15"/>
    </row>
    <row r="1619" spans="10:10" x14ac:dyDescent="0.25">
      <c r="J1619" s="15"/>
    </row>
    <row r="1620" spans="10:10" x14ac:dyDescent="0.25">
      <c r="J1620" s="15"/>
    </row>
    <row r="1621" spans="10:10" x14ac:dyDescent="0.25">
      <c r="J1621" s="15"/>
    </row>
    <row r="1622" spans="10:10" x14ac:dyDescent="0.25">
      <c r="J1622" s="15"/>
    </row>
    <row r="1623" spans="10:10" x14ac:dyDescent="0.25">
      <c r="J1623" s="15"/>
    </row>
    <row r="1624" spans="10:10" x14ac:dyDescent="0.25">
      <c r="J1624" s="15"/>
    </row>
    <row r="1625" spans="10:10" x14ac:dyDescent="0.25">
      <c r="J1625" s="15"/>
    </row>
    <row r="1626" spans="10:10" x14ac:dyDescent="0.25">
      <c r="J1626" s="15"/>
    </row>
    <row r="1627" spans="10:10" x14ac:dyDescent="0.25">
      <c r="J1627" s="15"/>
    </row>
    <row r="1628" spans="10:10" x14ac:dyDescent="0.25">
      <c r="J1628" s="15"/>
    </row>
    <row r="1629" spans="10:10" x14ac:dyDescent="0.25">
      <c r="J1629" s="15"/>
    </row>
    <row r="1630" spans="10:10" x14ac:dyDescent="0.25">
      <c r="J1630" s="15"/>
    </row>
    <row r="1631" spans="10:10" x14ac:dyDescent="0.25">
      <c r="J1631" s="15"/>
    </row>
    <row r="1632" spans="10:10" x14ac:dyDescent="0.25">
      <c r="J1632" s="15"/>
    </row>
    <row r="1633" spans="10:10" x14ac:dyDescent="0.25">
      <c r="J1633" s="15"/>
    </row>
    <row r="1634" spans="10:10" x14ac:dyDescent="0.25">
      <c r="J1634" s="15"/>
    </row>
    <row r="1635" spans="10:10" x14ac:dyDescent="0.25">
      <c r="J1635" s="15"/>
    </row>
    <row r="1636" spans="10:10" x14ac:dyDescent="0.25">
      <c r="J1636" s="15"/>
    </row>
    <row r="1637" spans="10:10" x14ac:dyDescent="0.25">
      <c r="J1637" s="15"/>
    </row>
    <row r="1638" spans="10:10" x14ac:dyDescent="0.25">
      <c r="J1638" s="15"/>
    </row>
    <row r="1639" spans="10:10" x14ac:dyDescent="0.25">
      <c r="J1639" s="15"/>
    </row>
    <row r="1640" spans="10:10" x14ac:dyDescent="0.25">
      <c r="J1640" s="15"/>
    </row>
    <row r="1641" spans="10:10" x14ac:dyDescent="0.25">
      <c r="J1641" s="15"/>
    </row>
    <row r="1642" spans="10:10" x14ac:dyDescent="0.25">
      <c r="J1642" s="15"/>
    </row>
    <row r="1643" spans="10:10" x14ac:dyDescent="0.25">
      <c r="J1643" s="15"/>
    </row>
    <row r="1644" spans="10:10" x14ac:dyDescent="0.25">
      <c r="J1644" s="15"/>
    </row>
    <row r="1645" spans="10:10" x14ac:dyDescent="0.25">
      <c r="J1645" s="15"/>
    </row>
    <row r="1646" spans="10:10" x14ac:dyDescent="0.25">
      <c r="J1646" s="15"/>
    </row>
    <row r="1647" spans="10:10" x14ac:dyDescent="0.25">
      <c r="J1647" s="15"/>
    </row>
    <row r="1648" spans="10:10" x14ac:dyDescent="0.25">
      <c r="J1648" s="15"/>
    </row>
    <row r="1649" spans="10:10" x14ac:dyDescent="0.25">
      <c r="J1649" s="15"/>
    </row>
    <row r="1650" spans="10:10" x14ac:dyDescent="0.25">
      <c r="J1650" s="15"/>
    </row>
    <row r="1651" spans="10:10" x14ac:dyDescent="0.25">
      <c r="J1651" s="15"/>
    </row>
    <row r="1652" spans="10:10" x14ac:dyDescent="0.25">
      <c r="J1652" s="15"/>
    </row>
    <row r="1653" spans="10:10" x14ac:dyDescent="0.25">
      <c r="J1653" s="15"/>
    </row>
    <row r="1654" spans="10:10" x14ac:dyDescent="0.25">
      <c r="J1654" s="15"/>
    </row>
    <row r="1655" spans="10:10" x14ac:dyDescent="0.25">
      <c r="J1655" s="15"/>
    </row>
    <row r="1656" spans="10:10" x14ac:dyDescent="0.25">
      <c r="J1656" s="15"/>
    </row>
    <row r="1657" spans="10:10" x14ac:dyDescent="0.25">
      <c r="J1657" s="15"/>
    </row>
    <row r="1658" spans="10:10" x14ac:dyDescent="0.25">
      <c r="J1658" s="15"/>
    </row>
    <row r="1659" spans="10:10" x14ac:dyDescent="0.25">
      <c r="J1659" s="15"/>
    </row>
    <row r="1660" spans="10:10" x14ac:dyDescent="0.25">
      <c r="J1660" s="15"/>
    </row>
    <row r="1661" spans="10:10" x14ac:dyDescent="0.25">
      <c r="J1661" s="15"/>
    </row>
    <row r="1662" spans="10:10" x14ac:dyDescent="0.25">
      <c r="J1662" s="15"/>
    </row>
    <row r="1663" spans="10:10" x14ac:dyDescent="0.25">
      <c r="J1663" s="15"/>
    </row>
    <row r="1664" spans="10:10" x14ac:dyDescent="0.25">
      <c r="J1664" s="15"/>
    </row>
    <row r="1665" spans="10:10" x14ac:dyDescent="0.25">
      <c r="J1665" s="15"/>
    </row>
    <row r="1666" spans="10:10" x14ac:dyDescent="0.25">
      <c r="J1666" s="15"/>
    </row>
    <row r="1667" spans="10:10" x14ac:dyDescent="0.25">
      <c r="J1667" s="15"/>
    </row>
    <row r="1668" spans="10:10" x14ac:dyDescent="0.25">
      <c r="J1668" s="15"/>
    </row>
    <row r="1669" spans="10:10" x14ac:dyDescent="0.25">
      <c r="J1669" s="15"/>
    </row>
    <row r="1670" spans="10:10" x14ac:dyDescent="0.25">
      <c r="J1670" s="15"/>
    </row>
    <row r="1671" spans="10:10" x14ac:dyDescent="0.25">
      <c r="J1671" s="15"/>
    </row>
    <row r="1672" spans="10:10" x14ac:dyDescent="0.25">
      <c r="J1672" s="15"/>
    </row>
    <row r="1673" spans="10:10" x14ac:dyDescent="0.25">
      <c r="J1673" s="15"/>
    </row>
    <row r="1674" spans="10:10" x14ac:dyDescent="0.25">
      <c r="J1674" s="15"/>
    </row>
    <row r="1675" spans="10:10" x14ac:dyDescent="0.25">
      <c r="J1675" s="15"/>
    </row>
    <row r="1676" spans="10:10" x14ac:dyDescent="0.25">
      <c r="J1676" s="15"/>
    </row>
    <row r="1677" spans="10:10" x14ac:dyDescent="0.25">
      <c r="J1677" s="15"/>
    </row>
    <row r="1678" spans="10:10" x14ac:dyDescent="0.25">
      <c r="J1678" s="15"/>
    </row>
    <row r="1679" spans="10:10" x14ac:dyDescent="0.25">
      <c r="J1679" s="15"/>
    </row>
    <row r="1680" spans="10:10" x14ac:dyDescent="0.25">
      <c r="J1680" s="15"/>
    </row>
    <row r="1681" spans="10:10" x14ac:dyDescent="0.25">
      <c r="J1681" s="15"/>
    </row>
    <row r="1682" spans="10:10" x14ac:dyDescent="0.25">
      <c r="J1682" s="15"/>
    </row>
    <row r="1683" spans="10:10" x14ac:dyDescent="0.25">
      <c r="J1683" s="15"/>
    </row>
    <row r="1684" spans="10:10" x14ac:dyDescent="0.25">
      <c r="J1684" s="15"/>
    </row>
    <row r="1685" spans="10:10" x14ac:dyDescent="0.25">
      <c r="J1685" s="15"/>
    </row>
    <row r="1686" spans="10:10" x14ac:dyDescent="0.25">
      <c r="J1686" s="15"/>
    </row>
    <row r="1687" spans="10:10" x14ac:dyDescent="0.25">
      <c r="J1687" s="15"/>
    </row>
    <row r="1688" spans="10:10" x14ac:dyDescent="0.25">
      <c r="J1688" s="15"/>
    </row>
    <row r="1689" spans="10:10" x14ac:dyDescent="0.25">
      <c r="J1689" s="15"/>
    </row>
    <row r="1690" spans="10:10" x14ac:dyDescent="0.25">
      <c r="J1690" s="15"/>
    </row>
    <row r="1691" spans="10:10" x14ac:dyDescent="0.25">
      <c r="J1691" s="15"/>
    </row>
    <row r="1692" spans="10:10" x14ac:dyDescent="0.25">
      <c r="J1692" s="15"/>
    </row>
    <row r="1693" spans="10:10" x14ac:dyDescent="0.25">
      <c r="J1693" s="15"/>
    </row>
    <row r="1694" spans="10:10" x14ac:dyDescent="0.25">
      <c r="J1694" s="15"/>
    </row>
    <row r="1695" spans="10:10" x14ac:dyDescent="0.25">
      <c r="J1695" s="15"/>
    </row>
    <row r="1696" spans="10:10" x14ac:dyDescent="0.25">
      <c r="J1696" s="15"/>
    </row>
    <row r="1697" spans="10:10" x14ac:dyDescent="0.25">
      <c r="J1697" s="15"/>
    </row>
    <row r="1698" spans="10:10" x14ac:dyDescent="0.25">
      <c r="J1698" s="15"/>
    </row>
    <row r="1699" spans="10:10" x14ac:dyDescent="0.25">
      <c r="J1699" s="15"/>
    </row>
    <row r="1700" spans="10:10" x14ac:dyDescent="0.25">
      <c r="J1700" s="15"/>
    </row>
    <row r="1701" spans="10:10" x14ac:dyDescent="0.25">
      <c r="J1701" s="15"/>
    </row>
    <row r="1702" spans="10:10" x14ac:dyDescent="0.25">
      <c r="J1702" s="15"/>
    </row>
    <row r="1703" spans="10:10" x14ac:dyDescent="0.25">
      <c r="J1703" s="15"/>
    </row>
    <row r="1704" spans="10:10" x14ac:dyDescent="0.25">
      <c r="J1704" s="15"/>
    </row>
    <row r="1705" spans="10:10" x14ac:dyDescent="0.25">
      <c r="J1705" s="15"/>
    </row>
    <row r="1706" spans="10:10" x14ac:dyDescent="0.25">
      <c r="J1706" s="15"/>
    </row>
    <row r="1707" spans="10:10" x14ac:dyDescent="0.25">
      <c r="J1707" s="15"/>
    </row>
    <row r="1708" spans="10:10" x14ac:dyDescent="0.25">
      <c r="J1708" s="15"/>
    </row>
    <row r="1709" spans="10:10" x14ac:dyDescent="0.25">
      <c r="J1709" s="15"/>
    </row>
    <row r="1710" spans="10:10" x14ac:dyDescent="0.25">
      <c r="J1710" s="15"/>
    </row>
    <row r="1711" spans="10:10" x14ac:dyDescent="0.25">
      <c r="J1711" s="15"/>
    </row>
    <row r="1712" spans="10:10" x14ac:dyDescent="0.25">
      <c r="J1712" s="15"/>
    </row>
    <row r="1713" spans="10:10" x14ac:dyDescent="0.25">
      <c r="J1713" s="15"/>
    </row>
    <row r="1714" spans="10:10" x14ac:dyDescent="0.25">
      <c r="J1714" s="15"/>
    </row>
    <row r="1715" spans="10:10" x14ac:dyDescent="0.25">
      <c r="J1715" s="15"/>
    </row>
    <row r="1716" spans="10:10" x14ac:dyDescent="0.25">
      <c r="J1716" s="15"/>
    </row>
    <row r="1717" spans="10:10" x14ac:dyDescent="0.25">
      <c r="J1717" s="15"/>
    </row>
    <row r="1718" spans="10:10" x14ac:dyDescent="0.25">
      <c r="J1718" s="15"/>
    </row>
    <row r="1719" spans="10:10" x14ac:dyDescent="0.25">
      <c r="J1719" s="15"/>
    </row>
    <row r="1720" spans="10:10" x14ac:dyDescent="0.25">
      <c r="J1720" s="15"/>
    </row>
    <row r="1721" spans="10:10" x14ac:dyDescent="0.25">
      <c r="J1721" s="15"/>
    </row>
    <row r="1722" spans="10:10" x14ac:dyDescent="0.25">
      <c r="J1722" s="15"/>
    </row>
    <row r="1723" spans="10:10" x14ac:dyDescent="0.25">
      <c r="J1723" s="15"/>
    </row>
    <row r="1724" spans="10:10" x14ac:dyDescent="0.25">
      <c r="J1724" s="15"/>
    </row>
    <row r="1725" spans="10:10" x14ac:dyDescent="0.25">
      <c r="J1725" s="15"/>
    </row>
    <row r="1726" spans="10:10" x14ac:dyDescent="0.25">
      <c r="J1726" s="15"/>
    </row>
    <row r="1727" spans="10:10" x14ac:dyDescent="0.25">
      <c r="J1727" s="15"/>
    </row>
    <row r="1728" spans="10:10" x14ac:dyDescent="0.25">
      <c r="J1728" s="15"/>
    </row>
    <row r="1729" spans="10:10" x14ac:dyDescent="0.25">
      <c r="J1729" s="15"/>
    </row>
    <row r="1730" spans="10:10" x14ac:dyDescent="0.25">
      <c r="J1730" s="15"/>
    </row>
    <row r="1731" spans="10:10" x14ac:dyDescent="0.25">
      <c r="J1731" s="15"/>
    </row>
    <row r="1732" spans="10:10" x14ac:dyDescent="0.25">
      <c r="J1732" s="15"/>
    </row>
    <row r="1733" spans="10:10" x14ac:dyDescent="0.25">
      <c r="J1733" s="15"/>
    </row>
    <row r="1734" spans="10:10" x14ac:dyDescent="0.25">
      <c r="J1734" s="15"/>
    </row>
    <row r="1735" spans="10:10" x14ac:dyDescent="0.25">
      <c r="J1735" s="15"/>
    </row>
    <row r="1736" spans="10:10" x14ac:dyDescent="0.25">
      <c r="J1736" s="15"/>
    </row>
    <row r="1737" spans="10:10" x14ac:dyDescent="0.25">
      <c r="J1737" s="15"/>
    </row>
    <row r="1738" spans="10:10" x14ac:dyDescent="0.25">
      <c r="J1738" s="15"/>
    </row>
    <row r="1739" spans="10:10" x14ac:dyDescent="0.25">
      <c r="J1739" s="15"/>
    </row>
    <row r="1740" spans="10:10" x14ac:dyDescent="0.25">
      <c r="J1740" s="15"/>
    </row>
    <row r="1741" spans="10:10" x14ac:dyDescent="0.25">
      <c r="J1741" s="15"/>
    </row>
    <row r="1742" spans="10:10" x14ac:dyDescent="0.25">
      <c r="J1742" s="15"/>
    </row>
    <row r="1743" spans="10:10" x14ac:dyDescent="0.25">
      <c r="J1743" s="15"/>
    </row>
    <row r="1744" spans="10:10" x14ac:dyDescent="0.25">
      <c r="J1744" s="15"/>
    </row>
    <row r="1745" spans="10:10" x14ac:dyDescent="0.25">
      <c r="J1745" s="15"/>
    </row>
    <row r="1746" spans="10:10" x14ac:dyDescent="0.25">
      <c r="J1746" s="15"/>
    </row>
    <row r="1747" spans="10:10" x14ac:dyDescent="0.25">
      <c r="J1747" s="15"/>
    </row>
    <row r="1748" spans="10:10" x14ac:dyDescent="0.25">
      <c r="J1748" s="15"/>
    </row>
    <row r="1749" spans="10:10" x14ac:dyDescent="0.25">
      <c r="J1749" s="15"/>
    </row>
    <row r="1750" spans="10:10" x14ac:dyDescent="0.25">
      <c r="J1750" s="15"/>
    </row>
    <row r="1751" spans="10:10" x14ac:dyDescent="0.25">
      <c r="J1751" s="15"/>
    </row>
    <row r="1752" spans="10:10" x14ac:dyDescent="0.25">
      <c r="J1752" s="15"/>
    </row>
    <row r="1753" spans="10:10" x14ac:dyDescent="0.25">
      <c r="J1753" s="15"/>
    </row>
    <row r="1754" spans="10:10" x14ac:dyDescent="0.25">
      <c r="J1754" s="15"/>
    </row>
    <row r="1755" spans="10:10" x14ac:dyDescent="0.25">
      <c r="J1755" s="15"/>
    </row>
    <row r="1756" spans="10:10" x14ac:dyDescent="0.25">
      <c r="J1756" s="15"/>
    </row>
    <row r="1757" spans="10:10" x14ac:dyDescent="0.25">
      <c r="J1757" s="15"/>
    </row>
    <row r="1758" spans="10:10" x14ac:dyDescent="0.25">
      <c r="J1758" s="15"/>
    </row>
    <row r="1759" spans="10:10" x14ac:dyDescent="0.25">
      <c r="J1759" s="15"/>
    </row>
    <row r="1760" spans="10:10" x14ac:dyDescent="0.25">
      <c r="J1760" s="15"/>
    </row>
    <row r="1761" spans="10:10" x14ac:dyDescent="0.25">
      <c r="J1761" s="15"/>
    </row>
    <row r="1762" spans="10:10" x14ac:dyDescent="0.25">
      <c r="J1762" s="15"/>
    </row>
    <row r="1763" spans="10:10" x14ac:dyDescent="0.25">
      <c r="J1763" s="15"/>
    </row>
    <row r="1764" spans="10:10" x14ac:dyDescent="0.25">
      <c r="J1764" s="15"/>
    </row>
    <row r="1765" spans="10:10" x14ac:dyDescent="0.25">
      <c r="J1765" s="15"/>
    </row>
    <row r="1766" spans="10:10" x14ac:dyDescent="0.25">
      <c r="J1766" s="15"/>
    </row>
    <row r="1767" spans="10:10" x14ac:dyDescent="0.25">
      <c r="J1767" s="15"/>
    </row>
    <row r="1768" spans="10:10" x14ac:dyDescent="0.25">
      <c r="J1768" s="15"/>
    </row>
    <row r="1769" spans="10:10" x14ac:dyDescent="0.25">
      <c r="J1769" s="15"/>
    </row>
    <row r="1770" spans="10:10" x14ac:dyDescent="0.25">
      <c r="J1770" s="15"/>
    </row>
    <row r="1771" spans="10:10" x14ac:dyDescent="0.25">
      <c r="J1771" s="15"/>
    </row>
    <row r="1772" spans="10:10" x14ac:dyDescent="0.25">
      <c r="J1772" s="15"/>
    </row>
    <row r="1773" spans="10:10" x14ac:dyDescent="0.25">
      <c r="J1773" s="15"/>
    </row>
    <row r="1774" spans="10:10" x14ac:dyDescent="0.25">
      <c r="J1774" s="15"/>
    </row>
    <row r="1775" spans="10:10" x14ac:dyDescent="0.25">
      <c r="J1775" s="15"/>
    </row>
    <row r="1776" spans="10:10" x14ac:dyDescent="0.25">
      <c r="J1776" s="15"/>
    </row>
    <row r="1777" spans="10:10" x14ac:dyDescent="0.25">
      <c r="J1777" s="15"/>
    </row>
    <row r="1778" spans="10:10" x14ac:dyDescent="0.25">
      <c r="J1778" s="15"/>
    </row>
    <row r="1779" spans="10:10" x14ac:dyDescent="0.25">
      <c r="J1779" s="15"/>
    </row>
    <row r="1780" spans="10:10" x14ac:dyDescent="0.25">
      <c r="J1780" s="15"/>
    </row>
    <row r="1781" spans="10:10" x14ac:dyDescent="0.25">
      <c r="J1781" s="15"/>
    </row>
    <row r="1782" spans="10:10" x14ac:dyDescent="0.25">
      <c r="J1782" s="15"/>
    </row>
    <row r="1783" spans="10:10" x14ac:dyDescent="0.25">
      <c r="J1783" s="15"/>
    </row>
    <row r="1784" spans="10:10" x14ac:dyDescent="0.25">
      <c r="J1784" s="15"/>
    </row>
    <row r="1785" spans="10:10" x14ac:dyDescent="0.25">
      <c r="J1785" s="15"/>
    </row>
    <row r="1786" spans="10:10" x14ac:dyDescent="0.25">
      <c r="J1786" s="15"/>
    </row>
    <row r="1787" spans="10:10" x14ac:dyDescent="0.25">
      <c r="J1787" s="15"/>
    </row>
    <row r="1788" spans="10:10" x14ac:dyDescent="0.25">
      <c r="J1788" s="15"/>
    </row>
    <row r="1789" spans="10:10" x14ac:dyDescent="0.25">
      <c r="J1789" s="15"/>
    </row>
    <row r="1790" spans="10:10" x14ac:dyDescent="0.25">
      <c r="J1790" s="15"/>
    </row>
    <row r="1791" spans="10:10" x14ac:dyDescent="0.25">
      <c r="J1791" s="15"/>
    </row>
    <row r="1792" spans="10:10" x14ac:dyDescent="0.25">
      <c r="J1792" s="15"/>
    </row>
    <row r="1793" spans="10:10" x14ac:dyDescent="0.25">
      <c r="J1793" s="15"/>
    </row>
    <row r="1794" spans="10:10" x14ac:dyDescent="0.25">
      <c r="J1794" s="15"/>
    </row>
    <row r="1795" spans="10:10" x14ac:dyDescent="0.25">
      <c r="J1795" s="15"/>
    </row>
    <row r="1796" spans="10:10" x14ac:dyDescent="0.25">
      <c r="J1796" s="15"/>
    </row>
    <row r="1797" spans="10:10" x14ac:dyDescent="0.25">
      <c r="J1797" s="15"/>
    </row>
    <row r="1798" spans="10:10" x14ac:dyDescent="0.25">
      <c r="J1798" s="15"/>
    </row>
    <row r="1799" spans="10:10" x14ac:dyDescent="0.25">
      <c r="J1799" s="15"/>
    </row>
    <row r="1800" spans="10:10" x14ac:dyDescent="0.25">
      <c r="J1800" s="15"/>
    </row>
    <row r="1801" spans="10:10" x14ac:dyDescent="0.25">
      <c r="J1801" s="15"/>
    </row>
    <row r="1802" spans="10:10" x14ac:dyDescent="0.25">
      <c r="J1802" s="15"/>
    </row>
    <row r="1803" spans="10:10" x14ac:dyDescent="0.25">
      <c r="J1803" s="15"/>
    </row>
    <row r="1804" spans="10:10" x14ac:dyDescent="0.25">
      <c r="J1804" s="15"/>
    </row>
    <row r="1805" spans="10:10" x14ac:dyDescent="0.25">
      <c r="J1805" s="15"/>
    </row>
    <row r="1806" spans="10:10" x14ac:dyDescent="0.25">
      <c r="J1806" s="15"/>
    </row>
    <row r="1807" spans="10:10" x14ac:dyDescent="0.25">
      <c r="J1807" s="15"/>
    </row>
    <row r="1808" spans="10:10" x14ac:dyDescent="0.25">
      <c r="J1808" s="15"/>
    </row>
    <row r="1809" spans="10:10" x14ac:dyDescent="0.25">
      <c r="J1809" s="15"/>
    </row>
    <row r="1810" spans="10:10" x14ac:dyDescent="0.25">
      <c r="J1810" s="15"/>
    </row>
    <row r="1811" spans="10:10" x14ac:dyDescent="0.25">
      <c r="J1811" s="15"/>
    </row>
    <row r="1812" spans="10:10" x14ac:dyDescent="0.25">
      <c r="J1812" s="15"/>
    </row>
    <row r="1813" spans="10:10" x14ac:dyDescent="0.25">
      <c r="J1813" s="15"/>
    </row>
    <row r="1814" spans="10:10" x14ac:dyDescent="0.25">
      <c r="J1814" s="15"/>
    </row>
    <row r="1815" spans="10:10" x14ac:dyDescent="0.25">
      <c r="J1815" s="15"/>
    </row>
    <row r="1816" spans="10:10" x14ac:dyDescent="0.25">
      <c r="J1816" s="15"/>
    </row>
    <row r="1817" spans="10:10" x14ac:dyDescent="0.25">
      <c r="J1817" s="15"/>
    </row>
    <row r="1818" spans="10:10" x14ac:dyDescent="0.25">
      <c r="J1818" s="15"/>
    </row>
    <row r="1819" spans="10:10" x14ac:dyDescent="0.25">
      <c r="J1819" s="15"/>
    </row>
    <row r="1820" spans="10:10" x14ac:dyDescent="0.25">
      <c r="J1820" s="15"/>
    </row>
    <row r="1821" spans="10:10" x14ac:dyDescent="0.25">
      <c r="J1821" s="15"/>
    </row>
    <row r="1822" spans="10:10" x14ac:dyDescent="0.25">
      <c r="J1822" s="15"/>
    </row>
    <row r="1823" spans="10:10" x14ac:dyDescent="0.25">
      <c r="J1823" s="15"/>
    </row>
    <row r="1824" spans="10:10" x14ac:dyDescent="0.25">
      <c r="J1824" s="15"/>
    </row>
    <row r="1825" spans="10:10" x14ac:dyDescent="0.25">
      <c r="J1825" s="15"/>
    </row>
    <row r="1826" spans="10:10" x14ac:dyDescent="0.25">
      <c r="J1826" s="15"/>
    </row>
    <row r="1827" spans="10:10" x14ac:dyDescent="0.25">
      <c r="J1827" s="15"/>
    </row>
    <row r="1828" spans="10:10" x14ac:dyDescent="0.25">
      <c r="J1828" s="15"/>
    </row>
    <row r="1829" spans="10:10" x14ac:dyDescent="0.25">
      <c r="J1829" s="15"/>
    </row>
    <row r="1830" spans="10:10" x14ac:dyDescent="0.25">
      <c r="J1830" s="15"/>
    </row>
    <row r="1831" spans="10:10" x14ac:dyDescent="0.25">
      <c r="J1831" s="15"/>
    </row>
    <row r="1832" spans="10:10" x14ac:dyDescent="0.25">
      <c r="J1832" s="15"/>
    </row>
    <row r="1833" spans="10:10" x14ac:dyDescent="0.25">
      <c r="J1833" s="15"/>
    </row>
    <row r="1834" spans="10:10" x14ac:dyDescent="0.25">
      <c r="J1834" s="15"/>
    </row>
    <row r="1835" spans="10:10" x14ac:dyDescent="0.25">
      <c r="J1835" s="15"/>
    </row>
    <row r="1836" spans="10:10" x14ac:dyDescent="0.25">
      <c r="J1836" s="15"/>
    </row>
    <row r="1837" spans="10:10" x14ac:dyDescent="0.25">
      <c r="J1837" s="15"/>
    </row>
    <row r="1838" spans="10:10" x14ac:dyDescent="0.25">
      <c r="J1838" s="15"/>
    </row>
    <row r="1839" spans="10:10" x14ac:dyDescent="0.25">
      <c r="J1839" s="15"/>
    </row>
    <row r="1840" spans="10:10" x14ac:dyDescent="0.25">
      <c r="J1840" s="15"/>
    </row>
    <row r="1841" spans="10:10" x14ac:dyDescent="0.25">
      <c r="J1841" s="15"/>
    </row>
    <row r="1842" spans="10:10" x14ac:dyDescent="0.25">
      <c r="J1842" s="15"/>
    </row>
    <row r="1843" spans="10:10" x14ac:dyDescent="0.25">
      <c r="J1843" s="15"/>
    </row>
    <row r="1844" spans="10:10" x14ac:dyDescent="0.25">
      <c r="J1844" s="15"/>
    </row>
    <row r="1845" spans="10:10" x14ac:dyDescent="0.25">
      <c r="J1845" s="15"/>
    </row>
    <row r="1846" spans="10:10" x14ac:dyDescent="0.25">
      <c r="J1846" s="15"/>
    </row>
    <row r="1847" spans="10:10" x14ac:dyDescent="0.25">
      <c r="J1847" s="15"/>
    </row>
    <row r="1848" spans="10:10" x14ac:dyDescent="0.25">
      <c r="J1848" s="15"/>
    </row>
    <row r="1849" spans="10:10" x14ac:dyDescent="0.25">
      <c r="J1849" s="15"/>
    </row>
    <row r="1850" spans="10:10" x14ac:dyDescent="0.25">
      <c r="J1850" s="15"/>
    </row>
    <row r="1851" spans="10:10" x14ac:dyDescent="0.25">
      <c r="J1851" s="15"/>
    </row>
    <row r="1852" spans="10:10" x14ac:dyDescent="0.25">
      <c r="J1852" s="15"/>
    </row>
    <row r="1853" spans="10:10" x14ac:dyDescent="0.25">
      <c r="J1853" s="15"/>
    </row>
    <row r="1854" spans="10:10" x14ac:dyDescent="0.25">
      <c r="J1854" s="15"/>
    </row>
    <row r="1855" spans="10:10" x14ac:dyDescent="0.25">
      <c r="J1855" s="15"/>
    </row>
    <row r="1856" spans="10:10" x14ac:dyDescent="0.25">
      <c r="J1856" s="15"/>
    </row>
    <row r="1857" spans="10:10" x14ac:dyDescent="0.25">
      <c r="J1857" s="15"/>
    </row>
    <row r="1858" spans="10:10" x14ac:dyDescent="0.25">
      <c r="J1858" s="15"/>
    </row>
    <row r="1859" spans="10:10" x14ac:dyDescent="0.25">
      <c r="J1859" s="15"/>
    </row>
    <row r="1860" spans="10:10" x14ac:dyDescent="0.25">
      <c r="J1860" s="15"/>
    </row>
    <row r="1861" spans="10:10" x14ac:dyDescent="0.25">
      <c r="J1861" s="15"/>
    </row>
    <row r="1862" spans="10:10" x14ac:dyDescent="0.25">
      <c r="J1862" s="15"/>
    </row>
    <row r="1863" spans="10:10" x14ac:dyDescent="0.25">
      <c r="J1863" s="15"/>
    </row>
    <row r="1864" spans="10:10" x14ac:dyDescent="0.25">
      <c r="J1864" s="15"/>
    </row>
    <row r="1865" spans="10:10" x14ac:dyDescent="0.25">
      <c r="J1865" s="15"/>
    </row>
    <row r="1866" spans="10:10" x14ac:dyDescent="0.25">
      <c r="J1866" s="15"/>
    </row>
    <row r="1867" spans="10:10" x14ac:dyDescent="0.25">
      <c r="J1867" s="15"/>
    </row>
    <row r="1868" spans="10:10" x14ac:dyDescent="0.25">
      <c r="J1868" s="15"/>
    </row>
    <row r="1869" spans="10:10" x14ac:dyDescent="0.25">
      <c r="J1869" s="15"/>
    </row>
    <row r="1870" spans="10:10" x14ac:dyDescent="0.25">
      <c r="J1870" s="15"/>
    </row>
    <row r="1871" spans="10:10" x14ac:dyDescent="0.25">
      <c r="J1871" s="15"/>
    </row>
    <row r="1872" spans="10:10" x14ac:dyDescent="0.25">
      <c r="J1872" s="15"/>
    </row>
    <row r="1873" spans="10:10" x14ac:dyDescent="0.25">
      <c r="J1873" s="15"/>
    </row>
    <row r="1874" spans="10:10" x14ac:dyDescent="0.25">
      <c r="J1874" s="15"/>
    </row>
    <row r="1875" spans="10:10" x14ac:dyDescent="0.25">
      <c r="J1875" s="15"/>
    </row>
    <row r="1876" spans="10:10" x14ac:dyDescent="0.25">
      <c r="J1876" s="15"/>
    </row>
    <row r="1877" spans="10:10" x14ac:dyDescent="0.25">
      <c r="J1877" s="15"/>
    </row>
    <row r="1878" spans="10:10" x14ac:dyDescent="0.25">
      <c r="J1878" s="15"/>
    </row>
    <row r="1879" spans="10:10" x14ac:dyDescent="0.25">
      <c r="J1879" s="15"/>
    </row>
    <row r="1880" spans="10:10" x14ac:dyDescent="0.25">
      <c r="J1880" s="15"/>
    </row>
    <row r="1881" spans="10:10" x14ac:dyDescent="0.25">
      <c r="J1881" s="15"/>
    </row>
    <row r="1882" spans="10:10" x14ac:dyDescent="0.25">
      <c r="J1882" s="15"/>
    </row>
    <row r="1883" spans="10:10" x14ac:dyDescent="0.25">
      <c r="J1883" s="15"/>
    </row>
    <row r="1884" spans="10:10" x14ac:dyDescent="0.25">
      <c r="J1884" s="15"/>
    </row>
    <row r="1885" spans="10:10" x14ac:dyDescent="0.25">
      <c r="J1885" s="15"/>
    </row>
    <row r="1886" spans="10:10" x14ac:dyDescent="0.25">
      <c r="J1886" s="15"/>
    </row>
    <row r="1887" spans="10:10" x14ac:dyDescent="0.25">
      <c r="J1887" s="15"/>
    </row>
    <row r="1888" spans="10:10" x14ac:dyDescent="0.25">
      <c r="J1888" s="15"/>
    </row>
    <row r="1889" spans="10:10" x14ac:dyDescent="0.25">
      <c r="J1889" s="15"/>
    </row>
    <row r="1890" spans="10:10" x14ac:dyDescent="0.25">
      <c r="J1890" s="15"/>
    </row>
    <row r="1891" spans="10:10" x14ac:dyDescent="0.25">
      <c r="J1891" s="15"/>
    </row>
    <row r="1892" spans="10:10" x14ac:dyDescent="0.25">
      <c r="J1892" s="15"/>
    </row>
    <row r="1893" spans="10:10" x14ac:dyDescent="0.25">
      <c r="J1893" s="15"/>
    </row>
    <row r="1894" spans="10:10" x14ac:dyDescent="0.25">
      <c r="J1894" s="15"/>
    </row>
    <row r="1895" spans="10:10" x14ac:dyDescent="0.25">
      <c r="J1895" s="15"/>
    </row>
    <row r="1896" spans="10:10" x14ac:dyDescent="0.25">
      <c r="J1896" s="15"/>
    </row>
    <row r="1897" spans="10:10" x14ac:dyDescent="0.25">
      <c r="J1897" s="15"/>
    </row>
    <row r="1898" spans="10:10" x14ac:dyDescent="0.25">
      <c r="J1898" s="15"/>
    </row>
    <row r="1899" spans="10:10" x14ac:dyDescent="0.25">
      <c r="J1899" s="15"/>
    </row>
    <row r="1900" spans="10:10" x14ac:dyDescent="0.25">
      <c r="J1900" s="15"/>
    </row>
    <row r="1901" spans="10:10" x14ac:dyDescent="0.25">
      <c r="J1901" s="15"/>
    </row>
    <row r="1902" spans="10:10" x14ac:dyDescent="0.25">
      <c r="J1902" s="15"/>
    </row>
    <row r="1903" spans="10:10" x14ac:dyDescent="0.25">
      <c r="J1903" s="15"/>
    </row>
    <row r="1904" spans="10:10" x14ac:dyDescent="0.25">
      <c r="J1904" s="15"/>
    </row>
    <row r="1905" spans="10:10" x14ac:dyDescent="0.25">
      <c r="J1905" s="15"/>
    </row>
    <row r="1906" spans="10:10" x14ac:dyDescent="0.25">
      <c r="J1906" s="15"/>
    </row>
    <row r="1907" spans="10:10" x14ac:dyDescent="0.25">
      <c r="J1907" s="15"/>
    </row>
    <row r="1908" spans="10:10" x14ac:dyDescent="0.25">
      <c r="J1908" s="15"/>
    </row>
    <row r="1909" spans="10:10" x14ac:dyDescent="0.25">
      <c r="J1909" s="15"/>
    </row>
    <row r="1910" spans="10:10" x14ac:dyDescent="0.25">
      <c r="J1910" s="15"/>
    </row>
    <row r="1911" spans="10:10" x14ac:dyDescent="0.25">
      <c r="J1911" s="15"/>
    </row>
    <row r="1912" spans="10:10" x14ac:dyDescent="0.25">
      <c r="J1912" s="15"/>
    </row>
    <row r="1913" spans="10:10" x14ac:dyDescent="0.25">
      <c r="J1913" s="15"/>
    </row>
    <row r="1914" spans="10:10" x14ac:dyDescent="0.25">
      <c r="J1914" s="15"/>
    </row>
    <row r="1915" spans="10:10" x14ac:dyDescent="0.25">
      <c r="J1915" s="15"/>
    </row>
    <row r="1916" spans="10:10" x14ac:dyDescent="0.25">
      <c r="J1916" s="15"/>
    </row>
    <row r="1917" spans="10:10" x14ac:dyDescent="0.25">
      <c r="J1917" s="15"/>
    </row>
    <row r="1918" spans="10:10" x14ac:dyDescent="0.25">
      <c r="J1918" s="15"/>
    </row>
    <row r="1919" spans="10:10" x14ac:dyDescent="0.25">
      <c r="J1919" s="15"/>
    </row>
    <row r="1920" spans="10:10" x14ac:dyDescent="0.25">
      <c r="J1920" s="15"/>
    </row>
    <row r="1921" spans="10:10" x14ac:dyDescent="0.25">
      <c r="J1921" s="15"/>
    </row>
    <row r="1922" spans="10:10" x14ac:dyDescent="0.25">
      <c r="J1922" s="15"/>
    </row>
    <row r="1923" spans="10:10" x14ac:dyDescent="0.25">
      <c r="J1923" s="15"/>
    </row>
    <row r="1924" spans="10:10" x14ac:dyDescent="0.25">
      <c r="J1924" s="15"/>
    </row>
    <row r="1925" spans="10:10" x14ac:dyDescent="0.25">
      <c r="J1925" s="15"/>
    </row>
    <row r="1926" spans="10:10" x14ac:dyDescent="0.25">
      <c r="J1926" s="15"/>
    </row>
    <row r="1927" spans="10:10" x14ac:dyDescent="0.25">
      <c r="J1927" s="15"/>
    </row>
    <row r="1928" spans="10:10" x14ac:dyDescent="0.25">
      <c r="J1928" s="15"/>
    </row>
    <row r="1929" spans="10:10" x14ac:dyDescent="0.25">
      <c r="J1929" s="15"/>
    </row>
    <row r="1930" spans="10:10" x14ac:dyDescent="0.25">
      <c r="J1930" s="15"/>
    </row>
    <row r="1931" spans="10:10" x14ac:dyDescent="0.25">
      <c r="J1931" s="15"/>
    </row>
    <row r="1932" spans="10:10" x14ac:dyDescent="0.25">
      <c r="J1932" s="15"/>
    </row>
    <row r="1933" spans="10:10" x14ac:dyDescent="0.25">
      <c r="J1933" s="15"/>
    </row>
    <row r="1934" spans="10:10" x14ac:dyDescent="0.25">
      <c r="J1934" s="15"/>
    </row>
    <row r="1935" spans="10:10" x14ac:dyDescent="0.25">
      <c r="J1935" s="15"/>
    </row>
    <row r="1936" spans="10:10" x14ac:dyDescent="0.25">
      <c r="J1936" s="15"/>
    </row>
    <row r="1937" spans="10:10" x14ac:dyDescent="0.25">
      <c r="J1937" s="15"/>
    </row>
    <row r="1938" spans="10:10" x14ac:dyDescent="0.25">
      <c r="J1938" s="15"/>
    </row>
    <row r="1939" spans="10:10" x14ac:dyDescent="0.25">
      <c r="J1939" s="15"/>
    </row>
    <row r="1940" spans="10:10" x14ac:dyDescent="0.25">
      <c r="J1940" s="15"/>
    </row>
    <row r="1941" spans="10:10" x14ac:dyDescent="0.25">
      <c r="J1941" s="15"/>
    </row>
    <row r="1942" spans="10:10" x14ac:dyDescent="0.25">
      <c r="J1942" s="15"/>
    </row>
    <row r="1943" spans="10:10" x14ac:dyDescent="0.25">
      <c r="J1943" s="15"/>
    </row>
    <row r="1944" spans="10:10" x14ac:dyDescent="0.25">
      <c r="J1944" s="15"/>
    </row>
    <row r="1945" spans="10:10" x14ac:dyDescent="0.25">
      <c r="J1945" s="15"/>
    </row>
    <row r="1946" spans="10:10" x14ac:dyDescent="0.25">
      <c r="J1946" s="15"/>
    </row>
    <row r="1947" spans="10:10" x14ac:dyDescent="0.25">
      <c r="J1947" s="15"/>
    </row>
    <row r="1948" spans="10:10" x14ac:dyDescent="0.25">
      <c r="J1948" s="15"/>
    </row>
    <row r="1949" spans="10:10" x14ac:dyDescent="0.25">
      <c r="J1949" s="15"/>
    </row>
    <row r="1950" spans="10:10" x14ac:dyDescent="0.25">
      <c r="J1950" s="15"/>
    </row>
    <row r="1951" spans="10:10" x14ac:dyDescent="0.25">
      <c r="J1951" s="15"/>
    </row>
    <row r="1952" spans="10:10" x14ac:dyDescent="0.25">
      <c r="J1952" s="15"/>
    </row>
    <row r="1953" spans="10:10" x14ac:dyDescent="0.25">
      <c r="J1953" s="15"/>
    </row>
    <row r="1954" spans="10:10" x14ac:dyDescent="0.25">
      <c r="J1954" s="15"/>
    </row>
    <row r="1955" spans="10:10" x14ac:dyDescent="0.25">
      <c r="J1955" s="15"/>
    </row>
    <row r="1956" spans="10:10" x14ac:dyDescent="0.25">
      <c r="J1956" s="15"/>
    </row>
    <row r="1957" spans="10:10" x14ac:dyDescent="0.25">
      <c r="J1957" s="15"/>
    </row>
    <row r="1958" spans="10:10" x14ac:dyDescent="0.25">
      <c r="J1958" s="15"/>
    </row>
    <row r="1959" spans="10:10" x14ac:dyDescent="0.25">
      <c r="J1959" s="15"/>
    </row>
    <row r="1960" spans="10:10" x14ac:dyDescent="0.25">
      <c r="J1960" s="15"/>
    </row>
    <row r="1961" spans="10:10" x14ac:dyDescent="0.25">
      <c r="J1961" s="15"/>
    </row>
    <row r="1962" spans="10:10" x14ac:dyDescent="0.25">
      <c r="J1962" s="15"/>
    </row>
    <row r="1963" spans="10:10" x14ac:dyDescent="0.25">
      <c r="J1963" s="15"/>
    </row>
    <row r="1964" spans="10:10" x14ac:dyDescent="0.25">
      <c r="J1964" s="15"/>
    </row>
    <row r="1965" spans="10:10" x14ac:dyDescent="0.25">
      <c r="J1965" s="15"/>
    </row>
    <row r="1966" spans="10:10" x14ac:dyDescent="0.25">
      <c r="J1966" s="15"/>
    </row>
    <row r="1967" spans="10:10" x14ac:dyDescent="0.25">
      <c r="J1967" s="15"/>
    </row>
    <row r="1968" spans="10:10" x14ac:dyDescent="0.25">
      <c r="J1968" s="15"/>
    </row>
    <row r="1969" spans="10:10" x14ac:dyDescent="0.25">
      <c r="J1969" s="15"/>
    </row>
    <row r="1970" spans="10:10" x14ac:dyDescent="0.25">
      <c r="J1970" s="15"/>
    </row>
    <row r="1971" spans="10:10" x14ac:dyDescent="0.25">
      <c r="J1971" s="15"/>
    </row>
    <row r="1972" spans="10:10" x14ac:dyDescent="0.25">
      <c r="J1972" s="15"/>
    </row>
    <row r="1973" spans="10:10" x14ac:dyDescent="0.25">
      <c r="J1973" s="15"/>
    </row>
    <row r="1974" spans="10:10" x14ac:dyDescent="0.25">
      <c r="J1974" s="15"/>
    </row>
    <row r="1975" spans="10:10" x14ac:dyDescent="0.25">
      <c r="J1975" s="15"/>
    </row>
    <row r="1976" spans="10:10" x14ac:dyDescent="0.25">
      <c r="J1976" s="15"/>
    </row>
    <row r="1977" spans="10:10" x14ac:dyDescent="0.25">
      <c r="J1977" s="15"/>
    </row>
    <row r="1978" spans="10:10" x14ac:dyDescent="0.25">
      <c r="J1978" s="15"/>
    </row>
    <row r="1979" spans="10:10" x14ac:dyDescent="0.25">
      <c r="J1979" s="15"/>
    </row>
    <row r="1980" spans="10:10" x14ac:dyDescent="0.25">
      <c r="J1980" s="15"/>
    </row>
    <row r="1981" spans="10:10" x14ac:dyDescent="0.25">
      <c r="J1981" s="15"/>
    </row>
    <row r="1982" spans="10:10" x14ac:dyDescent="0.25">
      <c r="J1982" s="15"/>
    </row>
    <row r="1983" spans="10:10" x14ac:dyDescent="0.25">
      <c r="J1983" s="15"/>
    </row>
    <row r="1984" spans="10:10" x14ac:dyDescent="0.25">
      <c r="J1984" s="15"/>
    </row>
    <row r="1985" spans="10:10" x14ac:dyDescent="0.25">
      <c r="J1985" s="15"/>
    </row>
    <row r="1986" spans="10:10" x14ac:dyDescent="0.25">
      <c r="J1986" s="15"/>
    </row>
    <row r="1987" spans="10:10" x14ac:dyDescent="0.25">
      <c r="J1987" s="15"/>
    </row>
    <row r="1988" spans="10:10" x14ac:dyDescent="0.25">
      <c r="J1988" s="15"/>
    </row>
    <row r="1989" spans="10:10" x14ac:dyDescent="0.25">
      <c r="J1989" s="15"/>
    </row>
    <row r="1990" spans="10:10" x14ac:dyDescent="0.25">
      <c r="J1990" s="15"/>
    </row>
    <row r="1991" spans="10:10" x14ac:dyDescent="0.25">
      <c r="J1991" s="15"/>
    </row>
    <row r="1992" spans="10:10" x14ac:dyDescent="0.25">
      <c r="J1992" s="15"/>
    </row>
    <row r="1993" spans="10:10" x14ac:dyDescent="0.25">
      <c r="J1993" s="15"/>
    </row>
    <row r="1994" spans="10:10" x14ac:dyDescent="0.25">
      <c r="J1994" s="15"/>
    </row>
    <row r="1995" spans="10:10" x14ac:dyDescent="0.25">
      <c r="J1995" s="15"/>
    </row>
    <row r="1996" spans="10:10" x14ac:dyDescent="0.25">
      <c r="J1996" s="15"/>
    </row>
    <row r="1997" spans="10:10" x14ac:dyDescent="0.25">
      <c r="J1997" s="15"/>
    </row>
    <row r="1998" spans="10:10" x14ac:dyDescent="0.25">
      <c r="J1998" s="15"/>
    </row>
    <row r="1999" spans="10:10" x14ac:dyDescent="0.25">
      <c r="J1999" s="15"/>
    </row>
    <row r="2000" spans="10:10" x14ac:dyDescent="0.25">
      <c r="J2000" s="15"/>
    </row>
    <row r="2001" spans="10:10" x14ac:dyDescent="0.25">
      <c r="J2001" s="15"/>
    </row>
    <row r="2002" spans="10:10" x14ac:dyDescent="0.25">
      <c r="J2002" s="15"/>
    </row>
    <row r="2003" spans="10:10" x14ac:dyDescent="0.25">
      <c r="J2003" s="15"/>
    </row>
    <row r="2004" spans="10:10" x14ac:dyDescent="0.25">
      <c r="J2004" s="15"/>
    </row>
    <row r="2005" spans="10:10" x14ac:dyDescent="0.25">
      <c r="J2005" s="15"/>
    </row>
    <row r="2006" spans="10:10" x14ac:dyDescent="0.25">
      <c r="J2006" s="15"/>
    </row>
    <row r="2007" spans="10:10" x14ac:dyDescent="0.25">
      <c r="J2007" s="15"/>
    </row>
    <row r="2008" spans="10:10" x14ac:dyDescent="0.25">
      <c r="J2008" s="15"/>
    </row>
    <row r="2009" spans="10:10" x14ac:dyDescent="0.25">
      <c r="J2009" s="15"/>
    </row>
    <row r="2010" spans="10:10" x14ac:dyDescent="0.25">
      <c r="J2010" s="15"/>
    </row>
    <row r="2011" spans="10:10" x14ac:dyDescent="0.25">
      <c r="J2011" s="15"/>
    </row>
    <row r="2012" spans="10:10" x14ac:dyDescent="0.25">
      <c r="J2012" s="15"/>
    </row>
    <row r="2013" spans="10:10" x14ac:dyDescent="0.25">
      <c r="J2013" s="15"/>
    </row>
    <row r="2014" spans="10:10" x14ac:dyDescent="0.25">
      <c r="J2014" s="15"/>
    </row>
    <row r="2015" spans="10:10" x14ac:dyDescent="0.25">
      <c r="J2015" s="15"/>
    </row>
    <row r="2016" spans="10:10" x14ac:dyDescent="0.25">
      <c r="J2016" s="15"/>
    </row>
    <row r="2017" spans="10:10" x14ac:dyDescent="0.25">
      <c r="J2017" s="15"/>
    </row>
    <row r="2018" spans="10:10" x14ac:dyDescent="0.25">
      <c r="J2018" s="15"/>
    </row>
    <row r="2019" spans="10:10" x14ac:dyDescent="0.25">
      <c r="J2019" s="15"/>
    </row>
    <row r="2020" spans="10:10" x14ac:dyDescent="0.25">
      <c r="J2020" s="15"/>
    </row>
    <row r="2021" spans="10:10" x14ac:dyDescent="0.25">
      <c r="J2021" s="15"/>
    </row>
    <row r="2022" spans="10:10" x14ac:dyDescent="0.25">
      <c r="J2022" s="15"/>
    </row>
    <row r="2023" spans="10:10" x14ac:dyDescent="0.25">
      <c r="J2023" s="15"/>
    </row>
    <row r="2024" spans="10:10" x14ac:dyDescent="0.25">
      <c r="J2024" s="15"/>
    </row>
    <row r="2025" spans="10:10" x14ac:dyDescent="0.25">
      <c r="J2025" s="15"/>
    </row>
    <row r="2026" spans="10:10" x14ac:dyDescent="0.25">
      <c r="J2026" s="15"/>
    </row>
    <row r="2027" spans="10:10" x14ac:dyDescent="0.25">
      <c r="J2027" s="15"/>
    </row>
    <row r="2028" spans="10:10" x14ac:dyDescent="0.25">
      <c r="J2028" s="15"/>
    </row>
    <row r="2029" spans="10:10" x14ac:dyDescent="0.25">
      <c r="J2029" s="15"/>
    </row>
    <row r="2030" spans="10:10" x14ac:dyDescent="0.25">
      <c r="J2030" s="15"/>
    </row>
    <row r="2031" spans="10:10" x14ac:dyDescent="0.25">
      <c r="J2031" s="15"/>
    </row>
    <row r="2032" spans="10:10" x14ac:dyDescent="0.25">
      <c r="J2032" s="15"/>
    </row>
    <row r="2033" spans="10:10" x14ac:dyDescent="0.25">
      <c r="J2033" s="15"/>
    </row>
    <row r="2034" spans="10:10" x14ac:dyDescent="0.25">
      <c r="J2034" s="15"/>
    </row>
    <row r="2035" spans="10:10" x14ac:dyDescent="0.25">
      <c r="J2035" s="15"/>
    </row>
    <row r="2036" spans="10:10" x14ac:dyDescent="0.25">
      <c r="J2036" s="15"/>
    </row>
    <row r="2037" spans="10:10" x14ac:dyDescent="0.25">
      <c r="J2037" s="15"/>
    </row>
    <row r="2038" spans="10:10" x14ac:dyDescent="0.25">
      <c r="J2038" s="15"/>
    </row>
    <row r="2039" spans="10:10" x14ac:dyDescent="0.25">
      <c r="J2039" s="15"/>
    </row>
    <row r="2040" spans="10:10" x14ac:dyDescent="0.25">
      <c r="J2040" s="15"/>
    </row>
    <row r="2041" spans="10:10" x14ac:dyDescent="0.25">
      <c r="J2041" s="15"/>
    </row>
    <row r="2042" spans="10:10" x14ac:dyDescent="0.25">
      <c r="J2042" s="15"/>
    </row>
    <row r="2043" spans="10:10" x14ac:dyDescent="0.25">
      <c r="J2043" s="15"/>
    </row>
    <row r="2044" spans="10:10" x14ac:dyDescent="0.25">
      <c r="J2044" s="15"/>
    </row>
    <row r="2045" spans="10:10" x14ac:dyDescent="0.25">
      <c r="J2045" s="15"/>
    </row>
    <row r="2046" spans="10:10" x14ac:dyDescent="0.25">
      <c r="J2046" s="15"/>
    </row>
    <row r="2047" spans="10:10" x14ac:dyDescent="0.25">
      <c r="J2047" s="15"/>
    </row>
    <row r="2048" spans="10:10" x14ac:dyDescent="0.25">
      <c r="J2048" s="15"/>
    </row>
    <row r="2049" spans="10:10" x14ac:dyDescent="0.25">
      <c r="J2049" s="15"/>
    </row>
    <row r="2050" spans="10:10" x14ac:dyDescent="0.25">
      <c r="J2050" s="15"/>
    </row>
    <row r="2051" spans="10:10" x14ac:dyDescent="0.25">
      <c r="J2051" s="15"/>
    </row>
    <row r="2052" spans="10:10" x14ac:dyDescent="0.25">
      <c r="J2052" s="15"/>
    </row>
    <row r="2053" spans="10:10" x14ac:dyDescent="0.25">
      <c r="J2053" s="15"/>
    </row>
    <row r="2054" spans="10:10" x14ac:dyDescent="0.25">
      <c r="J2054" s="15"/>
    </row>
    <row r="2055" spans="10:10" x14ac:dyDescent="0.25">
      <c r="J2055" s="15"/>
    </row>
    <row r="2056" spans="10:10" x14ac:dyDescent="0.25">
      <c r="J2056" s="15"/>
    </row>
    <row r="2057" spans="10:10" x14ac:dyDescent="0.25">
      <c r="J2057" s="15"/>
    </row>
    <row r="2058" spans="10:10" x14ac:dyDescent="0.25">
      <c r="J2058" s="15"/>
    </row>
    <row r="2059" spans="10:10" x14ac:dyDescent="0.25">
      <c r="J2059" s="15"/>
    </row>
    <row r="2060" spans="10:10" x14ac:dyDescent="0.25">
      <c r="J2060" s="15"/>
    </row>
    <row r="2061" spans="10:10" x14ac:dyDescent="0.25">
      <c r="J2061" s="15"/>
    </row>
    <row r="2062" spans="10:10" x14ac:dyDescent="0.25">
      <c r="J2062" s="15"/>
    </row>
    <row r="2063" spans="10:10" x14ac:dyDescent="0.25">
      <c r="J2063" s="15"/>
    </row>
    <row r="2064" spans="10:10" x14ac:dyDescent="0.25">
      <c r="J2064" s="15"/>
    </row>
    <row r="2065" spans="10:10" x14ac:dyDescent="0.25">
      <c r="J2065" s="15"/>
    </row>
    <row r="2066" spans="10:10" x14ac:dyDescent="0.25">
      <c r="J2066" s="15"/>
    </row>
    <row r="2067" spans="10:10" x14ac:dyDescent="0.25">
      <c r="J2067" s="15"/>
    </row>
    <row r="2068" spans="10:10" x14ac:dyDescent="0.25">
      <c r="J2068" s="15"/>
    </row>
    <row r="2069" spans="10:10" x14ac:dyDescent="0.25">
      <c r="J2069" s="15"/>
    </row>
    <row r="2070" spans="10:10" x14ac:dyDescent="0.25">
      <c r="J2070" s="15"/>
    </row>
    <row r="2071" spans="10:10" x14ac:dyDescent="0.25">
      <c r="J2071" s="15"/>
    </row>
    <row r="2072" spans="10:10" x14ac:dyDescent="0.25">
      <c r="J2072" s="15"/>
    </row>
    <row r="2073" spans="10:10" x14ac:dyDescent="0.25">
      <c r="J2073" s="15"/>
    </row>
    <row r="2074" spans="10:10" x14ac:dyDescent="0.25">
      <c r="J2074" s="15"/>
    </row>
    <row r="2075" spans="10:10" x14ac:dyDescent="0.25">
      <c r="J2075" s="15"/>
    </row>
    <row r="2076" spans="10:10" x14ac:dyDescent="0.25">
      <c r="J2076" s="15"/>
    </row>
    <row r="2077" spans="10:10" x14ac:dyDescent="0.25">
      <c r="J2077" s="15"/>
    </row>
    <row r="2078" spans="10:10" x14ac:dyDescent="0.25">
      <c r="J2078" s="15"/>
    </row>
    <row r="2079" spans="10:10" x14ac:dyDescent="0.25">
      <c r="J2079" s="15"/>
    </row>
    <row r="2080" spans="10:10" x14ac:dyDescent="0.25">
      <c r="J2080" s="15"/>
    </row>
    <row r="2081" spans="10:10" x14ac:dyDescent="0.25">
      <c r="J2081" s="15"/>
    </row>
    <row r="2082" spans="10:10" x14ac:dyDescent="0.25">
      <c r="J2082" s="15"/>
    </row>
    <row r="2083" spans="10:10" x14ac:dyDescent="0.25">
      <c r="J2083" s="15"/>
    </row>
    <row r="2084" spans="10:10" x14ac:dyDescent="0.25">
      <c r="J2084" s="15"/>
    </row>
    <row r="2085" spans="10:10" x14ac:dyDescent="0.25">
      <c r="J2085" s="15"/>
    </row>
    <row r="2086" spans="10:10" x14ac:dyDescent="0.25">
      <c r="J2086" s="15"/>
    </row>
    <row r="2087" spans="10:10" x14ac:dyDescent="0.25">
      <c r="J2087" s="15"/>
    </row>
    <row r="2088" spans="10:10" x14ac:dyDescent="0.25">
      <c r="J2088" s="15"/>
    </row>
    <row r="2089" spans="10:10" x14ac:dyDescent="0.25">
      <c r="J2089" s="15"/>
    </row>
    <row r="2090" spans="10:10" x14ac:dyDescent="0.25">
      <c r="J2090" s="15"/>
    </row>
    <row r="2091" spans="10:10" x14ac:dyDescent="0.25">
      <c r="J2091" s="15"/>
    </row>
    <row r="2092" spans="10:10" x14ac:dyDescent="0.25">
      <c r="J2092" s="15"/>
    </row>
    <row r="2093" spans="10:10" x14ac:dyDescent="0.25">
      <c r="J2093" s="15"/>
    </row>
    <row r="2094" spans="10:10" x14ac:dyDescent="0.25">
      <c r="J2094" s="15"/>
    </row>
    <row r="2095" spans="10:10" x14ac:dyDescent="0.25">
      <c r="J2095" s="15"/>
    </row>
    <row r="2096" spans="10:10" x14ac:dyDescent="0.25">
      <c r="J2096" s="15"/>
    </row>
    <row r="2097" spans="10:10" x14ac:dyDescent="0.25">
      <c r="J2097" s="15"/>
    </row>
    <row r="2098" spans="10:10" x14ac:dyDescent="0.25">
      <c r="J2098" s="15"/>
    </row>
    <row r="2099" spans="10:10" x14ac:dyDescent="0.25">
      <c r="J2099" s="15"/>
    </row>
    <row r="2100" spans="10:10" x14ac:dyDescent="0.25">
      <c r="J2100" s="15"/>
    </row>
    <row r="2101" spans="10:10" x14ac:dyDescent="0.25">
      <c r="J2101" s="15"/>
    </row>
    <row r="2102" spans="10:10" x14ac:dyDescent="0.25">
      <c r="J2102" s="15"/>
    </row>
    <row r="2103" spans="10:10" x14ac:dyDescent="0.25">
      <c r="J2103" s="15"/>
    </row>
    <row r="2104" spans="10:10" x14ac:dyDescent="0.25">
      <c r="J2104" s="15"/>
    </row>
    <row r="2105" spans="10:10" x14ac:dyDescent="0.25">
      <c r="J2105" s="15"/>
    </row>
    <row r="2106" spans="10:10" x14ac:dyDescent="0.25">
      <c r="J2106" s="15"/>
    </row>
    <row r="2107" spans="10:10" x14ac:dyDescent="0.25">
      <c r="J2107" s="15"/>
    </row>
    <row r="2108" spans="10:10" x14ac:dyDescent="0.25">
      <c r="J2108" s="15"/>
    </row>
    <row r="2109" spans="10:10" x14ac:dyDescent="0.25">
      <c r="J2109" s="15"/>
    </row>
    <row r="2110" spans="10:10" x14ac:dyDescent="0.25">
      <c r="J2110" s="15"/>
    </row>
    <row r="2111" spans="10:10" x14ac:dyDescent="0.25">
      <c r="J2111" s="15"/>
    </row>
    <row r="2112" spans="10:10" x14ac:dyDescent="0.25">
      <c r="J2112" s="15"/>
    </row>
    <row r="2113" spans="10:10" x14ac:dyDescent="0.25">
      <c r="J2113" s="15"/>
    </row>
    <row r="2114" spans="10:10" x14ac:dyDescent="0.25">
      <c r="J2114" s="15"/>
    </row>
    <row r="2115" spans="10:10" x14ac:dyDescent="0.25">
      <c r="J2115" s="15"/>
    </row>
    <row r="2116" spans="10:10" x14ac:dyDescent="0.25">
      <c r="J2116" s="15"/>
    </row>
    <row r="2117" spans="10:10" x14ac:dyDescent="0.25">
      <c r="J2117" s="15"/>
    </row>
    <row r="2118" spans="10:10" x14ac:dyDescent="0.25">
      <c r="J2118" s="15"/>
    </row>
    <row r="2119" spans="10:10" x14ac:dyDescent="0.25">
      <c r="J2119" s="15"/>
    </row>
    <row r="2120" spans="10:10" x14ac:dyDescent="0.25">
      <c r="J2120" s="15"/>
    </row>
    <row r="2121" spans="10:10" x14ac:dyDescent="0.25">
      <c r="J2121" s="15"/>
    </row>
    <row r="2122" spans="10:10" x14ac:dyDescent="0.25">
      <c r="J2122" s="15"/>
    </row>
    <row r="2123" spans="10:10" x14ac:dyDescent="0.25">
      <c r="J2123" s="15"/>
    </row>
    <row r="2124" spans="10:10" x14ac:dyDescent="0.25">
      <c r="J2124" s="15"/>
    </row>
    <row r="2125" spans="10:10" x14ac:dyDescent="0.25">
      <c r="J2125" s="15"/>
    </row>
    <row r="2126" spans="10:10" x14ac:dyDescent="0.25">
      <c r="J2126" s="15"/>
    </row>
    <row r="2127" spans="10:10" x14ac:dyDescent="0.25">
      <c r="J2127" s="15"/>
    </row>
    <row r="2128" spans="10:10" x14ac:dyDescent="0.25">
      <c r="J2128" s="15"/>
    </row>
    <row r="2129" spans="10:10" x14ac:dyDescent="0.25">
      <c r="J2129" s="15"/>
    </row>
    <row r="2130" spans="10:10" x14ac:dyDescent="0.25">
      <c r="J2130" s="15"/>
    </row>
    <row r="2131" spans="10:10" x14ac:dyDescent="0.25">
      <c r="J2131" s="15"/>
    </row>
    <row r="2132" spans="10:10" x14ac:dyDescent="0.25">
      <c r="J2132" s="15"/>
    </row>
    <row r="2133" spans="10:10" x14ac:dyDescent="0.25">
      <c r="J2133" s="15"/>
    </row>
    <row r="2134" spans="10:10" x14ac:dyDescent="0.25">
      <c r="J2134" s="15"/>
    </row>
    <row r="2135" spans="10:10" x14ac:dyDescent="0.25">
      <c r="J2135" s="15"/>
    </row>
    <row r="2136" spans="10:10" x14ac:dyDescent="0.25">
      <c r="J2136" s="15"/>
    </row>
    <row r="2137" spans="10:10" x14ac:dyDescent="0.25">
      <c r="J2137" s="15"/>
    </row>
    <row r="2138" spans="10:10" x14ac:dyDescent="0.25">
      <c r="J2138" s="15"/>
    </row>
    <row r="2139" spans="10:10" x14ac:dyDescent="0.25">
      <c r="J2139" s="15"/>
    </row>
    <row r="2140" spans="10:10" x14ac:dyDescent="0.25">
      <c r="J2140" s="15"/>
    </row>
    <row r="2141" spans="10:10" x14ac:dyDescent="0.25">
      <c r="J2141" s="15"/>
    </row>
    <row r="2142" spans="10:10" x14ac:dyDescent="0.25">
      <c r="J2142" s="15"/>
    </row>
    <row r="2143" spans="10:10" x14ac:dyDescent="0.25">
      <c r="J2143" s="15"/>
    </row>
    <row r="2144" spans="10:10" x14ac:dyDescent="0.25">
      <c r="J2144" s="15"/>
    </row>
    <row r="2145" spans="10:10" x14ac:dyDescent="0.25">
      <c r="J2145" s="15"/>
    </row>
    <row r="2146" spans="10:10" x14ac:dyDescent="0.25">
      <c r="J2146" s="15"/>
    </row>
    <row r="2147" spans="10:10" x14ac:dyDescent="0.25">
      <c r="J2147" s="15"/>
    </row>
    <row r="2148" spans="10:10" x14ac:dyDescent="0.25">
      <c r="J2148" s="15"/>
    </row>
    <row r="2149" spans="10:10" x14ac:dyDescent="0.25">
      <c r="J2149" s="15"/>
    </row>
    <row r="2150" spans="10:10" x14ac:dyDescent="0.25">
      <c r="J2150" s="15"/>
    </row>
    <row r="2151" spans="10:10" x14ac:dyDescent="0.25">
      <c r="J2151" s="15"/>
    </row>
    <row r="2152" spans="10:10" x14ac:dyDescent="0.25">
      <c r="J2152" s="15"/>
    </row>
    <row r="2153" spans="10:10" x14ac:dyDescent="0.25">
      <c r="J2153" s="15"/>
    </row>
    <row r="2154" spans="10:10" x14ac:dyDescent="0.25">
      <c r="J2154" s="15"/>
    </row>
    <row r="2155" spans="10:10" x14ac:dyDescent="0.25">
      <c r="J2155" s="15"/>
    </row>
    <row r="2156" spans="10:10" x14ac:dyDescent="0.25">
      <c r="J2156" s="15"/>
    </row>
    <row r="2157" spans="10:10" x14ac:dyDescent="0.25">
      <c r="J2157" s="15"/>
    </row>
    <row r="2158" spans="10:10" x14ac:dyDescent="0.25">
      <c r="J2158" s="15"/>
    </row>
    <row r="2159" spans="10:10" x14ac:dyDescent="0.25">
      <c r="J2159" s="15"/>
    </row>
    <row r="2160" spans="10:10" x14ac:dyDescent="0.25">
      <c r="J2160" s="15"/>
    </row>
    <row r="2161" spans="10:10" x14ac:dyDescent="0.25">
      <c r="J2161" s="15"/>
    </row>
    <row r="2162" spans="10:10" x14ac:dyDescent="0.25">
      <c r="J2162" s="15"/>
    </row>
    <row r="2163" spans="10:10" x14ac:dyDescent="0.25">
      <c r="J2163" s="15"/>
    </row>
    <row r="2164" spans="10:10" x14ac:dyDescent="0.25">
      <c r="J2164" s="15"/>
    </row>
    <row r="2165" spans="10:10" x14ac:dyDescent="0.25">
      <c r="J2165" s="15"/>
    </row>
    <row r="2166" spans="10:10" x14ac:dyDescent="0.25">
      <c r="J2166" s="15"/>
    </row>
    <row r="2167" spans="10:10" x14ac:dyDescent="0.25">
      <c r="J2167" s="15"/>
    </row>
    <row r="2168" spans="10:10" x14ac:dyDescent="0.25">
      <c r="J2168" s="15"/>
    </row>
    <row r="2169" spans="10:10" x14ac:dyDescent="0.25">
      <c r="J2169" s="15"/>
    </row>
    <row r="2170" spans="10:10" x14ac:dyDescent="0.25">
      <c r="J2170" s="15"/>
    </row>
    <row r="2171" spans="10:10" x14ac:dyDescent="0.25">
      <c r="J2171" s="15"/>
    </row>
    <row r="2172" spans="10:10" x14ac:dyDescent="0.25">
      <c r="J2172" s="15"/>
    </row>
    <row r="2173" spans="10:10" x14ac:dyDescent="0.25">
      <c r="J2173" s="15"/>
    </row>
    <row r="2174" spans="10:10" x14ac:dyDescent="0.25">
      <c r="J2174" s="15"/>
    </row>
    <row r="2175" spans="10:10" x14ac:dyDescent="0.25">
      <c r="J2175" s="15"/>
    </row>
    <row r="2176" spans="10:10" x14ac:dyDescent="0.25">
      <c r="J2176" s="15"/>
    </row>
    <row r="2177" spans="10:10" x14ac:dyDescent="0.25">
      <c r="J2177" s="15"/>
    </row>
    <row r="2178" spans="10:10" x14ac:dyDescent="0.25">
      <c r="J2178" s="15"/>
    </row>
    <row r="2179" spans="10:10" x14ac:dyDescent="0.25">
      <c r="J2179" s="15"/>
    </row>
    <row r="2180" spans="10:10" x14ac:dyDescent="0.25">
      <c r="J2180" s="15"/>
    </row>
    <row r="2181" spans="10:10" x14ac:dyDescent="0.25">
      <c r="J2181" s="15"/>
    </row>
    <row r="2182" spans="10:10" x14ac:dyDescent="0.25">
      <c r="J2182" s="15"/>
    </row>
    <row r="2183" spans="10:10" x14ac:dyDescent="0.25">
      <c r="J2183" s="15"/>
    </row>
    <row r="2184" spans="10:10" x14ac:dyDescent="0.25">
      <c r="J2184" s="15"/>
    </row>
    <row r="2185" spans="10:10" x14ac:dyDescent="0.25">
      <c r="J2185" s="15"/>
    </row>
    <row r="2186" spans="10:10" x14ac:dyDescent="0.25">
      <c r="J2186" s="15"/>
    </row>
    <row r="2187" spans="10:10" x14ac:dyDescent="0.25">
      <c r="J2187" s="15"/>
    </row>
    <row r="2188" spans="10:10" x14ac:dyDescent="0.25">
      <c r="J2188" s="15"/>
    </row>
    <row r="2189" spans="10:10" x14ac:dyDescent="0.25">
      <c r="J2189" s="15"/>
    </row>
    <row r="2190" spans="10:10" x14ac:dyDescent="0.25">
      <c r="J2190" s="15"/>
    </row>
    <row r="2191" spans="10:10" x14ac:dyDescent="0.25">
      <c r="J2191" s="15"/>
    </row>
    <row r="2192" spans="10:10" x14ac:dyDescent="0.25">
      <c r="J2192" s="15"/>
    </row>
    <row r="2193" spans="10:10" x14ac:dyDescent="0.25">
      <c r="J2193" s="15"/>
    </row>
    <row r="2194" spans="10:10" x14ac:dyDescent="0.25">
      <c r="J2194" s="15"/>
    </row>
    <row r="2195" spans="10:10" x14ac:dyDescent="0.25">
      <c r="J2195" s="15"/>
    </row>
    <row r="2196" spans="10:10" x14ac:dyDescent="0.25">
      <c r="J2196" s="15"/>
    </row>
    <row r="2197" spans="10:10" x14ac:dyDescent="0.25">
      <c r="J2197" s="15"/>
    </row>
    <row r="2198" spans="10:10" x14ac:dyDescent="0.25">
      <c r="J2198" s="15"/>
    </row>
    <row r="2199" spans="10:10" x14ac:dyDescent="0.25">
      <c r="J2199" s="15"/>
    </row>
    <row r="2200" spans="10:10" x14ac:dyDescent="0.25">
      <c r="J2200" s="15"/>
    </row>
    <row r="2201" spans="10:10" x14ac:dyDescent="0.25">
      <c r="J2201" s="15"/>
    </row>
    <row r="2202" spans="10:10" x14ac:dyDescent="0.25">
      <c r="J2202" s="15"/>
    </row>
    <row r="2203" spans="10:10" x14ac:dyDescent="0.25">
      <c r="J2203" s="15"/>
    </row>
    <row r="2204" spans="10:10" x14ac:dyDescent="0.25">
      <c r="J2204" s="15"/>
    </row>
    <row r="2205" spans="10:10" x14ac:dyDescent="0.25">
      <c r="J2205" s="15"/>
    </row>
    <row r="2206" spans="10:10" x14ac:dyDescent="0.25">
      <c r="J2206" s="15"/>
    </row>
    <row r="2207" spans="10:10" x14ac:dyDescent="0.25">
      <c r="J2207" s="15"/>
    </row>
    <row r="2208" spans="10:10" x14ac:dyDescent="0.25">
      <c r="J2208" s="15"/>
    </row>
    <row r="2209" spans="10:10" x14ac:dyDescent="0.25">
      <c r="J2209" s="15"/>
    </row>
    <row r="2210" spans="10:10" x14ac:dyDescent="0.25">
      <c r="J2210" s="15"/>
    </row>
    <row r="2211" spans="10:10" x14ac:dyDescent="0.25">
      <c r="J2211" s="15"/>
    </row>
    <row r="2212" spans="10:10" x14ac:dyDescent="0.25">
      <c r="J2212" s="15"/>
    </row>
    <row r="2213" spans="10:10" x14ac:dyDescent="0.25">
      <c r="J2213" s="15"/>
    </row>
    <row r="2214" spans="10:10" x14ac:dyDescent="0.25">
      <c r="J2214" s="15"/>
    </row>
    <row r="2215" spans="10:10" x14ac:dyDescent="0.25">
      <c r="J2215" s="15"/>
    </row>
    <row r="2216" spans="10:10" x14ac:dyDescent="0.25">
      <c r="J2216" s="15"/>
    </row>
    <row r="2217" spans="10:10" x14ac:dyDescent="0.25">
      <c r="J2217" s="15"/>
    </row>
    <row r="2218" spans="10:10" x14ac:dyDescent="0.25">
      <c r="J2218" s="15"/>
    </row>
    <row r="2219" spans="10:10" x14ac:dyDescent="0.25">
      <c r="J2219" s="15"/>
    </row>
    <row r="2220" spans="10:10" x14ac:dyDescent="0.25">
      <c r="J2220" s="15"/>
    </row>
    <row r="2221" spans="10:10" x14ac:dyDescent="0.25">
      <c r="J2221" s="15"/>
    </row>
    <row r="2222" spans="10:10" x14ac:dyDescent="0.25">
      <c r="J2222" s="15"/>
    </row>
    <row r="2223" spans="10:10" x14ac:dyDescent="0.25">
      <c r="J2223" s="15"/>
    </row>
    <row r="2224" spans="10:10" x14ac:dyDescent="0.25">
      <c r="J2224" s="15"/>
    </row>
    <row r="2225" spans="10:10" x14ac:dyDescent="0.25">
      <c r="J2225" s="15"/>
    </row>
    <row r="2226" spans="10:10" x14ac:dyDescent="0.25">
      <c r="J2226" s="15"/>
    </row>
    <row r="2227" spans="10:10" x14ac:dyDescent="0.25">
      <c r="J2227" s="15"/>
    </row>
    <row r="2228" spans="10:10" x14ac:dyDescent="0.25">
      <c r="J2228" s="15"/>
    </row>
    <row r="2229" spans="10:10" x14ac:dyDescent="0.25">
      <c r="J2229" s="15"/>
    </row>
    <row r="2230" spans="10:10" x14ac:dyDescent="0.25">
      <c r="J2230" s="15"/>
    </row>
    <row r="2231" spans="10:10" x14ac:dyDescent="0.25">
      <c r="J2231" s="15"/>
    </row>
    <row r="2232" spans="10:10" x14ac:dyDescent="0.25">
      <c r="J2232" s="15"/>
    </row>
    <row r="2233" spans="10:10" x14ac:dyDescent="0.25">
      <c r="J2233" s="15"/>
    </row>
    <row r="2234" spans="10:10" x14ac:dyDescent="0.25">
      <c r="J2234" s="15"/>
    </row>
    <row r="2235" spans="10:10" x14ac:dyDescent="0.25">
      <c r="J2235" s="15"/>
    </row>
    <row r="2236" spans="10:10" x14ac:dyDescent="0.25">
      <c r="J2236" s="15"/>
    </row>
    <row r="2237" spans="10:10" x14ac:dyDescent="0.25">
      <c r="J2237" s="15"/>
    </row>
    <row r="2238" spans="10:10" x14ac:dyDescent="0.25">
      <c r="J2238" s="15"/>
    </row>
    <row r="2239" spans="10:10" x14ac:dyDescent="0.25">
      <c r="J2239" s="15"/>
    </row>
    <row r="2240" spans="10:10" x14ac:dyDescent="0.25">
      <c r="J2240" s="15"/>
    </row>
    <row r="2241" spans="10:10" x14ac:dyDescent="0.25">
      <c r="J2241" s="15"/>
    </row>
    <row r="2242" spans="10:10" x14ac:dyDescent="0.25">
      <c r="J2242" s="15"/>
    </row>
    <row r="2243" spans="10:10" x14ac:dyDescent="0.25">
      <c r="J2243" s="15"/>
    </row>
    <row r="2244" spans="10:10" x14ac:dyDescent="0.25">
      <c r="J2244" s="15"/>
    </row>
    <row r="2245" spans="10:10" x14ac:dyDescent="0.25">
      <c r="J2245" s="15"/>
    </row>
    <row r="2246" spans="10:10" x14ac:dyDescent="0.25">
      <c r="J2246" s="15"/>
    </row>
    <row r="2247" spans="10:10" x14ac:dyDescent="0.25">
      <c r="J2247" s="15"/>
    </row>
    <row r="2248" spans="10:10" x14ac:dyDescent="0.25">
      <c r="J2248" s="15"/>
    </row>
    <row r="2249" spans="10:10" x14ac:dyDescent="0.25">
      <c r="J2249" s="15"/>
    </row>
    <row r="2250" spans="10:10" x14ac:dyDescent="0.25">
      <c r="J2250" s="15"/>
    </row>
    <row r="2251" spans="10:10" x14ac:dyDescent="0.25">
      <c r="J2251" s="15"/>
    </row>
    <row r="2252" spans="10:10" x14ac:dyDescent="0.25">
      <c r="J2252" s="15"/>
    </row>
    <row r="2253" spans="10:10" x14ac:dyDescent="0.25">
      <c r="J2253" s="15"/>
    </row>
    <row r="2254" spans="10:10" x14ac:dyDescent="0.25">
      <c r="J2254" s="15"/>
    </row>
    <row r="2255" spans="10:10" x14ac:dyDescent="0.25">
      <c r="J2255" s="15"/>
    </row>
    <row r="2256" spans="10:10" x14ac:dyDescent="0.25">
      <c r="J2256" s="15"/>
    </row>
    <row r="2257" spans="10:10" x14ac:dyDescent="0.25">
      <c r="J2257" s="15"/>
    </row>
    <row r="2258" spans="10:10" x14ac:dyDescent="0.25">
      <c r="J2258" s="15"/>
    </row>
    <row r="2259" spans="10:10" x14ac:dyDescent="0.25">
      <c r="J2259" s="15"/>
    </row>
    <row r="2260" spans="10:10" x14ac:dyDescent="0.25">
      <c r="J2260" s="15"/>
    </row>
    <row r="2261" spans="10:10" x14ac:dyDescent="0.25">
      <c r="J2261" s="15"/>
    </row>
    <row r="2262" spans="10:10" x14ac:dyDescent="0.25">
      <c r="J2262" s="15"/>
    </row>
    <row r="2263" spans="10:10" x14ac:dyDescent="0.25">
      <c r="J2263" s="15"/>
    </row>
    <row r="2264" spans="10:10" x14ac:dyDescent="0.25">
      <c r="J2264" s="15"/>
    </row>
    <row r="2265" spans="10:10" x14ac:dyDescent="0.25">
      <c r="J2265" s="15"/>
    </row>
    <row r="2266" spans="10:10" x14ac:dyDescent="0.25">
      <c r="J2266" s="15"/>
    </row>
    <row r="2267" spans="10:10" x14ac:dyDescent="0.25">
      <c r="J2267" s="15"/>
    </row>
    <row r="2268" spans="10:10" x14ac:dyDescent="0.25">
      <c r="J2268" s="15"/>
    </row>
    <row r="2269" spans="10:10" x14ac:dyDescent="0.25">
      <c r="J2269" s="15"/>
    </row>
    <row r="2270" spans="10:10" x14ac:dyDescent="0.25">
      <c r="J2270" s="15"/>
    </row>
    <row r="2271" spans="10:10" x14ac:dyDescent="0.25">
      <c r="J2271" s="15"/>
    </row>
    <row r="2272" spans="10:10" x14ac:dyDescent="0.25">
      <c r="J2272" s="15"/>
    </row>
    <row r="2273" spans="10:10" x14ac:dyDescent="0.25">
      <c r="J2273" s="15"/>
    </row>
    <row r="2274" spans="10:10" x14ac:dyDescent="0.25">
      <c r="J2274" s="15"/>
    </row>
    <row r="2275" spans="10:10" x14ac:dyDescent="0.25">
      <c r="J2275" s="15"/>
    </row>
    <row r="2276" spans="10:10" x14ac:dyDescent="0.25">
      <c r="J2276" s="15"/>
    </row>
    <row r="2277" spans="10:10" x14ac:dyDescent="0.25">
      <c r="J2277" s="15"/>
    </row>
    <row r="2278" spans="10:10" x14ac:dyDescent="0.25">
      <c r="J2278" s="15"/>
    </row>
    <row r="2279" spans="10:10" x14ac:dyDescent="0.25">
      <c r="J2279" s="15"/>
    </row>
    <row r="2280" spans="10:10" x14ac:dyDescent="0.25">
      <c r="J2280" s="15"/>
    </row>
    <row r="2281" spans="10:10" x14ac:dyDescent="0.25">
      <c r="J2281" s="15"/>
    </row>
    <row r="2282" spans="10:10" x14ac:dyDescent="0.25">
      <c r="J2282" s="15"/>
    </row>
    <row r="2283" spans="10:10" x14ac:dyDescent="0.25">
      <c r="J2283" s="15"/>
    </row>
    <row r="2284" spans="10:10" x14ac:dyDescent="0.25">
      <c r="J2284" s="15"/>
    </row>
    <row r="2285" spans="10:10" x14ac:dyDescent="0.25">
      <c r="J2285" s="15"/>
    </row>
    <row r="2286" spans="10:10" x14ac:dyDescent="0.25">
      <c r="J2286" s="15"/>
    </row>
    <row r="2287" spans="10:10" x14ac:dyDescent="0.25">
      <c r="J2287" s="15"/>
    </row>
    <row r="2288" spans="10:10" x14ac:dyDescent="0.25">
      <c r="J2288" s="15"/>
    </row>
    <row r="2289" spans="10:10" x14ac:dyDescent="0.25">
      <c r="J2289" s="15"/>
    </row>
    <row r="2290" spans="10:10" x14ac:dyDescent="0.25">
      <c r="J2290" s="15"/>
    </row>
    <row r="2291" spans="10:10" x14ac:dyDescent="0.25">
      <c r="J2291" s="15"/>
    </row>
    <row r="2292" spans="10:10" x14ac:dyDescent="0.25">
      <c r="J2292" s="15"/>
    </row>
    <row r="2293" spans="10:10" x14ac:dyDescent="0.25">
      <c r="J2293" s="15"/>
    </row>
    <row r="2294" spans="10:10" x14ac:dyDescent="0.25">
      <c r="J2294" s="15"/>
    </row>
    <row r="2295" spans="10:10" x14ac:dyDescent="0.25">
      <c r="J2295" s="15"/>
    </row>
    <row r="2296" spans="10:10" x14ac:dyDescent="0.25">
      <c r="J2296" s="15"/>
    </row>
    <row r="2297" spans="10:10" x14ac:dyDescent="0.25">
      <c r="J2297" s="15"/>
    </row>
    <row r="2298" spans="10:10" x14ac:dyDescent="0.25">
      <c r="J2298" s="15"/>
    </row>
    <row r="2299" spans="10:10" x14ac:dyDescent="0.25">
      <c r="J2299" s="15"/>
    </row>
    <row r="2300" spans="10:10" x14ac:dyDescent="0.25">
      <c r="J2300" s="15"/>
    </row>
    <row r="2301" spans="10:10" x14ac:dyDescent="0.25">
      <c r="J2301" s="15"/>
    </row>
    <row r="2302" spans="10:10" x14ac:dyDescent="0.25">
      <c r="J2302" s="15"/>
    </row>
    <row r="2303" spans="10:10" x14ac:dyDescent="0.25">
      <c r="J2303" s="15"/>
    </row>
    <row r="2304" spans="10:10" x14ac:dyDescent="0.25">
      <c r="J2304" s="15"/>
    </row>
    <row r="2305" spans="10:10" x14ac:dyDescent="0.25">
      <c r="J2305" s="15"/>
    </row>
    <row r="2306" spans="10:10" x14ac:dyDescent="0.25">
      <c r="J2306" s="15"/>
    </row>
    <row r="2307" spans="10:10" x14ac:dyDescent="0.25">
      <c r="J2307" s="15"/>
    </row>
    <row r="2308" spans="10:10" x14ac:dyDescent="0.25">
      <c r="J2308" s="15"/>
    </row>
    <row r="2309" spans="10:10" x14ac:dyDescent="0.25">
      <c r="J2309" s="15"/>
    </row>
    <row r="2310" spans="10:10" x14ac:dyDescent="0.25">
      <c r="J2310" s="15"/>
    </row>
    <row r="2311" spans="10:10" x14ac:dyDescent="0.25">
      <c r="J2311" s="15"/>
    </row>
    <row r="2312" spans="10:10" x14ac:dyDescent="0.25">
      <c r="J2312" s="15"/>
    </row>
    <row r="2313" spans="10:10" x14ac:dyDescent="0.25">
      <c r="J2313" s="15"/>
    </row>
    <row r="2314" spans="10:10" x14ac:dyDescent="0.25">
      <c r="J2314" s="15"/>
    </row>
    <row r="2315" spans="10:10" x14ac:dyDescent="0.25">
      <c r="J2315" s="15"/>
    </row>
    <row r="2316" spans="10:10" x14ac:dyDescent="0.25">
      <c r="J2316" s="15"/>
    </row>
    <row r="2317" spans="10:10" x14ac:dyDescent="0.25">
      <c r="J2317" s="15"/>
    </row>
    <row r="2318" spans="10:10" x14ac:dyDescent="0.25">
      <c r="J2318" s="15"/>
    </row>
    <row r="2319" spans="10:10" x14ac:dyDescent="0.25">
      <c r="J2319" s="15"/>
    </row>
    <row r="2320" spans="10:10" x14ac:dyDescent="0.25">
      <c r="J2320" s="15"/>
    </row>
    <row r="2321" spans="10:10" x14ac:dyDescent="0.25">
      <c r="J2321" s="15"/>
    </row>
    <row r="2322" spans="10:10" x14ac:dyDescent="0.25">
      <c r="J2322" s="15"/>
    </row>
    <row r="2323" spans="10:10" x14ac:dyDescent="0.25">
      <c r="J2323" s="15"/>
    </row>
    <row r="2324" spans="10:10" x14ac:dyDescent="0.25">
      <c r="J2324" s="15"/>
    </row>
    <row r="2325" spans="10:10" x14ac:dyDescent="0.25">
      <c r="J2325" s="15"/>
    </row>
    <row r="2326" spans="10:10" x14ac:dyDescent="0.25">
      <c r="J2326" s="15"/>
    </row>
    <row r="2327" spans="10:10" x14ac:dyDescent="0.25">
      <c r="J2327" s="15"/>
    </row>
    <row r="2328" spans="10:10" x14ac:dyDescent="0.25">
      <c r="J2328" s="15"/>
    </row>
    <row r="2329" spans="10:10" x14ac:dyDescent="0.25">
      <c r="J2329" s="15"/>
    </row>
    <row r="2330" spans="10:10" x14ac:dyDescent="0.25">
      <c r="J2330" s="15"/>
    </row>
    <row r="2331" spans="10:10" x14ac:dyDescent="0.25">
      <c r="J2331" s="15"/>
    </row>
    <row r="2332" spans="10:10" x14ac:dyDescent="0.25">
      <c r="J2332" s="15"/>
    </row>
    <row r="2333" spans="10:10" x14ac:dyDescent="0.25">
      <c r="J2333" s="15"/>
    </row>
    <row r="2334" spans="10:10" x14ac:dyDescent="0.25">
      <c r="J2334" s="15"/>
    </row>
    <row r="2335" spans="10:10" x14ac:dyDescent="0.25">
      <c r="J2335" s="15"/>
    </row>
    <row r="2336" spans="10:10" x14ac:dyDescent="0.25">
      <c r="J2336" s="15"/>
    </row>
    <row r="2337" spans="10:10" x14ac:dyDescent="0.25">
      <c r="J2337" s="15"/>
    </row>
    <row r="2338" spans="10:10" x14ac:dyDescent="0.25">
      <c r="J2338" s="15"/>
    </row>
    <row r="2339" spans="10:10" x14ac:dyDescent="0.25">
      <c r="J2339" s="15"/>
    </row>
    <row r="2340" spans="10:10" x14ac:dyDescent="0.25">
      <c r="J2340" s="15"/>
    </row>
    <row r="2341" spans="10:10" x14ac:dyDescent="0.25">
      <c r="J2341" s="15"/>
    </row>
    <row r="2342" spans="10:10" x14ac:dyDescent="0.25">
      <c r="J2342" s="15"/>
    </row>
    <row r="2343" spans="10:10" x14ac:dyDescent="0.25">
      <c r="J2343" s="15"/>
    </row>
    <row r="2344" spans="10:10" x14ac:dyDescent="0.25">
      <c r="J2344" s="15"/>
    </row>
    <row r="2345" spans="10:10" x14ac:dyDescent="0.25">
      <c r="J2345" s="15"/>
    </row>
    <row r="2346" spans="10:10" x14ac:dyDescent="0.25">
      <c r="J2346" s="15"/>
    </row>
    <row r="2347" spans="10:10" x14ac:dyDescent="0.25">
      <c r="J2347" s="15"/>
    </row>
    <row r="2348" spans="10:10" x14ac:dyDescent="0.25">
      <c r="J2348" s="15"/>
    </row>
    <row r="2349" spans="10:10" x14ac:dyDescent="0.25">
      <c r="J2349" s="15"/>
    </row>
    <row r="2350" spans="10:10" x14ac:dyDescent="0.25">
      <c r="J2350" s="15"/>
    </row>
    <row r="2351" spans="10:10" x14ac:dyDescent="0.25">
      <c r="J2351" s="15"/>
    </row>
    <row r="2352" spans="10:10" x14ac:dyDescent="0.25">
      <c r="J2352" s="15"/>
    </row>
    <row r="2353" spans="10:10" x14ac:dyDescent="0.25">
      <c r="J2353" s="15"/>
    </row>
    <row r="2354" spans="10:10" x14ac:dyDescent="0.25">
      <c r="J2354" s="15"/>
    </row>
    <row r="2355" spans="10:10" x14ac:dyDescent="0.25">
      <c r="J2355" s="15"/>
    </row>
    <row r="2356" spans="10:10" x14ac:dyDescent="0.25">
      <c r="J2356" s="15"/>
    </row>
    <row r="2357" spans="10:10" x14ac:dyDescent="0.25">
      <c r="J2357" s="15"/>
    </row>
    <row r="2358" spans="10:10" x14ac:dyDescent="0.25">
      <c r="J2358" s="15"/>
    </row>
    <row r="2359" spans="10:10" x14ac:dyDescent="0.25">
      <c r="J2359" s="15"/>
    </row>
    <row r="2360" spans="10:10" x14ac:dyDescent="0.25">
      <c r="J2360" s="15"/>
    </row>
    <row r="2361" spans="10:10" x14ac:dyDescent="0.25">
      <c r="J2361" s="15"/>
    </row>
    <row r="2362" spans="10:10" x14ac:dyDescent="0.25">
      <c r="J2362" s="15"/>
    </row>
    <row r="2363" spans="10:10" x14ac:dyDescent="0.25">
      <c r="J2363" s="15"/>
    </row>
    <row r="2364" spans="10:10" x14ac:dyDescent="0.25">
      <c r="J2364" s="15"/>
    </row>
    <row r="2365" spans="10:10" x14ac:dyDescent="0.25">
      <c r="J2365" s="15"/>
    </row>
    <row r="2366" spans="10:10" x14ac:dyDescent="0.25">
      <c r="J2366" s="15"/>
    </row>
    <row r="2367" spans="10:10" x14ac:dyDescent="0.25">
      <c r="J2367" s="15"/>
    </row>
    <row r="2368" spans="10:10" x14ac:dyDescent="0.25">
      <c r="J2368" s="15"/>
    </row>
    <row r="2369" spans="10:10" x14ac:dyDescent="0.25">
      <c r="J2369" s="15"/>
    </row>
    <row r="2370" spans="10:10" x14ac:dyDescent="0.25">
      <c r="J2370" s="15"/>
    </row>
    <row r="2371" spans="10:10" x14ac:dyDescent="0.25">
      <c r="J2371" s="15"/>
    </row>
    <row r="2372" spans="10:10" x14ac:dyDescent="0.25">
      <c r="J2372" s="15"/>
    </row>
    <row r="2373" spans="10:10" x14ac:dyDescent="0.25">
      <c r="J2373" s="15"/>
    </row>
    <row r="2374" spans="10:10" x14ac:dyDescent="0.25">
      <c r="J2374" s="15"/>
    </row>
    <row r="2375" spans="10:10" x14ac:dyDescent="0.25">
      <c r="J2375" s="15"/>
    </row>
    <row r="2376" spans="10:10" x14ac:dyDescent="0.25">
      <c r="J2376" s="15"/>
    </row>
    <row r="2377" spans="10:10" x14ac:dyDescent="0.25">
      <c r="J2377" s="15"/>
    </row>
    <row r="2378" spans="10:10" x14ac:dyDescent="0.25">
      <c r="J2378" s="15"/>
    </row>
    <row r="2379" spans="10:10" x14ac:dyDescent="0.25">
      <c r="J2379" s="15"/>
    </row>
    <row r="2380" spans="10:10" x14ac:dyDescent="0.25">
      <c r="J2380" s="15"/>
    </row>
    <row r="2381" spans="10:10" x14ac:dyDescent="0.25">
      <c r="J2381" s="15"/>
    </row>
    <row r="2382" spans="10:10" x14ac:dyDescent="0.25">
      <c r="J2382" s="15"/>
    </row>
    <row r="2383" spans="10:10" x14ac:dyDescent="0.25">
      <c r="J2383" s="15"/>
    </row>
    <row r="2384" spans="10:10" x14ac:dyDescent="0.25">
      <c r="J2384" s="15"/>
    </row>
    <row r="2385" spans="10:10" x14ac:dyDescent="0.25">
      <c r="J2385" s="15"/>
    </row>
    <row r="2386" spans="10:10" x14ac:dyDescent="0.25">
      <c r="J2386" s="15"/>
    </row>
    <row r="2387" spans="10:10" x14ac:dyDescent="0.25">
      <c r="J2387" s="15"/>
    </row>
    <row r="2388" spans="10:10" x14ac:dyDescent="0.25">
      <c r="J2388" s="15"/>
    </row>
    <row r="2389" spans="10:10" x14ac:dyDescent="0.25">
      <c r="J2389" s="15"/>
    </row>
    <row r="2390" spans="10:10" x14ac:dyDescent="0.25">
      <c r="J2390" s="15"/>
    </row>
    <row r="2391" spans="10:10" x14ac:dyDescent="0.25">
      <c r="J2391" s="15"/>
    </row>
    <row r="2392" spans="10:10" x14ac:dyDescent="0.25">
      <c r="J2392" s="15"/>
    </row>
    <row r="2393" spans="10:10" x14ac:dyDescent="0.25">
      <c r="J2393" s="15"/>
    </row>
    <row r="2394" spans="10:10" x14ac:dyDescent="0.25">
      <c r="J2394" s="15"/>
    </row>
    <row r="2395" spans="10:10" x14ac:dyDescent="0.25">
      <c r="J2395" s="15"/>
    </row>
    <row r="2396" spans="10:10" x14ac:dyDescent="0.25">
      <c r="J2396" s="15"/>
    </row>
    <row r="2397" spans="10:10" x14ac:dyDescent="0.25">
      <c r="J2397" s="15"/>
    </row>
    <row r="2398" spans="10:10" x14ac:dyDescent="0.25">
      <c r="J2398" s="15"/>
    </row>
    <row r="2399" spans="10:10" x14ac:dyDescent="0.25">
      <c r="J2399" s="15"/>
    </row>
    <row r="2400" spans="10:10" x14ac:dyDescent="0.25">
      <c r="J2400" s="15"/>
    </row>
    <row r="2401" spans="10:10" x14ac:dyDescent="0.25">
      <c r="J2401" s="15"/>
    </row>
    <row r="2402" spans="10:10" x14ac:dyDescent="0.25">
      <c r="J2402" s="15"/>
    </row>
    <row r="2403" spans="10:10" x14ac:dyDescent="0.25">
      <c r="J2403" s="15"/>
    </row>
    <row r="2404" spans="10:10" x14ac:dyDescent="0.25">
      <c r="J2404" s="15"/>
    </row>
    <row r="2405" spans="10:10" x14ac:dyDescent="0.25">
      <c r="J2405" s="15"/>
    </row>
    <row r="2406" spans="10:10" x14ac:dyDescent="0.25">
      <c r="J2406" s="15"/>
    </row>
    <row r="2407" spans="10:10" x14ac:dyDescent="0.25">
      <c r="J2407" s="15"/>
    </row>
    <row r="2408" spans="10:10" x14ac:dyDescent="0.25">
      <c r="J2408" s="15"/>
    </row>
    <row r="2409" spans="10:10" x14ac:dyDescent="0.25">
      <c r="J2409" s="15"/>
    </row>
    <row r="2410" spans="10:10" x14ac:dyDescent="0.25">
      <c r="J2410" s="15"/>
    </row>
    <row r="2411" spans="10:10" x14ac:dyDescent="0.25">
      <c r="J2411" s="15"/>
    </row>
    <row r="2412" spans="10:10" x14ac:dyDescent="0.25">
      <c r="J2412" s="15"/>
    </row>
    <row r="2413" spans="10:10" x14ac:dyDescent="0.25">
      <c r="J2413" s="15"/>
    </row>
    <row r="2414" spans="10:10" x14ac:dyDescent="0.25">
      <c r="J2414" s="15"/>
    </row>
    <row r="2415" spans="10:10" x14ac:dyDescent="0.25">
      <c r="J2415" s="15"/>
    </row>
    <row r="2416" spans="10:10" x14ac:dyDescent="0.25">
      <c r="J2416" s="15"/>
    </row>
    <row r="2417" spans="10:10" x14ac:dyDescent="0.25">
      <c r="J2417" s="15"/>
    </row>
    <row r="2418" spans="10:10" x14ac:dyDescent="0.25">
      <c r="J2418" s="15"/>
    </row>
    <row r="2419" spans="10:10" x14ac:dyDescent="0.25">
      <c r="J2419" s="15"/>
    </row>
    <row r="2420" spans="10:10" x14ac:dyDescent="0.25">
      <c r="J2420" s="15"/>
    </row>
    <row r="2421" spans="10:10" x14ac:dyDescent="0.25">
      <c r="J2421" s="15"/>
    </row>
    <row r="2422" spans="10:10" x14ac:dyDescent="0.25">
      <c r="J2422" s="15"/>
    </row>
    <row r="2423" spans="10:10" x14ac:dyDescent="0.25">
      <c r="J2423" s="15"/>
    </row>
    <row r="2424" spans="10:10" x14ac:dyDescent="0.25">
      <c r="J2424" s="15"/>
    </row>
    <row r="2425" spans="10:10" x14ac:dyDescent="0.25">
      <c r="J2425" s="15"/>
    </row>
    <row r="2426" spans="10:10" x14ac:dyDescent="0.25">
      <c r="J2426" s="15"/>
    </row>
    <row r="2427" spans="10:10" x14ac:dyDescent="0.25">
      <c r="J2427" s="15"/>
    </row>
    <row r="2428" spans="10:10" x14ac:dyDescent="0.25">
      <c r="J2428" s="15"/>
    </row>
    <row r="2429" spans="10:10" x14ac:dyDescent="0.25">
      <c r="J2429" s="15"/>
    </row>
    <row r="2430" spans="10:10" x14ac:dyDescent="0.25">
      <c r="J2430" s="15"/>
    </row>
    <row r="2431" spans="10:10" x14ac:dyDescent="0.25">
      <c r="J2431" s="15"/>
    </row>
    <row r="2432" spans="10:10" x14ac:dyDescent="0.25">
      <c r="J2432" s="15"/>
    </row>
    <row r="2433" spans="10:10" x14ac:dyDescent="0.25">
      <c r="J2433" s="15"/>
    </row>
    <row r="2434" spans="10:10" x14ac:dyDescent="0.25">
      <c r="J2434" s="15"/>
    </row>
    <row r="2435" spans="10:10" x14ac:dyDescent="0.25">
      <c r="J2435" s="15"/>
    </row>
    <row r="2436" spans="10:10" x14ac:dyDescent="0.25">
      <c r="J2436" s="15"/>
    </row>
    <row r="2437" spans="10:10" x14ac:dyDescent="0.25">
      <c r="J2437" s="15"/>
    </row>
    <row r="2438" spans="10:10" x14ac:dyDescent="0.25">
      <c r="J2438" s="15"/>
    </row>
    <row r="2439" spans="10:10" x14ac:dyDescent="0.25">
      <c r="J2439" s="15"/>
    </row>
    <row r="2440" spans="10:10" x14ac:dyDescent="0.25">
      <c r="J2440" s="15"/>
    </row>
    <row r="2441" spans="10:10" x14ac:dyDescent="0.25">
      <c r="J2441" s="15"/>
    </row>
    <row r="2442" spans="10:10" x14ac:dyDescent="0.25">
      <c r="J2442" s="15"/>
    </row>
    <row r="2443" spans="10:10" x14ac:dyDescent="0.25">
      <c r="J2443" s="15"/>
    </row>
    <row r="2444" spans="10:10" x14ac:dyDescent="0.25">
      <c r="J2444" s="15"/>
    </row>
    <row r="2445" spans="10:10" x14ac:dyDescent="0.25">
      <c r="J2445" s="15"/>
    </row>
    <row r="2446" spans="10:10" x14ac:dyDescent="0.25">
      <c r="J2446" s="15"/>
    </row>
    <row r="2447" spans="10:10" x14ac:dyDescent="0.25">
      <c r="J2447" s="15"/>
    </row>
    <row r="2448" spans="10:10" x14ac:dyDescent="0.25">
      <c r="J2448" s="15"/>
    </row>
    <row r="2449" spans="10:10" x14ac:dyDescent="0.25">
      <c r="J2449" s="15"/>
    </row>
    <row r="2450" spans="10:10" x14ac:dyDescent="0.25">
      <c r="J2450" s="15"/>
    </row>
    <row r="2451" spans="10:10" x14ac:dyDescent="0.25">
      <c r="J2451" s="15"/>
    </row>
    <row r="2452" spans="10:10" x14ac:dyDescent="0.25">
      <c r="J2452" s="15"/>
    </row>
    <row r="2453" spans="10:10" x14ac:dyDescent="0.25">
      <c r="J2453" s="15"/>
    </row>
    <row r="2454" spans="10:10" x14ac:dyDescent="0.25">
      <c r="J2454" s="15"/>
    </row>
    <row r="2455" spans="10:10" x14ac:dyDescent="0.25">
      <c r="J2455" s="15"/>
    </row>
    <row r="2456" spans="10:10" x14ac:dyDescent="0.25">
      <c r="J2456" s="15"/>
    </row>
    <row r="2457" spans="10:10" x14ac:dyDescent="0.25">
      <c r="J2457" s="15"/>
    </row>
    <row r="2458" spans="10:10" x14ac:dyDescent="0.25">
      <c r="J2458" s="15"/>
    </row>
    <row r="2459" spans="10:10" x14ac:dyDescent="0.25">
      <c r="J2459" s="15"/>
    </row>
    <row r="2460" spans="10:10" x14ac:dyDescent="0.25">
      <c r="J2460" s="15"/>
    </row>
    <row r="2461" spans="10:10" x14ac:dyDescent="0.25">
      <c r="J2461" s="15"/>
    </row>
    <row r="2462" spans="10:10" x14ac:dyDescent="0.25">
      <c r="J2462" s="15"/>
    </row>
    <row r="2463" spans="10:10" x14ac:dyDescent="0.25">
      <c r="J2463" s="15"/>
    </row>
    <row r="2464" spans="10:10" x14ac:dyDescent="0.25">
      <c r="J2464" s="15"/>
    </row>
    <row r="2465" spans="10:10" x14ac:dyDescent="0.25">
      <c r="J2465" s="15"/>
    </row>
    <row r="2466" spans="10:10" x14ac:dyDescent="0.25">
      <c r="J2466" s="15"/>
    </row>
    <row r="2467" spans="10:10" x14ac:dyDescent="0.25">
      <c r="J2467" s="15"/>
    </row>
    <row r="2468" spans="10:10" x14ac:dyDescent="0.25">
      <c r="J2468" s="15"/>
    </row>
    <row r="2469" spans="10:10" x14ac:dyDescent="0.25">
      <c r="J2469" s="15"/>
    </row>
    <row r="2470" spans="10:10" x14ac:dyDescent="0.25">
      <c r="J2470" s="15"/>
    </row>
    <row r="2471" spans="10:10" x14ac:dyDescent="0.25">
      <c r="J2471" s="15"/>
    </row>
    <row r="2472" spans="10:10" x14ac:dyDescent="0.25">
      <c r="J2472" s="15"/>
    </row>
    <row r="2473" spans="10:10" x14ac:dyDescent="0.25">
      <c r="J2473" s="15"/>
    </row>
    <row r="2474" spans="10:10" x14ac:dyDescent="0.25">
      <c r="J2474" s="15"/>
    </row>
    <row r="2475" spans="10:10" x14ac:dyDescent="0.25">
      <c r="J2475" s="15"/>
    </row>
    <row r="2476" spans="10:10" x14ac:dyDescent="0.25">
      <c r="J2476" s="15"/>
    </row>
    <row r="2477" spans="10:10" x14ac:dyDescent="0.25">
      <c r="J2477" s="15"/>
    </row>
    <row r="2478" spans="10:10" x14ac:dyDescent="0.25">
      <c r="J2478" s="15"/>
    </row>
    <row r="2479" spans="10:10" x14ac:dyDescent="0.25">
      <c r="J2479" s="15"/>
    </row>
    <row r="2480" spans="10:10" x14ac:dyDescent="0.25">
      <c r="J2480" s="15"/>
    </row>
    <row r="2481" spans="10:10" x14ac:dyDescent="0.25">
      <c r="J2481" s="15"/>
    </row>
    <row r="2482" spans="10:10" x14ac:dyDescent="0.25">
      <c r="J2482" s="15"/>
    </row>
    <row r="2483" spans="10:10" x14ac:dyDescent="0.25">
      <c r="J2483" s="15"/>
    </row>
    <row r="2484" spans="10:10" x14ac:dyDescent="0.25">
      <c r="J2484" s="15"/>
    </row>
    <row r="2485" spans="10:10" x14ac:dyDescent="0.25">
      <c r="J2485" s="15"/>
    </row>
    <row r="2486" spans="10:10" x14ac:dyDescent="0.25">
      <c r="J2486" s="15"/>
    </row>
    <row r="2487" spans="10:10" x14ac:dyDescent="0.25">
      <c r="J2487" s="15"/>
    </row>
    <row r="2488" spans="10:10" x14ac:dyDescent="0.25">
      <c r="J2488" s="15"/>
    </row>
    <row r="2489" spans="10:10" x14ac:dyDescent="0.25">
      <c r="J2489" s="15"/>
    </row>
    <row r="2490" spans="10:10" x14ac:dyDescent="0.25">
      <c r="J2490" s="15"/>
    </row>
    <row r="2491" spans="10:10" x14ac:dyDescent="0.25">
      <c r="J2491" s="15"/>
    </row>
    <row r="2492" spans="10:10" x14ac:dyDescent="0.25">
      <c r="J2492" s="15"/>
    </row>
    <row r="2493" spans="10:10" x14ac:dyDescent="0.25">
      <c r="J2493" s="15"/>
    </row>
    <row r="2494" spans="10:10" x14ac:dyDescent="0.25">
      <c r="J2494" s="15"/>
    </row>
    <row r="2495" spans="10:10" x14ac:dyDescent="0.25">
      <c r="J2495" s="15"/>
    </row>
    <row r="2496" spans="10:10" x14ac:dyDescent="0.25">
      <c r="J2496" s="15"/>
    </row>
    <row r="2497" spans="10:10" x14ac:dyDescent="0.25">
      <c r="J2497" s="15"/>
    </row>
    <row r="2498" spans="10:10" x14ac:dyDescent="0.25">
      <c r="J2498" s="15"/>
    </row>
    <row r="2499" spans="10:10" x14ac:dyDescent="0.25">
      <c r="J2499" s="15"/>
    </row>
    <row r="2500" spans="10:10" x14ac:dyDescent="0.25">
      <c r="J2500" s="15"/>
    </row>
    <row r="2501" spans="10:10" x14ac:dyDescent="0.25">
      <c r="J2501" s="15"/>
    </row>
    <row r="2502" spans="10:10" x14ac:dyDescent="0.25">
      <c r="J2502" s="15"/>
    </row>
    <row r="2503" spans="10:10" x14ac:dyDescent="0.25">
      <c r="J2503" s="15"/>
    </row>
    <row r="2504" spans="10:10" x14ac:dyDescent="0.25">
      <c r="J2504" s="15"/>
    </row>
    <row r="2505" spans="10:10" x14ac:dyDescent="0.25">
      <c r="J2505" s="15"/>
    </row>
    <row r="2506" spans="10:10" x14ac:dyDescent="0.25">
      <c r="J2506" s="15"/>
    </row>
    <row r="2507" spans="10:10" x14ac:dyDescent="0.25">
      <c r="J2507" s="15"/>
    </row>
    <row r="2508" spans="10:10" x14ac:dyDescent="0.25">
      <c r="J2508" s="15"/>
    </row>
    <row r="2509" spans="10:10" x14ac:dyDescent="0.25">
      <c r="J2509" s="15"/>
    </row>
    <row r="2510" spans="10:10" x14ac:dyDescent="0.25">
      <c r="J2510" s="15"/>
    </row>
    <row r="2511" spans="10:10" x14ac:dyDescent="0.25">
      <c r="J2511" s="15"/>
    </row>
    <row r="2512" spans="10:10" x14ac:dyDescent="0.25">
      <c r="J2512" s="15"/>
    </row>
    <row r="2513" spans="10:10" x14ac:dyDescent="0.25">
      <c r="J2513" s="15"/>
    </row>
    <row r="2514" spans="10:10" x14ac:dyDescent="0.25">
      <c r="J2514" s="15"/>
    </row>
    <row r="2515" spans="10:10" x14ac:dyDescent="0.25">
      <c r="J2515" s="15"/>
    </row>
    <row r="2516" spans="10:10" x14ac:dyDescent="0.25">
      <c r="J2516" s="15"/>
    </row>
    <row r="2517" spans="10:10" x14ac:dyDescent="0.25">
      <c r="J2517" s="15"/>
    </row>
    <row r="2518" spans="10:10" x14ac:dyDescent="0.25">
      <c r="J2518" s="15"/>
    </row>
    <row r="2519" spans="10:10" x14ac:dyDescent="0.25">
      <c r="J2519" s="15"/>
    </row>
    <row r="2520" spans="10:10" x14ac:dyDescent="0.25">
      <c r="J2520" s="15"/>
    </row>
    <row r="2521" spans="10:10" x14ac:dyDescent="0.25">
      <c r="J2521" s="15"/>
    </row>
    <row r="2522" spans="10:10" x14ac:dyDescent="0.25">
      <c r="J2522" s="15"/>
    </row>
    <row r="2523" spans="10:10" x14ac:dyDescent="0.25">
      <c r="J2523" s="15"/>
    </row>
    <row r="2524" spans="10:10" x14ac:dyDescent="0.25">
      <c r="J2524" s="15"/>
    </row>
    <row r="2525" spans="10:10" x14ac:dyDescent="0.25">
      <c r="J2525" s="15"/>
    </row>
    <row r="2526" spans="10:10" x14ac:dyDescent="0.25">
      <c r="J2526" s="15"/>
    </row>
    <row r="2527" spans="10:10" x14ac:dyDescent="0.25">
      <c r="J2527" s="15"/>
    </row>
    <row r="2528" spans="10:10" x14ac:dyDescent="0.25">
      <c r="J2528" s="15"/>
    </row>
    <row r="2529" spans="10:10" x14ac:dyDescent="0.25">
      <c r="J2529" s="15"/>
    </row>
    <row r="2530" spans="10:10" x14ac:dyDescent="0.25">
      <c r="J2530" s="15"/>
    </row>
    <row r="2531" spans="10:10" x14ac:dyDescent="0.25">
      <c r="J2531" s="15"/>
    </row>
    <row r="2532" spans="10:10" x14ac:dyDescent="0.25">
      <c r="J2532" s="15"/>
    </row>
    <row r="2533" spans="10:10" x14ac:dyDescent="0.25">
      <c r="J2533" s="15"/>
    </row>
    <row r="2534" spans="10:10" x14ac:dyDescent="0.25">
      <c r="J2534" s="15"/>
    </row>
    <row r="2535" spans="10:10" x14ac:dyDescent="0.25">
      <c r="J2535" s="15"/>
    </row>
    <row r="2536" spans="10:10" x14ac:dyDescent="0.25">
      <c r="J2536" s="15"/>
    </row>
    <row r="2537" spans="10:10" x14ac:dyDescent="0.25">
      <c r="J2537" s="15"/>
    </row>
    <row r="2538" spans="10:10" x14ac:dyDescent="0.25">
      <c r="J2538" s="15"/>
    </row>
    <row r="2539" spans="10:10" x14ac:dyDescent="0.25">
      <c r="J2539" s="15"/>
    </row>
    <row r="2540" spans="10:10" x14ac:dyDescent="0.25">
      <c r="J2540" s="15"/>
    </row>
    <row r="2541" spans="10:10" x14ac:dyDescent="0.25">
      <c r="J2541" s="15"/>
    </row>
    <row r="2542" spans="10:10" x14ac:dyDescent="0.25">
      <c r="J2542" s="15"/>
    </row>
    <row r="2543" spans="10:10" x14ac:dyDescent="0.25">
      <c r="J2543" s="15"/>
    </row>
    <row r="2544" spans="10:10" x14ac:dyDescent="0.25">
      <c r="J2544" s="15"/>
    </row>
    <row r="2545" spans="10:10" x14ac:dyDescent="0.25">
      <c r="J2545" s="15"/>
    </row>
    <row r="2546" spans="10:10" x14ac:dyDescent="0.25">
      <c r="J2546" s="15"/>
    </row>
    <row r="2547" spans="10:10" x14ac:dyDescent="0.25">
      <c r="J2547" s="15"/>
    </row>
    <row r="2548" spans="10:10" x14ac:dyDescent="0.25">
      <c r="J2548" s="15"/>
    </row>
    <row r="2549" spans="10:10" x14ac:dyDescent="0.25">
      <c r="J2549" s="15"/>
    </row>
    <row r="2550" spans="10:10" x14ac:dyDescent="0.25">
      <c r="J2550" s="15"/>
    </row>
    <row r="2551" spans="10:10" x14ac:dyDescent="0.25">
      <c r="J2551" s="15"/>
    </row>
    <row r="2552" spans="10:10" x14ac:dyDescent="0.25">
      <c r="J2552" s="15"/>
    </row>
    <row r="2553" spans="10:10" x14ac:dyDescent="0.25">
      <c r="J2553" s="15"/>
    </row>
    <row r="2554" spans="10:10" x14ac:dyDescent="0.25">
      <c r="J2554" s="15"/>
    </row>
    <row r="2555" spans="10:10" x14ac:dyDescent="0.25">
      <c r="J2555" s="15"/>
    </row>
    <row r="2556" spans="10:10" x14ac:dyDescent="0.25">
      <c r="J2556" s="15"/>
    </row>
    <row r="2557" spans="10:10" x14ac:dyDescent="0.25">
      <c r="J2557" s="15"/>
    </row>
    <row r="2558" spans="10:10" x14ac:dyDescent="0.25">
      <c r="J2558" s="15"/>
    </row>
    <row r="2559" spans="10:10" x14ac:dyDescent="0.25">
      <c r="J2559" s="15"/>
    </row>
    <row r="2560" spans="10:10" x14ac:dyDescent="0.25">
      <c r="J2560" s="15"/>
    </row>
    <row r="2561" spans="10:10" x14ac:dyDescent="0.25">
      <c r="J2561" s="15"/>
    </row>
    <row r="2562" spans="10:10" x14ac:dyDescent="0.25">
      <c r="J2562" s="15"/>
    </row>
    <row r="2563" spans="10:10" x14ac:dyDescent="0.25">
      <c r="J2563" s="15"/>
    </row>
    <row r="2564" spans="10:10" x14ac:dyDescent="0.25">
      <c r="J2564" s="15"/>
    </row>
    <row r="2565" spans="10:10" x14ac:dyDescent="0.25">
      <c r="J2565" s="15"/>
    </row>
    <row r="2566" spans="10:10" x14ac:dyDescent="0.25">
      <c r="J2566" s="15"/>
    </row>
    <row r="2567" spans="10:10" x14ac:dyDescent="0.25">
      <c r="J2567" s="15"/>
    </row>
    <row r="2568" spans="10:10" x14ac:dyDescent="0.25">
      <c r="J2568" s="15"/>
    </row>
    <row r="2569" spans="10:10" x14ac:dyDescent="0.25">
      <c r="J2569" s="15"/>
    </row>
    <row r="2570" spans="10:10" x14ac:dyDescent="0.25">
      <c r="J2570" s="15"/>
    </row>
    <row r="2571" spans="10:10" x14ac:dyDescent="0.25">
      <c r="J2571" s="15"/>
    </row>
    <row r="2572" spans="10:10" x14ac:dyDescent="0.25">
      <c r="J2572" s="15"/>
    </row>
    <row r="2573" spans="10:10" x14ac:dyDescent="0.25">
      <c r="J2573" s="15"/>
    </row>
    <row r="2574" spans="10:10" x14ac:dyDescent="0.25">
      <c r="J2574" s="15"/>
    </row>
    <row r="2575" spans="10:10" x14ac:dyDescent="0.25">
      <c r="J2575" s="15"/>
    </row>
    <row r="2576" spans="10:10" x14ac:dyDescent="0.25">
      <c r="J2576" s="15"/>
    </row>
    <row r="2577" spans="10:10" x14ac:dyDescent="0.25">
      <c r="J2577" s="15"/>
    </row>
    <row r="2578" spans="10:10" x14ac:dyDescent="0.25">
      <c r="J2578" s="15"/>
    </row>
    <row r="2579" spans="10:10" x14ac:dyDescent="0.25">
      <c r="J2579" s="15"/>
    </row>
    <row r="2580" spans="10:10" x14ac:dyDescent="0.25">
      <c r="J2580" s="15"/>
    </row>
    <row r="2581" spans="10:10" x14ac:dyDescent="0.25">
      <c r="J2581" s="15"/>
    </row>
    <row r="2582" spans="10:10" x14ac:dyDescent="0.25">
      <c r="J2582" s="15"/>
    </row>
    <row r="2583" spans="10:10" x14ac:dyDescent="0.25">
      <c r="J2583" s="15"/>
    </row>
    <row r="2584" spans="10:10" x14ac:dyDescent="0.25">
      <c r="J2584" s="15"/>
    </row>
    <row r="2585" spans="10:10" x14ac:dyDescent="0.25">
      <c r="J2585" s="15"/>
    </row>
    <row r="2586" spans="10:10" x14ac:dyDescent="0.25">
      <c r="J2586" s="15"/>
    </row>
    <row r="2587" spans="10:10" x14ac:dyDescent="0.25">
      <c r="J2587" s="15"/>
    </row>
    <row r="2588" spans="10:10" x14ac:dyDescent="0.25">
      <c r="J2588" s="15"/>
    </row>
    <row r="2589" spans="10:10" x14ac:dyDescent="0.25">
      <c r="J2589" s="15"/>
    </row>
    <row r="2590" spans="10:10" x14ac:dyDescent="0.25">
      <c r="J2590" s="15"/>
    </row>
    <row r="2591" spans="10:10" x14ac:dyDescent="0.25">
      <c r="J2591" s="15"/>
    </row>
    <row r="2592" spans="10:10" x14ac:dyDescent="0.25">
      <c r="J2592" s="15"/>
    </row>
    <row r="2593" spans="10:10" x14ac:dyDescent="0.25">
      <c r="J2593" s="15"/>
    </row>
    <row r="2594" spans="10:10" x14ac:dyDescent="0.25">
      <c r="J2594" s="15"/>
    </row>
    <row r="2595" spans="10:10" x14ac:dyDescent="0.25">
      <c r="J2595" s="15"/>
    </row>
    <row r="2596" spans="10:10" x14ac:dyDescent="0.25">
      <c r="J2596" s="15"/>
    </row>
    <row r="2597" spans="10:10" x14ac:dyDescent="0.25">
      <c r="J2597" s="15"/>
    </row>
    <row r="2598" spans="10:10" x14ac:dyDescent="0.25">
      <c r="J2598" s="15"/>
    </row>
    <row r="2599" spans="10:10" x14ac:dyDescent="0.25">
      <c r="J2599" s="15"/>
    </row>
    <row r="2600" spans="10:10" x14ac:dyDescent="0.25">
      <c r="J2600" s="15"/>
    </row>
    <row r="2601" spans="10:10" x14ac:dyDescent="0.25">
      <c r="J2601" s="15"/>
    </row>
    <row r="2602" spans="10:10" x14ac:dyDescent="0.25">
      <c r="J2602" s="15"/>
    </row>
    <row r="2603" spans="10:10" x14ac:dyDescent="0.25">
      <c r="J2603" s="15"/>
    </row>
    <row r="2604" spans="10:10" x14ac:dyDescent="0.25">
      <c r="J2604" s="15"/>
    </row>
    <row r="2605" spans="10:10" x14ac:dyDescent="0.25">
      <c r="J2605" s="15"/>
    </row>
    <row r="2606" spans="10:10" x14ac:dyDescent="0.25">
      <c r="J2606" s="15"/>
    </row>
    <row r="2607" spans="10:10" x14ac:dyDescent="0.25">
      <c r="J2607" s="15"/>
    </row>
    <row r="2608" spans="10:10" x14ac:dyDescent="0.25">
      <c r="J2608" s="15"/>
    </row>
    <row r="2609" spans="10:10" x14ac:dyDescent="0.25">
      <c r="J2609" s="15"/>
    </row>
    <row r="2610" spans="10:10" x14ac:dyDescent="0.25">
      <c r="J2610" s="15"/>
    </row>
    <row r="2611" spans="10:10" x14ac:dyDescent="0.25">
      <c r="J2611" s="15"/>
    </row>
    <row r="2612" spans="10:10" x14ac:dyDescent="0.25">
      <c r="J2612" s="15"/>
    </row>
    <row r="2613" spans="10:10" x14ac:dyDescent="0.25">
      <c r="J2613" s="15"/>
    </row>
    <row r="2614" spans="10:10" x14ac:dyDescent="0.25">
      <c r="J2614" s="15"/>
    </row>
    <row r="2615" spans="10:10" x14ac:dyDescent="0.25">
      <c r="J2615" s="15"/>
    </row>
    <row r="2616" spans="10:10" x14ac:dyDescent="0.25">
      <c r="J2616" s="15"/>
    </row>
    <row r="2617" spans="10:10" x14ac:dyDescent="0.25">
      <c r="J2617" s="15"/>
    </row>
    <row r="2618" spans="10:10" x14ac:dyDescent="0.25">
      <c r="J2618" s="15"/>
    </row>
    <row r="2619" spans="10:10" x14ac:dyDescent="0.25">
      <c r="J2619" s="15"/>
    </row>
    <row r="2620" spans="10:10" x14ac:dyDescent="0.25">
      <c r="J2620" s="15"/>
    </row>
    <row r="2621" spans="10:10" x14ac:dyDescent="0.25">
      <c r="J2621" s="15"/>
    </row>
    <row r="2622" spans="10:10" x14ac:dyDescent="0.25">
      <c r="J2622" s="15"/>
    </row>
    <row r="2623" spans="10:10" x14ac:dyDescent="0.25">
      <c r="J2623" s="15"/>
    </row>
    <row r="2624" spans="10:10" x14ac:dyDescent="0.25">
      <c r="J2624" s="15"/>
    </row>
    <row r="2625" spans="10:10" x14ac:dyDescent="0.25">
      <c r="J2625" s="15"/>
    </row>
    <row r="2626" spans="10:10" x14ac:dyDescent="0.25">
      <c r="J2626" s="15"/>
    </row>
    <row r="2627" spans="10:10" x14ac:dyDescent="0.25">
      <c r="J2627" s="15"/>
    </row>
    <row r="2628" spans="10:10" x14ac:dyDescent="0.25">
      <c r="J2628" s="15"/>
    </row>
    <row r="2629" spans="10:10" x14ac:dyDescent="0.25">
      <c r="J2629" s="15"/>
    </row>
    <row r="2630" spans="10:10" x14ac:dyDescent="0.25">
      <c r="J2630" s="15"/>
    </row>
    <row r="2631" spans="10:10" x14ac:dyDescent="0.25">
      <c r="J2631" s="15"/>
    </row>
    <row r="2632" spans="10:10" x14ac:dyDescent="0.25">
      <c r="J2632" s="15"/>
    </row>
    <row r="2633" spans="10:10" x14ac:dyDescent="0.25">
      <c r="J2633" s="15"/>
    </row>
    <row r="2634" spans="10:10" x14ac:dyDescent="0.25">
      <c r="J2634" s="15"/>
    </row>
    <row r="2635" spans="10:10" x14ac:dyDescent="0.25">
      <c r="J2635" s="15"/>
    </row>
    <row r="2636" spans="10:10" x14ac:dyDescent="0.25">
      <c r="J2636" s="15"/>
    </row>
    <row r="2637" spans="10:10" x14ac:dyDescent="0.25">
      <c r="J2637" s="15"/>
    </row>
    <row r="2638" spans="10:10" x14ac:dyDescent="0.25">
      <c r="J2638" s="15"/>
    </row>
    <row r="2639" spans="10:10" x14ac:dyDescent="0.25">
      <c r="J2639" s="15"/>
    </row>
    <row r="2640" spans="10:10" x14ac:dyDescent="0.25">
      <c r="J2640" s="15"/>
    </row>
    <row r="2641" spans="10:10" x14ac:dyDescent="0.25">
      <c r="J2641" s="15"/>
    </row>
    <row r="2642" spans="10:10" x14ac:dyDescent="0.25">
      <c r="J2642" s="15"/>
    </row>
    <row r="2643" spans="10:10" x14ac:dyDescent="0.25">
      <c r="J2643" s="15"/>
    </row>
    <row r="2644" spans="10:10" x14ac:dyDescent="0.25">
      <c r="J2644" s="15"/>
    </row>
    <row r="2645" spans="10:10" x14ac:dyDescent="0.25">
      <c r="J2645" s="15"/>
    </row>
    <row r="2646" spans="10:10" x14ac:dyDescent="0.25">
      <c r="J2646" s="15"/>
    </row>
    <row r="2647" spans="10:10" x14ac:dyDescent="0.25">
      <c r="J2647" s="15"/>
    </row>
    <row r="2648" spans="10:10" x14ac:dyDescent="0.25">
      <c r="J2648" s="15"/>
    </row>
    <row r="2649" spans="10:10" x14ac:dyDescent="0.25">
      <c r="J2649" s="15"/>
    </row>
    <row r="2650" spans="10:10" x14ac:dyDescent="0.25">
      <c r="J2650" s="15"/>
    </row>
    <row r="2651" spans="10:10" x14ac:dyDescent="0.25">
      <c r="J2651" s="15"/>
    </row>
    <row r="2652" spans="10:10" x14ac:dyDescent="0.25">
      <c r="J2652" s="15"/>
    </row>
    <row r="2653" spans="10:10" x14ac:dyDescent="0.25">
      <c r="J2653" s="15"/>
    </row>
    <row r="2654" spans="10:10" x14ac:dyDescent="0.25">
      <c r="J2654" s="15"/>
    </row>
    <row r="2655" spans="10:10" x14ac:dyDescent="0.25">
      <c r="J2655" s="15"/>
    </row>
    <row r="2656" spans="10:10" x14ac:dyDescent="0.25">
      <c r="J2656" s="15"/>
    </row>
    <row r="2657" spans="10:10" x14ac:dyDescent="0.25">
      <c r="J2657" s="15"/>
    </row>
    <row r="2658" spans="10:10" x14ac:dyDescent="0.25">
      <c r="J2658" s="15"/>
    </row>
    <row r="2659" spans="10:10" x14ac:dyDescent="0.25">
      <c r="J2659" s="15"/>
    </row>
    <row r="2660" spans="10:10" x14ac:dyDescent="0.25">
      <c r="J2660" s="15"/>
    </row>
    <row r="2661" spans="10:10" x14ac:dyDescent="0.25">
      <c r="J2661" s="15"/>
    </row>
    <row r="2662" spans="10:10" x14ac:dyDescent="0.25">
      <c r="J2662" s="15"/>
    </row>
    <row r="2663" spans="10:10" x14ac:dyDescent="0.25">
      <c r="J2663" s="15"/>
    </row>
    <row r="2664" spans="10:10" x14ac:dyDescent="0.25">
      <c r="J2664" s="15"/>
    </row>
    <row r="2665" spans="10:10" x14ac:dyDescent="0.25">
      <c r="J2665" s="15"/>
    </row>
    <row r="2666" spans="10:10" x14ac:dyDescent="0.25">
      <c r="J2666" s="15"/>
    </row>
    <row r="2667" spans="10:10" x14ac:dyDescent="0.25">
      <c r="J2667" s="15"/>
    </row>
    <row r="2668" spans="10:10" x14ac:dyDescent="0.25">
      <c r="J2668" s="15"/>
    </row>
    <row r="2669" spans="10:10" x14ac:dyDescent="0.25">
      <c r="J2669" s="15"/>
    </row>
    <row r="2670" spans="10:10" x14ac:dyDescent="0.25">
      <c r="J2670" s="15"/>
    </row>
    <row r="2671" spans="10:10" x14ac:dyDescent="0.25">
      <c r="J2671" s="15"/>
    </row>
    <row r="2672" spans="10:10" x14ac:dyDescent="0.25">
      <c r="J2672" s="15"/>
    </row>
    <row r="2673" spans="10:10" x14ac:dyDescent="0.25">
      <c r="J2673" s="15"/>
    </row>
    <row r="2674" spans="10:10" x14ac:dyDescent="0.25">
      <c r="J2674" s="15"/>
    </row>
    <row r="2675" spans="10:10" x14ac:dyDescent="0.25">
      <c r="J2675" s="15"/>
    </row>
    <row r="2676" spans="10:10" x14ac:dyDescent="0.25">
      <c r="J2676" s="15"/>
    </row>
    <row r="2677" spans="10:10" x14ac:dyDescent="0.25">
      <c r="J2677" s="15"/>
    </row>
    <row r="2678" spans="10:10" x14ac:dyDescent="0.25">
      <c r="J2678" s="15"/>
    </row>
    <row r="2679" spans="10:10" x14ac:dyDescent="0.25">
      <c r="J2679" s="15"/>
    </row>
    <row r="2680" spans="10:10" x14ac:dyDescent="0.25">
      <c r="J2680" s="15"/>
    </row>
    <row r="2681" spans="10:10" x14ac:dyDescent="0.25">
      <c r="J2681" s="15"/>
    </row>
    <row r="2682" spans="10:10" x14ac:dyDescent="0.25">
      <c r="J2682" s="15"/>
    </row>
    <row r="2683" spans="10:10" x14ac:dyDescent="0.25">
      <c r="J2683" s="15"/>
    </row>
    <row r="2684" spans="10:10" x14ac:dyDescent="0.25">
      <c r="J2684" s="15"/>
    </row>
    <row r="2685" spans="10:10" x14ac:dyDescent="0.25">
      <c r="J2685" s="15"/>
    </row>
    <row r="2686" spans="10:10" x14ac:dyDescent="0.25">
      <c r="J2686" s="15"/>
    </row>
    <row r="2687" spans="10:10" x14ac:dyDescent="0.25">
      <c r="J2687" s="15"/>
    </row>
    <row r="2688" spans="10:10" x14ac:dyDescent="0.25">
      <c r="J2688" s="15"/>
    </row>
    <row r="2689" spans="10:10" x14ac:dyDescent="0.25">
      <c r="J2689" s="15"/>
    </row>
    <row r="2690" spans="10:10" x14ac:dyDescent="0.25">
      <c r="J2690" s="15"/>
    </row>
    <row r="2691" spans="10:10" x14ac:dyDescent="0.25">
      <c r="J2691" s="15"/>
    </row>
    <row r="2692" spans="10:10" x14ac:dyDescent="0.25">
      <c r="J2692" s="15"/>
    </row>
    <row r="2693" spans="10:10" x14ac:dyDescent="0.25">
      <c r="J2693" s="15"/>
    </row>
    <row r="2694" spans="10:10" x14ac:dyDescent="0.25">
      <c r="J2694" s="15"/>
    </row>
    <row r="2695" spans="10:10" x14ac:dyDescent="0.25">
      <c r="J2695" s="15"/>
    </row>
    <row r="2696" spans="10:10" x14ac:dyDescent="0.25">
      <c r="J2696" s="15"/>
    </row>
    <row r="2697" spans="10:10" x14ac:dyDescent="0.25">
      <c r="J2697" s="15"/>
    </row>
    <row r="2698" spans="10:10" x14ac:dyDescent="0.25">
      <c r="J2698" s="15"/>
    </row>
    <row r="2699" spans="10:10" x14ac:dyDescent="0.25">
      <c r="J2699" s="15"/>
    </row>
    <row r="2700" spans="10:10" x14ac:dyDescent="0.25">
      <c r="J2700" s="15"/>
    </row>
    <row r="2701" spans="10:10" x14ac:dyDescent="0.25">
      <c r="J2701" s="15"/>
    </row>
    <row r="2702" spans="10:10" x14ac:dyDescent="0.25">
      <c r="J2702" s="15"/>
    </row>
    <row r="2703" spans="10:10" x14ac:dyDescent="0.25">
      <c r="J2703" s="15"/>
    </row>
    <row r="2704" spans="10:10" x14ac:dyDescent="0.25">
      <c r="J2704" s="15"/>
    </row>
    <row r="2705" spans="10:10" x14ac:dyDescent="0.25">
      <c r="J2705" s="15"/>
    </row>
    <row r="2706" spans="10:10" x14ac:dyDescent="0.25">
      <c r="J2706" s="15"/>
    </row>
    <row r="2707" spans="10:10" x14ac:dyDescent="0.25">
      <c r="J2707" s="15"/>
    </row>
    <row r="2708" spans="10:10" x14ac:dyDescent="0.25">
      <c r="J2708" s="15"/>
    </row>
    <row r="2709" spans="10:10" x14ac:dyDescent="0.25">
      <c r="J2709" s="15"/>
    </row>
    <row r="2710" spans="10:10" x14ac:dyDescent="0.25">
      <c r="J2710" s="15"/>
    </row>
    <row r="2711" spans="10:10" x14ac:dyDescent="0.25">
      <c r="J2711" s="15"/>
    </row>
    <row r="2712" spans="10:10" x14ac:dyDescent="0.25">
      <c r="J2712" s="15"/>
    </row>
    <row r="2713" spans="10:10" x14ac:dyDescent="0.25">
      <c r="J2713" s="15"/>
    </row>
    <row r="2714" spans="10:10" x14ac:dyDescent="0.25">
      <c r="J2714" s="15"/>
    </row>
    <row r="2715" spans="10:10" x14ac:dyDescent="0.25">
      <c r="J2715" s="15"/>
    </row>
    <row r="2716" spans="10:10" x14ac:dyDescent="0.25">
      <c r="J2716" s="15"/>
    </row>
    <row r="2717" spans="10:10" x14ac:dyDescent="0.25">
      <c r="J2717" s="15"/>
    </row>
    <row r="2718" spans="10:10" x14ac:dyDescent="0.25">
      <c r="J2718" s="15"/>
    </row>
    <row r="2719" spans="10:10" x14ac:dyDescent="0.25">
      <c r="J2719" s="15"/>
    </row>
    <row r="2720" spans="10:10" x14ac:dyDescent="0.25">
      <c r="J2720" s="15"/>
    </row>
    <row r="2721" spans="10:10" x14ac:dyDescent="0.25">
      <c r="J2721" s="15"/>
    </row>
    <row r="2722" spans="10:10" x14ac:dyDescent="0.25">
      <c r="J2722" s="15"/>
    </row>
    <row r="2723" spans="10:10" x14ac:dyDescent="0.25">
      <c r="J2723" s="15"/>
    </row>
    <row r="2724" spans="10:10" x14ac:dyDescent="0.25">
      <c r="J2724" s="15"/>
    </row>
    <row r="2725" spans="10:10" x14ac:dyDescent="0.25">
      <c r="J2725" s="15"/>
    </row>
    <row r="2726" spans="10:10" x14ac:dyDescent="0.25">
      <c r="J2726" s="15"/>
    </row>
    <row r="2727" spans="10:10" x14ac:dyDescent="0.25">
      <c r="J2727" s="15"/>
    </row>
    <row r="2728" spans="10:10" x14ac:dyDescent="0.25">
      <c r="J2728" s="15"/>
    </row>
    <row r="2729" spans="10:10" x14ac:dyDescent="0.25">
      <c r="J2729" s="15"/>
    </row>
    <row r="2730" spans="10:10" x14ac:dyDescent="0.25">
      <c r="J2730" s="15"/>
    </row>
    <row r="2731" spans="10:10" x14ac:dyDescent="0.25">
      <c r="J2731" s="15"/>
    </row>
    <row r="2732" spans="10:10" x14ac:dyDescent="0.25">
      <c r="J2732" s="15"/>
    </row>
    <row r="2733" spans="10:10" x14ac:dyDescent="0.25">
      <c r="J2733" s="15"/>
    </row>
    <row r="2734" spans="10:10" x14ac:dyDescent="0.25">
      <c r="J2734" s="15"/>
    </row>
    <row r="2735" spans="10:10" x14ac:dyDescent="0.25">
      <c r="J2735" s="15"/>
    </row>
    <row r="2736" spans="10:10" x14ac:dyDescent="0.25">
      <c r="J2736" s="15"/>
    </row>
    <row r="2737" spans="10:10" x14ac:dyDescent="0.25">
      <c r="J2737" s="15"/>
    </row>
    <row r="2738" spans="10:10" x14ac:dyDescent="0.25">
      <c r="J2738" s="15"/>
    </row>
    <row r="2739" spans="10:10" x14ac:dyDescent="0.25">
      <c r="J2739" s="15"/>
    </row>
    <row r="2740" spans="10:10" x14ac:dyDescent="0.25">
      <c r="J2740" s="15"/>
    </row>
    <row r="2741" spans="10:10" x14ac:dyDescent="0.25">
      <c r="J2741" s="15"/>
    </row>
    <row r="2742" spans="10:10" x14ac:dyDescent="0.25">
      <c r="J2742" s="15"/>
    </row>
    <row r="2743" spans="10:10" x14ac:dyDescent="0.25">
      <c r="J2743" s="15"/>
    </row>
    <row r="2744" spans="10:10" x14ac:dyDescent="0.25">
      <c r="J2744" s="15"/>
    </row>
    <row r="2745" spans="10:10" x14ac:dyDescent="0.25">
      <c r="J2745" s="15"/>
    </row>
    <row r="2746" spans="10:10" x14ac:dyDescent="0.25">
      <c r="J2746" s="15"/>
    </row>
    <row r="2747" spans="10:10" x14ac:dyDescent="0.25">
      <c r="J2747" s="15"/>
    </row>
    <row r="2748" spans="10:10" x14ac:dyDescent="0.25">
      <c r="J2748" s="15"/>
    </row>
    <row r="2749" spans="10:10" x14ac:dyDescent="0.25">
      <c r="J2749" s="15"/>
    </row>
    <row r="2750" spans="10:10" x14ac:dyDescent="0.25">
      <c r="J2750" s="15"/>
    </row>
    <row r="2751" spans="10:10" x14ac:dyDescent="0.25">
      <c r="J2751" s="15"/>
    </row>
    <row r="2752" spans="10:10" x14ac:dyDescent="0.25">
      <c r="J2752" s="15"/>
    </row>
    <row r="2753" spans="10:10" x14ac:dyDescent="0.25">
      <c r="J2753" s="15"/>
    </row>
    <row r="2754" spans="10:10" x14ac:dyDescent="0.25">
      <c r="J2754" s="15"/>
    </row>
    <row r="2755" spans="10:10" x14ac:dyDescent="0.25">
      <c r="J2755" s="15"/>
    </row>
    <row r="2756" spans="10:10" x14ac:dyDescent="0.25">
      <c r="J2756" s="15"/>
    </row>
    <row r="2757" spans="10:10" x14ac:dyDescent="0.25">
      <c r="J2757" s="15"/>
    </row>
    <row r="2758" spans="10:10" x14ac:dyDescent="0.25">
      <c r="J2758" s="15"/>
    </row>
    <row r="2759" spans="10:10" x14ac:dyDescent="0.25">
      <c r="J2759" s="15"/>
    </row>
    <row r="2760" spans="10:10" x14ac:dyDescent="0.25">
      <c r="J2760" s="15"/>
    </row>
    <row r="2761" spans="10:10" x14ac:dyDescent="0.25">
      <c r="J2761" s="15"/>
    </row>
    <row r="2762" spans="10:10" x14ac:dyDescent="0.25">
      <c r="J2762" s="15"/>
    </row>
    <row r="2763" spans="10:10" x14ac:dyDescent="0.25">
      <c r="J2763" s="15"/>
    </row>
    <row r="2764" spans="10:10" x14ac:dyDescent="0.25">
      <c r="J2764" s="15"/>
    </row>
    <row r="2765" spans="10:10" x14ac:dyDescent="0.25">
      <c r="J2765" s="15"/>
    </row>
    <row r="2766" spans="10:10" x14ac:dyDescent="0.25">
      <c r="J2766" s="15"/>
    </row>
    <row r="2767" spans="10:10" x14ac:dyDescent="0.25">
      <c r="J2767" s="15"/>
    </row>
    <row r="2768" spans="10:10" x14ac:dyDescent="0.25">
      <c r="J2768" s="15"/>
    </row>
    <row r="2769" spans="10:10" x14ac:dyDescent="0.25">
      <c r="J2769" s="15"/>
    </row>
    <row r="2770" spans="10:10" x14ac:dyDescent="0.25">
      <c r="J2770" s="15"/>
    </row>
    <row r="2771" spans="10:10" x14ac:dyDescent="0.25">
      <c r="J2771" s="15"/>
    </row>
    <row r="2772" spans="10:10" x14ac:dyDescent="0.25">
      <c r="J2772" s="15"/>
    </row>
    <row r="2773" spans="10:10" x14ac:dyDescent="0.25">
      <c r="J2773" s="15"/>
    </row>
    <row r="2774" spans="10:10" x14ac:dyDescent="0.25">
      <c r="J2774" s="15"/>
    </row>
    <row r="2775" spans="10:10" x14ac:dyDescent="0.25">
      <c r="J2775" s="15"/>
    </row>
    <row r="2776" spans="10:10" x14ac:dyDescent="0.25">
      <c r="J2776" s="15"/>
    </row>
    <row r="2777" spans="10:10" x14ac:dyDescent="0.25">
      <c r="J2777" s="15"/>
    </row>
    <row r="2778" spans="10:10" x14ac:dyDescent="0.25">
      <c r="J2778" s="15"/>
    </row>
    <row r="2779" spans="10:10" x14ac:dyDescent="0.25">
      <c r="J2779" s="15"/>
    </row>
    <row r="2780" spans="10:10" x14ac:dyDescent="0.25">
      <c r="J2780" s="15"/>
    </row>
    <row r="2781" spans="10:10" x14ac:dyDescent="0.25">
      <c r="J2781" s="15"/>
    </row>
    <row r="2782" spans="10:10" x14ac:dyDescent="0.25">
      <c r="J2782" s="15"/>
    </row>
    <row r="2783" spans="10:10" x14ac:dyDescent="0.25">
      <c r="J2783" s="15"/>
    </row>
    <row r="2784" spans="10:10" x14ac:dyDescent="0.25">
      <c r="J2784" s="15"/>
    </row>
    <row r="2785" spans="10:10" x14ac:dyDescent="0.25">
      <c r="J2785" s="15"/>
    </row>
    <row r="2786" spans="10:10" x14ac:dyDescent="0.25">
      <c r="J2786" s="15"/>
    </row>
    <row r="2787" spans="10:10" x14ac:dyDescent="0.25">
      <c r="J2787" s="15"/>
    </row>
    <row r="2788" spans="10:10" x14ac:dyDescent="0.25">
      <c r="J2788" s="15"/>
    </row>
    <row r="2789" spans="10:10" x14ac:dyDescent="0.25">
      <c r="J2789" s="15"/>
    </row>
    <row r="2790" spans="10:10" x14ac:dyDescent="0.25">
      <c r="J2790" s="15"/>
    </row>
    <row r="2791" spans="10:10" x14ac:dyDescent="0.25">
      <c r="J2791" s="15"/>
    </row>
    <row r="2792" spans="10:10" x14ac:dyDescent="0.25">
      <c r="J2792" s="15"/>
    </row>
    <row r="2793" spans="10:10" x14ac:dyDescent="0.25">
      <c r="J2793" s="15"/>
    </row>
    <row r="2794" spans="10:10" x14ac:dyDescent="0.25">
      <c r="J2794" s="15"/>
    </row>
    <row r="2795" spans="10:10" x14ac:dyDescent="0.25">
      <c r="J2795" s="15"/>
    </row>
    <row r="2796" spans="10:10" x14ac:dyDescent="0.25">
      <c r="J2796" s="15"/>
    </row>
    <row r="2797" spans="10:10" x14ac:dyDescent="0.25">
      <c r="J2797" s="15"/>
    </row>
    <row r="2798" spans="10:10" x14ac:dyDescent="0.25">
      <c r="J2798" s="15"/>
    </row>
    <row r="2799" spans="10:10" x14ac:dyDescent="0.25">
      <c r="J2799" s="15"/>
    </row>
    <row r="2800" spans="10:10" x14ac:dyDescent="0.25">
      <c r="J2800" s="15"/>
    </row>
    <row r="2801" spans="10:10" x14ac:dyDescent="0.25">
      <c r="J2801" s="15"/>
    </row>
    <row r="2802" spans="10:10" x14ac:dyDescent="0.25">
      <c r="J2802" s="15"/>
    </row>
    <row r="2803" spans="10:10" x14ac:dyDescent="0.25">
      <c r="J2803" s="15"/>
    </row>
    <row r="2804" spans="10:10" x14ac:dyDescent="0.25">
      <c r="J2804" s="15"/>
    </row>
    <row r="2805" spans="10:10" x14ac:dyDescent="0.25">
      <c r="J2805" s="15"/>
    </row>
    <row r="2806" spans="10:10" x14ac:dyDescent="0.25">
      <c r="J2806" s="15"/>
    </row>
    <row r="2807" spans="10:10" x14ac:dyDescent="0.25">
      <c r="J2807" s="15"/>
    </row>
    <row r="2808" spans="10:10" x14ac:dyDescent="0.25">
      <c r="J2808" s="15"/>
    </row>
    <row r="2809" spans="10:10" x14ac:dyDescent="0.25">
      <c r="J2809" s="15"/>
    </row>
    <row r="2810" spans="10:10" x14ac:dyDescent="0.25">
      <c r="J2810" s="15"/>
    </row>
    <row r="2811" spans="10:10" x14ac:dyDescent="0.25">
      <c r="J2811" s="15"/>
    </row>
    <row r="2812" spans="10:10" x14ac:dyDescent="0.25">
      <c r="J2812" s="15"/>
    </row>
    <row r="2813" spans="10:10" x14ac:dyDescent="0.25">
      <c r="J2813" s="15"/>
    </row>
    <row r="2814" spans="10:10" x14ac:dyDescent="0.25">
      <c r="J2814" s="15"/>
    </row>
    <row r="2815" spans="10:10" x14ac:dyDescent="0.25">
      <c r="J2815" s="15"/>
    </row>
    <row r="2816" spans="10:10" x14ac:dyDescent="0.25">
      <c r="J2816" s="15"/>
    </row>
    <row r="2817" spans="10:10" x14ac:dyDescent="0.25">
      <c r="J2817" s="15"/>
    </row>
    <row r="2818" spans="10:10" x14ac:dyDescent="0.25">
      <c r="J2818" s="15"/>
    </row>
    <row r="2819" spans="10:10" x14ac:dyDescent="0.25">
      <c r="J2819" s="15"/>
    </row>
    <row r="2820" spans="10:10" x14ac:dyDescent="0.25">
      <c r="J2820" s="15"/>
    </row>
    <row r="2821" spans="10:10" x14ac:dyDescent="0.25">
      <c r="J2821" s="15"/>
    </row>
    <row r="2822" spans="10:10" x14ac:dyDescent="0.25">
      <c r="J2822" s="15"/>
    </row>
    <row r="2823" spans="10:10" x14ac:dyDescent="0.25">
      <c r="J2823" s="15"/>
    </row>
    <row r="2824" spans="10:10" x14ac:dyDescent="0.25">
      <c r="J2824" s="15"/>
    </row>
    <row r="2825" spans="10:10" x14ac:dyDescent="0.25">
      <c r="J2825" s="15"/>
    </row>
    <row r="2826" spans="10:10" x14ac:dyDescent="0.25">
      <c r="J2826" s="15"/>
    </row>
    <row r="2827" spans="10:10" x14ac:dyDescent="0.25">
      <c r="J2827" s="15"/>
    </row>
    <row r="2828" spans="10:10" x14ac:dyDescent="0.25">
      <c r="J2828" s="15"/>
    </row>
    <row r="2829" spans="10:10" x14ac:dyDescent="0.25">
      <c r="J2829" s="15"/>
    </row>
    <row r="2830" spans="10:10" x14ac:dyDescent="0.25">
      <c r="J2830" s="15"/>
    </row>
    <row r="2831" spans="10:10" x14ac:dyDescent="0.25">
      <c r="J2831" s="15"/>
    </row>
    <row r="2832" spans="10:10" x14ac:dyDescent="0.25">
      <c r="J2832" s="15"/>
    </row>
    <row r="2833" spans="10:10" x14ac:dyDescent="0.25">
      <c r="J2833" s="15"/>
    </row>
    <row r="2834" spans="10:10" x14ac:dyDescent="0.25">
      <c r="J2834" s="15"/>
    </row>
    <row r="2835" spans="10:10" x14ac:dyDescent="0.25">
      <c r="J2835" s="15"/>
    </row>
    <row r="2836" spans="10:10" x14ac:dyDescent="0.25">
      <c r="J2836" s="15"/>
    </row>
    <row r="2837" spans="10:10" x14ac:dyDescent="0.25">
      <c r="J2837" s="15"/>
    </row>
    <row r="2838" spans="10:10" x14ac:dyDescent="0.25">
      <c r="J2838" s="15"/>
    </row>
    <row r="2839" spans="10:10" x14ac:dyDescent="0.25">
      <c r="J2839" s="15"/>
    </row>
    <row r="2840" spans="10:10" x14ac:dyDescent="0.25">
      <c r="J2840" s="15"/>
    </row>
    <row r="2841" spans="10:10" x14ac:dyDescent="0.25">
      <c r="J2841" s="15"/>
    </row>
    <row r="2842" spans="10:10" x14ac:dyDescent="0.25">
      <c r="J2842" s="15"/>
    </row>
    <row r="2843" spans="10:10" x14ac:dyDescent="0.25">
      <c r="J2843" s="15"/>
    </row>
    <row r="2844" spans="10:10" x14ac:dyDescent="0.25">
      <c r="J2844" s="15"/>
    </row>
    <row r="2845" spans="10:10" x14ac:dyDescent="0.25">
      <c r="J2845" s="15"/>
    </row>
    <row r="2846" spans="10:10" x14ac:dyDescent="0.25">
      <c r="J2846" s="15"/>
    </row>
    <row r="2847" spans="10:10" x14ac:dyDescent="0.25">
      <c r="J2847" s="15"/>
    </row>
    <row r="2848" spans="10:10" x14ac:dyDescent="0.25">
      <c r="J2848" s="15"/>
    </row>
    <row r="2849" spans="10:10" x14ac:dyDescent="0.25">
      <c r="J2849" s="15"/>
    </row>
    <row r="2850" spans="10:10" x14ac:dyDescent="0.25">
      <c r="J2850" s="15"/>
    </row>
    <row r="2851" spans="10:10" x14ac:dyDescent="0.25">
      <c r="J2851" s="15"/>
    </row>
    <row r="2852" spans="10:10" x14ac:dyDescent="0.25">
      <c r="J2852" s="15"/>
    </row>
    <row r="2853" spans="10:10" x14ac:dyDescent="0.25">
      <c r="J2853" s="15"/>
    </row>
    <row r="2854" spans="10:10" x14ac:dyDescent="0.25">
      <c r="J2854" s="15"/>
    </row>
    <row r="2855" spans="10:10" x14ac:dyDescent="0.25">
      <c r="J2855" s="15"/>
    </row>
    <row r="2856" spans="10:10" x14ac:dyDescent="0.25">
      <c r="J2856" s="15"/>
    </row>
    <row r="2857" spans="10:10" x14ac:dyDescent="0.25">
      <c r="J2857" s="15"/>
    </row>
    <row r="2858" spans="10:10" x14ac:dyDescent="0.25">
      <c r="J2858" s="15"/>
    </row>
    <row r="2859" spans="10:10" x14ac:dyDescent="0.25">
      <c r="J2859" s="15"/>
    </row>
    <row r="2860" spans="10:10" x14ac:dyDescent="0.25">
      <c r="J2860" s="15"/>
    </row>
    <row r="2861" spans="10:10" x14ac:dyDescent="0.25">
      <c r="J2861" s="15"/>
    </row>
    <row r="2862" spans="10:10" x14ac:dyDescent="0.25">
      <c r="J2862" s="15"/>
    </row>
    <row r="2863" spans="10:10" x14ac:dyDescent="0.25">
      <c r="J2863" s="15"/>
    </row>
    <row r="2864" spans="10:10" x14ac:dyDescent="0.25">
      <c r="J2864" s="15"/>
    </row>
    <row r="2865" spans="10:10" x14ac:dyDescent="0.25">
      <c r="J2865" s="15"/>
    </row>
    <row r="2866" spans="10:10" x14ac:dyDescent="0.25">
      <c r="J2866" s="15"/>
    </row>
    <row r="2867" spans="10:10" x14ac:dyDescent="0.25">
      <c r="J2867" s="15"/>
    </row>
    <row r="2868" spans="10:10" x14ac:dyDescent="0.25">
      <c r="J2868" s="15"/>
    </row>
    <row r="2869" spans="10:10" x14ac:dyDescent="0.25">
      <c r="J2869" s="15"/>
    </row>
    <row r="2870" spans="10:10" x14ac:dyDescent="0.25">
      <c r="J2870" s="15"/>
    </row>
    <row r="2871" spans="10:10" x14ac:dyDescent="0.25">
      <c r="J2871" s="15"/>
    </row>
    <row r="2872" spans="10:10" x14ac:dyDescent="0.25">
      <c r="J2872" s="15"/>
    </row>
    <row r="2873" spans="10:10" x14ac:dyDescent="0.25">
      <c r="J2873" s="15"/>
    </row>
    <row r="2874" spans="10:10" x14ac:dyDescent="0.25">
      <c r="J2874" s="15"/>
    </row>
    <row r="2875" spans="10:10" x14ac:dyDescent="0.25">
      <c r="J2875" s="15"/>
    </row>
    <row r="2876" spans="10:10" x14ac:dyDescent="0.25">
      <c r="J2876" s="15"/>
    </row>
    <row r="2877" spans="10:10" x14ac:dyDescent="0.25">
      <c r="J2877" s="15"/>
    </row>
    <row r="2878" spans="10:10" x14ac:dyDescent="0.25">
      <c r="J2878" s="15"/>
    </row>
    <row r="2879" spans="10:10" x14ac:dyDescent="0.25">
      <c r="J2879" s="15"/>
    </row>
    <row r="2880" spans="10:10" x14ac:dyDescent="0.25">
      <c r="J2880" s="15"/>
    </row>
    <row r="2881" spans="10:10" x14ac:dyDescent="0.25">
      <c r="J2881" s="15"/>
    </row>
    <row r="2882" spans="10:10" x14ac:dyDescent="0.25">
      <c r="J2882" s="15"/>
    </row>
    <row r="2883" spans="10:10" x14ac:dyDescent="0.25">
      <c r="J2883" s="15"/>
    </row>
    <row r="2884" spans="10:10" x14ac:dyDescent="0.25">
      <c r="J2884" s="15"/>
    </row>
    <row r="2885" spans="10:10" x14ac:dyDescent="0.25">
      <c r="J2885" s="15"/>
    </row>
    <row r="2886" spans="10:10" x14ac:dyDescent="0.25">
      <c r="J2886" s="15"/>
    </row>
    <row r="2887" spans="10:10" x14ac:dyDescent="0.25">
      <c r="J2887" s="15"/>
    </row>
    <row r="2888" spans="10:10" x14ac:dyDescent="0.25">
      <c r="J2888" s="15"/>
    </row>
    <row r="2889" spans="10:10" x14ac:dyDescent="0.25">
      <c r="J2889" s="15"/>
    </row>
    <row r="2890" spans="10:10" x14ac:dyDescent="0.25">
      <c r="J2890" s="15"/>
    </row>
    <row r="2891" spans="10:10" x14ac:dyDescent="0.25">
      <c r="J2891" s="15"/>
    </row>
    <row r="2892" spans="10:10" x14ac:dyDescent="0.25">
      <c r="J2892" s="15"/>
    </row>
    <row r="2893" spans="10:10" x14ac:dyDescent="0.25">
      <c r="J2893" s="15"/>
    </row>
    <row r="2894" spans="10:10" x14ac:dyDescent="0.25">
      <c r="J2894" s="15"/>
    </row>
    <row r="2895" spans="10:10" x14ac:dyDescent="0.25">
      <c r="J2895" s="15"/>
    </row>
    <row r="2896" spans="10:10" x14ac:dyDescent="0.25">
      <c r="J2896" s="15"/>
    </row>
    <row r="2897" spans="10:10" x14ac:dyDescent="0.25">
      <c r="J2897" s="15"/>
    </row>
    <row r="2898" spans="10:10" x14ac:dyDescent="0.25">
      <c r="J2898" s="15"/>
    </row>
    <row r="2899" spans="10:10" x14ac:dyDescent="0.25">
      <c r="J2899" s="15"/>
    </row>
    <row r="2900" spans="10:10" x14ac:dyDescent="0.25">
      <c r="J2900" s="15"/>
    </row>
    <row r="2901" spans="10:10" x14ac:dyDescent="0.25">
      <c r="J2901" s="15"/>
    </row>
    <row r="2902" spans="10:10" x14ac:dyDescent="0.25">
      <c r="J2902" s="15"/>
    </row>
    <row r="2903" spans="10:10" x14ac:dyDescent="0.25">
      <c r="J2903" s="15"/>
    </row>
    <row r="2904" spans="10:10" x14ac:dyDescent="0.25">
      <c r="J2904" s="15"/>
    </row>
    <row r="2905" spans="10:10" x14ac:dyDescent="0.25">
      <c r="J2905" s="15"/>
    </row>
    <row r="2906" spans="10:10" x14ac:dyDescent="0.25">
      <c r="J2906" s="15"/>
    </row>
    <row r="2907" spans="10:10" x14ac:dyDescent="0.25">
      <c r="J2907" s="15"/>
    </row>
    <row r="2908" spans="10:10" x14ac:dyDescent="0.25">
      <c r="J2908" s="15"/>
    </row>
    <row r="2909" spans="10:10" x14ac:dyDescent="0.25">
      <c r="J2909" s="15"/>
    </row>
    <row r="2910" spans="10:10" x14ac:dyDescent="0.25">
      <c r="J2910" s="15"/>
    </row>
    <row r="2911" spans="10:10" x14ac:dyDescent="0.25">
      <c r="J2911" s="15"/>
    </row>
    <row r="2912" spans="10:10" x14ac:dyDescent="0.25">
      <c r="J2912" s="15"/>
    </row>
    <row r="2913" spans="10:10" x14ac:dyDescent="0.25">
      <c r="J2913" s="15"/>
    </row>
    <row r="2914" spans="10:10" x14ac:dyDescent="0.25">
      <c r="J2914" s="15"/>
    </row>
    <row r="2915" spans="10:10" x14ac:dyDescent="0.25">
      <c r="J2915" s="15"/>
    </row>
    <row r="2916" spans="10:10" x14ac:dyDescent="0.25">
      <c r="J2916" s="15"/>
    </row>
    <row r="2917" spans="10:10" x14ac:dyDescent="0.25">
      <c r="J2917" s="15"/>
    </row>
    <row r="2918" spans="10:10" x14ac:dyDescent="0.25">
      <c r="J2918" s="15"/>
    </row>
    <row r="2919" spans="10:10" x14ac:dyDescent="0.25">
      <c r="J2919" s="15"/>
    </row>
    <row r="2920" spans="10:10" x14ac:dyDescent="0.25">
      <c r="J2920" s="15"/>
    </row>
    <row r="2921" spans="10:10" x14ac:dyDescent="0.25">
      <c r="J2921" s="15"/>
    </row>
    <row r="2922" spans="10:10" x14ac:dyDescent="0.25">
      <c r="J2922" s="15"/>
    </row>
    <row r="2923" spans="10:10" x14ac:dyDescent="0.25">
      <c r="J2923" s="15"/>
    </row>
    <row r="2924" spans="10:10" x14ac:dyDescent="0.25">
      <c r="J2924" s="15"/>
    </row>
    <row r="2925" spans="10:10" x14ac:dyDescent="0.25">
      <c r="J2925" s="15"/>
    </row>
    <row r="2926" spans="10:10" x14ac:dyDescent="0.25">
      <c r="J2926" s="15"/>
    </row>
    <row r="2927" spans="10:10" x14ac:dyDescent="0.25">
      <c r="J2927" s="15"/>
    </row>
    <row r="2928" spans="10:10" x14ac:dyDescent="0.25">
      <c r="J2928" s="15"/>
    </row>
    <row r="2929" spans="10:10" x14ac:dyDescent="0.25">
      <c r="J2929" s="15"/>
    </row>
    <row r="2930" spans="10:10" x14ac:dyDescent="0.25">
      <c r="J2930" s="15"/>
    </row>
    <row r="2931" spans="10:10" x14ac:dyDescent="0.25">
      <c r="J2931" s="15"/>
    </row>
    <row r="2932" spans="10:10" x14ac:dyDescent="0.25">
      <c r="J2932" s="15"/>
    </row>
    <row r="2933" spans="10:10" x14ac:dyDescent="0.25">
      <c r="J2933" s="15"/>
    </row>
    <row r="2934" spans="10:10" x14ac:dyDescent="0.25">
      <c r="J2934" s="15"/>
    </row>
    <row r="2935" spans="10:10" x14ac:dyDescent="0.25">
      <c r="J2935" s="15"/>
    </row>
    <row r="2936" spans="10:10" x14ac:dyDescent="0.25">
      <c r="J2936" s="15"/>
    </row>
    <row r="2937" spans="10:10" x14ac:dyDescent="0.25">
      <c r="J2937" s="15"/>
    </row>
    <row r="2938" spans="10:10" x14ac:dyDescent="0.25">
      <c r="J2938" s="15"/>
    </row>
    <row r="2939" spans="10:10" x14ac:dyDescent="0.25">
      <c r="J2939" s="15"/>
    </row>
    <row r="2940" spans="10:10" x14ac:dyDescent="0.25">
      <c r="J2940" s="15"/>
    </row>
    <row r="2941" spans="10:10" x14ac:dyDescent="0.25">
      <c r="J2941" s="15"/>
    </row>
    <row r="2942" spans="10:10" x14ac:dyDescent="0.25">
      <c r="J2942" s="15"/>
    </row>
    <row r="2943" spans="10:10" x14ac:dyDescent="0.25">
      <c r="J2943" s="15"/>
    </row>
    <row r="2944" spans="10:10" x14ac:dyDescent="0.25">
      <c r="J2944" s="15"/>
    </row>
    <row r="2945" spans="10:10" x14ac:dyDescent="0.25">
      <c r="J2945" s="15"/>
    </row>
    <row r="2946" spans="10:10" x14ac:dyDescent="0.25">
      <c r="J2946" s="15"/>
    </row>
    <row r="2947" spans="10:10" x14ac:dyDescent="0.25">
      <c r="J2947" s="15"/>
    </row>
    <row r="2948" spans="10:10" x14ac:dyDescent="0.25">
      <c r="J2948" s="15"/>
    </row>
    <row r="2949" spans="10:10" x14ac:dyDescent="0.25">
      <c r="J2949" s="15"/>
    </row>
    <row r="2950" spans="10:10" x14ac:dyDescent="0.25">
      <c r="J2950" s="15"/>
    </row>
    <row r="2951" spans="10:10" x14ac:dyDescent="0.25">
      <c r="J2951" s="15"/>
    </row>
    <row r="2952" spans="10:10" x14ac:dyDescent="0.25">
      <c r="J2952" s="15"/>
    </row>
    <row r="2953" spans="10:10" x14ac:dyDescent="0.25">
      <c r="J2953" s="15"/>
    </row>
    <row r="2954" spans="10:10" x14ac:dyDescent="0.25">
      <c r="J2954" s="15"/>
    </row>
    <row r="2955" spans="10:10" x14ac:dyDescent="0.25">
      <c r="J2955" s="15"/>
    </row>
    <row r="2956" spans="10:10" x14ac:dyDescent="0.25">
      <c r="J2956" s="15"/>
    </row>
    <row r="2957" spans="10:10" x14ac:dyDescent="0.25">
      <c r="J2957" s="15"/>
    </row>
    <row r="2958" spans="10:10" x14ac:dyDescent="0.25">
      <c r="J2958" s="15"/>
    </row>
    <row r="2959" spans="10:10" x14ac:dyDescent="0.25">
      <c r="J2959" s="15"/>
    </row>
    <row r="2960" spans="10:10" x14ac:dyDescent="0.25">
      <c r="J2960" s="15"/>
    </row>
    <row r="2961" spans="10:10" x14ac:dyDescent="0.25">
      <c r="J2961" s="15"/>
    </row>
    <row r="2962" spans="10:10" x14ac:dyDescent="0.25">
      <c r="J2962" s="15"/>
    </row>
    <row r="2963" spans="10:10" x14ac:dyDescent="0.25">
      <c r="J2963" s="15"/>
    </row>
    <row r="2964" spans="10:10" x14ac:dyDescent="0.25">
      <c r="J2964" s="15"/>
    </row>
    <row r="2965" spans="10:10" x14ac:dyDescent="0.25">
      <c r="J2965" s="15"/>
    </row>
    <row r="2966" spans="10:10" x14ac:dyDescent="0.25">
      <c r="J2966" s="15"/>
    </row>
    <row r="2967" spans="10:10" x14ac:dyDescent="0.25">
      <c r="J2967" s="15"/>
    </row>
    <row r="2968" spans="10:10" x14ac:dyDescent="0.25">
      <c r="J2968" s="15"/>
    </row>
    <row r="2969" spans="10:10" x14ac:dyDescent="0.25">
      <c r="J2969" s="15"/>
    </row>
    <row r="2970" spans="10:10" x14ac:dyDescent="0.25">
      <c r="J2970" s="15"/>
    </row>
    <row r="2971" spans="10:10" x14ac:dyDescent="0.25">
      <c r="J2971" s="15"/>
    </row>
    <row r="2972" spans="10:10" x14ac:dyDescent="0.25">
      <c r="J2972" s="15"/>
    </row>
    <row r="2973" spans="10:10" x14ac:dyDescent="0.25">
      <c r="J2973" s="15"/>
    </row>
    <row r="2974" spans="10:10" x14ac:dyDescent="0.25">
      <c r="J2974" s="15"/>
    </row>
    <row r="2975" spans="10:10" x14ac:dyDescent="0.25">
      <c r="J2975" s="15"/>
    </row>
    <row r="2976" spans="10:10" x14ac:dyDescent="0.25">
      <c r="J2976" s="15"/>
    </row>
    <row r="2977" spans="10:10" x14ac:dyDescent="0.25">
      <c r="J2977" s="15"/>
    </row>
    <row r="2978" spans="10:10" x14ac:dyDescent="0.25">
      <c r="J2978" s="15"/>
    </row>
    <row r="2979" spans="10:10" x14ac:dyDescent="0.25">
      <c r="J2979" s="15"/>
    </row>
    <row r="2980" spans="10:10" x14ac:dyDescent="0.25">
      <c r="J2980" s="15"/>
    </row>
    <row r="2981" spans="10:10" x14ac:dyDescent="0.25">
      <c r="J2981" s="15"/>
    </row>
    <row r="2982" spans="10:10" x14ac:dyDescent="0.25">
      <c r="J2982" s="15"/>
    </row>
    <row r="2983" spans="10:10" x14ac:dyDescent="0.25">
      <c r="J2983" s="15"/>
    </row>
    <row r="2984" spans="10:10" x14ac:dyDescent="0.25">
      <c r="J2984" s="15"/>
    </row>
    <row r="2985" spans="10:10" x14ac:dyDescent="0.25">
      <c r="J2985" s="15"/>
    </row>
    <row r="2986" spans="10:10" x14ac:dyDescent="0.25">
      <c r="J2986" s="15"/>
    </row>
    <row r="2987" spans="10:10" x14ac:dyDescent="0.25">
      <c r="J2987" s="15"/>
    </row>
    <row r="2988" spans="10:10" x14ac:dyDescent="0.25">
      <c r="J2988" s="15"/>
    </row>
    <row r="2989" spans="10:10" x14ac:dyDescent="0.25">
      <c r="J2989" s="15"/>
    </row>
    <row r="2990" spans="10:10" x14ac:dyDescent="0.25">
      <c r="J2990" s="15"/>
    </row>
    <row r="2991" spans="10:10" x14ac:dyDescent="0.25">
      <c r="J2991" s="15"/>
    </row>
    <row r="2992" spans="10:10" x14ac:dyDescent="0.25">
      <c r="J2992" s="15"/>
    </row>
    <row r="2993" spans="10:10" x14ac:dyDescent="0.25">
      <c r="J2993" s="15"/>
    </row>
    <row r="2994" spans="10:10" x14ac:dyDescent="0.25">
      <c r="J2994" s="15"/>
    </row>
    <row r="2995" spans="10:10" x14ac:dyDescent="0.25">
      <c r="J2995" s="15"/>
    </row>
    <row r="2996" spans="10:10" x14ac:dyDescent="0.25">
      <c r="J2996" s="15"/>
    </row>
    <row r="2997" spans="10:10" x14ac:dyDescent="0.25">
      <c r="J2997" s="15"/>
    </row>
    <row r="2998" spans="10:10" x14ac:dyDescent="0.25">
      <c r="J2998" s="15"/>
    </row>
    <row r="2999" spans="10:10" x14ac:dyDescent="0.25">
      <c r="J2999" s="15"/>
    </row>
    <row r="3000" spans="10:10" x14ac:dyDescent="0.25">
      <c r="J3000" s="15"/>
    </row>
    <row r="3001" spans="10:10" x14ac:dyDescent="0.25">
      <c r="J3001" s="15"/>
    </row>
    <row r="3002" spans="10:10" x14ac:dyDescent="0.25">
      <c r="J3002" s="15"/>
    </row>
    <row r="3003" spans="10:10" x14ac:dyDescent="0.25">
      <c r="J3003" s="15"/>
    </row>
    <row r="3004" spans="10:10" x14ac:dyDescent="0.25">
      <c r="J3004" s="15"/>
    </row>
    <row r="3005" spans="10:10" x14ac:dyDescent="0.25">
      <c r="J3005" s="15"/>
    </row>
    <row r="3006" spans="10:10" x14ac:dyDescent="0.25">
      <c r="J3006" s="15"/>
    </row>
    <row r="3007" spans="10:10" x14ac:dyDescent="0.25">
      <c r="J3007" s="15"/>
    </row>
    <row r="3008" spans="10:10" x14ac:dyDescent="0.25">
      <c r="J3008" s="15"/>
    </row>
    <row r="3009" spans="10:10" x14ac:dyDescent="0.25">
      <c r="J3009" s="15"/>
    </row>
    <row r="3010" spans="10:10" x14ac:dyDescent="0.25">
      <c r="J3010" s="15"/>
    </row>
    <row r="3011" spans="10:10" x14ac:dyDescent="0.25">
      <c r="J3011" s="15"/>
    </row>
    <row r="3012" spans="10:10" x14ac:dyDescent="0.25">
      <c r="J3012" s="15"/>
    </row>
    <row r="3013" spans="10:10" x14ac:dyDescent="0.25">
      <c r="J3013" s="15"/>
    </row>
    <row r="3014" spans="10:10" x14ac:dyDescent="0.25">
      <c r="J3014" s="15"/>
    </row>
    <row r="3015" spans="10:10" x14ac:dyDescent="0.25">
      <c r="J3015" s="15"/>
    </row>
    <row r="3016" spans="10:10" x14ac:dyDescent="0.25">
      <c r="J3016" s="15"/>
    </row>
    <row r="3017" spans="10:10" x14ac:dyDescent="0.25">
      <c r="J3017" s="15"/>
    </row>
    <row r="3018" spans="10:10" x14ac:dyDescent="0.25">
      <c r="J3018" s="15"/>
    </row>
    <row r="3019" spans="10:10" x14ac:dyDescent="0.25">
      <c r="J3019" s="15"/>
    </row>
    <row r="3020" spans="10:10" x14ac:dyDescent="0.25">
      <c r="J3020" s="15"/>
    </row>
    <row r="3021" spans="10:10" x14ac:dyDescent="0.25">
      <c r="J3021" s="15"/>
    </row>
    <row r="3022" spans="10:10" x14ac:dyDescent="0.25">
      <c r="J3022" s="15"/>
    </row>
    <row r="3023" spans="10:10" x14ac:dyDescent="0.25">
      <c r="J3023" s="15"/>
    </row>
    <row r="3024" spans="10:10" x14ac:dyDescent="0.25">
      <c r="J3024" s="15"/>
    </row>
    <row r="3025" spans="10:10" x14ac:dyDescent="0.25">
      <c r="J3025" s="15"/>
    </row>
    <row r="3026" spans="10:10" x14ac:dyDescent="0.25">
      <c r="J3026" s="15"/>
    </row>
    <row r="3027" spans="10:10" x14ac:dyDescent="0.25">
      <c r="J3027" s="15"/>
    </row>
    <row r="3028" spans="10:10" x14ac:dyDescent="0.25">
      <c r="J3028" s="15"/>
    </row>
    <row r="3029" spans="10:10" x14ac:dyDescent="0.25">
      <c r="J3029" s="15"/>
    </row>
    <row r="3030" spans="10:10" x14ac:dyDescent="0.25">
      <c r="J3030" s="15"/>
    </row>
    <row r="3031" spans="10:10" x14ac:dyDescent="0.25">
      <c r="J3031" s="15"/>
    </row>
    <row r="3032" spans="10:10" x14ac:dyDescent="0.25">
      <c r="J3032" s="15"/>
    </row>
    <row r="3033" spans="10:10" x14ac:dyDescent="0.25">
      <c r="J3033" s="15"/>
    </row>
    <row r="3034" spans="10:10" x14ac:dyDescent="0.25">
      <c r="J3034" s="15"/>
    </row>
    <row r="3035" spans="10:10" x14ac:dyDescent="0.25">
      <c r="J3035" s="15"/>
    </row>
    <row r="3036" spans="10:10" x14ac:dyDescent="0.25">
      <c r="J3036" s="15"/>
    </row>
    <row r="3037" spans="10:10" x14ac:dyDescent="0.25">
      <c r="J3037" s="15"/>
    </row>
    <row r="3038" spans="10:10" x14ac:dyDescent="0.25">
      <c r="J3038" s="15"/>
    </row>
    <row r="3039" spans="10:10" x14ac:dyDescent="0.25">
      <c r="J3039" s="15"/>
    </row>
    <row r="3040" spans="10:10" x14ac:dyDescent="0.25">
      <c r="J3040" s="15"/>
    </row>
    <row r="3041" spans="10:10" x14ac:dyDescent="0.25">
      <c r="J3041" s="15"/>
    </row>
    <row r="3042" spans="10:10" x14ac:dyDescent="0.25">
      <c r="J3042" s="15"/>
    </row>
    <row r="3043" spans="10:10" x14ac:dyDescent="0.25">
      <c r="J3043" s="15"/>
    </row>
    <row r="3044" spans="10:10" x14ac:dyDescent="0.25">
      <c r="J3044" s="15"/>
    </row>
    <row r="3045" spans="10:10" x14ac:dyDescent="0.25">
      <c r="J3045" s="15"/>
    </row>
    <row r="3046" spans="10:10" x14ac:dyDescent="0.25">
      <c r="J3046" s="15"/>
    </row>
    <row r="3047" spans="10:10" x14ac:dyDescent="0.25">
      <c r="J3047" s="15"/>
    </row>
    <row r="3048" spans="10:10" x14ac:dyDescent="0.25">
      <c r="J3048" s="15"/>
    </row>
    <row r="3049" spans="10:10" x14ac:dyDescent="0.25">
      <c r="J3049" s="15"/>
    </row>
    <row r="3050" spans="10:10" x14ac:dyDescent="0.25">
      <c r="J3050" s="15"/>
    </row>
    <row r="3051" spans="10:10" x14ac:dyDescent="0.25">
      <c r="J3051" s="15"/>
    </row>
    <row r="3052" spans="10:10" x14ac:dyDescent="0.25">
      <c r="J3052" s="15"/>
    </row>
    <row r="3053" spans="10:10" x14ac:dyDescent="0.25">
      <c r="J3053" s="15"/>
    </row>
    <row r="3054" spans="10:10" x14ac:dyDescent="0.25">
      <c r="J3054" s="15"/>
    </row>
    <row r="3055" spans="10:10" x14ac:dyDescent="0.25">
      <c r="J3055" s="15"/>
    </row>
    <row r="3056" spans="10:10" x14ac:dyDescent="0.25">
      <c r="J3056" s="15"/>
    </row>
    <row r="3057" spans="10:10" x14ac:dyDescent="0.25">
      <c r="J3057" s="15"/>
    </row>
    <row r="3058" spans="10:10" x14ac:dyDescent="0.25">
      <c r="J3058" s="15"/>
    </row>
    <row r="3059" spans="10:10" x14ac:dyDescent="0.25">
      <c r="J3059" s="15"/>
    </row>
    <row r="3060" spans="10:10" x14ac:dyDescent="0.25">
      <c r="J3060" s="15"/>
    </row>
    <row r="3061" spans="10:10" x14ac:dyDescent="0.25">
      <c r="J3061" s="15"/>
    </row>
    <row r="3062" spans="10:10" x14ac:dyDescent="0.25">
      <c r="J3062" s="15"/>
    </row>
    <row r="3063" spans="10:10" x14ac:dyDescent="0.25">
      <c r="J3063" s="15"/>
    </row>
    <row r="3064" spans="10:10" x14ac:dyDescent="0.25">
      <c r="J3064" s="15"/>
    </row>
    <row r="3065" spans="10:10" x14ac:dyDescent="0.25">
      <c r="J3065" s="15"/>
    </row>
    <row r="3066" spans="10:10" x14ac:dyDescent="0.25">
      <c r="J3066" s="15"/>
    </row>
    <row r="3067" spans="10:10" x14ac:dyDescent="0.25">
      <c r="J3067" s="15"/>
    </row>
    <row r="3068" spans="10:10" x14ac:dyDescent="0.25">
      <c r="J3068" s="15"/>
    </row>
    <row r="3069" spans="10:10" x14ac:dyDescent="0.25">
      <c r="J3069" s="15"/>
    </row>
    <row r="3070" spans="10:10" x14ac:dyDescent="0.25">
      <c r="J3070" s="15"/>
    </row>
    <row r="3071" spans="10:10" x14ac:dyDescent="0.25">
      <c r="J3071" s="15"/>
    </row>
    <row r="3072" spans="10:10" x14ac:dyDescent="0.25">
      <c r="J3072" s="15"/>
    </row>
    <row r="3073" spans="10:10" x14ac:dyDescent="0.25">
      <c r="J3073" s="15"/>
    </row>
    <row r="3074" spans="10:10" x14ac:dyDescent="0.25">
      <c r="J3074" s="15"/>
    </row>
    <row r="3075" spans="10:10" x14ac:dyDescent="0.25">
      <c r="J3075" s="15"/>
    </row>
    <row r="3076" spans="10:10" x14ac:dyDescent="0.25">
      <c r="J3076" s="15"/>
    </row>
    <row r="3077" spans="10:10" x14ac:dyDescent="0.25">
      <c r="J3077" s="15"/>
    </row>
    <row r="3078" spans="10:10" x14ac:dyDescent="0.25">
      <c r="J3078" s="15"/>
    </row>
    <row r="3079" spans="10:10" x14ac:dyDescent="0.25">
      <c r="J3079" s="15"/>
    </row>
    <row r="3080" spans="10:10" x14ac:dyDescent="0.25">
      <c r="J3080" s="15"/>
    </row>
    <row r="3081" spans="10:10" x14ac:dyDescent="0.25">
      <c r="J3081" s="15"/>
    </row>
    <row r="3082" spans="10:10" x14ac:dyDescent="0.25">
      <c r="J3082" s="15"/>
    </row>
    <row r="3083" spans="10:10" x14ac:dyDescent="0.25">
      <c r="J3083" s="15"/>
    </row>
    <row r="3084" spans="10:10" x14ac:dyDescent="0.25">
      <c r="J3084" s="15"/>
    </row>
    <row r="3085" spans="10:10" x14ac:dyDescent="0.25">
      <c r="J3085" s="15"/>
    </row>
    <row r="3086" spans="10:10" x14ac:dyDescent="0.25">
      <c r="J3086" s="15"/>
    </row>
    <row r="3087" spans="10:10" x14ac:dyDescent="0.25">
      <c r="J3087" s="15"/>
    </row>
    <row r="3088" spans="10:10" x14ac:dyDescent="0.25">
      <c r="J3088" s="15"/>
    </row>
    <row r="3089" spans="10:10" x14ac:dyDescent="0.25">
      <c r="J3089" s="15"/>
    </row>
    <row r="3090" spans="10:10" x14ac:dyDescent="0.25">
      <c r="J3090" s="15"/>
    </row>
    <row r="3091" spans="10:10" x14ac:dyDescent="0.25">
      <c r="J3091" s="15"/>
    </row>
    <row r="3092" spans="10:10" x14ac:dyDescent="0.25">
      <c r="J3092" s="15"/>
    </row>
    <row r="3093" spans="10:10" x14ac:dyDescent="0.25">
      <c r="J3093" s="15"/>
    </row>
    <row r="3094" spans="10:10" x14ac:dyDescent="0.25">
      <c r="J3094" s="15"/>
    </row>
    <row r="3095" spans="10:10" x14ac:dyDescent="0.25">
      <c r="J3095" s="15"/>
    </row>
    <row r="3096" spans="10:10" x14ac:dyDescent="0.25">
      <c r="J3096" s="15"/>
    </row>
    <row r="3097" spans="10:10" x14ac:dyDescent="0.25">
      <c r="J3097" s="15"/>
    </row>
    <row r="3098" spans="10:10" x14ac:dyDescent="0.25">
      <c r="J3098" s="15"/>
    </row>
    <row r="3099" spans="10:10" x14ac:dyDescent="0.25">
      <c r="J3099" s="15"/>
    </row>
    <row r="3100" spans="10:10" x14ac:dyDescent="0.25">
      <c r="J3100" s="15"/>
    </row>
    <row r="3101" spans="10:10" x14ac:dyDescent="0.25">
      <c r="J3101" s="15"/>
    </row>
    <row r="3102" spans="10:10" x14ac:dyDescent="0.25">
      <c r="J3102" s="15"/>
    </row>
    <row r="3103" spans="10:10" x14ac:dyDescent="0.25">
      <c r="J3103" s="15"/>
    </row>
    <row r="3104" spans="10:10" x14ac:dyDescent="0.25">
      <c r="J3104" s="15"/>
    </row>
    <row r="3105" spans="10:10" x14ac:dyDescent="0.25">
      <c r="J3105" s="15"/>
    </row>
    <row r="3106" spans="10:10" x14ac:dyDescent="0.25">
      <c r="J3106" s="15"/>
    </row>
    <row r="3107" spans="10:10" x14ac:dyDescent="0.25">
      <c r="J3107" s="15"/>
    </row>
    <row r="3108" spans="10:10" x14ac:dyDescent="0.25">
      <c r="J3108" s="15"/>
    </row>
    <row r="3109" spans="10:10" x14ac:dyDescent="0.25">
      <c r="J3109" s="15"/>
    </row>
    <row r="3110" spans="10:10" x14ac:dyDescent="0.25">
      <c r="J3110" s="15"/>
    </row>
    <row r="3111" spans="10:10" x14ac:dyDescent="0.25">
      <c r="J3111" s="15"/>
    </row>
    <row r="3112" spans="10:10" x14ac:dyDescent="0.25">
      <c r="J3112" s="15"/>
    </row>
    <row r="3113" spans="10:10" x14ac:dyDescent="0.25">
      <c r="J3113" s="15"/>
    </row>
    <row r="3114" spans="10:10" x14ac:dyDescent="0.25">
      <c r="J3114" s="15"/>
    </row>
    <row r="3115" spans="10:10" x14ac:dyDescent="0.25">
      <c r="J3115" s="15"/>
    </row>
    <row r="3116" spans="10:10" x14ac:dyDescent="0.25">
      <c r="J3116" s="15"/>
    </row>
    <row r="3117" spans="10:10" x14ac:dyDescent="0.25">
      <c r="J3117" s="15"/>
    </row>
    <row r="3118" spans="10:10" x14ac:dyDescent="0.25">
      <c r="J3118" s="15"/>
    </row>
    <row r="3119" spans="10:10" x14ac:dyDescent="0.25">
      <c r="J3119" s="15"/>
    </row>
    <row r="3120" spans="10:10" x14ac:dyDescent="0.25">
      <c r="J3120" s="15"/>
    </row>
    <row r="3121" spans="10:10" x14ac:dyDescent="0.25">
      <c r="J3121" s="15"/>
    </row>
    <row r="3122" spans="10:10" x14ac:dyDescent="0.25">
      <c r="J3122" s="15"/>
    </row>
    <row r="3123" spans="10:10" x14ac:dyDescent="0.25">
      <c r="J3123" s="15"/>
    </row>
    <row r="3124" spans="10:10" x14ac:dyDescent="0.25">
      <c r="J3124" s="15"/>
    </row>
    <row r="3125" spans="10:10" x14ac:dyDescent="0.25">
      <c r="J3125" s="15"/>
    </row>
    <row r="3126" spans="10:10" x14ac:dyDescent="0.25">
      <c r="J3126" s="15"/>
    </row>
    <row r="3127" spans="10:10" x14ac:dyDescent="0.25">
      <c r="J3127" s="15"/>
    </row>
    <row r="3128" spans="10:10" x14ac:dyDescent="0.25">
      <c r="J3128" s="15"/>
    </row>
    <row r="3129" spans="10:10" x14ac:dyDescent="0.25">
      <c r="J3129" s="15"/>
    </row>
    <row r="3130" spans="10:10" x14ac:dyDescent="0.25">
      <c r="J3130" s="15"/>
    </row>
    <row r="3131" spans="10:10" x14ac:dyDescent="0.25">
      <c r="J3131" s="15"/>
    </row>
    <row r="3132" spans="10:10" x14ac:dyDescent="0.25">
      <c r="J3132" s="15"/>
    </row>
    <row r="3133" spans="10:10" x14ac:dyDescent="0.25">
      <c r="J3133" s="15"/>
    </row>
    <row r="3134" spans="10:10" x14ac:dyDescent="0.25">
      <c r="J3134" s="15"/>
    </row>
    <row r="3135" spans="10:10" x14ac:dyDescent="0.25">
      <c r="J3135" s="15"/>
    </row>
    <row r="3136" spans="10:10" x14ac:dyDescent="0.25">
      <c r="J3136" s="15"/>
    </row>
    <row r="3137" spans="10:10" x14ac:dyDescent="0.25">
      <c r="J3137" s="15"/>
    </row>
    <row r="3138" spans="10:10" x14ac:dyDescent="0.25">
      <c r="J3138" s="15"/>
    </row>
    <row r="3139" spans="10:10" x14ac:dyDescent="0.25">
      <c r="J3139" s="15"/>
    </row>
    <row r="3140" spans="10:10" x14ac:dyDescent="0.25">
      <c r="J3140" s="15"/>
    </row>
    <row r="3141" spans="10:10" x14ac:dyDescent="0.25">
      <c r="J3141" s="15"/>
    </row>
    <row r="3142" spans="10:10" x14ac:dyDescent="0.25">
      <c r="J3142" s="15"/>
    </row>
    <row r="3143" spans="10:10" x14ac:dyDescent="0.25">
      <c r="J3143" s="15"/>
    </row>
    <row r="3144" spans="10:10" x14ac:dyDescent="0.25">
      <c r="J3144" s="15"/>
    </row>
    <row r="3145" spans="10:10" x14ac:dyDescent="0.25">
      <c r="J3145" s="15"/>
    </row>
    <row r="3146" spans="10:10" x14ac:dyDescent="0.25">
      <c r="J3146" s="15"/>
    </row>
    <row r="3147" spans="10:10" x14ac:dyDescent="0.25">
      <c r="J3147" s="15"/>
    </row>
    <row r="3148" spans="10:10" x14ac:dyDescent="0.25">
      <c r="J3148" s="15"/>
    </row>
    <row r="3149" spans="10:10" x14ac:dyDescent="0.25">
      <c r="J3149" s="15"/>
    </row>
    <row r="3150" spans="10:10" x14ac:dyDescent="0.25">
      <c r="J3150" s="15"/>
    </row>
    <row r="3151" spans="10:10" x14ac:dyDescent="0.25">
      <c r="J3151" s="15"/>
    </row>
    <row r="3152" spans="10:10" x14ac:dyDescent="0.25">
      <c r="J3152" s="15"/>
    </row>
    <row r="3153" spans="10:10" x14ac:dyDescent="0.25">
      <c r="J3153" s="15"/>
    </row>
    <row r="3154" spans="10:10" x14ac:dyDescent="0.25">
      <c r="J3154" s="15"/>
    </row>
    <row r="3155" spans="10:10" x14ac:dyDescent="0.25">
      <c r="J3155" s="15"/>
    </row>
    <row r="3156" spans="10:10" x14ac:dyDescent="0.25">
      <c r="J3156" s="15"/>
    </row>
    <row r="3157" spans="10:10" x14ac:dyDescent="0.25">
      <c r="J3157" s="15"/>
    </row>
    <row r="3158" spans="10:10" x14ac:dyDescent="0.25">
      <c r="J3158" s="15"/>
    </row>
    <row r="3159" spans="10:10" x14ac:dyDescent="0.25">
      <c r="J3159" s="15"/>
    </row>
    <row r="3160" spans="10:10" x14ac:dyDescent="0.25">
      <c r="J3160" s="15"/>
    </row>
    <row r="3161" spans="10:10" x14ac:dyDescent="0.25">
      <c r="J3161" s="15"/>
    </row>
    <row r="3162" spans="10:10" x14ac:dyDescent="0.25">
      <c r="J3162" s="15"/>
    </row>
    <row r="3163" spans="10:10" x14ac:dyDescent="0.25">
      <c r="J3163" s="15"/>
    </row>
    <row r="3164" spans="10:10" x14ac:dyDescent="0.25">
      <c r="J3164" s="15"/>
    </row>
    <row r="3165" spans="10:10" x14ac:dyDescent="0.25">
      <c r="J3165" s="15"/>
    </row>
    <row r="3166" spans="10:10" x14ac:dyDescent="0.25">
      <c r="J3166" s="15"/>
    </row>
    <row r="3167" spans="10:10" x14ac:dyDescent="0.25">
      <c r="J3167" s="15"/>
    </row>
    <row r="3168" spans="10:10" x14ac:dyDescent="0.25">
      <c r="J3168" s="15"/>
    </row>
    <row r="3169" spans="10:10" x14ac:dyDescent="0.25">
      <c r="J3169" s="15"/>
    </row>
    <row r="3170" spans="10:10" x14ac:dyDescent="0.25">
      <c r="J3170" s="15"/>
    </row>
    <row r="3171" spans="10:10" x14ac:dyDescent="0.25">
      <c r="J3171" s="15"/>
    </row>
    <row r="3172" spans="10:10" x14ac:dyDescent="0.25">
      <c r="J3172" s="15"/>
    </row>
    <row r="3173" spans="10:10" x14ac:dyDescent="0.25">
      <c r="J3173" s="15"/>
    </row>
    <row r="3174" spans="10:10" x14ac:dyDescent="0.25">
      <c r="J3174" s="15"/>
    </row>
    <row r="3175" spans="10:10" x14ac:dyDescent="0.25">
      <c r="J3175" s="15"/>
    </row>
    <row r="3176" spans="10:10" x14ac:dyDescent="0.25">
      <c r="J3176" s="15"/>
    </row>
    <row r="3177" spans="10:10" x14ac:dyDescent="0.25">
      <c r="J3177" s="15"/>
    </row>
    <row r="3178" spans="10:10" x14ac:dyDescent="0.25">
      <c r="J3178" s="15"/>
    </row>
    <row r="3179" spans="10:10" x14ac:dyDescent="0.25">
      <c r="J3179" s="15"/>
    </row>
    <row r="3180" spans="10:10" x14ac:dyDescent="0.25">
      <c r="J3180" s="15"/>
    </row>
    <row r="3181" spans="10:10" x14ac:dyDescent="0.25">
      <c r="J3181" s="15"/>
    </row>
    <row r="3182" spans="10:10" x14ac:dyDescent="0.25">
      <c r="J3182" s="15"/>
    </row>
    <row r="3183" spans="10:10" x14ac:dyDescent="0.25">
      <c r="J3183" s="15"/>
    </row>
    <row r="3184" spans="10:10" x14ac:dyDescent="0.25">
      <c r="J3184" s="15"/>
    </row>
    <row r="3185" spans="10:10" x14ac:dyDescent="0.25">
      <c r="J3185" s="15"/>
    </row>
    <row r="3186" spans="10:10" x14ac:dyDescent="0.25">
      <c r="J3186" s="15"/>
    </row>
    <row r="3187" spans="10:10" x14ac:dyDescent="0.25">
      <c r="J3187" s="15"/>
    </row>
    <row r="3188" spans="10:10" x14ac:dyDescent="0.25">
      <c r="J3188" s="15"/>
    </row>
    <row r="3189" spans="10:10" x14ac:dyDescent="0.25">
      <c r="J3189" s="15"/>
    </row>
    <row r="3190" spans="10:10" x14ac:dyDescent="0.25">
      <c r="J3190" s="15"/>
    </row>
    <row r="3191" spans="10:10" x14ac:dyDescent="0.25">
      <c r="J3191" s="15"/>
    </row>
    <row r="3192" spans="10:10" x14ac:dyDescent="0.25">
      <c r="J3192" s="15"/>
    </row>
    <row r="3193" spans="10:10" x14ac:dyDescent="0.25">
      <c r="J3193" s="15"/>
    </row>
    <row r="3194" spans="10:10" x14ac:dyDescent="0.25">
      <c r="J3194" s="15"/>
    </row>
    <row r="3195" spans="10:10" x14ac:dyDescent="0.25">
      <c r="J3195" s="15"/>
    </row>
    <row r="3196" spans="10:10" x14ac:dyDescent="0.25">
      <c r="J3196" s="15"/>
    </row>
    <row r="3197" spans="10:10" x14ac:dyDescent="0.25">
      <c r="J3197" s="15"/>
    </row>
    <row r="3198" spans="10:10" x14ac:dyDescent="0.25">
      <c r="J3198" s="15"/>
    </row>
    <row r="3199" spans="10:10" x14ac:dyDescent="0.25">
      <c r="J3199" s="15"/>
    </row>
    <row r="3200" spans="10:10" x14ac:dyDescent="0.25">
      <c r="J3200" s="15"/>
    </row>
    <row r="3201" spans="10:10" x14ac:dyDescent="0.25">
      <c r="J3201" s="15"/>
    </row>
    <row r="3202" spans="10:10" x14ac:dyDescent="0.25">
      <c r="J3202" s="15"/>
    </row>
    <row r="3203" spans="10:10" x14ac:dyDescent="0.25">
      <c r="J3203" s="15"/>
    </row>
    <row r="3204" spans="10:10" x14ac:dyDescent="0.25">
      <c r="J3204" s="15"/>
    </row>
    <row r="3205" spans="10:10" x14ac:dyDescent="0.25">
      <c r="J3205" s="15"/>
    </row>
    <row r="3206" spans="10:10" x14ac:dyDescent="0.25">
      <c r="J3206" s="15"/>
    </row>
    <row r="3207" spans="10:10" x14ac:dyDescent="0.25">
      <c r="J3207" s="15"/>
    </row>
    <row r="3208" spans="10:10" x14ac:dyDescent="0.25">
      <c r="J3208" s="15"/>
    </row>
    <row r="3209" spans="10:10" x14ac:dyDescent="0.25">
      <c r="J3209" s="15"/>
    </row>
    <row r="3210" spans="10:10" x14ac:dyDescent="0.25">
      <c r="J3210" s="15"/>
    </row>
    <row r="3211" spans="10:10" x14ac:dyDescent="0.25">
      <c r="J3211" s="15"/>
    </row>
    <row r="3212" spans="10:10" x14ac:dyDescent="0.25">
      <c r="J3212" s="15"/>
    </row>
    <row r="3213" spans="10:10" x14ac:dyDescent="0.25">
      <c r="J3213" s="15"/>
    </row>
    <row r="3214" spans="10:10" x14ac:dyDescent="0.25">
      <c r="J3214" s="15"/>
    </row>
    <row r="3215" spans="10:10" x14ac:dyDescent="0.25">
      <c r="J3215" s="15"/>
    </row>
    <row r="3216" spans="10:10" x14ac:dyDescent="0.25">
      <c r="J3216" s="15"/>
    </row>
    <row r="3217" spans="10:10" x14ac:dyDescent="0.25">
      <c r="J3217" s="15"/>
    </row>
    <row r="3218" spans="10:10" x14ac:dyDescent="0.25">
      <c r="J3218" s="15"/>
    </row>
    <row r="3219" spans="10:10" x14ac:dyDescent="0.25">
      <c r="J3219" s="15"/>
    </row>
    <row r="3220" spans="10:10" x14ac:dyDescent="0.25">
      <c r="J3220" s="15"/>
    </row>
    <row r="3221" spans="10:10" x14ac:dyDescent="0.25">
      <c r="J3221" s="15"/>
    </row>
    <row r="3222" spans="10:10" x14ac:dyDescent="0.25">
      <c r="J3222" s="15"/>
    </row>
    <row r="3223" spans="10:10" x14ac:dyDescent="0.25">
      <c r="J3223" s="15"/>
    </row>
    <row r="3224" spans="10:10" x14ac:dyDescent="0.25">
      <c r="J3224" s="15"/>
    </row>
    <row r="3225" spans="10:10" x14ac:dyDescent="0.25">
      <c r="J3225" s="15"/>
    </row>
    <row r="3226" spans="10:10" x14ac:dyDescent="0.25">
      <c r="J3226" s="15"/>
    </row>
    <row r="3227" spans="10:10" x14ac:dyDescent="0.25">
      <c r="J3227" s="15"/>
    </row>
    <row r="3228" spans="10:10" x14ac:dyDescent="0.25">
      <c r="J3228" s="15"/>
    </row>
    <row r="3229" spans="10:10" x14ac:dyDescent="0.25">
      <c r="J3229" s="15"/>
    </row>
    <row r="3230" spans="10:10" x14ac:dyDescent="0.25">
      <c r="J3230" s="15"/>
    </row>
    <row r="3231" spans="10:10" x14ac:dyDescent="0.25">
      <c r="J3231" s="15"/>
    </row>
    <row r="3232" spans="10:10" x14ac:dyDescent="0.25">
      <c r="J3232" s="15"/>
    </row>
    <row r="3233" spans="10:10" x14ac:dyDescent="0.25">
      <c r="J3233" s="15"/>
    </row>
    <row r="3234" spans="10:10" x14ac:dyDescent="0.25">
      <c r="J3234" s="15"/>
    </row>
    <row r="3235" spans="10:10" x14ac:dyDescent="0.25">
      <c r="J3235" s="15"/>
    </row>
    <row r="3236" spans="10:10" x14ac:dyDescent="0.25">
      <c r="J3236" s="15"/>
    </row>
    <row r="3237" spans="10:10" x14ac:dyDescent="0.25">
      <c r="J3237" s="15"/>
    </row>
    <row r="3238" spans="10:10" x14ac:dyDescent="0.25">
      <c r="J3238" s="15"/>
    </row>
    <row r="3239" spans="10:10" x14ac:dyDescent="0.25">
      <c r="J3239" s="15"/>
    </row>
    <row r="3240" spans="10:10" x14ac:dyDescent="0.25">
      <c r="J3240" s="15"/>
    </row>
    <row r="3241" spans="10:10" x14ac:dyDescent="0.25">
      <c r="J3241" s="15"/>
    </row>
    <row r="3242" spans="10:10" x14ac:dyDescent="0.25">
      <c r="J3242" s="15"/>
    </row>
    <row r="3243" spans="10:10" x14ac:dyDescent="0.25">
      <c r="J3243" s="15"/>
    </row>
    <row r="3244" spans="10:10" x14ac:dyDescent="0.25">
      <c r="J3244" s="15"/>
    </row>
    <row r="3245" spans="10:10" x14ac:dyDescent="0.25">
      <c r="J3245" s="15"/>
    </row>
    <row r="3246" spans="10:10" x14ac:dyDescent="0.25">
      <c r="J3246" s="15"/>
    </row>
    <row r="3247" spans="10:10" x14ac:dyDescent="0.25">
      <c r="J3247" s="15"/>
    </row>
    <row r="3248" spans="10:10" x14ac:dyDescent="0.25">
      <c r="J3248" s="15"/>
    </row>
    <row r="3249" spans="10:10" x14ac:dyDescent="0.25">
      <c r="J3249" s="15"/>
    </row>
    <row r="3250" spans="10:10" x14ac:dyDescent="0.25">
      <c r="J3250" s="15"/>
    </row>
    <row r="3251" spans="10:10" x14ac:dyDescent="0.25">
      <c r="J3251" s="15"/>
    </row>
    <row r="3252" spans="10:10" x14ac:dyDescent="0.25">
      <c r="J3252" s="15"/>
    </row>
    <row r="3253" spans="10:10" x14ac:dyDescent="0.25">
      <c r="J3253" s="15"/>
    </row>
    <row r="3254" spans="10:10" x14ac:dyDescent="0.25">
      <c r="J3254" s="15"/>
    </row>
    <row r="3255" spans="10:10" x14ac:dyDescent="0.25">
      <c r="J3255" s="15"/>
    </row>
    <row r="3256" spans="10:10" x14ac:dyDescent="0.25">
      <c r="J3256" s="15"/>
    </row>
    <row r="3257" spans="10:10" x14ac:dyDescent="0.25">
      <c r="J3257" s="15"/>
    </row>
    <row r="3258" spans="10:10" x14ac:dyDescent="0.25">
      <c r="J3258" s="15"/>
    </row>
    <row r="3259" spans="10:10" x14ac:dyDescent="0.25">
      <c r="J3259" s="15"/>
    </row>
    <row r="3260" spans="10:10" x14ac:dyDescent="0.25">
      <c r="J3260" s="15"/>
    </row>
    <row r="3261" spans="10:10" x14ac:dyDescent="0.25">
      <c r="J3261" s="15"/>
    </row>
    <row r="3262" spans="10:10" x14ac:dyDescent="0.25">
      <c r="J3262" s="15"/>
    </row>
    <row r="3263" spans="10:10" x14ac:dyDescent="0.25">
      <c r="J3263" s="15"/>
    </row>
    <row r="3264" spans="10:10" x14ac:dyDescent="0.25">
      <c r="J3264" s="15"/>
    </row>
    <row r="3265" spans="10:10" x14ac:dyDescent="0.25">
      <c r="J3265" s="15"/>
    </row>
    <row r="3266" spans="10:10" x14ac:dyDescent="0.25">
      <c r="J3266" s="15"/>
    </row>
    <row r="3267" spans="10:10" x14ac:dyDescent="0.25">
      <c r="J3267" s="15"/>
    </row>
    <row r="3268" spans="10:10" x14ac:dyDescent="0.25">
      <c r="J3268" s="15"/>
    </row>
    <row r="3269" spans="10:10" x14ac:dyDescent="0.25">
      <c r="J3269" s="15"/>
    </row>
    <row r="3270" spans="10:10" x14ac:dyDescent="0.25">
      <c r="J3270" s="15"/>
    </row>
    <row r="3271" spans="10:10" x14ac:dyDescent="0.25">
      <c r="J3271" s="15"/>
    </row>
    <row r="3272" spans="10:10" x14ac:dyDescent="0.25">
      <c r="J3272" s="15"/>
    </row>
    <row r="3273" spans="10:10" x14ac:dyDescent="0.25">
      <c r="J3273" s="15"/>
    </row>
    <row r="3274" spans="10:10" x14ac:dyDescent="0.25">
      <c r="J3274" s="15"/>
    </row>
    <row r="3275" spans="10:10" x14ac:dyDescent="0.25">
      <c r="J3275" s="15"/>
    </row>
    <row r="3276" spans="10:10" x14ac:dyDescent="0.25">
      <c r="J3276" s="15"/>
    </row>
    <row r="3277" spans="10:10" x14ac:dyDescent="0.25">
      <c r="J3277" s="15"/>
    </row>
    <row r="3278" spans="10:10" x14ac:dyDescent="0.25">
      <c r="J3278" s="15"/>
    </row>
    <row r="3279" spans="10:10" x14ac:dyDescent="0.25">
      <c r="J3279" s="15"/>
    </row>
    <row r="3280" spans="10:10" x14ac:dyDescent="0.25">
      <c r="J3280" s="15"/>
    </row>
    <row r="3281" spans="10:10" x14ac:dyDescent="0.25">
      <c r="J3281" s="15"/>
    </row>
    <row r="3282" spans="10:10" x14ac:dyDescent="0.25">
      <c r="J3282" s="15"/>
    </row>
    <row r="3283" spans="10:10" x14ac:dyDescent="0.25">
      <c r="J3283" s="15"/>
    </row>
    <row r="3284" spans="10:10" x14ac:dyDescent="0.25">
      <c r="J3284" s="15"/>
    </row>
    <row r="3285" spans="10:10" x14ac:dyDescent="0.25">
      <c r="J3285" s="15"/>
    </row>
    <row r="3286" spans="10:10" x14ac:dyDescent="0.25">
      <c r="J3286" s="15"/>
    </row>
    <row r="3287" spans="10:10" x14ac:dyDescent="0.25">
      <c r="J3287" s="15"/>
    </row>
    <row r="3288" spans="10:10" x14ac:dyDescent="0.25">
      <c r="J3288" s="15"/>
    </row>
    <row r="3289" spans="10:10" x14ac:dyDescent="0.25">
      <c r="J3289" s="15"/>
    </row>
    <row r="3290" spans="10:10" x14ac:dyDescent="0.25">
      <c r="J3290" s="15"/>
    </row>
    <row r="3291" spans="10:10" x14ac:dyDescent="0.25">
      <c r="J3291" s="15"/>
    </row>
    <row r="3292" spans="10:10" x14ac:dyDescent="0.25">
      <c r="J3292" s="15"/>
    </row>
    <row r="3293" spans="10:10" x14ac:dyDescent="0.25">
      <c r="J3293" s="15"/>
    </row>
    <row r="3294" spans="10:10" x14ac:dyDescent="0.25">
      <c r="J3294" s="15"/>
    </row>
    <row r="3295" spans="10:10" x14ac:dyDescent="0.25">
      <c r="J3295" s="15"/>
    </row>
    <row r="3296" spans="10:10" x14ac:dyDescent="0.25">
      <c r="J3296" s="15"/>
    </row>
    <row r="3297" spans="10:10" x14ac:dyDescent="0.25">
      <c r="J3297" s="15"/>
    </row>
    <row r="3298" spans="10:10" x14ac:dyDescent="0.25">
      <c r="J3298" s="15"/>
    </row>
    <row r="3299" spans="10:10" x14ac:dyDescent="0.25">
      <c r="J3299" s="15"/>
    </row>
    <row r="3300" spans="10:10" x14ac:dyDescent="0.25">
      <c r="J3300" s="15"/>
    </row>
    <row r="3301" spans="10:10" x14ac:dyDescent="0.25">
      <c r="J3301" s="15"/>
    </row>
    <row r="3302" spans="10:10" x14ac:dyDescent="0.25">
      <c r="J3302" s="15"/>
    </row>
    <row r="3303" spans="10:10" x14ac:dyDescent="0.25">
      <c r="J3303" s="15"/>
    </row>
    <row r="3304" spans="10:10" x14ac:dyDescent="0.25">
      <c r="J3304" s="15"/>
    </row>
    <row r="3305" spans="10:10" x14ac:dyDescent="0.25">
      <c r="J3305" s="15"/>
    </row>
    <row r="3306" spans="10:10" x14ac:dyDescent="0.25">
      <c r="J3306" s="15"/>
    </row>
    <row r="3307" spans="10:10" x14ac:dyDescent="0.25">
      <c r="J3307" s="15"/>
    </row>
    <row r="3308" spans="10:10" x14ac:dyDescent="0.25">
      <c r="J3308" s="15"/>
    </row>
    <row r="3309" spans="10:10" x14ac:dyDescent="0.25">
      <c r="J3309" s="15"/>
    </row>
    <row r="3310" spans="10:10" x14ac:dyDescent="0.25">
      <c r="J3310" s="15"/>
    </row>
    <row r="3311" spans="10:10" x14ac:dyDescent="0.25">
      <c r="J3311" s="15"/>
    </row>
    <row r="3312" spans="10:10" x14ac:dyDescent="0.25">
      <c r="J3312" s="15"/>
    </row>
    <row r="3313" spans="10:10" x14ac:dyDescent="0.25">
      <c r="J3313" s="15"/>
    </row>
    <row r="3314" spans="10:10" x14ac:dyDescent="0.25">
      <c r="J3314" s="15"/>
    </row>
    <row r="3315" spans="10:10" x14ac:dyDescent="0.25">
      <c r="J3315" s="15"/>
    </row>
    <row r="3316" spans="10:10" x14ac:dyDescent="0.25">
      <c r="J3316" s="15"/>
    </row>
    <row r="3317" spans="10:10" x14ac:dyDescent="0.25">
      <c r="J3317" s="15"/>
    </row>
    <row r="3318" spans="10:10" x14ac:dyDescent="0.25">
      <c r="J3318" s="15"/>
    </row>
    <row r="3319" spans="10:10" x14ac:dyDescent="0.25">
      <c r="J3319" s="15"/>
    </row>
    <row r="3320" spans="10:10" x14ac:dyDescent="0.25">
      <c r="J3320" s="15"/>
    </row>
    <row r="3321" spans="10:10" x14ac:dyDescent="0.25">
      <c r="J3321" s="15"/>
    </row>
    <row r="3322" spans="10:10" x14ac:dyDescent="0.25">
      <c r="J3322" s="15"/>
    </row>
    <row r="3323" spans="10:10" x14ac:dyDescent="0.25">
      <c r="J3323" s="15"/>
    </row>
    <row r="3324" spans="10:10" x14ac:dyDescent="0.25">
      <c r="J3324" s="15"/>
    </row>
    <row r="3325" spans="10:10" x14ac:dyDescent="0.25">
      <c r="J3325" s="15"/>
    </row>
    <row r="3326" spans="10:10" x14ac:dyDescent="0.25">
      <c r="J3326" s="15"/>
    </row>
    <row r="3327" spans="10:10" x14ac:dyDescent="0.25">
      <c r="J3327" s="15"/>
    </row>
    <row r="3328" spans="10:10" x14ac:dyDescent="0.25">
      <c r="J3328" s="15"/>
    </row>
    <row r="3329" spans="10:10" x14ac:dyDescent="0.25">
      <c r="J3329" s="15"/>
    </row>
    <row r="3330" spans="10:10" x14ac:dyDescent="0.25">
      <c r="J3330" s="15"/>
    </row>
    <row r="3331" spans="10:10" x14ac:dyDescent="0.25">
      <c r="J3331" s="15"/>
    </row>
    <row r="3332" spans="10:10" x14ac:dyDescent="0.25">
      <c r="J3332" s="15"/>
    </row>
    <row r="3333" spans="10:10" x14ac:dyDescent="0.25">
      <c r="J3333" s="15"/>
    </row>
    <row r="3334" spans="10:10" x14ac:dyDescent="0.25">
      <c r="J3334" s="15"/>
    </row>
    <row r="3335" spans="10:10" x14ac:dyDescent="0.25">
      <c r="J3335" s="15"/>
    </row>
    <row r="3336" spans="10:10" x14ac:dyDescent="0.25">
      <c r="J3336" s="15"/>
    </row>
    <row r="3337" spans="10:10" x14ac:dyDescent="0.25">
      <c r="J3337" s="15"/>
    </row>
    <row r="3338" spans="10:10" x14ac:dyDescent="0.25">
      <c r="J3338" s="15"/>
    </row>
    <row r="3339" spans="10:10" x14ac:dyDescent="0.25">
      <c r="J3339" s="15"/>
    </row>
    <row r="3340" spans="10:10" x14ac:dyDescent="0.25">
      <c r="J3340" s="15"/>
    </row>
    <row r="3341" spans="10:10" x14ac:dyDescent="0.25">
      <c r="J3341" s="15"/>
    </row>
    <row r="3342" spans="10:10" x14ac:dyDescent="0.25">
      <c r="J3342" s="15"/>
    </row>
    <row r="3343" spans="10:10" x14ac:dyDescent="0.25">
      <c r="J3343" s="15"/>
    </row>
    <row r="3344" spans="10:10" x14ac:dyDescent="0.25">
      <c r="J3344" s="15"/>
    </row>
    <row r="3345" spans="10:10" x14ac:dyDescent="0.25">
      <c r="J3345" s="15"/>
    </row>
    <row r="3346" spans="10:10" x14ac:dyDescent="0.25">
      <c r="J3346" s="15"/>
    </row>
    <row r="3347" spans="10:10" x14ac:dyDescent="0.25">
      <c r="J3347" s="15"/>
    </row>
    <row r="3348" spans="10:10" x14ac:dyDescent="0.25">
      <c r="J3348" s="15"/>
    </row>
    <row r="3349" spans="10:10" x14ac:dyDescent="0.25">
      <c r="J3349" s="15"/>
    </row>
    <row r="3350" spans="10:10" x14ac:dyDescent="0.25">
      <c r="J3350" s="15"/>
    </row>
    <row r="3351" spans="10:10" x14ac:dyDescent="0.25">
      <c r="J3351" s="15"/>
    </row>
    <row r="3352" spans="10:10" x14ac:dyDescent="0.25">
      <c r="J3352" s="15"/>
    </row>
    <row r="3353" spans="10:10" x14ac:dyDescent="0.25">
      <c r="J3353" s="15"/>
    </row>
    <row r="3354" spans="10:10" x14ac:dyDescent="0.25">
      <c r="J3354" s="15"/>
    </row>
    <row r="3355" spans="10:10" x14ac:dyDescent="0.25">
      <c r="J3355" s="15"/>
    </row>
    <row r="3356" spans="10:10" x14ac:dyDescent="0.25">
      <c r="J3356" s="15"/>
    </row>
    <row r="3357" spans="10:10" x14ac:dyDescent="0.25">
      <c r="J3357" s="15"/>
    </row>
    <row r="3358" spans="10:10" x14ac:dyDescent="0.25">
      <c r="J3358" s="15"/>
    </row>
    <row r="3359" spans="10:10" x14ac:dyDescent="0.25">
      <c r="J3359" s="15"/>
    </row>
    <row r="3360" spans="10:10" x14ac:dyDescent="0.25">
      <c r="J3360" s="15"/>
    </row>
    <row r="3361" spans="10:10" x14ac:dyDescent="0.25">
      <c r="J3361" s="15"/>
    </row>
    <row r="3362" spans="10:10" x14ac:dyDescent="0.25">
      <c r="J3362" s="15"/>
    </row>
    <row r="3363" spans="10:10" x14ac:dyDescent="0.25">
      <c r="J3363" s="15"/>
    </row>
    <row r="3364" spans="10:10" x14ac:dyDescent="0.25">
      <c r="J3364" s="15"/>
    </row>
    <row r="3365" spans="10:10" x14ac:dyDescent="0.25">
      <c r="J3365" s="15"/>
    </row>
    <row r="3366" spans="10:10" x14ac:dyDescent="0.25">
      <c r="J3366" s="15"/>
    </row>
    <row r="3367" spans="10:10" x14ac:dyDescent="0.25">
      <c r="J3367" s="15"/>
    </row>
    <row r="3368" spans="10:10" x14ac:dyDescent="0.25">
      <c r="J3368" s="15"/>
    </row>
    <row r="3369" spans="10:10" x14ac:dyDescent="0.25">
      <c r="J3369" s="15"/>
    </row>
    <row r="3370" spans="10:10" x14ac:dyDescent="0.25">
      <c r="J3370" s="15"/>
    </row>
    <row r="3371" spans="10:10" x14ac:dyDescent="0.25">
      <c r="J3371" s="15"/>
    </row>
    <row r="3372" spans="10:10" x14ac:dyDescent="0.25">
      <c r="J3372" s="15"/>
    </row>
    <row r="3373" spans="10:10" x14ac:dyDescent="0.25">
      <c r="J3373" s="15"/>
    </row>
    <row r="3374" spans="10:10" x14ac:dyDescent="0.25">
      <c r="J3374" s="15"/>
    </row>
    <row r="3375" spans="10:10" x14ac:dyDescent="0.25">
      <c r="J3375" s="15"/>
    </row>
    <row r="3376" spans="10:10" x14ac:dyDescent="0.25">
      <c r="J3376" s="15"/>
    </row>
    <row r="3377" spans="10:10" x14ac:dyDescent="0.25">
      <c r="J3377" s="15"/>
    </row>
    <row r="3378" spans="10:10" x14ac:dyDescent="0.25">
      <c r="J3378" s="15"/>
    </row>
    <row r="3379" spans="10:10" x14ac:dyDescent="0.25">
      <c r="J3379" s="15"/>
    </row>
    <row r="3380" spans="10:10" x14ac:dyDescent="0.25">
      <c r="J3380" s="15"/>
    </row>
    <row r="3381" spans="10:10" x14ac:dyDescent="0.25">
      <c r="J3381" s="15"/>
    </row>
    <row r="3382" spans="10:10" x14ac:dyDescent="0.25">
      <c r="J3382" s="15"/>
    </row>
    <row r="3383" spans="10:10" x14ac:dyDescent="0.25">
      <c r="J3383" s="15"/>
    </row>
    <row r="3384" spans="10:10" x14ac:dyDescent="0.25">
      <c r="J3384" s="15"/>
    </row>
    <row r="3385" spans="10:10" x14ac:dyDescent="0.25">
      <c r="J3385" s="15"/>
    </row>
    <row r="3386" spans="10:10" x14ac:dyDescent="0.25">
      <c r="J3386" s="15"/>
    </row>
    <row r="3387" spans="10:10" x14ac:dyDescent="0.25">
      <c r="J3387" s="15"/>
    </row>
    <row r="3388" spans="10:10" x14ac:dyDescent="0.25">
      <c r="J3388" s="15"/>
    </row>
    <row r="3389" spans="10:10" x14ac:dyDescent="0.25">
      <c r="J3389" s="15"/>
    </row>
    <row r="3390" spans="10:10" x14ac:dyDescent="0.25">
      <c r="J3390" s="15"/>
    </row>
    <row r="3391" spans="10:10" x14ac:dyDescent="0.25">
      <c r="J3391" s="15"/>
    </row>
    <row r="3392" spans="10:10" x14ac:dyDescent="0.25">
      <c r="J3392" s="15"/>
    </row>
    <row r="3393" spans="10:10" x14ac:dyDescent="0.25">
      <c r="J3393" s="15"/>
    </row>
    <row r="3394" spans="10:10" x14ac:dyDescent="0.25">
      <c r="J3394" s="15"/>
    </row>
    <row r="3395" spans="10:10" x14ac:dyDescent="0.25">
      <c r="J3395" s="15"/>
    </row>
    <row r="3396" spans="10:10" x14ac:dyDescent="0.25">
      <c r="J3396" s="15"/>
    </row>
    <row r="3397" spans="10:10" x14ac:dyDescent="0.25">
      <c r="J3397" s="15"/>
    </row>
    <row r="3398" spans="10:10" x14ac:dyDescent="0.25">
      <c r="J3398" s="15"/>
    </row>
    <row r="3399" spans="10:10" x14ac:dyDescent="0.25">
      <c r="J3399" s="15"/>
    </row>
    <row r="3400" spans="10:10" x14ac:dyDescent="0.25">
      <c r="J3400" s="15"/>
    </row>
    <row r="3401" spans="10:10" x14ac:dyDescent="0.25">
      <c r="J3401" s="15"/>
    </row>
    <row r="3402" spans="10:10" x14ac:dyDescent="0.25">
      <c r="J3402" s="15"/>
    </row>
    <row r="3403" spans="10:10" x14ac:dyDescent="0.25">
      <c r="J3403" s="15"/>
    </row>
    <row r="3404" spans="10:10" x14ac:dyDescent="0.25">
      <c r="J3404" s="15"/>
    </row>
    <row r="3405" spans="10:10" x14ac:dyDescent="0.25">
      <c r="J3405" s="15"/>
    </row>
    <row r="3406" spans="10:10" x14ac:dyDescent="0.25">
      <c r="J3406" s="15"/>
    </row>
    <row r="3407" spans="10:10" x14ac:dyDescent="0.25">
      <c r="J3407" s="15"/>
    </row>
    <row r="3408" spans="10:10" x14ac:dyDescent="0.25">
      <c r="J3408" s="15"/>
    </row>
    <row r="3409" spans="10:10" x14ac:dyDescent="0.25">
      <c r="J3409" s="15"/>
    </row>
    <row r="3410" spans="10:10" x14ac:dyDescent="0.25">
      <c r="J3410" s="15"/>
    </row>
    <row r="3411" spans="10:10" x14ac:dyDescent="0.25">
      <c r="J3411" s="15"/>
    </row>
    <row r="3412" spans="10:10" x14ac:dyDescent="0.25">
      <c r="J3412" s="15"/>
    </row>
    <row r="3413" spans="10:10" x14ac:dyDescent="0.25">
      <c r="J3413" s="15"/>
    </row>
    <row r="3414" spans="10:10" x14ac:dyDescent="0.25">
      <c r="J3414" s="15"/>
    </row>
    <row r="3415" spans="10:10" x14ac:dyDescent="0.25">
      <c r="J3415" s="15"/>
    </row>
    <row r="3416" spans="10:10" x14ac:dyDescent="0.25">
      <c r="J3416" s="15"/>
    </row>
    <row r="3417" spans="10:10" x14ac:dyDescent="0.25">
      <c r="J3417" s="15"/>
    </row>
    <row r="3418" spans="10:10" x14ac:dyDescent="0.25">
      <c r="J3418" s="15"/>
    </row>
    <row r="3419" spans="10:10" x14ac:dyDescent="0.25">
      <c r="J3419" s="15"/>
    </row>
    <row r="3420" spans="10:10" x14ac:dyDescent="0.25">
      <c r="J3420" s="15"/>
    </row>
    <row r="3421" spans="10:10" x14ac:dyDescent="0.25">
      <c r="J3421" s="15"/>
    </row>
    <row r="3422" spans="10:10" x14ac:dyDescent="0.25">
      <c r="J3422" s="15"/>
    </row>
    <row r="3423" spans="10:10" x14ac:dyDescent="0.25">
      <c r="J3423" s="15"/>
    </row>
    <row r="3424" spans="10:10" x14ac:dyDescent="0.25">
      <c r="J3424" s="15"/>
    </row>
    <row r="3425" spans="10:10" x14ac:dyDescent="0.25">
      <c r="J3425" s="15"/>
    </row>
    <row r="3426" spans="10:10" x14ac:dyDescent="0.25">
      <c r="J3426" s="15"/>
    </row>
    <row r="3427" spans="10:10" x14ac:dyDescent="0.25">
      <c r="J3427" s="15"/>
    </row>
    <row r="3428" spans="10:10" x14ac:dyDescent="0.25">
      <c r="J3428" s="15"/>
    </row>
    <row r="3429" spans="10:10" x14ac:dyDescent="0.25">
      <c r="J3429" s="15"/>
    </row>
    <row r="3430" spans="10:10" x14ac:dyDescent="0.25">
      <c r="J3430" s="15"/>
    </row>
    <row r="3431" spans="10:10" x14ac:dyDescent="0.25">
      <c r="J3431" s="15"/>
    </row>
    <row r="3432" spans="10:10" x14ac:dyDescent="0.25">
      <c r="J3432" s="15"/>
    </row>
    <row r="3433" spans="10:10" x14ac:dyDescent="0.25">
      <c r="J3433" s="15"/>
    </row>
    <row r="3434" spans="10:10" x14ac:dyDescent="0.25">
      <c r="J3434" s="15"/>
    </row>
    <row r="3435" spans="10:10" x14ac:dyDescent="0.25">
      <c r="J3435" s="15"/>
    </row>
    <row r="3436" spans="10:10" x14ac:dyDescent="0.25">
      <c r="J3436" s="15"/>
    </row>
    <row r="3437" spans="10:10" x14ac:dyDescent="0.25">
      <c r="J3437" s="15"/>
    </row>
    <row r="3438" spans="10:10" x14ac:dyDescent="0.25">
      <c r="J3438" s="15"/>
    </row>
    <row r="3439" spans="10:10" x14ac:dyDescent="0.25">
      <c r="J3439" s="15"/>
    </row>
    <row r="3440" spans="10:10" x14ac:dyDescent="0.25">
      <c r="J3440" s="15"/>
    </row>
    <row r="3441" spans="10:10" x14ac:dyDescent="0.25">
      <c r="J3441" s="15"/>
    </row>
    <row r="3442" spans="10:10" x14ac:dyDescent="0.25">
      <c r="J3442" s="15"/>
    </row>
    <row r="3443" spans="10:10" x14ac:dyDescent="0.25">
      <c r="J3443" s="15"/>
    </row>
    <row r="3444" spans="10:10" x14ac:dyDescent="0.25">
      <c r="J3444" s="15"/>
    </row>
    <row r="3445" spans="10:10" x14ac:dyDescent="0.25">
      <c r="J3445" s="15"/>
    </row>
    <row r="3446" spans="10:10" x14ac:dyDescent="0.25">
      <c r="J3446" s="15"/>
    </row>
    <row r="3447" spans="10:10" x14ac:dyDescent="0.25">
      <c r="J3447" s="15"/>
    </row>
    <row r="3448" spans="10:10" x14ac:dyDescent="0.25">
      <c r="J3448" s="15"/>
    </row>
    <row r="3449" spans="10:10" x14ac:dyDescent="0.25">
      <c r="J3449" s="15"/>
    </row>
    <row r="3450" spans="10:10" x14ac:dyDescent="0.25">
      <c r="J3450" s="15"/>
    </row>
    <row r="3451" spans="10:10" x14ac:dyDescent="0.25">
      <c r="J3451" s="15"/>
    </row>
    <row r="3452" spans="10:10" x14ac:dyDescent="0.25">
      <c r="J3452" s="15"/>
    </row>
    <row r="3453" spans="10:10" x14ac:dyDescent="0.25">
      <c r="J3453" s="15"/>
    </row>
    <row r="3454" spans="10:10" x14ac:dyDescent="0.25">
      <c r="J3454" s="15"/>
    </row>
    <row r="3455" spans="10:10" x14ac:dyDescent="0.25">
      <c r="J3455" s="15"/>
    </row>
    <row r="3456" spans="10:10" x14ac:dyDescent="0.25">
      <c r="J3456" s="15"/>
    </row>
    <row r="3457" spans="10:10" x14ac:dyDescent="0.25">
      <c r="J3457" s="15"/>
    </row>
    <row r="3458" spans="10:10" x14ac:dyDescent="0.25">
      <c r="J3458" s="15"/>
    </row>
    <row r="3459" spans="10:10" x14ac:dyDescent="0.25">
      <c r="J3459" s="15"/>
    </row>
    <row r="3460" spans="10:10" x14ac:dyDescent="0.25">
      <c r="J3460" s="15"/>
    </row>
    <row r="3461" spans="10:10" x14ac:dyDescent="0.25">
      <c r="J3461" s="15"/>
    </row>
    <row r="3462" spans="10:10" x14ac:dyDescent="0.25">
      <c r="J3462" s="15"/>
    </row>
    <row r="3463" spans="10:10" x14ac:dyDescent="0.25">
      <c r="J3463" s="15"/>
    </row>
    <row r="3464" spans="10:10" x14ac:dyDescent="0.25">
      <c r="J3464" s="15"/>
    </row>
    <row r="3465" spans="10:10" x14ac:dyDescent="0.25">
      <c r="J3465" s="15"/>
    </row>
    <row r="3466" spans="10:10" x14ac:dyDescent="0.25">
      <c r="J3466" s="15"/>
    </row>
    <row r="3467" spans="10:10" x14ac:dyDescent="0.25">
      <c r="J3467" s="15"/>
    </row>
    <row r="3468" spans="10:10" x14ac:dyDescent="0.25">
      <c r="J3468" s="15"/>
    </row>
    <row r="3469" spans="10:10" x14ac:dyDescent="0.25">
      <c r="J3469" s="15"/>
    </row>
    <row r="3470" spans="10:10" x14ac:dyDescent="0.25">
      <c r="J3470" s="15"/>
    </row>
    <row r="3471" spans="10:10" x14ac:dyDescent="0.25">
      <c r="J3471" s="15"/>
    </row>
    <row r="3472" spans="10:10" x14ac:dyDescent="0.25">
      <c r="J3472" s="15"/>
    </row>
    <row r="3473" spans="10:10" x14ac:dyDescent="0.25">
      <c r="J3473" s="15"/>
    </row>
    <row r="3474" spans="10:10" x14ac:dyDescent="0.25">
      <c r="J3474" s="15"/>
    </row>
    <row r="3475" spans="10:10" x14ac:dyDescent="0.25">
      <c r="J3475" s="15"/>
    </row>
    <row r="3476" spans="10:10" x14ac:dyDescent="0.25">
      <c r="J3476" s="15"/>
    </row>
    <row r="3477" spans="10:10" x14ac:dyDescent="0.25">
      <c r="J3477" s="15"/>
    </row>
    <row r="3478" spans="10:10" x14ac:dyDescent="0.25">
      <c r="J3478" s="15"/>
    </row>
    <row r="3479" spans="10:10" x14ac:dyDescent="0.25">
      <c r="J3479" s="15"/>
    </row>
    <row r="3480" spans="10:10" x14ac:dyDescent="0.25">
      <c r="J3480" s="15"/>
    </row>
    <row r="3481" spans="10:10" x14ac:dyDescent="0.25">
      <c r="J3481" s="15"/>
    </row>
    <row r="3482" spans="10:10" x14ac:dyDescent="0.25">
      <c r="J3482" s="15"/>
    </row>
    <row r="3483" spans="10:10" x14ac:dyDescent="0.25">
      <c r="J3483" s="15"/>
    </row>
    <row r="3484" spans="10:10" x14ac:dyDescent="0.25">
      <c r="J3484" s="15"/>
    </row>
    <row r="3485" spans="10:10" x14ac:dyDescent="0.25">
      <c r="J3485" s="15"/>
    </row>
    <row r="3486" spans="10:10" x14ac:dyDescent="0.25">
      <c r="J3486" s="15"/>
    </row>
    <row r="3487" spans="10:10" x14ac:dyDescent="0.25">
      <c r="J3487" s="15"/>
    </row>
    <row r="3488" spans="10:10" x14ac:dyDescent="0.25">
      <c r="J3488" s="15"/>
    </row>
    <row r="3489" spans="10:10" x14ac:dyDescent="0.25">
      <c r="J3489" s="15"/>
    </row>
    <row r="3490" spans="10:10" x14ac:dyDescent="0.25">
      <c r="J3490" s="15"/>
    </row>
    <row r="3491" spans="10:10" x14ac:dyDescent="0.25">
      <c r="J3491" s="15"/>
    </row>
    <row r="3492" spans="10:10" x14ac:dyDescent="0.25">
      <c r="J3492" s="15"/>
    </row>
    <row r="3493" spans="10:10" x14ac:dyDescent="0.25">
      <c r="J3493" s="15"/>
    </row>
    <row r="3494" spans="10:10" x14ac:dyDescent="0.25">
      <c r="J3494" s="15"/>
    </row>
    <row r="3495" spans="10:10" x14ac:dyDescent="0.25">
      <c r="J3495" s="15"/>
    </row>
    <row r="3496" spans="10:10" x14ac:dyDescent="0.25">
      <c r="J3496" s="15"/>
    </row>
    <row r="3497" spans="10:10" x14ac:dyDescent="0.25">
      <c r="J3497" s="15"/>
    </row>
    <row r="3498" spans="10:10" x14ac:dyDescent="0.25">
      <c r="J3498" s="15"/>
    </row>
    <row r="3499" spans="10:10" x14ac:dyDescent="0.25">
      <c r="J3499" s="15"/>
    </row>
    <row r="3500" spans="10:10" x14ac:dyDescent="0.25">
      <c r="J3500" s="15"/>
    </row>
    <row r="3501" spans="10:10" x14ac:dyDescent="0.25">
      <c r="J3501" s="15"/>
    </row>
    <row r="3502" spans="10:10" x14ac:dyDescent="0.25">
      <c r="J3502" s="15"/>
    </row>
    <row r="3503" spans="10:10" x14ac:dyDescent="0.25">
      <c r="J3503" s="15"/>
    </row>
    <row r="3504" spans="10:10" x14ac:dyDescent="0.25">
      <c r="J3504" s="15"/>
    </row>
    <row r="3505" spans="10:10" x14ac:dyDescent="0.25">
      <c r="J3505" s="15"/>
    </row>
    <row r="3506" spans="10:10" x14ac:dyDescent="0.25">
      <c r="J3506" s="15"/>
    </row>
    <row r="3507" spans="10:10" x14ac:dyDescent="0.25">
      <c r="J3507" s="15"/>
    </row>
    <row r="3508" spans="10:10" x14ac:dyDescent="0.25">
      <c r="J3508" s="15"/>
    </row>
    <row r="3509" spans="10:10" x14ac:dyDescent="0.25">
      <c r="J3509" s="15"/>
    </row>
    <row r="3510" spans="10:10" x14ac:dyDescent="0.25">
      <c r="J3510" s="15"/>
    </row>
    <row r="3511" spans="10:10" x14ac:dyDescent="0.25">
      <c r="J3511" s="15"/>
    </row>
    <row r="3512" spans="10:10" x14ac:dyDescent="0.25">
      <c r="J3512" s="15"/>
    </row>
    <row r="3513" spans="10:10" x14ac:dyDescent="0.25">
      <c r="J3513" s="15"/>
    </row>
    <row r="3514" spans="10:10" x14ac:dyDescent="0.25">
      <c r="J3514" s="15"/>
    </row>
    <row r="3515" spans="10:10" x14ac:dyDescent="0.25">
      <c r="J3515" s="15"/>
    </row>
    <row r="3516" spans="10:10" x14ac:dyDescent="0.25">
      <c r="J3516" s="15"/>
    </row>
    <row r="3517" spans="10:10" x14ac:dyDescent="0.25">
      <c r="J3517" s="15"/>
    </row>
    <row r="3518" spans="10:10" x14ac:dyDescent="0.25">
      <c r="J3518" s="15"/>
    </row>
    <row r="3519" spans="10:10" x14ac:dyDescent="0.25">
      <c r="J3519" s="15"/>
    </row>
    <row r="3520" spans="10:10" x14ac:dyDescent="0.25">
      <c r="J3520" s="15"/>
    </row>
    <row r="3521" spans="10:10" x14ac:dyDescent="0.25">
      <c r="J3521" s="15"/>
    </row>
    <row r="3522" spans="10:10" x14ac:dyDescent="0.25">
      <c r="J3522" s="15"/>
    </row>
    <row r="3523" spans="10:10" x14ac:dyDescent="0.25">
      <c r="J3523" s="15"/>
    </row>
    <row r="3524" spans="10:10" x14ac:dyDescent="0.25">
      <c r="J3524" s="15"/>
    </row>
    <row r="3525" spans="10:10" x14ac:dyDescent="0.25">
      <c r="J3525" s="15"/>
    </row>
    <row r="3526" spans="10:10" x14ac:dyDescent="0.25">
      <c r="J3526" s="15"/>
    </row>
    <row r="3527" spans="10:10" x14ac:dyDescent="0.25">
      <c r="J3527" s="15"/>
    </row>
    <row r="3528" spans="10:10" x14ac:dyDescent="0.25">
      <c r="J3528" s="15"/>
    </row>
    <row r="3529" spans="10:10" x14ac:dyDescent="0.25">
      <c r="J3529" s="15"/>
    </row>
    <row r="3530" spans="10:10" x14ac:dyDescent="0.25">
      <c r="J3530" s="15"/>
    </row>
    <row r="3531" spans="10:10" x14ac:dyDescent="0.25">
      <c r="J3531" s="15"/>
    </row>
    <row r="3532" spans="10:10" x14ac:dyDescent="0.25">
      <c r="J3532" s="15"/>
    </row>
    <row r="3533" spans="10:10" x14ac:dyDescent="0.25">
      <c r="J3533" s="15"/>
    </row>
    <row r="3534" spans="10:10" x14ac:dyDescent="0.25">
      <c r="J3534" s="15"/>
    </row>
    <row r="3535" spans="10:10" x14ac:dyDescent="0.25">
      <c r="J3535" s="15"/>
    </row>
    <row r="3536" spans="10:10" x14ac:dyDescent="0.25">
      <c r="J3536" s="15"/>
    </row>
    <row r="3537" spans="10:10" x14ac:dyDescent="0.25">
      <c r="J3537" s="15"/>
    </row>
    <row r="3538" spans="10:10" x14ac:dyDescent="0.25">
      <c r="J3538" s="15"/>
    </row>
    <row r="3539" spans="10:10" x14ac:dyDescent="0.25">
      <c r="J3539" s="15"/>
    </row>
    <row r="3540" spans="10:10" x14ac:dyDescent="0.25">
      <c r="J3540" s="15"/>
    </row>
    <row r="3541" spans="10:10" x14ac:dyDescent="0.25">
      <c r="J3541" s="15"/>
    </row>
    <row r="3542" spans="10:10" x14ac:dyDescent="0.25">
      <c r="J3542" s="15"/>
    </row>
    <row r="3543" spans="10:10" x14ac:dyDescent="0.25">
      <c r="J3543" s="15"/>
    </row>
    <row r="3544" spans="10:10" x14ac:dyDescent="0.25">
      <c r="J3544" s="15"/>
    </row>
    <row r="3545" spans="10:10" x14ac:dyDescent="0.25">
      <c r="J3545" s="15"/>
    </row>
    <row r="3546" spans="10:10" x14ac:dyDescent="0.25">
      <c r="J3546" s="15"/>
    </row>
    <row r="3547" spans="10:10" x14ac:dyDescent="0.25">
      <c r="J3547" s="15"/>
    </row>
    <row r="3548" spans="10:10" x14ac:dyDescent="0.25">
      <c r="J3548" s="15"/>
    </row>
    <row r="3549" spans="10:10" x14ac:dyDescent="0.25">
      <c r="J3549" s="15"/>
    </row>
    <row r="3550" spans="10:10" x14ac:dyDescent="0.25">
      <c r="J3550" s="15"/>
    </row>
    <row r="3551" spans="10:10" x14ac:dyDescent="0.25">
      <c r="J3551" s="15"/>
    </row>
    <row r="3552" spans="10:10" x14ac:dyDescent="0.25">
      <c r="J3552" s="15"/>
    </row>
    <row r="3553" spans="10:10" x14ac:dyDescent="0.25">
      <c r="J3553" s="15"/>
    </row>
    <row r="3554" spans="10:10" x14ac:dyDescent="0.25">
      <c r="J3554" s="15"/>
    </row>
    <row r="3555" spans="10:10" x14ac:dyDescent="0.25">
      <c r="J3555" s="15"/>
    </row>
    <row r="3556" spans="10:10" x14ac:dyDescent="0.25">
      <c r="J3556" s="15"/>
    </row>
    <row r="3557" spans="10:10" x14ac:dyDescent="0.25">
      <c r="J3557" s="15"/>
    </row>
    <row r="3558" spans="10:10" x14ac:dyDescent="0.25">
      <c r="J3558" s="15"/>
    </row>
    <row r="3559" spans="10:10" x14ac:dyDescent="0.25">
      <c r="J3559" s="15"/>
    </row>
    <row r="3560" spans="10:10" x14ac:dyDescent="0.25">
      <c r="J3560" s="15"/>
    </row>
    <row r="3561" spans="10:10" x14ac:dyDescent="0.25">
      <c r="J3561" s="15"/>
    </row>
    <row r="3562" spans="10:10" x14ac:dyDescent="0.25">
      <c r="J3562" s="15"/>
    </row>
    <row r="3563" spans="10:10" x14ac:dyDescent="0.25">
      <c r="J3563" s="15"/>
    </row>
    <row r="3564" spans="10:10" x14ac:dyDescent="0.25">
      <c r="J3564" s="15"/>
    </row>
    <row r="3565" spans="10:10" x14ac:dyDescent="0.25">
      <c r="J3565" s="15"/>
    </row>
    <row r="3566" spans="10:10" x14ac:dyDescent="0.25">
      <c r="J3566" s="15"/>
    </row>
    <row r="3567" spans="10:10" x14ac:dyDescent="0.25">
      <c r="J3567" s="15"/>
    </row>
    <row r="3568" spans="10:10" x14ac:dyDescent="0.25">
      <c r="J3568" s="15"/>
    </row>
    <row r="3569" spans="10:10" x14ac:dyDescent="0.25">
      <c r="J3569" s="15"/>
    </row>
    <row r="3570" spans="10:10" x14ac:dyDescent="0.25">
      <c r="J3570" s="15"/>
    </row>
    <row r="3571" spans="10:10" x14ac:dyDescent="0.25">
      <c r="J3571" s="15"/>
    </row>
    <row r="3572" spans="10:10" x14ac:dyDescent="0.25">
      <c r="J3572" s="15"/>
    </row>
    <row r="3573" spans="10:10" x14ac:dyDescent="0.25">
      <c r="J3573" s="15"/>
    </row>
    <row r="3574" spans="10:10" x14ac:dyDescent="0.25">
      <c r="J3574" s="15"/>
    </row>
    <row r="3575" spans="10:10" x14ac:dyDescent="0.25">
      <c r="J3575" s="15"/>
    </row>
    <row r="3576" spans="10:10" x14ac:dyDescent="0.25">
      <c r="J3576" s="15"/>
    </row>
    <row r="3577" spans="10:10" x14ac:dyDescent="0.25">
      <c r="J3577" s="15"/>
    </row>
    <row r="3578" spans="10:10" x14ac:dyDescent="0.25">
      <c r="J3578" s="15"/>
    </row>
    <row r="3579" spans="10:10" x14ac:dyDescent="0.25">
      <c r="J3579" s="15"/>
    </row>
    <row r="3580" spans="10:10" x14ac:dyDescent="0.25">
      <c r="J3580" s="15"/>
    </row>
    <row r="3581" spans="10:10" x14ac:dyDescent="0.25">
      <c r="J3581" s="15"/>
    </row>
    <row r="3582" spans="10:10" x14ac:dyDescent="0.25">
      <c r="J3582" s="15"/>
    </row>
    <row r="3583" spans="10:10" x14ac:dyDescent="0.25">
      <c r="J3583" s="15"/>
    </row>
    <row r="3584" spans="10:10" x14ac:dyDescent="0.25">
      <c r="J3584" s="15"/>
    </row>
    <row r="3585" spans="10:10" x14ac:dyDescent="0.25">
      <c r="J3585" s="15"/>
    </row>
    <row r="3586" spans="10:10" x14ac:dyDescent="0.25">
      <c r="J3586" s="15"/>
    </row>
    <row r="3587" spans="10:10" x14ac:dyDescent="0.25">
      <c r="J3587" s="15"/>
    </row>
    <row r="3588" spans="10:10" x14ac:dyDescent="0.25">
      <c r="J3588" s="15"/>
    </row>
    <row r="3589" spans="10:10" x14ac:dyDescent="0.25">
      <c r="J3589" s="15"/>
    </row>
    <row r="3590" spans="10:10" x14ac:dyDescent="0.25">
      <c r="J3590" s="15"/>
    </row>
    <row r="3591" spans="10:10" x14ac:dyDescent="0.25">
      <c r="J3591" s="15"/>
    </row>
    <row r="3592" spans="10:10" x14ac:dyDescent="0.25">
      <c r="J3592" s="15"/>
    </row>
    <row r="3593" spans="10:10" x14ac:dyDescent="0.25">
      <c r="J3593" s="15"/>
    </row>
    <row r="3594" spans="10:10" x14ac:dyDescent="0.25">
      <c r="J3594" s="15"/>
    </row>
    <row r="3595" spans="10:10" x14ac:dyDescent="0.25">
      <c r="J3595" s="15"/>
    </row>
    <row r="3596" spans="10:10" x14ac:dyDescent="0.25">
      <c r="J3596" s="15"/>
    </row>
    <row r="3597" spans="10:10" x14ac:dyDescent="0.25">
      <c r="J3597" s="15"/>
    </row>
    <row r="3598" spans="10:10" x14ac:dyDescent="0.25">
      <c r="J3598" s="15"/>
    </row>
    <row r="3599" spans="10:10" x14ac:dyDescent="0.25">
      <c r="J3599" s="15"/>
    </row>
    <row r="3600" spans="10:10" x14ac:dyDescent="0.25">
      <c r="J3600" s="15"/>
    </row>
    <row r="3601" spans="10:10" x14ac:dyDescent="0.25">
      <c r="J3601" s="15"/>
    </row>
    <row r="3602" spans="10:10" x14ac:dyDescent="0.25">
      <c r="J3602" s="15"/>
    </row>
    <row r="3603" spans="10:10" x14ac:dyDescent="0.25">
      <c r="J3603" s="15"/>
    </row>
    <row r="3604" spans="10:10" x14ac:dyDescent="0.25">
      <c r="J3604" s="15"/>
    </row>
    <row r="3605" spans="10:10" x14ac:dyDescent="0.25">
      <c r="J3605" s="15"/>
    </row>
    <row r="3606" spans="10:10" x14ac:dyDescent="0.25">
      <c r="J3606" s="15"/>
    </row>
    <row r="3607" spans="10:10" x14ac:dyDescent="0.25">
      <c r="J3607" s="15"/>
    </row>
    <row r="3608" spans="10:10" x14ac:dyDescent="0.25">
      <c r="J3608" s="15"/>
    </row>
    <row r="3609" spans="10:10" x14ac:dyDescent="0.25">
      <c r="J3609" s="15"/>
    </row>
    <row r="3610" spans="10:10" x14ac:dyDescent="0.25">
      <c r="J3610" s="15"/>
    </row>
    <row r="3611" spans="10:10" x14ac:dyDescent="0.25">
      <c r="J3611" s="15"/>
    </row>
    <row r="3612" spans="10:10" x14ac:dyDescent="0.25">
      <c r="J3612" s="15"/>
    </row>
    <row r="3613" spans="10:10" x14ac:dyDescent="0.25">
      <c r="J3613" s="15"/>
    </row>
    <row r="3614" spans="10:10" x14ac:dyDescent="0.25">
      <c r="J3614" s="15"/>
    </row>
    <row r="3615" spans="10:10" x14ac:dyDescent="0.25">
      <c r="J3615" s="15"/>
    </row>
    <row r="3616" spans="10:10" x14ac:dyDescent="0.25">
      <c r="J3616" s="15"/>
    </row>
    <row r="3617" spans="10:10" x14ac:dyDescent="0.25">
      <c r="J3617" s="15"/>
    </row>
    <row r="3618" spans="10:10" x14ac:dyDescent="0.25">
      <c r="J3618" s="15"/>
    </row>
    <row r="3619" spans="10:10" x14ac:dyDescent="0.25">
      <c r="J3619" s="15"/>
    </row>
    <row r="3620" spans="10:10" x14ac:dyDescent="0.25">
      <c r="J3620" s="15"/>
    </row>
    <row r="3621" spans="10:10" x14ac:dyDescent="0.25">
      <c r="J3621" s="15"/>
    </row>
    <row r="3622" spans="10:10" x14ac:dyDescent="0.25">
      <c r="J3622" s="15"/>
    </row>
    <row r="3623" spans="10:10" x14ac:dyDescent="0.25">
      <c r="J3623" s="15"/>
    </row>
    <row r="3624" spans="10:10" x14ac:dyDescent="0.25">
      <c r="J3624" s="15"/>
    </row>
    <row r="3625" spans="10:10" x14ac:dyDescent="0.25">
      <c r="J3625" s="15"/>
    </row>
    <row r="3626" spans="10:10" x14ac:dyDescent="0.25">
      <c r="J3626" s="15"/>
    </row>
    <row r="3627" spans="10:10" x14ac:dyDescent="0.25">
      <c r="J3627" s="15"/>
    </row>
    <row r="3628" spans="10:10" x14ac:dyDescent="0.25">
      <c r="J3628" s="15"/>
    </row>
    <row r="3629" spans="10:10" x14ac:dyDescent="0.25">
      <c r="J3629" s="15"/>
    </row>
    <row r="3630" spans="10:10" x14ac:dyDescent="0.25">
      <c r="J3630" s="15"/>
    </row>
    <row r="3631" spans="10:10" x14ac:dyDescent="0.25">
      <c r="J3631" s="15"/>
    </row>
    <row r="3632" spans="10:10" x14ac:dyDescent="0.25">
      <c r="J3632" s="15"/>
    </row>
    <row r="3633" spans="10:10" x14ac:dyDescent="0.25">
      <c r="J3633" s="15"/>
    </row>
    <row r="3634" spans="10:10" x14ac:dyDescent="0.25">
      <c r="J3634" s="15"/>
    </row>
    <row r="3635" spans="10:10" x14ac:dyDescent="0.25">
      <c r="J3635" s="15"/>
    </row>
    <row r="3636" spans="10:10" x14ac:dyDescent="0.25">
      <c r="J3636" s="15"/>
    </row>
    <row r="3637" spans="10:10" x14ac:dyDescent="0.25">
      <c r="J3637" s="15"/>
    </row>
    <row r="3638" spans="10:10" x14ac:dyDescent="0.25">
      <c r="J3638" s="15"/>
    </row>
    <row r="3639" spans="10:10" x14ac:dyDescent="0.25">
      <c r="J3639" s="15"/>
    </row>
    <row r="3640" spans="10:10" x14ac:dyDescent="0.25">
      <c r="J3640" s="15"/>
    </row>
    <row r="3641" spans="10:10" x14ac:dyDescent="0.25">
      <c r="J3641" s="15"/>
    </row>
    <row r="3642" spans="10:10" x14ac:dyDescent="0.25">
      <c r="J3642" s="15"/>
    </row>
    <row r="3643" spans="10:10" x14ac:dyDescent="0.25">
      <c r="J3643" s="15"/>
    </row>
    <row r="3644" spans="10:10" x14ac:dyDescent="0.25">
      <c r="J3644" s="15"/>
    </row>
    <row r="3645" spans="10:10" x14ac:dyDescent="0.25">
      <c r="J3645" s="15"/>
    </row>
    <row r="3646" spans="10:10" x14ac:dyDescent="0.25">
      <c r="J3646" s="15"/>
    </row>
    <row r="3647" spans="10:10" x14ac:dyDescent="0.25">
      <c r="J3647" s="15"/>
    </row>
    <row r="3648" spans="10:10" x14ac:dyDescent="0.25">
      <c r="J3648" s="15"/>
    </row>
    <row r="3649" spans="10:10" x14ac:dyDescent="0.25">
      <c r="J3649" s="15"/>
    </row>
    <row r="3650" spans="10:10" x14ac:dyDescent="0.25">
      <c r="J3650" s="15"/>
    </row>
    <row r="3651" spans="10:10" x14ac:dyDescent="0.25">
      <c r="J3651" s="15"/>
    </row>
    <row r="3652" spans="10:10" x14ac:dyDescent="0.25">
      <c r="J3652" s="15"/>
    </row>
    <row r="3653" spans="10:10" x14ac:dyDescent="0.25">
      <c r="J3653" s="15"/>
    </row>
    <row r="3654" spans="10:10" x14ac:dyDescent="0.25">
      <c r="J3654" s="15"/>
    </row>
    <row r="3655" spans="10:10" x14ac:dyDescent="0.25">
      <c r="J3655" s="15"/>
    </row>
    <row r="3656" spans="10:10" x14ac:dyDescent="0.25">
      <c r="J3656" s="15"/>
    </row>
    <row r="3657" spans="10:10" x14ac:dyDescent="0.25">
      <c r="J3657" s="15"/>
    </row>
    <row r="3658" spans="10:10" x14ac:dyDescent="0.25">
      <c r="J3658" s="15"/>
    </row>
    <row r="3659" spans="10:10" x14ac:dyDescent="0.25">
      <c r="J3659" s="15"/>
    </row>
    <row r="3660" spans="10:10" x14ac:dyDescent="0.25">
      <c r="J3660" s="15"/>
    </row>
    <row r="3661" spans="10:10" x14ac:dyDescent="0.25">
      <c r="J3661" s="15"/>
    </row>
    <row r="3662" spans="10:10" x14ac:dyDescent="0.25">
      <c r="J3662" s="15"/>
    </row>
    <row r="3663" spans="10:10" x14ac:dyDescent="0.25">
      <c r="J3663" s="15"/>
    </row>
    <row r="3664" spans="10:10" x14ac:dyDescent="0.25">
      <c r="J3664" s="15"/>
    </row>
    <row r="3665" spans="10:10" x14ac:dyDescent="0.25">
      <c r="J3665" s="15"/>
    </row>
    <row r="3666" spans="10:10" x14ac:dyDescent="0.25">
      <c r="J3666" s="15"/>
    </row>
    <row r="3667" spans="10:10" x14ac:dyDescent="0.25">
      <c r="J3667" s="15"/>
    </row>
    <row r="3668" spans="10:10" x14ac:dyDescent="0.25">
      <c r="J3668" s="15"/>
    </row>
    <row r="3669" spans="10:10" x14ac:dyDescent="0.25">
      <c r="J3669" s="15"/>
    </row>
    <row r="3670" spans="10:10" x14ac:dyDescent="0.25">
      <c r="J3670" s="15"/>
    </row>
    <row r="3671" spans="10:10" x14ac:dyDescent="0.25">
      <c r="J3671" s="15"/>
    </row>
    <row r="3672" spans="10:10" x14ac:dyDescent="0.25">
      <c r="J3672" s="15"/>
    </row>
    <row r="3673" spans="10:10" x14ac:dyDescent="0.25">
      <c r="J3673" s="15"/>
    </row>
    <row r="3674" spans="10:10" x14ac:dyDescent="0.25">
      <c r="J3674" s="15"/>
    </row>
    <row r="3675" spans="10:10" x14ac:dyDescent="0.25">
      <c r="J3675" s="15"/>
    </row>
    <row r="3676" spans="10:10" x14ac:dyDescent="0.25">
      <c r="J3676" s="15"/>
    </row>
    <row r="3677" spans="10:10" x14ac:dyDescent="0.25">
      <c r="J3677" s="15"/>
    </row>
    <row r="3678" spans="10:10" x14ac:dyDescent="0.25">
      <c r="J3678" s="15"/>
    </row>
    <row r="3679" spans="10:10" x14ac:dyDescent="0.25">
      <c r="J3679" s="15"/>
    </row>
    <row r="3680" spans="10:10" x14ac:dyDescent="0.25">
      <c r="J3680" s="15"/>
    </row>
    <row r="3681" spans="10:10" x14ac:dyDescent="0.25">
      <c r="J3681" s="15"/>
    </row>
    <row r="3682" spans="10:10" x14ac:dyDescent="0.25">
      <c r="J3682" s="15"/>
    </row>
    <row r="3683" spans="10:10" x14ac:dyDescent="0.25">
      <c r="J3683" s="15"/>
    </row>
    <row r="3684" spans="10:10" x14ac:dyDescent="0.25">
      <c r="J3684" s="15"/>
    </row>
    <row r="3685" spans="10:10" x14ac:dyDescent="0.25">
      <c r="J3685" s="15"/>
    </row>
    <row r="3686" spans="10:10" x14ac:dyDescent="0.25">
      <c r="J3686" s="15"/>
    </row>
    <row r="3687" spans="10:10" x14ac:dyDescent="0.25">
      <c r="J3687" s="15"/>
    </row>
    <row r="3688" spans="10:10" x14ac:dyDescent="0.25">
      <c r="J3688" s="15"/>
    </row>
    <row r="3689" spans="10:10" x14ac:dyDescent="0.25">
      <c r="J3689" s="15"/>
    </row>
    <row r="3690" spans="10:10" x14ac:dyDescent="0.25">
      <c r="J3690" s="15"/>
    </row>
    <row r="3691" spans="10:10" x14ac:dyDescent="0.25">
      <c r="J3691" s="15"/>
    </row>
    <row r="3692" spans="10:10" x14ac:dyDescent="0.25">
      <c r="J3692" s="15"/>
    </row>
    <row r="3693" spans="10:10" x14ac:dyDescent="0.25">
      <c r="J3693" s="15"/>
    </row>
    <row r="3694" spans="10:10" x14ac:dyDescent="0.25">
      <c r="J3694" s="15"/>
    </row>
    <row r="3695" spans="10:10" x14ac:dyDescent="0.25">
      <c r="J3695" s="15"/>
    </row>
    <row r="3696" spans="10:10" x14ac:dyDescent="0.25">
      <c r="J3696" s="15"/>
    </row>
    <row r="3697" spans="10:10" x14ac:dyDescent="0.25">
      <c r="J3697" s="15"/>
    </row>
    <row r="3698" spans="10:10" x14ac:dyDescent="0.25">
      <c r="J3698" s="15"/>
    </row>
    <row r="3699" spans="10:10" x14ac:dyDescent="0.25">
      <c r="J3699" s="15"/>
    </row>
    <row r="3700" spans="10:10" x14ac:dyDescent="0.25">
      <c r="J3700" s="15"/>
    </row>
    <row r="3701" spans="10:10" x14ac:dyDescent="0.25">
      <c r="J3701" s="15"/>
    </row>
    <row r="3702" spans="10:10" x14ac:dyDescent="0.25">
      <c r="J3702" s="15"/>
    </row>
    <row r="3703" spans="10:10" x14ac:dyDescent="0.25">
      <c r="J3703" s="15"/>
    </row>
    <row r="3704" spans="10:10" x14ac:dyDescent="0.25">
      <c r="J3704" s="15"/>
    </row>
    <row r="3705" spans="10:10" x14ac:dyDescent="0.25">
      <c r="J3705" s="15"/>
    </row>
    <row r="3706" spans="10:10" x14ac:dyDescent="0.25">
      <c r="J3706" s="15"/>
    </row>
    <row r="3707" spans="10:10" x14ac:dyDescent="0.25">
      <c r="J3707" s="15"/>
    </row>
    <row r="3708" spans="10:10" x14ac:dyDescent="0.25">
      <c r="J3708" s="15"/>
    </row>
    <row r="3709" spans="10:10" x14ac:dyDescent="0.25">
      <c r="J3709" s="15"/>
    </row>
    <row r="3710" spans="10:10" x14ac:dyDescent="0.25">
      <c r="J3710" s="15"/>
    </row>
    <row r="3711" spans="10:10" x14ac:dyDescent="0.25">
      <c r="J3711" s="15"/>
    </row>
    <row r="3712" spans="10:10" x14ac:dyDescent="0.25">
      <c r="J3712" s="15"/>
    </row>
    <row r="3713" spans="10:10" x14ac:dyDescent="0.25">
      <c r="J3713" s="15"/>
    </row>
    <row r="3714" spans="10:10" x14ac:dyDescent="0.25">
      <c r="J3714" s="15"/>
    </row>
    <row r="3715" spans="10:10" x14ac:dyDescent="0.25">
      <c r="J3715" s="15"/>
    </row>
    <row r="3716" spans="10:10" x14ac:dyDescent="0.25">
      <c r="J3716" s="15"/>
    </row>
    <row r="3717" spans="10:10" x14ac:dyDescent="0.25">
      <c r="J3717" s="15"/>
    </row>
    <row r="3718" spans="10:10" x14ac:dyDescent="0.25">
      <c r="J3718" s="15"/>
    </row>
    <row r="3719" spans="10:10" x14ac:dyDescent="0.25">
      <c r="J3719" s="15"/>
    </row>
    <row r="3720" spans="10:10" x14ac:dyDescent="0.25">
      <c r="J3720" s="15"/>
    </row>
    <row r="3721" spans="10:10" x14ac:dyDescent="0.25">
      <c r="J3721" s="15"/>
    </row>
    <row r="3722" spans="10:10" x14ac:dyDescent="0.25">
      <c r="J3722" s="15"/>
    </row>
    <row r="3723" spans="10:10" x14ac:dyDescent="0.25">
      <c r="J3723" s="15"/>
    </row>
    <row r="3724" spans="10:10" x14ac:dyDescent="0.25">
      <c r="J3724" s="15"/>
    </row>
    <row r="3725" spans="10:10" x14ac:dyDescent="0.25">
      <c r="J3725" s="15"/>
    </row>
    <row r="3726" spans="10:10" x14ac:dyDescent="0.25">
      <c r="J3726" s="15"/>
    </row>
    <row r="3727" spans="10:10" x14ac:dyDescent="0.25">
      <c r="J3727" s="15"/>
    </row>
    <row r="3728" spans="10:10" x14ac:dyDescent="0.25">
      <c r="J3728" s="15"/>
    </row>
    <row r="3729" spans="10:10" x14ac:dyDescent="0.25">
      <c r="J3729" s="15"/>
    </row>
    <row r="3730" spans="10:10" x14ac:dyDescent="0.25">
      <c r="J3730" s="15"/>
    </row>
    <row r="3731" spans="10:10" x14ac:dyDescent="0.25">
      <c r="J3731" s="15"/>
    </row>
    <row r="3732" spans="10:10" x14ac:dyDescent="0.25">
      <c r="J3732" s="15"/>
    </row>
    <row r="3733" spans="10:10" x14ac:dyDescent="0.25">
      <c r="J3733" s="15"/>
    </row>
    <row r="3734" spans="10:10" x14ac:dyDescent="0.25">
      <c r="J3734" s="15"/>
    </row>
    <row r="3735" spans="10:10" x14ac:dyDescent="0.25">
      <c r="J3735" s="15"/>
    </row>
    <row r="3736" spans="10:10" x14ac:dyDescent="0.25">
      <c r="J3736" s="15"/>
    </row>
    <row r="3737" spans="10:10" x14ac:dyDescent="0.25">
      <c r="J3737" s="15"/>
    </row>
    <row r="3738" spans="10:10" x14ac:dyDescent="0.25">
      <c r="J3738" s="15"/>
    </row>
    <row r="3739" spans="10:10" x14ac:dyDescent="0.25">
      <c r="J3739" s="15"/>
    </row>
    <row r="3740" spans="10:10" x14ac:dyDescent="0.25">
      <c r="J3740" s="15"/>
    </row>
    <row r="3741" spans="10:10" x14ac:dyDescent="0.25">
      <c r="J3741" s="15"/>
    </row>
    <row r="3742" spans="10:10" x14ac:dyDescent="0.25">
      <c r="J3742" s="15"/>
    </row>
    <row r="3743" spans="10:10" x14ac:dyDescent="0.25">
      <c r="J3743" s="15"/>
    </row>
    <row r="3744" spans="10:10" x14ac:dyDescent="0.25">
      <c r="J3744" s="15"/>
    </row>
    <row r="3745" spans="10:10" x14ac:dyDescent="0.25">
      <c r="J3745" s="15"/>
    </row>
    <row r="3746" spans="10:10" x14ac:dyDescent="0.25">
      <c r="J3746" s="15"/>
    </row>
    <row r="3747" spans="10:10" x14ac:dyDescent="0.25">
      <c r="J3747" s="15"/>
    </row>
    <row r="3748" spans="10:10" x14ac:dyDescent="0.25">
      <c r="J3748" s="15"/>
    </row>
    <row r="3749" spans="10:10" x14ac:dyDescent="0.25">
      <c r="J3749" s="15"/>
    </row>
    <row r="3750" spans="10:10" x14ac:dyDescent="0.25">
      <c r="J3750" s="15"/>
    </row>
    <row r="3751" spans="10:10" x14ac:dyDescent="0.25">
      <c r="J3751" s="15"/>
    </row>
    <row r="3752" spans="10:10" x14ac:dyDescent="0.25">
      <c r="J3752" s="15"/>
    </row>
    <row r="3753" spans="10:10" x14ac:dyDescent="0.25">
      <c r="J3753" s="15"/>
    </row>
    <row r="3754" spans="10:10" x14ac:dyDescent="0.25">
      <c r="J3754" s="15"/>
    </row>
    <row r="3755" spans="10:10" x14ac:dyDescent="0.25">
      <c r="J3755" s="15"/>
    </row>
    <row r="3756" spans="10:10" x14ac:dyDescent="0.25">
      <c r="J3756" s="15"/>
    </row>
    <row r="3757" spans="10:10" x14ac:dyDescent="0.25">
      <c r="J3757" s="15"/>
    </row>
    <row r="3758" spans="10:10" x14ac:dyDescent="0.25">
      <c r="J3758" s="15"/>
    </row>
    <row r="3759" spans="10:10" x14ac:dyDescent="0.25">
      <c r="J3759" s="15"/>
    </row>
    <row r="3760" spans="10:10" x14ac:dyDescent="0.25">
      <c r="J3760" s="15"/>
    </row>
    <row r="3761" spans="10:10" x14ac:dyDescent="0.25">
      <c r="J3761" s="15"/>
    </row>
    <row r="3762" spans="10:10" x14ac:dyDescent="0.25">
      <c r="J3762" s="15"/>
    </row>
    <row r="3763" spans="10:10" x14ac:dyDescent="0.25">
      <c r="J3763" s="15"/>
    </row>
    <row r="3764" spans="10:10" x14ac:dyDescent="0.25">
      <c r="J3764" s="15"/>
    </row>
    <row r="3765" spans="10:10" x14ac:dyDescent="0.25">
      <c r="J3765" s="15"/>
    </row>
    <row r="3766" spans="10:10" x14ac:dyDescent="0.25">
      <c r="J3766" s="15"/>
    </row>
    <row r="3767" spans="10:10" x14ac:dyDescent="0.25">
      <c r="J3767" s="15"/>
    </row>
    <row r="3768" spans="10:10" x14ac:dyDescent="0.25">
      <c r="J3768" s="15"/>
    </row>
    <row r="3769" spans="10:10" x14ac:dyDescent="0.25">
      <c r="J3769" s="15"/>
    </row>
    <row r="3770" spans="10:10" x14ac:dyDescent="0.25">
      <c r="J3770" s="15"/>
    </row>
    <row r="3771" spans="10:10" x14ac:dyDescent="0.25">
      <c r="J3771" s="15"/>
    </row>
    <row r="3772" spans="10:10" x14ac:dyDescent="0.25">
      <c r="J3772" s="15"/>
    </row>
    <row r="3773" spans="10:10" x14ac:dyDescent="0.25">
      <c r="J3773" s="15"/>
    </row>
    <row r="3774" spans="10:10" x14ac:dyDescent="0.25">
      <c r="J3774" s="15"/>
    </row>
    <row r="3775" spans="10:10" x14ac:dyDescent="0.25">
      <c r="J3775" s="15"/>
    </row>
    <row r="3776" spans="10:10" x14ac:dyDescent="0.25">
      <c r="J3776" s="15"/>
    </row>
    <row r="3777" spans="10:10" x14ac:dyDescent="0.25">
      <c r="J3777" s="15"/>
    </row>
    <row r="3778" spans="10:10" x14ac:dyDescent="0.25">
      <c r="J3778" s="15"/>
    </row>
    <row r="3779" spans="10:10" x14ac:dyDescent="0.25">
      <c r="J3779" s="15"/>
    </row>
    <row r="3780" spans="10:10" x14ac:dyDescent="0.25">
      <c r="J3780" s="15"/>
    </row>
    <row r="3781" spans="10:10" x14ac:dyDescent="0.25">
      <c r="J3781" s="15"/>
    </row>
    <row r="3782" spans="10:10" x14ac:dyDescent="0.25">
      <c r="J3782" s="15"/>
    </row>
    <row r="3783" spans="10:10" x14ac:dyDescent="0.25">
      <c r="J3783" s="15"/>
    </row>
    <row r="3784" spans="10:10" x14ac:dyDescent="0.25">
      <c r="J3784" s="15"/>
    </row>
    <row r="3785" spans="10:10" x14ac:dyDescent="0.25">
      <c r="J3785" s="15"/>
    </row>
    <row r="3786" spans="10:10" x14ac:dyDescent="0.25">
      <c r="J3786" s="15"/>
    </row>
    <row r="3787" spans="10:10" x14ac:dyDescent="0.25">
      <c r="J3787" s="15"/>
    </row>
    <row r="3788" spans="10:10" x14ac:dyDescent="0.25">
      <c r="J3788" s="15"/>
    </row>
    <row r="3789" spans="10:10" x14ac:dyDescent="0.25">
      <c r="J3789" s="15"/>
    </row>
    <row r="3790" spans="10:10" x14ac:dyDescent="0.25">
      <c r="J3790" s="15"/>
    </row>
    <row r="3791" spans="10:10" x14ac:dyDescent="0.25">
      <c r="J3791" s="15"/>
    </row>
    <row r="3792" spans="10:10" x14ac:dyDescent="0.25">
      <c r="J3792" s="15"/>
    </row>
    <row r="3793" spans="10:10" x14ac:dyDescent="0.25">
      <c r="J3793" s="15"/>
    </row>
    <row r="3794" spans="10:10" x14ac:dyDescent="0.25">
      <c r="J3794" s="15"/>
    </row>
    <row r="3795" spans="10:10" x14ac:dyDescent="0.25">
      <c r="J3795" s="15"/>
    </row>
    <row r="3796" spans="10:10" x14ac:dyDescent="0.25">
      <c r="J3796" s="15"/>
    </row>
    <row r="3797" spans="10:10" x14ac:dyDescent="0.25">
      <c r="J3797" s="15"/>
    </row>
    <row r="3798" spans="10:10" x14ac:dyDescent="0.25">
      <c r="J3798" s="15"/>
    </row>
    <row r="3799" spans="10:10" x14ac:dyDescent="0.25">
      <c r="J3799" s="15"/>
    </row>
    <row r="3800" spans="10:10" x14ac:dyDescent="0.25">
      <c r="J3800" s="15"/>
    </row>
    <row r="3801" spans="10:10" x14ac:dyDescent="0.25">
      <c r="J3801" s="15"/>
    </row>
    <row r="3802" spans="10:10" x14ac:dyDescent="0.25">
      <c r="J3802" s="15"/>
    </row>
    <row r="3803" spans="10:10" x14ac:dyDescent="0.25">
      <c r="J3803" s="15"/>
    </row>
    <row r="3804" spans="10:10" x14ac:dyDescent="0.25">
      <c r="J3804" s="15"/>
    </row>
    <row r="3805" spans="10:10" x14ac:dyDescent="0.25">
      <c r="J3805" s="15"/>
    </row>
    <row r="3806" spans="10:10" x14ac:dyDescent="0.25">
      <c r="J3806" s="15"/>
    </row>
    <row r="3807" spans="10:10" x14ac:dyDescent="0.25">
      <c r="J3807" s="15"/>
    </row>
    <row r="3808" spans="10:10" x14ac:dyDescent="0.25">
      <c r="J3808" s="15"/>
    </row>
    <row r="3809" spans="10:10" x14ac:dyDescent="0.25">
      <c r="J3809" s="15"/>
    </row>
    <row r="3810" spans="10:10" x14ac:dyDescent="0.25">
      <c r="J3810" s="15"/>
    </row>
    <row r="3811" spans="10:10" x14ac:dyDescent="0.25">
      <c r="J3811" s="15"/>
    </row>
    <row r="3812" spans="10:10" x14ac:dyDescent="0.25">
      <c r="J3812" s="15"/>
    </row>
    <row r="3813" spans="10:10" x14ac:dyDescent="0.25">
      <c r="J3813" s="15"/>
    </row>
    <row r="3814" spans="10:10" x14ac:dyDescent="0.25">
      <c r="J3814" s="15"/>
    </row>
    <row r="3815" spans="10:10" x14ac:dyDescent="0.25">
      <c r="J3815" s="15"/>
    </row>
    <row r="3816" spans="10:10" x14ac:dyDescent="0.25">
      <c r="J3816" s="15"/>
    </row>
    <row r="3817" spans="10:10" x14ac:dyDescent="0.25">
      <c r="J3817" s="15"/>
    </row>
    <row r="3818" spans="10:10" x14ac:dyDescent="0.25">
      <c r="J3818" s="15"/>
    </row>
    <row r="3819" spans="10:10" x14ac:dyDescent="0.25">
      <c r="J3819" s="15"/>
    </row>
    <row r="3820" spans="10:10" x14ac:dyDescent="0.25">
      <c r="J3820" s="15"/>
    </row>
    <row r="3821" spans="10:10" x14ac:dyDescent="0.25">
      <c r="J3821" s="15"/>
    </row>
    <row r="3822" spans="10:10" x14ac:dyDescent="0.25">
      <c r="J3822" s="15"/>
    </row>
    <row r="3823" spans="10:10" x14ac:dyDescent="0.25">
      <c r="J3823" s="15"/>
    </row>
    <row r="3824" spans="10:10" x14ac:dyDescent="0.25">
      <c r="J3824" s="15"/>
    </row>
    <row r="3825" spans="10:10" x14ac:dyDescent="0.25">
      <c r="J3825" s="15"/>
    </row>
    <row r="3826" spans="10:10" x14ac:dyDescent="0.25">
      <c r="J3826" s="15"/>
    </row>
    <row r="3827" spans="10:10" x14ac:dyDescent="0.25">
      <c r="J3827" s="15"/>
    </row>
    <row r="3828" spans="10:10" x14ac:dyDescent="0.25">
      <c r="J3828" s="15"/>
    </row>
    <row r="3829" spans="10:10" x14ac:dyDescent="0.25">
      <c r="J3829" s="15"/>
    </row>
    <row r="3830" spans="10:10" x14ac:dyDescent="0.25">
      <c r="J3830" s="15"/>
    </row>
    <row r="3831" spans="10:10" x14ac:dyDescent="0.25">
      <c r="J3831" s="15"/>
    </row>
    <row r="3832" spans="10:10" x14ac:dyDescent="0.25">
      <c r="J3832" s="15"/>
    </row>
    <row r="3833" spans="10:10" x14ac:dyDescent="0.25">
      <c r="J3833" s="15"/>
    </row>
    <row r="3834" spans="10:10" x14ac:dyDescent="0.25">
      <c r="J3834" s="15"/>
    </row>
    <row r="3835" spans="10:10" x14ac:dyDescent="0.25">
      <c r="J3835" s="15"/>
    </row>
    <row r="3836" spans="10:10" x14ac:dyDescent="0.25">
      <c r="J3836" s="15"/>
    </row>
    <row r="3837" spans="10:10" x14ac:dyDescent="0.25">
      <c r="J3837" s="15"/>
    </row>
    <row r="3838" spans="10:10" x14ac:dyDescent="0.25">
      <c r="J3838" s="15"/>
    </row>
    <row r="3839" spans="10:10" x14ac:dyDescent="0.25">
      <c r="J3839" s="15"/>
    </row>
    <row r="3840" spans="10:10" x14ac:dyDescent="0.25">
      <c r="J3840" s="15"/>
    </row>
    <row r="3841" spans="10:10" x14ac:dyDescent="0.25">
      <c r="J3841" s="15"/>
    </row>
    <row r="3842" spans="10:10" x14ac:dyDescent="0.25">
      <c r="J3842" s="15"/>
    </row>
    <row r="3843" spans="10:10" x14ac:dyDescent="0.25">
      <c r="J3843" s="15"/>
    </row>
  </sheetData>
  <conditionalFormatting sqref="G7:G26">
    <cfRule type="duplicateValues" dxfId="24" priority="795"/>
  </conditionalFormatting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R34"/>
  <sheetViews>
    <sheetView workbookViewId="0">
      <selection activeCell="F26" sqref="F26:K28"/>
    </sheetView>
  </sheetViews>
  <sheetFormatPr baseColWidth="10" defaultRowHeight="15" x14ac:dyDescent="0.25"/>
  <cols>
    <col min="2" max="2" width="16.140625" customWidth="1"/>
    <col min="3" max="3" width="13.42578125" customWidth="1"/>
    <col min="5" max="5" width="17.85546875" customWidth="1"/>
    <col min="6" max="6" width="20.28515625" customWidth="1"/>
    <col min="7" max="7" width="14.42578125" customWidth="1"/>
    <col min="8" max="8" width="15.42578125" customWidth="1"/>
    <col min="9" max="9" width="15.7109375" customWidth="1"/>
    <col min="10" max="10" width="13.7109375" customWidth="1"/>
    <col min="11" max="11" width="12.28515625" customWidth="1"/>
    <col min="17" max="17" width="13.7109375" customWidth="1"/>
  </cols>
  <sheetData>
    <row r="4" spans="5:18" ht="18.75" x14ac:dyDescent="0.3">
      <c r="E4" s="195" t="s">
        <v>191</v>
      </c>
      <c r="H4" s="195" t="s">
        <v>192</v>
      </c>
      <c r="I4" s="135"/>
      <c r="K4" s="195" t="s">
        <v>194</v>
      </c>
      <c r="L4" s="135"/>
      <c r="N4" s="195" t="s">
        <v>195</v>
      </c>
      <c r="O4" s="135"/>
      <c r="Q4" s="195" t="s">
        <v>200</v>
      </c>
      <c r="R4" s="135"/>
    </row>
    <row r="5" spans="5:18" ht="15.75" x14ac:dyDescent="0.25">
      <c r="E5" s="192" t="s">
        <v>51</v>
      </c>
      <c r="F5" s="193" t="s">
        <v>190</v>
      </c>
      <c r="H5" s="192" t="s">
        <v>51</v>
      </c>
      <c r="I5" s="193" t="s">
        <v>190</v>
      </c>
      <c r="K5" s="192" t="s">
        <v>51</v>
      </c>
      <c r="L5" s="193" t="s">
        <v>190</v>
      </c>
      <c r="N5" s="192" t="s">
        <v>51</v>
      </c>
      <c r="O5" s="193" t="s">
        <v>190</v>
      </c>
      <c r="Q5" s="192" t="s">
        <v>51</v>
      </c>
      <c r="R5" s="193" t="s">
        <v>190</v>
      </c>
    </row>
    <row r="6" spans="5:18" ht="15.75" x14ac:dyDescent="0.25">
      <c r="E6" s="191" t="s">
        <v>186</v>
      </c>
      <c r="F6" s="194">
        <v>2.2200000000000001E-2</v>
      </c>
      <c r="H6" s="191" t="s">
        <v>186</v>
      </c>
      <c r="I6" s="194">
        <v>5.7799999999999997E-2</v>
      </c>
      <c r="K6" s="191" t="s">
        <v>186</v>
      </c>
      <c r="L6" s="194"/>
      <c r="N6" s="191" t="s">
        <v>186</v>
      </c>
      <c r="O6" s="194"/>
      <c r="Q6" s="191" t="s">
        <v>186</v>
      </c>
      <c r="R6" s="194">
        <v>1.44E-2</v>
      </c>
    </row>
    <row r="7" spans="5:18" ht="15.75" x14ac:dyDescent="0.25">
      <c r="E7" s="191" t="s">
        <v>114</v>
      </c>
      <c r="F7" s="194">
        <v>5.0299999999999997E-2</v>
      </c>
      <c r="H7" s="191" t="s">
        <v>114</v>
      </c>
      <c r="I7" s="194">
        <v>2.4799999999999999E-2</v>
      </c>
      <c r="K7" s="191" t="s">
        <v>114</v>
      </c>
      <c r="L7" s="194">
        <v>5.6899999999999999E-2</v>
      </c>
      <c r="N7" s="191" t="s">
        <v>114</v>
      </c>
      <c r="O7" s="194">
        <v>0.1198</v>
      </c>
      <c r="Q7" s="191" t="s">
        <v>114</v>
      </c>
      <c r="R7" s="194">
        <v>1.6199999999999999E-2</v>
      </c>
    </row>
    <row r="8" spans="5:18" ht="15.75" x14ac:dyDescent="0.25">
      <c r="E8" s="191" t="s">
        <v>187</v>
      </c>
      <c r="F8" s="194">
        <v>0</v>
      </c>
      <c r="H8" s="191" t="s">
        <v>187</v>
      </c>
      <c r="I8" s="194">
        <v>5.0000000000000001E-4</v>
      </c>
      <c r="K8" s="191" t="s">
        <v>187</v>
      </c>
      <c r="L8" s="194">
        <v>3.3999999999999998E-3</v>
      </c>
      <c r="N8" s="191" t="s">
        <v>187</v>
      </c>
      <c r="O8" s="194">
        <v>2.1499999999999998E-2</v>
      </c>
      <c r="Q8" s="191" t="s">
        <v>187</v>
      </c>
      <c r="R8" s="194">
        <v>0</v>
      </c>
    </row>
    <row r="9" spans="5:18" ht="15.75" x14ac:dyDescent="0.25">
      <c r="E9" s="191" t="s">
        <v>188</v>
      </c>
      <c r="F9" s="194">
        <v>3.04E-2</v>
      </c>
      <c r="H9" s="191" t="s">
        <v>188</v>
      </c>
      <c r="I9" s="194">
        <v>0.10680000000000001</v>
      </c>
      <c r="K9" s="191" t="s">
        <v>188</v>
      </c>
      <c r="L9" s="194">
        <v>0.1227</v>
      </c>
      <c r="N9" s="191" t="s">
        <v>188</v>
      </c>
      <c r="O9" s="194">
        <v>0</v>
      </c>
      <c r="Q9" s="191" t="s">
        <v>188</v>
      </c>
      <c r="R9" s="194">
        <v>0.14910000000000001</v>
      </c>
    </row>
    <row r="10" spans="5:18" ht="15.75" x14ac:dyDescent="0.25">
      <c r="E10" s="191" t="s">
        <v>39</v>
      </c>
      <c r="F10" s="194">
        <v>3.2300000000000002E-2</v>
      </c>
      <c r="H10" s="191" t="s">
        <v>39</v>
      </c>
      <c r="I10" s="194">
        <v>1.3299999999999999E-2</v>
      </c>
      <c r="K10" s="191" t="s">
        <v>39</v>
      </c>
      <c r="L10" s="194">
        <v>7.1800000000000003E-2</v>
      </c>
      <c r="N10" s="191" t="s">
        <v>39</v>
      </c>
      <c r="O10" s="194">
        <v>0</v>
      </c>
      <c r="Q10" s="191" t="s">
        <v>39</v>
      </c>
      <c r="R10" s="194">
        <v>0</v>
      </c>
    </row>
    <row r="11" spans="5:18" ht="15.75" x14ac:dyDescent="0.25">
      <c r="E11" s="191" t="s">
        <v>67</v>
      </c>
      <c r="F11" s="194">
        <v>0.125</v>
      </c>
      <c r="H11" s="191" t="s">
        <v>67</v>
      </c>
      <c r="I11" s="194">
        <v>2E-3</v>
      </c>
      <c r="K11" s="191" t="s">
        <v>67</v>
      </c>
      <c r="L11" s="194">
        <v>0</v>
      </c>
      <c r="N11" s="191" t="s">
        <v>67</v>
      </c>
      <c r="O11" s="194">
        <v>0</v>
      </c>
      <c r="Q11" s="191" t="s">
        <v>67</v>
      </c>
      <c r="R11" s="194">
        <v>2.5000000000000001E-2</v>
      </c>
    </row>
    <row r="12" spans="5:18" ht="15.75" x14ac:dyDescent="0.25">
      <c r="E12" s="191" t="s">
        <v>169</v>
      </c>
      <c r="F12" s="194">
        <v>0</v>
      </c>
      <c r="H12" s="191" t="s">
        <v>169</v>
      </c>
      <c r="I12" s="194">
        <v>0</v>
      </c>
      <c r="K12" s="191" t="s">
        <v>169</v>
      </c>
      <c r="L12" s="194">
        <v>0</v>
      </c>
      <c r="N12" s="191" t="s">
        <v>169</v>
      </c>
      <c r="O12" s="194">
        <v>5.11E-2</v>
      </c>
      <c r="Q12" s="191" t="s">
        <v>169</v>
      </c>
      <c r="R12" s="194">
        <v>0</v>
      </c>
    </row>
    <row r="13" spans="5:18" ht="15.75" x14ac:dyDescent="0.25">
      <c r="E13" s="191" t="s">
        <v>189</v>
      </c>
      <c r="F13" s="194">
        <v>3.5799999999999998E-2</v>
      </c>
      <c r="H13" s="191" t="s">
        <v>189</v>
      </c>
      <c r="I13" s="194">
        <v>1.84E-2</v>
      </c>
      <c r="K13" s="191" t="s">
        <v>189</v>
      </c>
      <c r="L13" s="194">
        <v>1.34E-2</v>
      </c>
      <c r="N13" s="191" t="s">
        <v>189</v>
      </c>
      <c r="O13" s="194"/>
      <c r="Q13" s="191" t="s">
        <v>189</v>
      </c>
      <c r="R13" s="194">
        <v>7.5800000000000006E-2</v>
      </c>
    </row>
    <row r="14" spans="5:18" ht="15.75" x14ac:dyDescent="0.25">
      <c r="E14" s="191" t="s">
        <v>193</v>
      </c>
      <c r="F14" s="194">
        <v>0</v>
      </c>
      <c r="H14" s="191" t="s">
        <v>193</v>
      </c>
      <c r="I14" s="194">
        <v>0</v>
      </c>
      <c r="K14" s="191" t="s">
        <v>193</v>
      </c>
      <c r="L14" s="194">
        <v>0</v>
      </c>
      <c r="N14" s="191" t="s">
        <v>193</v>
      </c>
      <c r="O14" s="194">
        <v>0.25</v>
      </c>
      <c r="Q14" s="191" t="s">
        <v>193</v>
      </c>
      <c r="R14" s="194">
        <v>4.7999999999999996E-3</v>
      </c>
    </row>
    <row r="25" spans="2:11" ht="21" customHeight="1" x14ac:dyDescent="0.25">
      <c r="B25" s="200" t="s">
        <v>51</v>
      </c>
      <c r="C25" s="193" t="s">
        <v>190</v>
      </c>
    </row>
    <row r="26" spans="2:11" ht="30.75" customHeight="1" x14ac:dyDescent="0.25">
      <c r="B26" s="202" t="s">
        <v>186</v>
      </c>
      <c r="C26" s="201">
        <v>1.44E-2</v>
      </c>
      <c r="F26" s="203"/>
      <c r="G26" s="200" t="s">
        <v>201</v>
      </c>
      <c r="H26" s="200" t="s">
        <v>202</v>
      </c>
      <c r="I26" s="207" t="s">
        <v>203</v>
      </c>
      <c r="J26" s="207" t="s">
        <v>204</v>
      </c>
      <c r="K26" s="200" t="s">
        <v>205</v>
      </c>
    </row>
    <row r="27" spans="2:11" ht="23.25" customHeight="1" x14ac:dyDescent="0.25">
      <c r="B27" s="202" t="s">
        <v>114</v>
      </c>
      <c r="C27" s="201">
        <v>1.6199999999999999E-2</v>
      </c>
      <c r="F27" s="202" t="s">
        <v>206</v>
      </c>
      <c r="G27" s="205">
        <v>273</v>
      </c>
      <c r="H27" s="205">
        <v>270</v>
      </c>
      <c r="I27" s="205">
        <v>0</v>
      </c>
      <c r="J27" s="205">
        <v>3</v>
      </c>
      <c r="K27" s="206">
        <v>0.98899999999999999</v>
      </c>
    </row>
    <row r="28" spans="2:11" ht="23.25" customHeight="1" x14ac:dyDescent="0.25">
      <c r="B28" s="202" t="s">
        <v>187</v>
      </c>
      <c r="C28" s="201">
        <v>0</v>
      </c>
      <c r="F28" s="202" t="s">
        <v>207</v>
      </c>
      <c r="G28" s="205">
        <v>542</v>
      </c>
      <c r="H28" s="205">
        <v>533</v>
      </c>
      <c r="I28" s="205">
        <v>0</v>
      </c>
      <c r="J28" s="205">
        <v>9</v>
      </c>
      <c r="K28" s="206">
        <v>0.98340000000000005</v>
      </c>
    </row>
    <row r="29" spans="2:11" ht="18" customHeight="1" x14ac:dyDescent="0.25">
      <c r="B29" s="202" t="s">
        <v>188</v>
      </c>
      <c r="C29" s="201">
        <v>0.14910000000000001</v>
      </c>
      <c r="F29" s="204"/>
    </row>
    <row r="30" spans="2:11" ht="18" customHeight="1" x14ac:dyDescent="0.25">
      <c r="B30" s="202" t="s">
        <v>39</v>
      </c>
      <c r="C30" s="201">
        <v>0</v>
      </c>
    </row>
    <row r="31" spans="2:11" ht="18" customHeight="1" x14ac:dyDescent="0.25">
      <c r="B31" s="202" t="s">
        <v>67</v>
      </c>
      <c r="C31" s="201">
        <v>2.5000000000000001E-2</v>
      </c>
    </row>
    <row r="32" spans="2:11" ht="18" customHeight="1" x14ac:dyDescent="0.25">
      <c r="B32" s="202" t="s">
        <v>169</v>
      </c>
      <c r="C32" s="201">
        <v>0</v>
      </c>
    </row>
    <row r="33" spans="2:3" ht="18" customHeight="1" x14ac:dyDescent="0.25">
      <c r="B33" s="202" t="s">
        <v>189</v>
      </c>
      <c r="C33" s="201">
        <v>7.5800000000000006E-2</v>
      </c>
    </row>
    <row r="34" spans="2:3" ht="18" customHeight="1" x14ac:dyDescent="0.25">
      <c r="B34" s="202" t="s">
        <v>193</v>
      </c>
      <c r="C34" s="201">
        <v>4.7999999999999996E-3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6"/>
  <dimension ref="B1:J72"/>
  <sheetViews>
    <sheetView workbookViewId="0">
      <pane ySplit="4" topLeftCell="A17" activePane="bottomLeft" state="frozen"/>
      <selection pane="bottomLeft" activeCell="F43" sqref="F43"/>
    </sheetView>
  </sheetViews>
  <sheetFormatPr baseColWidth="10" defaultRowHeight="15" x14ac:dyDescent="0.25"/>
  <cols>
    <col min="3" max="3" width="16" style="6" customWidth="1"/>
    <col min="4" max="4" width="16" style="15" customWidth="1"/>
    <col min="5" max="5" width="34" style="15" bestFit="1" customWidth="1"/>
    <col min="6" max="6" width="32.42578125" style="15" bestFit="1" customWidth="1"/>
    <col min="7" max="7" width="19.5703125" style="15" customWidth="1"/>
    <col min="8" max="8" width="18.42578125" style="15" customWidth="1"/>
    <col min="9" max="9" width="25.42578125" style="15" customWidth="1"/>
    <col min="10" max="10" width="24.42578125" style="15" customWidth="1"/>
  </cols>
  <sheetData>
    <row r="1" spans="2:10" x14ac:dyDescent="0.25">
      <c r="C1" s="15"/>
    </row>
    <row r="2" spans="2:10" x14ac:dyDescent="0.25">
      <c r="C2" s="15"/>
    </row>
    <row r="4" spans="2:10" ht="15.75" thickBot="1" x14ac:dyDescent="0.3">
      <c r="C4" s="35" t="s">
        <v>28</v>
      </c>
      <c r="D4" s="28" t="s">
        <v>51</v>
      </c>
      <c r="E4" s="28" t="s">
        <v>52</v>
      </c>
      <c r="F4" s="28" t="s">
        <v>53</v>
      </c>
      <c r="G4" s="28" t="s">
        <v>54</v>
      </c>
      <c r="H4" s="28" t="s">
        <v>55</v>
      </c>
      <c r="I4" s="28" t="s">
        <v>56</v>
      </c>
      <c r="J4" s="28" t="s">
        <v>57</v>
      </c>
    </row>
    <row r="5" spans="2:10" ht="18.75" thickBot="1" x14ac:dyDescent="0.3">
      <c r="B5" s="39">
        <f ca="1">TEXT(TODAY(),"jj/mm/aaaa")*1</f>
        <v>44762</v>
      </c>
      <c r="C5" s="36" t="e">
        <f>VLOOKUP(Tableau132[[#This Row],[Nom et Prénom du salarié]],Annuaire_roster!B:F,5,0)</f>
        <v>#N/A</v>
      </c>
      <c r="D5" s="29" t="s">
        <v>73</v>
      </c>
      <c r="E5" s="58" t="s">
        <v>72</v>
      </c>
      <c r="F5" s="58" t="s">
        <v>40</v>
      </c>
      <c r="G5" s="59">
        <v>43242</v>
      </c>
      <c r="H5" s="59">
        <v>43243</v>
      </c>
      <c r="I5" s="60">
        <v>43243</v>
      </c>
      <c r="J5" s="37" t="str">
        <f>Tableau132[[#This Row],[Date de reprise]]-Tableau132[[#This Row],[Date début de l''arrêt]] &amp; "j"</f>
        <v>1j</v>
      </c>
    </row>
    <row r="6" spans="2:10" ht="18.75" thickBot="1" x14ac:dyDescent="0.3">
      <c r="C6" s="36" t="e">
        <f>VLOOKUP(Tableau132[[#This Row],[Nom et Prénom du salarié]],Annuaire_roster!B:F,5,0)</f>
        <v>#N/A</v>
      </c>
      <c r="D6" s="29" t="s">
        <v>73</v>
      </c>
      <c r="E6" s="58" t="s">
        <v>72</v>
      </c>
      <c r="F6" s="58" t="s">
        <v>42</v>
      </c>
      <c r="G6" s="59">
        <v>43242</v>
      </c>
      <c r="H6" s="59">
        <v>43251</v>
      </c>
      <c r="I6" s="60">
        <v>43243</v>
      </c>
      <c r="J6" s="37" t="str">
        <f>Tableau132[[#This Row],[Date de reprise]]-Tableau132[[#This Row],[Date début de l''arrêt]] &amp; "j"</f>
        <v>9j</v>
      </c>
    </row>
    <row r="7" spans="2:10" ht="18.75" thickBot="1" x14ac:dyDescent="0.3">
      <c r="C7" s="36" t="e">
        <f>VLOOKUP(Tableau132[[#This Row],[Nom et Prénom du salarié]],Annuaire_roster!B:F,5,0)</f>
        <v>#N/A</v>
      </c>
      <c r="D7" s="29" t="s">
        <v>73</v>
      </c>
      <c r="E7" s="58" t="s">
        <v>72</v>
      </c>
      <c r="F7" s="58" t="s">
        <v>66</v>
      </c>
      <c r="G7" s="43">
        <v>43250</v>
      </c>
      <c r="H7" s="44">
        <v>43251</v>
      </c>
      <c r="I7" s="60">
        <v>43250</v>
      </c>
      <c r="J7" s="37" t="str">
        <f>Tableau132[[#This Row],[Date de reprise]]-Tableau132[[#This Row],[Date début de l''arrêt]] &amp; "j"</f>
        <v>1j</v>
      </c>
    </row>
    <row r="8" spans="2:10" ht="18.75" thickBot="1" x14ac:dyDescent="0.3">
      <c r="C8" s="36" t="e">
        <f>VLOOKUP(Tableau132[[#This Row],[Nom et Prénom du salarié]],Annuaire_roster!B:F,5,0)</f>
        <v>#N/A</v>
      </c>
      <c r="D8" s="29" t="s">
        <v>73</v>
      </c>
      <c r="E8" s="58" t="s">
        <v>60</v>
      </c>
      <c r="F8" s="58" t="s">
        <v>64</v>
      </c>
      <c r="G8" s="43">
        <v>43250</v>
      </c>
      <c r="H8" s="44">
        <v>43254</v>
      </c>
      <c r="I8" s="60">
        <v>43250</v>
      </c>
      <c r="J8" s="37" t="str">
        <f>Tableau132[[#This Row],[Date de reprise]]-Tableau132[[#This Row],[Date début de l''arrêt]] &amp; "j"</f>
        <v>4j</v>
      </c>
    </row>
    <row r="9" spans="2:10" ht="18.75" thickBot="1" x14ac:dyDescent="0.3">
      <c r="C9" s="36" t="e">
        <f>VLOOKUP(Tableau132[[#This Row],[Nom et Prénom du salarié]],Annuaire_roster!B:F,5,0)</f>
        <v>#N/A</v>
      </c>
      <c r="D9" s="29" t="s">
        <v>73</v>
      </c>
      <c r="E9" s="58" t="s">
        <v>60</v>
      </c>
      <c r="F9" s="58" t="s">
        <v>43</v>
      </c>
      <c r="G9" s="43">
        <v>43250</v>
      </c>
      <c r="H9" s="44">
        <v>43251</v>
      </c>
      <c r="I9" s="60">
        <v>43250</v>
      </c>
      <c r="J9" s="37" t="str">
        <f>Tableau132[[#This Row],[Date de reprise]]-Tableau132[[#This Row],[Date début de l''arrêt]] &amp; "j"</f>
        <v>1j</v>
      </c>
    </row>
    <row r="10" spans="2:10" ht="18.75" thickBot="1" x14ac:dyDescent="0.3">
      <c r="C10" s="36" t="e">
        <f>VLOOKUP(Tableau132[[#This Row],[Nom et Prénom du salarié]],Annuaire_roster!B:F,5,0)</f>
        <v>#N/A</v>
      </c>
      <c r="D10" s="29" t="s">
        <v>73</v>
      </c>
      <c r="E10" s="58" t="s">
        <v>60</v>
      </c>
      <c r="F10" s="58" t="s">
        <v>58</v>
      </c>
      <c r="G10" s="43">
        <v>43250</v>
      </c>
      <c r="H10" s="44">
        <v>43251</v>
      </c>
      <c r="I10" s="60">
        <v>43250</v>
      </c>
      <c r="J10" s="37" t="str">
        <f>Tableau132[[#This Row],[Date de reprise]]-Tableau132[[#This Row],[Date début de l''arrêt]] &amp; "j"</f>
        <v>1j</v>
      </c>
    </row>
    <row r="11" spans="2:10" ht="18.75" thickBot="1" x14ac:dyDescent="0.3">
      <c r="C11" s="36" t="e">
        <f>VLOOKUP(Tableau132[[#This Row],[Nom et Prénom du salarié]],Annuaire_roster!B:F,5,0)</f>
        <v>#N/A</v>
      </c>
      <c r="D11" s="29" t="s">
        <v>73</v>
      </c>
      <c r="E11" s="58" t="s">
        <v>60</v>
      </c>
      <c r="F11" s="58" t="s">
        <v>42</v>
      </c>
      <c r="G11" s="59">
        <v>43252</v>
      </c>
      <c r="H11" s="59">
        <v>43266</v>
      </c>
      <c r="I11" s="60">
        <v>43253</v>
      </c>
      <c r="J11" s="37" t="str">
        <f>Tableau132[[#This Row],[Date de reprise]]-Tableau132[[#This Row],[Date début de l''arrêt]] &amp; "j"</f>
        <v>14j</v>
      </c>
    </row>
    <row r="12" spans="2:10" ht="18.75" thickBot="1" x14ac:dyDescent="0.3">
      <c r="C12" s="36" t="e">
        <f>VLOOKUP(Tableau132[[#This Row],[Nom et Prénom du salarié]],Annuaire_roster!B:F,5,0)</f>
        <v>#N/A</v>
      </c>
      <c r="D12" s="29" t="s">
        <v>73</v>
      </c>
      <c r="E12" s="58" t="s">
        <v>72</v>
      </c>
      <c r="F12" s="58" t="s">
        <v>43</v>
      </c>
      <c r="G12" s="43">
        <v>43270</v>
      </c>
      <c r="H12" s="44">
        <v>43271</v>
      </c>
      <c r="I12" s="60">
        <v>43271</v>
      </c>
      <c r="J12" s="37" t="str">
        <f>Tableau132[[#This Row],[Date de reprise]]-Tableau132[[#This Row],[Date début de l''arrêt]] &amp; "j"</f>
        <v>1j</v>
      </c>
    </row>
    <row r="13" spans="2:10" ht="18.75" thickBot="1" x14ac:dyDescent="0.3">
      <c r="C13" s="36" t="e">
        <f>VLOOKUP(Tableau132[[#This Row],[Nom et Prénom du salarié]],Annuaire_roster!B:F,5,0)</f>
        <v>#N/A</v>
      </c>
      <c r="D13" s="29" t="s">
        <v>73</v>
      </c>
      <c r="E13" s="58" t="s">
        <v>72</v>
      </c>
      <c r="F13" s="58" t="s">
        <v>66</v>
      </c>
      <c r="G13" s="43">
        <v>43268</v>
      </c>
      <c r="H13" s="44">
        <v>43269</v>
      </c>
      <c r="I13" s="60">
        <v>43269</v>
      </c>
      <c r="J13" s="37" t="str">
        <f>Tableau132[[#This Row],[Date de reprise]]-Tableau132[[#This Row],[Date début de l''arrêt]] &amp; "j"</f>
        <v>1j</v>
      </c>
    </row>
    <row r="14" spans="2:10" ht="17.25" thickBot="1" x14ac:dyDescent="0.3">
      <c r="C14" s="36" t="e">
        <f>VLOOKUP(Tableau132[[#This Row],[Nom et Prénom du salarié]],Annuaire_roster!B:F,5,0)</f>
        <v>#N/A</v>
      </c>
      <c r="D14" s="29" t="s">
        <v>73</v>
      </c>
      <c r="E14" s="78" t="s">
        <v>72</v>
      </c>
      <c r="F14" s="78" t="s">
        <v>65</v>
      </c>
      <c r="G14" s="44">
        <v>43268</v>
      </c>
      <c r="H14" s="44">
        <v>43273</v>
      </c>
      <c r="I14" s="78" t="s">
        <v>75</v>
      </c>
      <c r="J14" s="37" t="str">
        <f>Tableau132[[#This Row],[Date de reprise]]-Tableau132[[#This Row],[Date début de l''arrêt]] &amp; "j"</f>
        <v>5j</v>
      </c>
    </row>
    <row r="15" spans="2:10" ht="17.25" thickBot="1" x14ac:dyDescent="0.3">
      <c r="C15" s="36" t="e">
        <f>VLOOKUP(Tableau132[[#This Row],[Nom et Prénom du salarié]],Annuaire_roster!B:F,5,0)</f>
        <v>#N/A</v>
      </c>
      <c r="D15" s="29" t="s">
        <v>73</v>
      </c>
      <c r="E15" s="78" t="s">
        <v>72</v>
      </c>
      <c r="F15" s="78" t="s">
        <v>64</v>
      </c>
      <c r="G15" s="34">
        <v>43272</v>
      </c>
      <c r="H15" s="44">
        <v>43273</v>
      </c>
      <c r="I15" s="34">
        <v>43272</v>
      </c>
      <c r="J15" s="37" t="str">
        <f>Tableau132[[#This Row],[Date de reprise]]-Tableau132[[#This Row],[Date début de l''arrêt]] &amp; "j"</f>
        <v>1j</v>
      </c>
    </row>
    <row r="16" spans="2:10" ht="17.25" thickBot="1" x14ac:dyDescent="0.3">
      <c r="C16" s="36" t="e">
        <f>VLOOKUP(Tableau132[[#This Row],[Nom et Prénom du salarié]],Annuaire_roster!B:F,5,0)</f>
        <v>#N/A</v>
      </c>
      <c r="D16" s="29" t="s">
        <v>73</v>
      </c>
      <c r="E16" s="78" t="s">
        <v>72</v>
      </c>
      <c r="F16" s="58" t="s">
        <v>66</v>
      </c>
      <c r="G16" s="34">
        <v>43270</v>
      </c>
      <c r="H16" s="44">
        <v>43272</v>
      </c>
      <c r="I16" s="34">
        <v>43272</v>
      </c>
      <c r="J16" s="37" t="str">
        <f>Tableau132[[#This Row],[Date de reprise]]-Tableau132[[#This Row],[Date début de l''arrêt]] &amp; "j"</f>
        <v>2j</v>
      </c>
    </row>
    <row r="17" spans="3:10" ht="18.75" thickBot="1" x14ac:dyDescent="0.3">
      <c r="C17" s="36" t="e">
        <f>VLOOKUP(Tableau132[[#This Row],[Nom et Prénom du salarié]],Annuaire_roster!B:F,5,0)</f>
        <v>#N/A</v>
      </c>
      <c r="D17" s="29" t="s">
        <v>73</v>
      </c>
      <c r="E17" s="78" t="s">
        <v>72</v>
      </c>
      <c r="F17" s="78" t="s">
        <v>68</v>
      </c>
      <c r="G17" s="79">
        <v>43273</v>
      </c>
      <c r="H17" s="79">
        <v>43274</v>
      </c>
      <c r="I17" s="34">
        <v>43273</v>
      </c>
      <c r="J17" s="37" t="str">
        <f>Tableau132[[#This Row],[Date de reprise]]-Tableau132[[#This Row],[Date début de l''arrêt]] &amp; "j"</f>
        <v>1j</v>
      </c>
    </row>
    <row r="18" spans="3:10" ht="18.75" thickBot="1" x14ac:dyDescent="0.3">
      <c r="C18" s="36" t="e">
        <f>VLOOKUP(Tableau132[[#This Row],[Nom et Prénom du salarié]],Annuaire_roster!B:F,5,0)</f>
        <v>#N/A</v>
      </c>
      <c r="D18" s="29" t="s">
        <v>73</v>
      </c>
      <c r="E18" s="78" t="s">
        <v>72</v>
      </c>
      <c r="F18" s="58" t="s">
        <v>43</v>
      </c>
      <c r="G18" s="34">
        <v>43289</v>
      </c>
      <c r="H18" s="79">
        <v>43290</v>
      </c>
      <c r="I18" s="34">
        <v>43292</v>
      </c>
      <c r="J18" s="37" t="str">
        <f>Tableau132[[#This Row],[Date de reprise]]-Tableau132[[#This Row],[Date début de l''arrêt]] &amp; "j"</f>
        <v>1j</v>
      </c>
    </row>
    <row r="19" spans="3:10" ht="18.75" thickBot="1" x14ac:dyDescent="0.3">
      <c r="C19" s="36" t="e">
        <f>VLOOKUP(Tableau132[[#This Row],[Nom et Prénom du salarié]],Annuaire_roster!B:F,5,0)</f>
        <v>#N/A</v>
      </c>
      <c r="D19" s="29" t="s">
        <v>73</v>
      </c>
      <c r="E19" s="78" t="s">
        <v>72</v>
      </c>
      <c r="F19" s="58" t="s">
        <v>63</v>
      </c>
      <c r="G19" s="34">
        <v>43291</v>
      </c>
      <c r="H19" s="79">
        <v>43292</v>
      </c>
      <c r="I19" s="34">
        <v>43292</v>
      </c>
      <c r="J19" s="37" t="str">
        <f>Tableau132[[#This Row],[Date de reprise]]-Tableau132[[#This Row],[Date début de l''arrêt]] &amp; "j"</f>
        <v>1j</v>
      </c>
    </row>
    <row r="20" spans="3:10" ht="18.75" thickBot="1" x14ac:dyDescent="0.3">
      <c r="C20" s="36" t="e">
        <f>VLOOKUP(Tableau132[[#This Row],[Nom et Prénom du salarié]],Annuaire_roster!B:F,5,0)</f>
        <v>#N/A</v>
      </c>
      <c r="D20" s="29" t="s">
        <v>73</v>
      </c>
      <c r="E20" s="78" t="s">
        <v>72</v>
      </c>
      <c r="F20" s="58" t="s">
        <v>68</v>
      </c>
      <c r="G20" s="34">
        <v>43291</v>
      </c>
      <c r="H20" s="79">
        <v>43294</v>
      </c>
      <c r="I20" s="79">
        <v>43293</v>
      </c>
      <c r="J20" s="37" t="str">
        <f>Tableau132[[#This Row],[Date de reprise]]-Tableau132[[#This Row],[Date début de l''arrêt]] &amp; "j"</f>
        <v>3j</v>
      </c>
    </row>
    <row r="21" spans="3:10" ht="18.75" thickBot="1" x14ac:dyDescent="0.3">
      <c r="C21" s="36" t="e">
        <f>VLOOKUP(Tableau132[[#This Row],[Nom et Prénom du salarié]],Annuaire_roster!B:F,5,0)</f>
        <v>#N/A</v>
      </c>
      <c r="D21" s="29" t="s">
        <v>73</v>
      </c>
      <c r="E21" s="78" t="s">
        <v>72</v>
      </c>
      <c r="F21" s="58" t="s">
        <v>42</v>
      </c>
      <c r="G21" s="30">
        <v>43293</v>
      </c>
      <c r="H21" s="79">
        <v>43294</v>
      </c>
      <c r="I21" s="79">
        <v>43293</v>
      </c>
      <c r="J21" s="37" t="str">
        <f>Tableau132[[#This Row],[Date de reprise]]-Tableau132[[#This Row],[Date début de l''arrêt]] &amp; "j"</f>
        <v>1j</v>
      </c>
    </row>
    <row r="22" spans="3:10" ht="18.75" thickBot="1" x14ac:dyDescent="0.3">
      <c r="C22" s="36" t="e">
        <f>VLOOKUP(Tableau132[[#This Row],[Nom et Prénom du salarié]],Annuaire_roster!B:F,5,0)</f>
        <v>#N/A</v>
      </c>
      <c r="D22" s="81" t="s">
        <v>73</v>
      </c>
      <c r="E22" s="78" t="s">
        <v>77</v>
      </c>
      <c r="F22" s="58" t="s">
        <v>42</v>
      </c>
      <c r="G22" s="79">
        <v>43298</v>
      </c>
      <c r="H22" s="79">
        <v>43299</v>
      </c>
      <c r="I22" s="34">
        <v>43299</v>
      </c>
      <c r="J22" s="37" t="str">
        <f>Tableau132[[#This Row],[Date de reprise]]-Tableau132[[#This Row],[Date début de l''arrêt]] &amp; "j"</f>
        <v>1j</v>
      </c>
    </row>
    <row r="23" spans="3:10" ht="17.25" thickBot="1" x14ac:dyDescent="0.3">
      <c r="C23" s="36" t="e">
        <f>VLOOKUP(Tableau132[[#This Row],[Nom et Prénom du salarié]],Annuaire_roster!B:F,5,0)</f>
        <v>#N/A</v>
      </c>
      <c r="D23" s="81" t="s">
        <v>73</v>
      </c>
      <c r="E23" s="78" t="s">
        <v>77</v>
      </c>
      <c r="F23" s="58" t="s">
        <v>40</v>
      </c>
      <c r="G23" s="34">
        <v>43299</v>
      </c>
      <c r="H23" s="34">
        <v>43300</v>
      </c>
      <c r="I23" s="34">
        <v>43300</v>
      </c>
      <c r="J23" s="37" t="str">
        <f>Tableau132[[#This Row],[Date de reprise]]-Tableau132[[#This Row],[Date début de l''arrêt]] &amp; "j"</f>
        <v>1j</v>
      </c>
    </row>
    <row r="24" spans="3:10" ht="17.25" thickBot="1" x14ac:dyDescent="0.3">
      <c r="C24" s="36" t="e">
        <f>VLOOKUP(Tableau132[[#This Row],[Nom et Prénom du salarié]],Annuaire_roster!B:F,5,0)</f>
        <v>#N/A</v>
      </c>
      <c r="D24" s="81" t="s">
        <v>73</v>
      </c>
      <c r="E24" s="78" t="s">
        <v>77</v>
      </c>
      <c r="F24" s="58" t="s">
        <v>44</v>
      </c>
      <c r="G24" s="34">
        <v>43305</v>
      </c>
      <c r="H24" s="34">
        <v>43306</v>
      </c>
      <c r="I24" s="34">
        <v>43305</v>
      </c>
      <c r="J24" s="37" t="str">
        <f>Tableau132[[#This Row],[Date de reprise]]-Tableau132[[#This Row],[Date début de l''arrêt]] &amp; "j"</f>
        <v>1j</v>
      </c>
    </row>
    <row r="25" spans="3:10" ht="17.25" thickBot="1" x14ac:dyDescent="0.3">
      <c r="C25" s="36" t="e">
        <f>VLOOKUP(Tableau132[[#This Row],[Nom et Prénom du salarié]],Annuaire_roster!B:F,5,0)</f>
        <v>#N/A</v>
      </c>
      <c r="D25" s="81" t="s">
        <v>73</v>
      </c>
      <c r="E25" s="78" t="s">
        <v>77</v>
      </c>
      <c r="F25" s="58" t="s">
        <v>69</v>
      </c>
      <c r="G25" s="34">
        <v>43305</v>
      </c>
      <c r="H25" s="34">
        <v>43306</v>
      </c>
      <c r="I25" s="34">
        <v>43306</v>
      </c>
      <c r="J25" s="37" t="str">
        <f>Tableau132[[#This Row],[Date de reprise]]-Tableau132[[#This Row],[Date début de l''arrêt]] &amp; "j"</f>
        <v>1j</v>
      </c>
    </row>
    <row r="26" spans="3:10" ht="17.25" thickBot="1" x14ac:dyDescent="0.3">
      <c r="C26" s="36" t="e">
        <f>VLOOKUP(Tableau132[[#This Row],[Nom et Prénom du salarié]],Annuaire_roster!B:F,5,0)</f>
        <v>#N/A</v>
      </c>
      <c r="D26" s="81" t="s">
        <v>73</v>
      </c>
      <c r="E26" s="78" t="s">
        <v>77</v>
      </c>
      <c r="F26" s="78" t="s">
        <v>64</v>
      </c>
      <c r="G26" s="34">
        <v>43306</v>
      </c>
      <c r="H26" s="34">
        <v>43311</v>
      </c>
      <c r="I26" s="34">
        <v>43307</v>
      </c>
      <c r="J26" s="37" t="str">
        <f>Tableau132[[#This Row],[Date de reprise]]-Tableau132[[#This Row],[Date début de l''arrêt]] &amp; "j"</f>
        <v>5j</v>
      </c>
    </row>
    <row r="27" spans="3:10" ht="18.75" thickBot="1" x14ac:dyDescent="0.3">
      <c r="C27" s="36" t="e">
        <f>VLOOKUP(Tableau132[[#This Row],[Nom et Prénom du salarié]],Annuaire_roster!B:F,5,0)</f>
        <v>#N/A</v>
      </c>
      <c r="D27" s="83" t="s">
        <v>73</v>
      </c>
      <c r="E27" s="58" t="s">
        <v>77</v>
      </c>
      <c r="F27" s="58" t="s">
        <v>58</v>
      </c>
      <c r="G27" s="79">
        <v>43316</v>
      </c>
      <c r="H27" s="59">
        <v>43317</v>
      </c>
      <c r="I27" s="84">
        <v>43319</v>
      </c>
      <c r="J27" s="37" t="str">
        <f>Tableau132[[#This Row],[Date de reprise]]-Tableau132[[#This Row],[Date début de l''arrêt]] &amp; "j"</f>
        <v>1j</v>
      </c>
    </row>
    <row r="28" spans="3:10" ht="18.75" thickBot="1" x14ac:dyDescent="0.3">
      <c r="C28" s="36" t="e">
        <f>VLOOKUP(Tableau132[[#This Row],[Nom et Prénom du salarié]],Annuaire_roster!B:F,5,0)</f>
        <v>#N/A</v>
      </c>
      <c r="D28" s="81" t="s">
        <v>73</v>
      </c>
      <c r="E28" s="78" t="s">
        <v>77</v>
      </c>
      <c r="F28" s="85" t="s">
        <v>43</v>
      </c>
      <c r="G28" s="79">
        <v>43327</v>
      </c>
      <c r="H28" s="79">
        <v>43356</v>
      </c>
      <c r="I28" s="78" t="s">
        <v>78</v>
      </c>
      <c r="J28" s="37" t="str">
        <f>Tableau132[[#This Row],[Date de reprise]]-Tableau132[[#This Row],[Date début de l''arrêt]] &amp; "j"</f>
        <v>29j</v>
      </c>
    </row>
    <row r="29" spans="3:10" ht="17.25" thickBot="1" x14ac:dyDescent="0.3">
      <c r="C29" s="36" t="e">
        <f>VLOOKUP(Tableau132[[#This Row],[Nom et Prénom du salarié]],Annuaire_roster!B:F,5,0)</f>
        <v>#N/A</v>
      </c>
      <c r="D29" s="81" t="s">
        <v>73</v>
      </c>
      <c r="E29" s="78" t="s">
        <v>77</v>
      </c>
      <c r="F29" s="58" t="s">
        <v>70</v>
      </c>
      <c r="G29" s="34">
        <v>43333</v>
      </c>
      <c r="H29" s="34">
        <v>43335</v>
      </c>
      <c r="I29" s="34">
        <v>43334</v>
      </c>
      <c r="J29" s="37" t="str">
        <f>Tableau132[[#This Row],[Date de reprise]]-Tableau132[[#This Row],[Date début de l''arrêt]] &amp; "j"</f>
        <v>2j</v>
      </c>
    </row>
    <row r="30" spans="3:10" ht="17.25" thickBot="1" x14ac:dyDescent="0.3">
      <c r="C30" s="36" t="e">
        <f>VLOOKUP(Tableau132[[#This Row],[Nom et Prénom du salarié]],Annuaire_roster!B:F,5,0)</f>
        <v>#N/A</v>
      </c>
      <c r="D30" s="81" t="s">
        <v>73</v>
      </c>
      <c r="E30" s="78" t="s">
        <v>77</v>
      </c>
      <c r="F30" s="58" t="s">
        <v>63</v>
      </c>
      <c r="G30" s="34">
        <v>43345</v>
      </c>
      <c r="H30" s="34">
        <v>43347</v>
      </c>
      <c r="I30" s="34">
        <v>43347</v>
      </c>
      <c r="J30" s="37" t="str">
        <f>Tableau132[[#This Row],[Date de reprise]]-Tableau132[[#This Row],[Date début de l''arrêt]] &amp; "j"</f>
        <v>2j</v>
      </c>
    </row>
    <row r="31" spans="3:10" ht="17.25" thickBot="1" x14ac:dyDescent="0.3">
      <c r="C31" s="36" t="e">
        <f>VLOOKUP(Tableau132[[#This Row],[Nom et Prénom du salarié]],Annuaire_roster!B:F,5,0)</f>
        <v>#N/A</v>
      </c>
      <c r="D31" s="81" t="s">
        <v>73</v>
      </c>
      <c r="E31" s="78" t="s">
        <v>77</v>
      </c>
      <c r="F31" s="58" t="s">
        <v>58</v>
      </c>
      <c r="G31" s="34">
        <v>43347</v>
      </c>
      <c r="H31" s="34">
        <v>43348</v>
      </c>
      <c r="I31" s="34">
        <v>43347</v>
      </c>
      <c r="J31" s="37" t="str">
        <f>Tableau132[[#This Row],[Date de reprise]]-Tableau132[[#This Row],[Date début de l''arrêt]] &amp; "j"</f>
        <v>1j</v>
      </c>
    </row>
    <row r="32" spans="3:10" ht="17.25" thickBot="1" x14ac:dyDescent="0.3">
      <c r="C32" s="36" t="e">
        <f>VLOOKUP(Tableau132[[#This Row],[Nom et Prénom du salarié]],Annuaire_roster!B:F,5,0)</f>
        <v>#N/A</v>
      </c>
      <c r="D32" s="29" t="s">
        <v>73</v>
      </c>
      <c r="E32" s="78" t="s">
        <v>72</v>
      </c>
      <c r="F32" s="58" t="s">
        <v>43</v>
      </c>
      <c r="G32" s="34">
        <v>43357</v>
      </c>
      <c r="H32" s="34">
        <v>43387</v>
      </c>
      <c r="I32" s="34">
        <v>43357</v>
      </c>
      <c r="J32" s="37" t="str">
        <f>Tableau132[[#This Row],[Date de reprise]]-Tableau132[[#This Row],[Date début de l''arrêt]] &amp; "j"</f>
        <v>30j</v>
      </c>
    </row>
    <row r="33" spans="3:10" ht="17.25" thickBot="1" x14ac:dyDescent="0.3">
      <c r="C33" s="36" t="e">
        <f>VLOOKUP(Tableau132[[#This Row],[Nom et Prénom du salarié]],Annuaire_roster!B:F,5,0)</f>
        <v>#N/A</v>
      </c>
      <c r="D33" s="29" t="s">
        <v>73</v>
      </c>
      <c r="E33" s="78" t="s">
        <v>72</v>
      </c>
      <c r="F33" s="58" t="s">
        <v>70</v>
      </c>
      <c r="G33" s="32">
        <v>43364</v>
      </c>
      <c r="H33" s="34">
        <v>43366</v>
      </c>
      <c r="I33" s="34">
        <v>43365</v>
      </c>
      <c r="J33" s="37" t="str">
        <f>Tableau132[[#This Row],[Date de reprise]]-Tableau132[[#This Row],[Date début de l''arrêt]] &amp; "j"</f>
        <v>2j</v>
      </c>
    </row>
    <row r="34" spans="3:10" x14ac:dyDescent="0.25">
      <c r="C34" s="36" t="e">
        <f>VLOOKUP(Tableau132[[#This Row],[Nom et Prénom du salarié]],Annuaire_roster!B:F,5,0)</f>
        <v>#N/A</v>
      </c>
      <c r="D34" s="33"/>
      <c r="E34" s="33"/>
      <c r="F34" s="29"/>
      <c r="G34" s="34"/>
      <c r="H34" s="34"/>
      <c r="I34" s="34"/>
      <c r="J34" s="37" t="str">
        <f>Tableau132[[#This Row],[Date de reprise]]-Tableau132[[#This Row],[Date début de l''arrêt]] &amp; "j"</f>
        <v>0j</v>
      </c>
    </row>
    <row r="35" spans="3:10" x14ac:dyDescent="0.25">
      <c r="C35" s="36" t="e">
        <f>VLOOKUP(Tableau132[[#This Row],[Nom et Prénom du salarié]],Annuaire_roster!B:F,5,0)</f>
        <v>#N/A</v>
      </c>
      <c r="D35" s="33"/>
      <c r="E35" s="33"/>
      <c r="F35" s="29"/>
      <c r="G35" s="34"/>
      <c r="H35" s="34"/>
      <c r="I35" s="34"/>
      <c r="J35" s="37" t="str">
        <f>Tableau132[[#This Row],[Date de reprise]]-Tableau132[[#This Row],[Date début de l''arrêt]] &amp; "j"</f>
        <v>0j</v>
      </c>
    </row>
    <row r="36" spans="3:10" x14ac:dyDescent="0.25">
      <c r="C36" s="36" t="e">
        <f>VLOOKUP(Tableau132[[#This Row],[Nom et Prénom du salarié]],Annuaire_roster!B:F,5,0)</f>
        <v>#N/A</v>
      </c>
      <c r="D36" s="33"/>
      <c r="E36" s="33"/>
      <c r="F36" s="29"/>
      <c r="G36" s="34"/>
      <c r="H36" s="34"/>
      <c r="I36" s="34"/>
      <c r="J36" s="37" t="str">
        <f>Tableau132[[#This Row],[Date de reprise]]-Tableau132[[#This Row],[Date début de l''arrêt]] &amp; "j"</f>
        <v>0j</v>
      </c>
    </row>
    <row r="37" spans="3:10" x14ac:dyDescent="0.25">
      <c r="C37" s="36" t="e">
        <f>VLOOKUP(Tableau132[[#This Row],[Nom et Prénom du salarié]],Annuaire_roster!B:F,5,0)</f>
        <v>#N/A</v>
      </c>
      <c r="D37" s="33"/>
      <c r="E37" s="33"/>
      <c r="F37" s="29"/>
      <c r="G37" s="34"/>
      <c r="H37" s="34"/>
      <c r="I37" s="34"/>
      <c r="J37" s="37" t="str">
        <f>Tableau132[[#This Row],[Date de reprise]]-Tableau132[[#This Row],[Date début de l''arrêt]] &amp; "j"</f>
        <v>0j</v>
      </c>
    </row>
    <row r="38" spans="3:10" x14ac:dyDescent="0.25">
      <c r="C38" s="36" t="e">
        <f>VLOOKUP(Tableau132[[#This Row],[Nom et Prénom du salarié]],Annuaire_roster!B:F,5,0)</f>
        <v>#N/A</v>
      </c>
      <c r="D38" s="33"/>
      <c r="E38" s="33"/>
      <c r="F38" s="29"/>
      <c r="G38" s="34"/>
      <c r="H38" s="34"/>
      <c r="I38" s="34"/>
      <c r="J38" s="37" t="str">
        <f>Tableau132[[#This Row],[Date de reprise]]-Tableau132[[#This Row],[Date début de l''arrêt]] &amp; "j"</f>
        <v>0j</v>
      </c>
    </row>
    <row r="39" spans="3:10" x14ac:dyDescent="0.25">
      <c r="C39" s="36" t="e">
        <f>VLOOKUP(Tableau132[[#This Row],[Nom et Prénom du salarié]],Annuaire_roster!B:F,5,0)</f>
        <v>#N/A</v>
      </c>
      <c r="D39" s="33"/>
      <c r="E39" s="33"/>
      <c r="F39" s="29"/>
      <c r="G39" s="34"/>
      <c r="H39" s="34"/>
      <c r="I39" s="34"/>
      <c r="J39" s="37" t="str">
        <f>Tableau132[[#This Row],[Date de reprise]]-Tableau132[[#This Row],[Date début de l''arrêt]] &amp; "j"</f>
        <v>0j</v>
      </c>
    </row>
    <row r="40" spans="3:10" x14ac:dyDescent="0.25">
      <c r="C40" s="36" t="e">
        <f>VLOOKUP(Tableau132[[#This Row],[Nom et Prénom du salarié]],Annuaire_roster!B:F,5,0)</f>
        <v>#N/A</v>
      </c>
      <c r="D40" s="33"/>
      <c r="E40" s="33"/>
      <c r="F40" s="29"/>
      <c r="G40" s="34"/>
      <c r="H40" s="34"/>
      <c r="I40" s="34"/>
      <c r="J40" s="37" t="str">
        <f>Tableau132[[#This Row],[Date de reprise]]-Tableau132[[#This Row],[Date début de l''arrêt]] &amp; "j"</f>
        <v>0j</v>
      </c>
    </row>
    <row r="41" spans="3:10" x14ac:dyDescent="0.25">
      <c r="C41" s="36" t="e">
        <f>VLOOKUP(Tableau132[[#This Row],[Nom et Prénom du salarié]],Annuaire_roster!B:F,5,0)</f>
        <v>#N/A</v>
      </c>
      <c r="D41" s="33"/>
      <c r="E41" s="33"/>
      <c r="F41" s="29"/>
      <c r="G41" s="34"/>
      <c r="H41" s="34"/>
      <c r="I41" s="34"/>
      <c r="J41" s="37" t="str">
        <f>Tableau132[[#This Row],[Date de reprise]]-Tableau132[[#This Row],[Date début de l''arrêt]] &amp; "j"</f>
        <v>0j</v>
      </c>
    </row>
    <row r="42" spans="3:10" x14ac:dyDescent="0.25">
      <c r="C42" s="36" t="e">
        <f>VLOOKUP(Tableau132[[#This Row],[Nom et Prénom du salarié]],Annuaire_roster!B:F,5,0)</f>
        <v>#N/A</v>
      </c>
      <c r="D42" s="33"/>
      <c r="E42" s="33"/>
      <c r="F42" s="29"/>
      <c r="G42" s="34"/>
      <c r="H42" s="34"/>
      <c r="I42" s="34"/>
      <c r="J42" s="37" t="str">
        <f>Tableau132[[#This Row],[Date de reprise]]-Tableau132[[#This Row],[Date début de l''arrêt]] &amp; "j"</f>
        <v>0j</v>
      </c>
    </row>
    <row r="43" spans="3:10" x14ac:dyDescent="0.25">
      <c r="C43" s="36" t="e">
        <f>VLOOKUP(Tableau132[[#This Row],[Nom et Prénom du salarié]],Annuaire_roster!B:F,5,0)</f>
        <v>#N/A</v>
      </c>
      <c r="D43" s="33"/>
      <c r="E43" s="33"/>
      <c r="F43" s="29"/>
      <c r="G43" s="34"/>
      <c r="H43" s="34"/>
      <c r="I43" s="34"/>
      <c r="J43" s="37" t="str">
        <f>Tableau132[[#This Row],[Date de reprise]]-Tableau132[[#This Row],[Date début de l''arrêt]] &amp; "j"</f>
        <v>0j</v>
      </c>
    </row>
    <row r="44" spans="3:10" x14ac:dyDescent="0.25">
      <c r="C44" s="36" t="e">
        <f>VLOOKUP(Tableau132[[#This Row],[Nom et Prénom du salarié]],Annuaire_roster!B:F,5,0)</f>
        <v>#N/A</v>
      </c>
      <c r="D44" s="33"/>
      <c r="E44" s="33"/>
      <c r="F44" s="29"/>
      <c r="G44" s="34"/>
      <c r="H44" s="34"/>
      <c r="I44" s="34"/>
      <c r="J44" s="37" t="str">
        <f>Tableau132[[#This Row],[Date de reprise]]-Tableau132[[#This Row],[Date début de l''arrêt]] &amp; "j"</f>
        <v>0j</v>
      </c>
    </row>
    <row r="45" spans="3:10" x14ac:dyDescent="0.25">
      <c r="C45" s="36" t="e">
        <f>VLOOKUP(Tableau132[[#This Row],[Nom et Prénom du salarié]],Annuaire_roster!B:F,5,0)</f>
        <v>#N/A</v>
      </c>
      <c r="D45" s="33"/>
      <c r="E45" s="33"/>
      <c r="F45" s="29"/>
      <c r="G45" s="34"/>
      <c r="H45" s="34"/>
      <c r="I45" s="34"/>
      <c r="J45" s="37" t="str">
        <f>Tableau132[[#This Row],[Date de reprise]]-Tableau132[[#This Row],[Date début de l''arrêt]] &amp; "j"</f>
        <v>0j</v>
      </c>
    </row>
    <row r="46" spans="3:10" x14ac:dyDescent="0.25">
      <c r="C46" s="36" t="e">
        <f>VLOOKUP(Tableau132[[#This Row],[Nom et Prénom du salarié]],Annuaire_roster!B:F,5,0)</f>
        <v>#N/A</v>
      </c>
      <c r="D46" s="33"/>
      <c r="E46" s="33"/>
      <c r="F46" s="29"/>
      <c r="G46" s="34"/>
      <c r="H46" s="34"/>
      <c r="I46" s="34"/>
      <c r="J46" s="37" t="str">
        <f>Tableau132[[#This Row],[Date de reprise]]-Tableau132[[#This Row],[Date début de l''arrêt]] &amp; "j"</f>
        <v>0j</v>
      </c>
    </row>
    <row r="47" spans="3:10" x14ac:dyDescent="0.25">
      <c r="C47" s="36" t="e">
        <f>VLOOKUP(Tableau132[[#This Row],[Nom et Prénom du salarié]],Annuaire_roster!B:F,5,0)</f>
        <v>#N/A</v>
      </c>
      <c r="D47" s="31"/>
      <c r="E47" s="33"/>
      <c r="F47" s="29"/>
      <c r="G47" s="34"/>
      <c r="H47" s="34"/>
      <c r="I47" s="34"/>
      <c r="J47" s="37" t="str">
        <f>Tableau132[[#This Row],[Date de reprise]]-Tableau132[[#This Row],[Date début de l''arrêt]] &amp; "j"</f>
        <v>0j</v>
      </c>
    </row>
    <row r="48" spans="3:10" x14ac:dyDescent="0.25">
      <c r="C48" s="36" t="e">
        <f>VLOOKUP(Tableau132[[#This Row],[Nom et Prénom du salarié]],Annuaire_roster!B:F,5,0)</f>
        <v>#N/A</v>
      </c>
      <c r="D48" s="31"/>
      <c r="E48" s="31"/>
      <c r="F48" s="29"/>
      <c r="G48" s="32"/>
      <c r="H48" s="32"/>
      <c r="I48" s="34"/>
      <c r="J48" s="37" t="str">
        <f>Tableau132[[#This Row],[Date de reprise]]-Tableau132[[#This Row],[Date début de l''arrêt]] &amp; "j"</f>
        <v>0j</v>
      </c>
    </row>
    <row r="49" spans="3:10" x14ac:dyDescent="0.25">
      <c r="C49" s="36" t="e">
        <f>VLOOKUP(Tableau132[[#This Row],[Nom et Prénom du salarié]],Annuaire_roster!B:F,5,0)</f>
        <v>#N/A</v>
      </c>
      <c r="D49" s="31"/>
      <c r="E49" s="33"/>
      <c r="F49" s="29"/>
      <c r="G49" s="32"/>
      <c r="H49" s="32"/>
      <c r="I49" s="32"/>
      <c r="J49" s="37" t="str">
        <f>Tableau132[[#This Row],[Date de reprise]]-Tableau132[[#This Row],[Date début de l''arrêt]] &amp; "j"</f>
        <v>0j</v>
      </c>
    </row>
    <row r="50" spans="3:10" x14ac:dyDescent="0.25">
      <c r="C50" s="36" t="e">
        <f>VLOOKUP(Tableau132[[#This Row],[Nom et Prénom du salarié]],Annuaire_roster!B:F,5,0)</f>
        <v>#N/A</v>
      </c>
      <c r="D50" s="31"/>
      <c r="E50" s="33"/>
      <c r="F50" s="29"/>
      <c r="G50" s="34"/>
      <c r="H50" s="34"/>
      <c r="I50" s="34"/>
      <c r="J50" s="37" t="str">
        <f>Tableau132[[#This Row],[Date de reprise]]-Tableau132[[#This Row],[Date début de l''arrêt]] &amp; "j"</f>
        <v>0j</v>
      </c>
    </row>
    <row r="51" spans="3:10" x14ac:dyDescent="0.25">
      <c r="C51" s="36" t="e">
        <f>VLOOKUP(Tableau132[[#This Row],[Nom et Prénom du salarié]],Annuaire_roster!B:F,5,0)</f>
        <v>#N/A</v>
      </c>
      <c r="D51" s="31"/>
      <c r="E51" s="33"/>
      <c r="F51" s="29"/>
      <c r="G51" s="34"/>
      <c r="H51" s="34"/>
      <c r="I51" s="34"/>
      <c r="J51" s="37" t="str">
        <f>Tableau132[[#This Row],[Date de reprise]]-Tableau132[[#This Row],[Date début de l''arrêt]] &amp; "j"</f>
        <v>0j</v>
      </c>
    </row>
    <row r="52" spans="3:10" x14ac:dyDescent="0.25">
      <c r="C52" s="36" t="e">
        <f>VLOOKUP(Tableau132[[#This Row],[Nom et Prénom du salarié]],Annuaire_roster!B:F,5,0)</f>
        <v>#N/A</v>
      </c>
      <c r="D52" s="31"/>
      <c r="E52" s="33"/>
      <c r="F52" s="29"/>
      <c r="G52" s="34"/>
      <c r="H52" s="34"/>
      <c r="I52" s="34"/>
      <c r="J52" s="37" t="str">
        <f>Tableau132[[#This Row],[Date de reprise]]-Tableau132[[#This Row],[Date début de l''arrêt]] &amp; "j"</f>
        <v>0j</v>
      </c>
    </row>
    <row r="53" spans="3:10" x14ac:dyDescent="0.25">
      <c r="C53" s="36" t="e">
        <f>VLOOKUP(Tableau132[[#This Row],[Nom et Prénom du salarié]],Annuaire_roster!B:F,5,0)</f>
        <v>#N/A</v>
      </c>
      <c r="D53" s="31"/>
      <c r="E53" s="33"/>
      <c r="F53" s="29"/>
      <c r="G53" s="34"/>
      <c r="H53" s="34"/>
      <c r="I53" s="34"/>
      <c r="J53" s="37" t="str">
        <f>Tableau132[[#This Row],[Date de reprise]]-Tableau132[[#This Row],[Date début de l''arrêt]] &amp; "j"</f>
        <v>0j</v>
      </c>
    </row>
    <row r="54" spans="3:10" x14ac:dyDescent="0.25">
      <c r="C54" s="36" t="e">
        <f>VLOOKUP(Tableau132[[#This Row],[Nom et Prénom du salarié]],Annuaire_roster!B:F,5,0)</f>
        <v>#N/A</v>
      </c>
      <c r="D54" s="31"/>
      <c r="E54" s="33"/>
      <c r="F54" s="29"/>
      <c r="G54" s="34"/>
      <c r="H54" s="34"/>
      <c r="I54" s="34"/>
      <c r="J54" s="37" t="str">
        <f>Tableau132[[#This Row],[Date de reprise]]-Tableau132[[#This Row],[Date début de l''arrêt]] &amp; "j"</f>
        <v>0j</v>
      </c>
    </row>
    <row r="55" spans="3:10" x14ac:dyDescent="0.25">
      <c r="C55" s="36" t="e">
        <f>VLOOKUP(Tableau132[[#This Row],[Nom et Prénom du salarié]],Annuaire_roster!B:F,5,0)</f>
        <v>#N/A</v>
      </c>
      <c r="D55" s="31"/>
      <c r="E55" s="31"/>
      <c r="F55" s="29"/>
      <c r="G55" s="32"/>
      <c r="H55" s="32"/>
      <c r="I55" s="32"/>
      <c r="J55" s="37" t="str">
        <f>Tableau132[[#This Row],[Date de reprise]]-Tableau132[[#This Row],[Date début de l''arrêt]] &amp; "j"</f>
        <v>0j</v>
      </c>
    </row>
    <row r="56" spans="3:10" x14ac:dyDescent="0.25">
      <c r="C56" s="36" t="e">
        <f>VLOOKUP(Tableau132[[#This Row],[Nom et Prénom du salarié]],Annuaire_roster!B:F,5,0)</f>
        <v>#N/A</v>
      </c>
      <c r="D56" s="31"/>
      <c r="E56" s="33"/>
      <c r="F56" s="29"/>
      <c r="G56" s="34"/>
      <c r="H56" s="34"/>
      <c r="I56" s="34"/>
      <c r="J56" s="37" t="str">
        <f>Tableau132[[#This Row],[Date de reprise]]-Tableau132[[#This Row],[Date début de l''arrêt]] &amp; "j"</f>
        <v>0j</v>
      </c>
    </row>
    <row r="57" spans="3:10" x14ac:dyDescent="0.25">
      <c r="C57" s="36" t="e">
        <f>VLOOKUP(Tableau132[[#This Row],[Nom et Prénom du salarié]],Annuaire_roster!B:F,5,0)</f>
        <v>#N/A</v>
      </c>
      <c r="D57" s="31"/>
      <c r="E57" s="33"/>
      <c r="F57" s="29"/>
      <c r="G57" s="34"/>
      <c r="H57" s="34"/>
      <c r="I57" s="34"/>
      <c r="J57" s="37" t="str">
        <f>Tableau132[[#This Row],[Date de reprise]]-Tableau132[[#This Row],[Date début de l''arrêt]] &amp; "j"</f>
        <v>0j</v>
      </c>
    </row>
    <row r="58" spans="3:10" x14ac:dyDescent="0.25">
      <c r="C58" s="36" t="e">
        <f>VLOOKUP(Tableau132[[#This Row],[Nom et Prénom du salarié]],Annuaire_roster!B:F,5,0)</f>
        <v>#N/A</v>
      </c>
      <c r="D58" s="31"/>
      <c r="E58" s="31"/>
      <c r="F58" s="29"/>
      <c r="G58" s="32"/>
      <c r="H58" s="32"/>
      <c r="I58" s="32"/>
      <c r="J58" s="37" t="str">
        <f>Tableau132[[#This Row],[Date de reprise]]-Tableau132[[#This Row],[Date début de l''arrêt]] &amp; "j"</f>
        <v>0j</v>
      </c>
    </row>
    <row r="59" spans="3:10" x14ac:dyDescent="0.25">
      <c r="C59" s="36" t="e">
        <f>VLOOKUP(Tableau132[[#This Row],[Nom et Prénom du salarié]],Annuaire_roster!B:F,5,0)</f>
        <v>#N/A</v>
      </c>
      <c r="D59" s="31"/>
      <c r="E59" s="31"/>
      <c r="F59" s="31"/>
      <c r="G59" s="32"/>
      <c r="H59" s="32"/>
      <c r="I59" s="32"/>
      <c r="J59" s="37" t="str">
        <f>Tableau132[[#This Row],[Date de reprise]]-Tableau132[[#This Row],[Date début de l''arrêt]] &amp; "j"</f>
        <v>0j</v>
      </c>
    </row>
    <row r="60" spans="3:10" x14ac:dyDescent="0.25">
      <c r="C60" s="36" t="e">
        <f>VLOOKUP(Tableau132[[#This Row],[Nom et Prénom du salarié]],Annuaire_roster!B:F,5,0)</f>
        <v>#N/A</v>
      </c>
      <c r="D60" s="31"/>
      <c r="E60" s="31"/>
      <c r="F60" s="31"/>
      <c r="G60" s="32"/>
      <c r="H60" s="32"/>
      <c r="I60" s="32"/>
      <c r="J60" s="37" t="str">
        <f>Tableau132[[#This Row],[Date de reprise]]-Tableau132[[#This Row],[Date début de l''arrêt]] &amp; "j"</f>
        <v>0j</v>
      </c>
    </row>
    <row r="61" spans="3:10" x14ac:dyDescent="0.25">
      <c r="C61" s="36" t="e">
        <f>VLOOKUP(Tableau132[[#This Row],[Nom et Prénom du salarié]],Annuaire_roster!B:F,5,0)</f>
        <v>#N/A</v>
      </c>
      <c r="D61" s="31"/>
      <c r="E61" s="31"/>
      <c r="F61" s="31"/>
      <c r="G61" s="32"/>
      <c r="H61" s="32"/>
      <c r="I61" s="32"/>
      <c r="J61" s="37" t="str">
        <f>Tableau132[[#This Row],[Date de reprise]]-Tableau132[[#This Row],[Date début de l''arrêt]] &amp; "j"</f>
        <v>0j</v>
      </c>
    </row>
    <row r="62" spans="3:10" x14ac:dyDescent="0.25">
      <c r="C62" s="36" t="e">
        <f>VLOOKUP(Tableau132[[#This Row],[Nom et Prénom du salarié]],Annuaire_roster!B:F,5,0)</f>
        <v>#N/A</v>
      </c>
      <c r="D62" s="31"/>
      <c r="E62" s="31"/>
      <c r="F62" s="31"/>
      <c r="G62" s="32"/>
      <c r="H62" s="32"/>
      <c r="I62" s="32"/>
      <c r="J62" s="37" t="str">
        <f>Tableau132[[#This Row],[Date de reprise]]-Tableau132[[#This Row],[Date début de l''arrêt]] &amp; "j"</f>
        <v>0j</v>
      </c>
    </row>
    <row r="63" spans="3:10" x14ac:dyDescent="0.25">
      <c r="C63" s="36" t="e">
        <f>VLOOKUP(Tableau132[[#This Row],[Nom et Prénom du salarié]],Annuaire_roster!B:F,5,0)</f>
        <v>#N/A</v>
      </c>
      <c r="D63" s="31"/>
      <c r="E63" s="31"/>
      <c r="F63" s="31"/>
      <c r="G63" s="32"/>
      <c r="H63" s="32"/>
      <c r="I63" s="32"/>
      <c r="J63" s="37" t="str">
        <f>Tableau132[[#This Row],[Date de reprise]]-Tableau132[[#This Row],[Date début de l''arrêt]] &amp; "j"</f>
        <v>0j</v>
      </c>
    </row>
    <row r="64" spans="3:10" x14ac:dyDescent="0.25">
      <c r="C64" s="36" t="e">
        <f>VLOOKUP(Tableau132[[#This Row],[Nom et Prénom du salarié]],Annuaire_roster!B:F,5,0)</f>
        <v>#N/A</v>
      </c>
      <c r="D64" s="31"/>
      <c r="E64" s="31"/>
      <c r="F64" s="31"/>
      <c r="G64" s="32"/>
      <c r="H64" s="32"/>
      <c r="I64" s="32"/>
      <c r="J64" s="37" t="str">
        <f>Tableau132[[#This Row],[Date de reprise]]-Tableau132[[#This Row],[Date début de l''arrêt]] &amp; "j"</f>
        <v>0j</v>
      </c>
    </row>
    <row r="71" spans="5:6" x14ac:dyDescent="0.25">
      <c r="E71"/>
      <c r="F71"/>
    </row>
    <row r="72" spans="5:6" x14ac:dyDescent="0.25">
      <c r="E72"/>
      <c r="F72"/>
    </row>
  </sheetData>
  <conditionalFormatting sqref="H23:H26 H29:H159">
    <cfRule type="containsBlanks" priority="3" stopIfTrue="1">
      <formula>LEN(TRIM(H23))=0</formula>
    </cfRule>
    <cfRule type="cellIs" dxfId="13" priority="793" operator="lessThanOrEqual">
      <formula>$B$5</formula>
    </cfRule>
    <cfRule type="cellIs" dxfId="12" priority="794" operator="greaterThan">
      <formula>$B$5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8794-036B-4F5F-B87D-22E6096FC3F6}">
  <dimension ref="A1:Q4033"/>
  <sheetViews>
    <sheetView topLeftCell="A268" zoomScaleNormal="100" workbookViewId="0">
      <selection activeCell="A296" sqref="A296"/>
    </sheetView>
  </sheetViews>
  <sheetFormatPr baseColWidth="10" defaultColWidth="8.7109375" defaultRowHeight="15" x14ac:dyDescent="0.25"/>
  <cols>
    <col min="1" max="10" width="16" style="245" customWidth="1"/>
    <col min="11" max="15" width="16" style="248" customWidth="1"/>
    <col min="16" max="17" width="8.7109375" style="248"/>
    <col min="18" max="16384" width="8.7109375" style="243"/>
  </cols>
  <sheetData>
    <row r="1" spans="1:17" ht="15" customHeight="1" x14ac:dyDescent="0.25">
      <c r="A1" s="241" t="s">
        <v>253</v>
      </c>
      <c r="B1" s="241" t="s">
        <v>254</v>
      </c>
      <c r="C1" s="241" t="s">
        <v>255</v>
      </c>
      <c r="D1" s="241" t="s">
        <v>256</v>
      </c>
      <c r="E1" s="241" t="s">
        <v>257</v>
      </c>
      <c r="F1" s="241" t="s">
        <v>258</v>
      </c>
      <c r="G1" s="241" t="s">
        <v>259</v>
      </c>
      <c r="H1" s="241" t="s">
        <v>260</v>
      </c>
      <c r="I1" s="241" t="s">
        <v>261</v>
      </c>
      <c r="J1" s="241" t="s">
        <v>262</v>
      </c>
      <c r="K1" s="242" t="s">
        <v>263</v>
      </c>
      <c r="L1" s="242" t="s">
        <v>264</v>
      </c>
      <c r="M1" s="242" t="s">
        <v>265</v>
      </c>
      <c r="N1" s="242" t="s">
        <v>266</v>
      </c>
      <c r="O1" s="242" t="s">
        <v>267</v>
      </c>
      <c r="P1" s="242" t="s">
        <v>268</v>
      </c>
      <c r="Q1" s="242" t="s">
        <v>269</v>
      </c>
    </row>
    <row r="2" spans="1:17" ht="15" customHeight="1" x14ac:dyDescent="0.25">
      <c r="A2" s="254" t="s">
        <v>386</v>
      </c>
      <c r="B2" s="254" t="s">
        <v>273</v>
      </c>
      <c r="C2" s="254" t="s">
        <v>271</v>
      </c>
      <c r="D2" s="254" t="s">
        <v>274</v>
      </c>
      <c r="E2" s="254" t="s">
        <v>275</v>
      </c>
      <c r="F2" s="254" t="s">
        <v>389</v>
      </c>
      <c r="G2" s="254" t="s">
        <v>390</v>
      </c>
      <c r="H2" s="255">
        <v>14723</v>
      </c>
      <c r="I2" s="254" t="s">
        <v>270</v>
      </c>
      <c r="J2" s="254" t="s">
        <v>391</v>
      </c>
      <c r="K2" s="246">
        <f t="shared" ref="K2:K65" si="0">DATE(VALUE(LEFT(A2,4)),VALUE(MID(A2,5,2)),VALUE(RIGHT(A2,2)))</f>
        <v>44759</v>
      </c>
      <c r="L2" s="246">
        <f t="shared" ref="L2:L65" si="1">DATEVALUE(LEFT(F2,10))</f>
        <v>44759</v>
      </c>
      <c r="M2" s="247">
        <f t="shared" ref="M2:M65" si="2">TIMEVALUE(MID(F2,12,8))</f>
        <v>0.37148148148148147</v>
      </c>
      <c r="N2" s="246">
        <f>DATEVALUE(LEFT(G2,10))</f>
        <v>44759</v>
      </c>
      <c r="O2" s="247">
        <f t="shared" ref="O2:O65" si="3">TIMEVALUE(MID(G2,12,8))</f>
        <v>0.54188657407407403</v>
      </c>
      <c r="P2" s="247">
        <f t="shared" ref="P2:P65" si="4">IFERROR(_xlfn.MINIFS($M:$M,$E:$E,$E2,$K:$K,$K2,$M:$M,"&gt;"&amp;$O2),"")</f>
        <v>0.58407407407407408</v>
      </c>
      <c r="Q2" s="247">
        <f t="shared" ref="Q2:Q65" si="5">IF($P2="","",$P2-$O2)</f>
        <v>4.2187500000000044E-2</v>
      </c>
    </row>
    <row r="3" spans="1:17" ht="15" customHeight="1" x14ac:dyDescent="0.25">
      <c r="A3" s="254" t="s">
        <v>386</v>
      </c>
      <c r="B3" s="254" t="s">
        <v>273</v>
      </c>
      <c r="C3" s="254" t="s">
        <v>271</v>
      </c>
      <c r="D3" s="254" t="s">
        <v>274</v>
      </c>
      <c r="E3" s="254" t="s">
        <v>275</v>
      </c>
      <c r="F3" s="254" t="s">
        <v>392</v>
      </c>
      <c r="G3" s="254" t="s">
        <v>393</v>
      </c>
      <c r="H3" s="255">
        <v>17938</v>
      </c>
      <c r="I3" s="254" t="s">
        <v>270</v>
      </c>
      <c r="J3" s="254" t="s">
        <v>391</v>
      </c>
      <c r="K3" s="246">
        <f t="shared" si="0"/>
        <v>44759</v>
      </c>
      <c r="L3" s="246">
        <f t="shared" si="1"/>
        <v>44759</v>
      </c>
      <c r="M3" s="247">
        <f t="shared" si="2"/>
        <v>0.58407407407407408</v>
      </c>
      <c r="N3" s="246">
        <f t="shared" ref="N2:N65" si="6">DATEVALUE(LEFT(G3,10))</f>
        <v>44759</v>
      </c>
      <c r="O3" s="247">
        <f t="shared" si="3"/>
        <v>0.79168981481481482</v>
      </c>
      <c r="P3" s="247">
        <f t="shared" si="4"/>
        <v>0</v>
      </c>
      <c r="Q3" s="247">
        <f t="shared" si="5"/>
        <v>-0.79168981481481482</v>
      </c>
    </row>
    <row r="4" spans="1:17" ht="15" customHeight="1" x14ac:dyDescent="0.25">
      <c r="A4" s="254" t="s">
        <v>386</v>
      </c>
      <c r="B4" s="254" t="s">
        <v>273</v>
      </c>
      <c r="C4" s="254" t="s">
        <v>271</v>
      </c>
      <c r="D4" s="254" t="s">
        <v>352</v>
      </c>
      <c r="E4" s="254" t="s">
        <v>353</v>
      </c>
      <c r="F4" s="254" t="s">
        <v>395</v>
      </c>
      <c r="G4" s="254" t="s">
        <v>396</v>
      </c>
      <c r="H4" s="255">
        <v>18030</v>
      </c>
      <c r="I4" s="254" t="s">
        <v>270</v>
      </c>
      <c r="J4" s="254" t="s">
        <v>286</v>
      </c>
      <c r="K4" s="246">
        <f t="shared" si="0"/>
        <v>44759</v>
      </c>
      <c r="L4" s="246">
        <f t="shared" si="1"/>
        <v>44759</v>
      </c>
      <c r="M4" s="247">
        <f t="shared" si="2"/>
        <v>0.37466435185185187</v>
      </c>
      <c r="N4" s="246">
        <f t="shared" si="6"/>
        <v>44759</v>
      </c>
      <c r="O4" s="247">
        <f t="shared" si="3"/>
        <v>0.58334490740740741</v>
      </c>
      <c r="P4" s="247">
        <f t="shared" si="4"/>
        <v>0.62474537037037037</v>
      </c>
      <c r="Q4" s="247">
        <f t="shared" si="5"/>
        <v>4.1400462962962958E-2</v>
      </c>
    </row>
    <row r="5" spans="1:17" ht="15" customHeight="1" x14ac:dyDescent="0.25">
      <c r="A5" s="254" t="s">
        <v>386</v>
      </c>
      <c r="B5" s="254" t="s">
        <v>273</v>
      </c>
      <c r="C5" s="254" t="s">
        <v>271</v>
      </c>
      <c r="D5" s="254" t="s">
        <v>352</v>
      </c>
      <c r="E5" s="254" t="s">
        <v>353</v>
      </c>
      <c r="F5" s="254" t="s">
        <v>397</v>
      </c>
      <c r="G5" s="254" t="s">
        <v>398</v>
      </c>
      <c r="H5" s="255">
        <v>14451</v>
      </c>
      <c r="I5" s="254" t="s">
        <v>270</v>
      </c>
      <c r="J5" s="254" t="s">
        <v>286</v>
      </c>
      <c r="K5" s="246">
        <f t="shared" si="0"/>
        <v>44759</v>
      </c>
      <c r="L5" s="246">
        <f t="shared" si="1"/>
        <v>44759</v>
      </c>
      <c r="M5" s="247">
        <f t="shared" si="2"/>
        <v>0.62474537037037037</v>
      </c>
      <c r="N5" s="246">
        <f t="shared" si="6"/>
        <v>44759</v>
      </c>
      <c r="O5" s="247">
        <f t="shared" si="3"/>
        <v>0.79200231481481487</v>
      </c>
      <c r="P5" s="247">
        <f t="shared" si="4"/>
        <v>0</v>
      </c>
      <c r="Q5" s="247">
        <f t="shared" si="5"/>
        <v>-0.79200231481481487</v>
      </c>
    </row>
    <row r="6" spans="1:17" ht="15" customHeight="1" x14ac:dyDescent="0.25">
      <c r="A6" s="254" t="s">
        <v>386</v>
      </c>
      <c r="B6" s="254" t="s">
        <v>273</v>
      </c>
      <c r="C6" s="254" t="s">
        <v>271</v>
      </c>
      <c r="D6" s="254" t="s">
        <v>279</v>
      </c>
      <c r="E6" s="254" t="s">
        <v>280</v>
      </c>
      <c r="F6" s="254" t="s">
        <v>399</v>
      </c>
      <c r="G6" s="254" t="s">
        <v>400</v>
      </c>
      <c r="H6" s="255">
        <v>143</v>
      </c>
      <c r="I6" s="254" t="s">
        <v>270</v>
      </c>
      <c r="J6" s="254" t="s">
        <v>391</v>
      </c>
      <c r="K6" s="246">
        <f t="shared" si="0"/>
        <v>44759</v>
      </c>
      <c r="L6" s="246">
        <f t="shared" si="1"/>
        <v>44759</v>
      </c>
      <c r="M6" s="247">
        <f t="shared" si="2"/>
        <v>0.37239583333333331</v>
      </c>
      <c r="N6" s="246">
        <f t="shared" si="6"/>
        <v>44759</v>
      </c>
      <c r="O6" s="247">
        <f t="shared" si="3"/>
        <v>0.37405092592592593</v>
      </c>
      <c r="P6" s="247">
        <f t="shared" si="4"/>
        <v>0.37627314814814816</v>
      </c>
      <c r="Q6" s="247">
        <f t="shared" si="5"/>
        <v>2.2222222222222365E-3</v>
      </c>
    </row>
    <row r="7" spans="1:17" ht="15" customHeight="1" x14ac:dyDescent="0.25">
      <c r="A7" s="254" t="s">
        <v>386</v>
      </c>
      <c r="B7" s="254" t="s">
        <v>273</v>
      </c>
      <c r="C7" s="254" t="s">
        <v>271</v>
      </c>
      <c r="D7" s="254" t="s">
        <v>279</v>
      </c>
      <c r="E7" s="254" t="s">
        <v>280</v>
      </c>
      <c r="F7" s="254" t="s">
        <v>401</v>
      </c>
      <c r="G7" s="254" t="s">
        <v>402</v>
      </c>
      <c r="H7" s="255">
        <v>17892</v>
      </c>
      <c r="I7" s="254" t="s">
        <v>270</v>
      </c>
      <c r="J7" s="254" t="s">
        <v>391</v>
      </c>
      <c r="K7" s="246">
        <f t="shared" si="0"/>
        <v>44759</v>
      </c>
      <c r="L7" s="246">
        <f t="shared" si="1"/>
        <v>44759</v>
      </c>
      <c r="M7" s="247">
        <f t="shared" si="2"/>
        <v>0.37627314814814816</v>
      </c>
      <c r="N7" s="246">
        <f t="shared" si="6"/>
        <v>44759</v>
      </c>
      <c r="O7" s="247">
        <f t="shared" si="3"/>
        <v>0.58335648148148145</v>
      </c>
      <c r="P7" s="247">
        <f t="shared" si="4"/>
        <v>0.62547453703703704</v>
      </c>
      <c r="Q7" s="247">
        <f t="shared" si="5"/>
        <v>4.2118055555555589E-2</v>
      </c>
    </row>
    <row r="8" spans="1:17" ht="15" customHeight="1" x14ac:dyDescent="0.25">
      <c r="A8" s="254" t="s">
        <v>386</v>
      </c>
      <c r="B8" s="254" t="s">
        <v>273</v>
      </c>
      <c r="C8" s="254" t="s">
        <v>271</v>
      </c>
      <c r="D8" s="254" t="s">
        <v>279</v>
      </c>
      <c r="E8" s="254" t="s">
        <v>280</v>
      </c>
      <c r="F8" s="254" t="s">
        <v>403</v>
      </c>
      <c r="G8" s="254" t="s">
        <v>404</v>
      </c>
      <c r="H8" s="255">
        <v>14364</v>
      </c>
      <c r="I8" s="254" t="s">
        <v>270</v>
      </c>
      <c r="J8" s="254" t="s">
        <v>391</v>
      </c>
      <c r="K8" s="246">
        <f t="shared" si="0"/>
        <v>44759</v>
      </c>
      <c r="L8" s="246">
        <f t="shared" si="1"/>
        <v>44759</v>
      </c>
      <c r="M8" s="247">
        <f t="shared" si="2"/>
        <v>0.62547453703703704</v>
      </c>
      <c r="N8" s="246">
        <f t="shared" si="6"/>
        <v>44759</v>
      </c>
      <c r="O8" s="247">
        <f t="shared" si="3"/>
        <v>0.79172453703703705</v>
      </c>
      <c r="P8" s="247">
        <f t="shared" si="4"/>
        <v>0</v>
      </c>
      <c r="Q8" s="247">
        <f t="shared" si="5"/>
        <v>-0.79172453703703705</v>
      </c>
    </row>
    <row r="9" spans="1:17" ht="15" customHeight="1" x14ac:dyDescent="0.25">
      <c r="A9" s="254" t="s">
        <v>386</v>
      </c>
      <c r="B9" s="254" t="s">
        <v>273</v>
      </c>
      <c r="C9" s="254" t="s">
        <v>271</v>
      </c>
      <c r="D9" s="254" t="s">
        <v>284</v>
      </c>
      <c r="E9" s="254" t="s">
        <v>285</v>
      </c>
      <c r="F9" s="254" t="s">
        <v>405</v>
      </c>
      <c r="G9" s="254" t="s">
        <v>406</v>
      </c>
      <c r="H9" s="255">
        <v>14797</v>
      </c>
      <c r="I9" s="254" t="s">
        <v>270</v>
      </c>
      <c r="J9" s="254" t="s">
        <v>286</v>
      </c>
      <c r="K9" s="246">
        <f t="shared" si="0"/>
        <v>44759</v>
      </c>
      <c r="L9" s="246">
        <f t="shared" si="1"/>
        <v>44759</v>
      </c>
      <c r="M9" s="247">
        <f t="shared" si="2"/>
        <v>0.37596064814814817</v>
      </c>
      <c r="N9" s="246">
        <f t="shared" si="6"/>
        <v>44759</v>
      </c>
      <c r="O9" s="247">
        <f t="shared" si="3"/>
        <v>0.54722222222222228</v>
      </c>
      <c r="P9" s="247">
        <f t="shared" si="4"/>
        <v>0.54725694444444439</v>
      </c>
      <c r="Q9" s="247">
        <f t="shared" si="5"/>
        <v>3.4722222222116628E-5</v>
      </c>
    </row>
    <row r="10" spans="1:17" ht="15" customHeight="1" x14ac:dyDescent="0.25">
      <c r="A10" s="254" t="s">
        <v>386</v>
      </c>
      <c r="B10" s="254" t="s">
        <v>273</v>
      </c>
      <c r="C10" s="254" t="s">
        <v>271</v>
      </c>
      <c r="D10" s="254" t="s">
        <v>284</v>
      </c>
      <c r="E10" s="254" t="s">
        <v>285</v>
      </c>
      <c r="F10" s="254" t="s">
        <v>407</v>
      </c>
      <c r="G10" s="254" t="s">
        <v>408</v>
      </c>
      <c r="H10" s="255">
        <v>5</v>
      </c>
      <c r="I10" s="254" t="s">
        <v>270</v>
      </c>
      <c r="J10" s="254" t="s">
        <v>286</v>
      </c>
      <c r="K10" s="246">
        <f t="shared" si="0"/>
        <v>44759</v>
      </c>
      <c r="L10" s="246">
        <f t="shared" si="1"/>
        <v>44759</v>
      </c>
      <c r="M10" s="247">
        <f t="shared" si="2"/>
        <v>0.54725694444444439</v>
      </c>
      <c r="N10" s="246">
        <f t="shared" si="6"/>
        <v>44759</v>
      </c>
      <c r="O10" s="247">
        <f t="shared" si="3"/>
        <v>0.54731481481481481</v>
      </c>
      <c r="P10" s="247">
        <f t="shared" si="4"/>
        <v>0.54767361111111112</v>
      </c>
      <c r="Q10" s="247">
        <f t="shared" si="5"/>
        <v>3.5879629629631538E-4</v>
      </c>
    </row>
    <row r="11" spans="1:17" ht="15" customHeight="1" x14ac:dyDescent="0.25">
      <c r="A11" s="254" t="s">
        <v>386</v>
      </c>
      <c r="B11" s="254" t="s">
        <v>273</v>
      </c>
      <c r="C11" s="254" t="s">
        <v>271</v>
      </c>
      <c r="D11" s="254" t="s">
        <v>284</v>
      </c>
      <c r="E11" s="254" t="s">
        <v>285</v>
      </c>
      <c r="F11" s="254" t="s">
        <v>409</v>
      </c>
      <c r="G11" s="254" t="s">
        <v>410</v>
      </c>
      <c r="H11" s="255">
        <v>3207</v>
      </c>
      <c r="I11" s="254" t="s">
        <v>270</v>
      </c>
      <c r="J11" s="254" t="s">
        <v>286</v>
      </c>
      <c r="K11" s="246">
        <f t="shared" si="0"/>
        <v>44759</v>
      </c>
      <c r="L11" s="246">
        <f t="shared" si="1"/>
        <v>44759</v>
      </c>
      <c r="M11" s="247">
        <f t="shared" si="2"/>
        <v>0.54767361111111112</v>
      </c>
      <c r="N11" s="246">
        <f t="shared" si="6"/>
        <v>44759</v>
      </c>
      <c r="O11" s="247">
        <f t="shared" si="3"/>
        <v>0.58479166666666671</v>
      </c>
      <c r="P11" s="247">
        <f t="shared" si="4"/>
        <v>0.6262847222222222</v>
      </c>
      <c r="Q11" s="247">
        <f t="shared" si="5"/>
        <v>4.1493055555555491E-2</v>
      </c>
    </row>
    <row r="12" spans="1:17" ht="15" customHeight="1" x14ac:dyDescent="0.25">
      <c r="A12" s="254" t="s">
        <v>386</v>
      </c>
      <c r="B12" s="254" t="s">
        <v>273</v>
      </c>
      <c r="C12" s="254" t="s">
        <v>271</v>
      </c>
      <c r="D12" s="254" t="s">
        <v>284</v>
      </c>
      <c r="E12" s="254" t="s">
        <v>285</v>
      </c>
      <c r="F12" s="254" t="s">
        <v>411</v>
      </c>
      <c r="G12" s="254" t="s">
        <v>404</v>
      </c>
      <c r="H12" s="255">
        <v>14294</v>
      </c>
      <c r="I12" s="254" t="s">
        <v>270</v>
      </c>
      <c r="J12" s="254" t="s">
        <v>286</v>
      </c>
      <c r="K12" s="246">
        <f t="shared" si="0"/>
        <v>44759</v>
      </c>
      <c r="L12" s="246">
        <f t="shared" si="1"/>
        <v>44759</v>
      </c>
      <c r="M12" s="247">
        <f t="shared" si="2"/>
        <v>0.6262847222222222</v>
      </c>
      <c r="N12" s="246">
        <f t="shared" si="6"/>
        <v>44759</v>
      </c>
      <c r="O12" s="247">
        <f t="shared" si="3"/>
        <v>0.79172453703703705</v>
      </c>
      <c r="P12" s="247">
        <f t="shared" si="4"/>
        <v>0</v>
      </c>
      <c r="Q12" s="247">
        <f t="shared" si="5"/>
        <v>-0.79172453703703705</v>
      </c>
    </row>
    <row r="13" spans="1:17" ht="15" customHeight="1" x14ac:dyDescent="0.25">
      <c r="A13" s="254" t="s">
        <v>386</v>
      </c>
      <c r="B13" s="254" t="s">
        <v>273</v>
      </c>
      <c r="C13" s="254" t="s">
        <v>271</v>
      </c>
      <c r="D13" s="254" t="s">
        <v>354</v>
      </c>
      <c r="E13" s="254" t="s">
        <v>355</v>
      </c>
      <c r="F13" s="254" t="s">
        <v>413</v>
      </c>
      <c r="G13" s="254" t="s">
        <v>414</v>
      </c>
      <c r="H13" s="255">
        <v>12</v>
      </c>
      <c r="I13" s="254" t="s">
        <v>270</v>
      </c>
      <c r="J13" s="254" t="s">
        <v>391</v>
      </c>
      <c r="K13" s="246">
        <f t="shared" si="0"/>
        <v>44759</v>
      </c>
      <c r="L13" s="246">
        <f t="shared" si="1"/>
        <v>44759</v>
      </c>
      <c r="M13" s="247">
        <f t="shared" si="2"/>
        <v>0.3709837962962963</v>
      </c>
      <c r="N13" s="246">
        <f t="shared" si="6"/>
        <v>44759</v>
      </c>
      <c r="O13" s="247">
        <f t="shared" si="3"/>
        <v>0.37112268518518521</v>
      </c>
      <c r="P13" s="247">
        <f t="shared" si="4"/>
        <v>0.37331018518518516</v>
      </c>
      <c r="Q13" s="247">
        <f t="shared" si="5"/>
        <v>2.1874999999999534E-3</v>
      </c>
    </row>
    <row r="14" spans="1:17" ht="15" customHeight="1" x14ac:dyDescent="0.25">
      <c r="A14" s="254" t="s">
        <v>386</v>
      </c>
      <c r="B14" s="254" t="s">
        <v>273</v>
      </c>
      <c r="C14" s="254" t="s">
        <v>271</v>
      </c>
      <c r="D14" s="254" t="s">
        <v>354</v>
      </c>
      <c r="E14" s="254" t="s">
        <v>355</v>
      </c>
      <c r="F14" s="254" t="s">
        <v>415</v>
      </c>
      <c r="G14" s="254" t="s">
        <v>416</v>
      </c>
      <c r="H14" s="255">
        <v>18158</v>
      </c>
      <c r="I14" s="254" t="s">
        <v>270</v>
      </c>
      <c r="J14" s="254" t="s">
        <v>391</v>
      </c>
      <c r="K14" s="246">
        <f t="shared" si="0"/>
        <v>44759</v>
      </c>
      <c r="L14" s="246">
        <f t="shared" si="1"/>
        <v>44759</v>
      </c>
      <c r="M14" s="247">
        <f t="shared" si="2"/>
        <v>0.37331018518518516</v>
      </c>
      <c r="N14" s="246">
        <f t="shared" si="6"/>
        <v>44759</v>
      </c>
      <c r="O14" s="247">
        <f t="shared" si="3"/>
        <v>0.58347222222222217</v>
      </c>
      <c r="P14" s="247">
        <f t="shared" si="4"/>
        <v>0.62472222222222218</v>
      </c>
      <c r="Q14" s="247">
        <f t="shared" si="5"/>
        <v>4.1250000000000009E-2</v>
      </c>
    </row>
    <row r="15" spans="1:17" ht="15" customHeight="1" x14ac:dyDescent="0.25">
      <c r="A15" s="254" t="s">
        <v>386</v>
      </c>
      <c r="B15" s="254" t="s">
        <v>273</v>
      </c>
      <c r="C15" s="254" t="s">
        <v>271</v>
      </c>
      <c r="D15" s="254" t="s">
        <v>354</v>
      </c>
      <c r="E15" s="254" t="s">
        <v>355</v>
      </c>
      <c r="F15" s="254" t="s">
        <v>417</v>
      </c>
      <c r="G15" s="254" t="s">
        <v>418</v>
      </c>
      <c r="H15" s="255">
        <v>14435</v>
      </c>
      <c r="I15" s="254" t="s">
        <v>270</v>
      </c>
      <c r="J15" s="254" t="s">
        <v>391</v>
      </c>
      <c r="K15" s="246">
        <f t="shared" si="0"/>
        <v>44759</v>
      </c>
      <c r="L15" s="246">
        <f t="shared" si="1"/>
        <v>44759</v>
      </c>
      <c r="M15" s="247">
        <f t="shared" si="2"/>
        <v>0.62472222222222218</v>
      </c>
      <c r="N15" s="246">
        <f t="shared" si="6"/>
        <v>44759</v>
      </c>
      <c r="O15" s="247">
        <f t="shared" si="3"/>
        <v>0.7917939814814815</v>
      </c>
      <c r="P15" s="247">
        <f t="shared" si="4"/>
        <v>0</v>
      </c>
      <c r="Q15" s="247">
        <f t="shared" si="5"/>
        <v>-0.7917939814814815</v>
      </c>
    </row>
    <row r="16" spans="1:17" ht="15" customHeight="1" x14ac:dyDescent="0.25">
      <c r="A16" s="254" t="s">
        <v>386</v>
      </c>
      <c r="B16" s="254" t="s">
        <v>273</v>
      </c>
      <c r="C16" s="254" t="s">
        <v>271</v>
      </c>
      <c r="D16" s="254" t="s">
        <v>289</v>
      </c>
      <c r="E16" s="254" t="s">
        <v>290</v>
      </c>
      <c r="F16" s="254" t="s">
        <v>420</v>
      </c>
      <c r="G16" s="254" t="s">
        <v>421</v>
      </c>
      <c r="H16" s="255">
        <v>11150</v>
      </c>
      <c r="I16" s="254" t="s">
        <v>270</v>
      </c>
      <c r="J16" s="254" t="s">
        <v>391</v>
      </c>
      <c r="K16" s="246">
        <f t="shared" si="0"/>
        <v>44759</v>
      </c>
      <c r="L16" s="246">
        <f t="shared" si="1"/>
        <v>44759</v>
      </c>
      <c r="M16" s="247">
        <f t="shared" si="2"/>
        <v>0.49636574074074075</v>
      </c>
      <c r="N16" s="246">
        <f t="shared" si="6"/>
        <v>44759</v>
      </c>
      <c r="O16" s="247">
        <f t="shared" si="3"/>
        <v>0.62541666666666662</v>
      </c>
      <c r="P16" s="247">
        <f t="shared" si="4"/>
        <v>0.66623842592592597</v>
      </c>
      <c r="Q16" s="247">
        <f t="shared" si="5"/>
        <v>4.0821759259259349E-2</v>
      </c>
    </row>
    <row r="17" spans="1:17" ht="15" customHeight="1" x14ac:dyDescent="0.25">
      <c r="A17" s="254" t="s">
        <v>386</v>
      </c>
      <c r="B17" s="254" t="s">
        <v>273</v>
      </c>
      <c r="C17" s="254" t="s">
        <v>271</v>
      </c>
      <c r="D17" s="254" t="s">
        <v>289</v>
      </c>
      <c r="E17" s="254" t="s">
        <v>290</v>
      </c>
      <c r="F17" s="254" t="s">
        <v>422</v>
      </c>
      <c r="G17" s="254" t="s">
        <v>423</v>
      </c>
      <c r="H17" s="255">
        <v>18197</v>
      </c>
      <c r="I17" s="254" t="s">
        <v>270</v>
      </c>
      <c r="J17" s="254" t="s">
        <v>391</v>
      </c>
      <c r="K17" s="246">
        <f t="shared" si="0"/>
        <v>44759</v>
      </c>
      <c r="L17" s="246">
        <f t="shared" si="1"/>
        <v>44759</v>
      </c>
      <c r="M17" s="247">
        <f t="shared" si="2"/>
        <v>0.66623842592592597</v>
      </c>
      <c r="N17" s="246">
        <f t="shared" si="6"/>
        <v>44759</v>
      </c>
      <c r="O17" s="247">
        <f t="shared" si="3"/>
        <v>0.87685185185185188</v>
      </c>
      <c r="P17" s="247">
        <f t="shared" si="4"/>
        <v>0</v>
      </c>
      <c r="Q17" s="247">
        <f t="shared" si="5"/>
        <v>-0.87685185185185188</v>
      </c>
    </row>
    <row r="18" spans="1:17" ht="15" customHeight="1" x14ac:dyDescent="0.25">
      <c r="A18" s="254" t="s">
        <v>386</v>
      </c>
      <c r="B18" s="254" t="s">
        <v>273</v>
      </c>
      <c r="C18" s="254" t="s">
        <v>271</v>
      </c>
      <c r="D18" s="254" t="s">
        <v>291</v>
      </c>
      <c r="E18" s="254" t="s">
        <v>292</v>
      </c>
      <c r="F18" s="254" t="s">
        <v>424</v>
      </c>
      <c r="G18" s="254" t="s">
        <v>419</v>
      </c>
      <c r="H18" s="255">
        <v>14481</v>
      </c>
      <c r="I18" s="254" t="s">
        <v>270</v>
      </c>
      <c r="J18" s="254" t="s">
        <v>391</v>
      </c>
      <c r="K18" s="246">
        <f t="shared" si="0"/>
        <v>44759</v>
      </c>
      <c r="L18" s="246">
        <f t="shared" si="1"/>
        <v>44759</v>
      </c>
      <c r="M18" s="247">
        <f t="shared" si="2"/>
        <v>0.49922453703703706</v>
      </c>
      <c r="N18" s="246">
        <f t="shared" si="6"/>
        <v>44759</v>
      </c>
      <c r="O18" s="247">
        <f t="shared" si="3"/>
        <v>0.66682870370370373</v>
      </c>
      <c r="P18" s="247">
        <f t="shared" si="4"/>
        <v>0.70958333333333334</v>
      </c>
      <c r="Q18" s="247">
        <f t="shared" si="5"/>
        <v>4.2754629629629615E-2</v>
      </c>
    </row>
    <row r="19" spans="1:17" ht="15" customHeight="1" x14ac:dyDescent="0.25">
      <c r="A19" s="254" t="s">
        <v>386</v>
      </c>
      <c r="B19" s="254" t="s">
        <v>273</v>
      </c>
      <c r="C19" s="254" t="s">
        <v>271</v>
      </c>
      <c r="D19" s="254" t="s">
        <v>291</v>
      </c>
      <c r="E19" s="254" t="s">
        <v>292</v>
      </c>
      <c r="F19" s="254" t="s">
        <v>425</v>
      </c>
      <c r="G19" s="254" t="s">
        <v>426</v>
      </c>
      <c r="H19" s="255">
        <v>14265</v>
      </c>
      <c r="I19" s="254" t="s">
        <v>270</v>
      </c>
      <c r="J19" s="254" t="s">
        <v>391</v>
      </c>
      <c r="K19" s="246">
        <f t="shared" si="0"/>
        <v>44759</v>
      </c>
      <c r="L19" s="246">
        <f t="shared" si="1"/>
        <v>44759</v>
      </c>
      <c r="M19" s="247">
        <f t="shared" si="2"/>
        <v>0.70958333333333334</v>
      </c>
      <c r="N19" s="246">
        <f t="shared" si="6"/>
        <v>44759</v>
      </c>
      <c r="O19" s="247">
        <f t="shared" si="3"/>
        <v>0.87468749999999995</v>
      </c>
      <c r="P19" s="247">
        <f t="shared" si="4"/>
        <v>0.87472222222222218</v>
      </c>
      <c r="Q19" s="247">
        <f t="shared" si="5"/>
        <v>3.472222222222765E-5</v>
      </c>
    </row>
    <row r="20" spans="1:17" ht="15" customHeight="1" x14ac:dyDescent="0.25">
      <c r="A20" s="254" t="s">
        <v>386</v>
      </c>
      <c r="B20" s="254" t="s">
        <v>273</v>
      </c>
      <c r="C20" s="254" t="s">
        <v>271</v>
      </c>
      <c r="D20" s="254" t="s">
        <v>291</v>
      </c>
      <c r="E20" s="254" t="s">
        <v>292</v>
      </c>
      <c r="F20" s="254" t="s">
        <v>427</v>
      </c>
      <c r="G20" s="254" t="s">
        <v>428</v>
      </c>
      <c r="H20" s="255">
        <v>27</v>
      </c>
      <c r="I20" s="254" t="s">
        <v>270</v>
      </c>
      <c r="J20" s="254" t="s">
        <v>391</v>
      </c>
      <c r="K20" s="246">
        <f t="shared" si="0"/>
        <v>44759</v>
      </c>
      <c r="L20" s="246">
        <f t="shared" si="1"/>
        <v>44759</v>
      </c>
      <c r="M20" s="247">
        <f t="shared" si="2"/>
        <v>0.87472222222222218</v>
      </c>
      <c r="N20" s="246">
        <f t="shared" si="6"/>
        <v>44759</v>
      </c>
      <c r="O20" s="247">
        <f t="shared" si="3"/>
        <v>0.87503472222222223</v>
      </c>
      <c r="P20" s="247">
        <f t="shared" si="4"/>
        <v>0</v>
      </c>
      <c r="Q20" s="247">
        <f t="shared" si="5"/>
        <v>-0.87503472222222223</v>
      </c>
    </row>
    <row r="21" spans="1:17" ht="15" customHeight="1" x14ac:dyDescent="0.25">
      <c r="A21" s="254" t="s">
        <v>386</v>
      </c>
      <c r="B21" s="254" t="s">
        <v>273</v>
      </c>
      <c r="C21" s="254" t="s">
        <v>271</v>
      </c>
      <c r="D21" s="254" t="s">
        <v>356</v>
      </c>
      <c r="E21" s="254" t="s">
        <v>357</v>
      </c>
      <c r="F21" s="254" t="s">
        <v>429</v>
      </c>
      <c r="G21" s="254" t="s">
        <v>430</v>
      </c>
      <c r="H21" s="255">
        <v>14355</v>
      </c>
      <c r="I21" s="254" t="s">
        <v>270</v>
      </c>
      <c r="J21" s="254" t="s">
        <v>391</v>
      </c>
      <c r="K21" s="246">
        <f t="shared" si="0"/>
        <v>44759</v>
      </c>
      <c r="L21" s="246">
        <f t="shared" si="1"/>
        <v>44759</v>
      </c>
      <c r="M21" s="247">
        <f t="shared" si="2"/>
        <v>0.37611111111111112</v>
      </c>
      <c r="N21" s="246">
        <f t="shared" si="6"/>
        <v>44759</v>
      </c>
      <c r="O21" s="247">
        <f t="shared" si="3"/>
        <v>0.5422569444444445</v>
      </c>
      <c r="P21" s="247">
        <f t="shared" si="4"/>
        <v>0.58491898148148147</v>
      </c>
      <c r="Q21" s="247">
        <f t="shared" si="5"/>
        <v>4.2662037037036971E-2</v>
      </c>
    </row>
    <row r="22" spans="1:17" ht="15" customHeight="1" x14ac:dyDescent="0.25">
      <c r="A22" s="254" t="s">
        <v>386</v>
      </c>
      <c r="B22" s="254" t="s">
        <v>273</v>
      </c>
      <c r="C22" s="254" t="s">
        <v>271</v>
      </c>
      <c r="D22" s="254" t="s">
        <v>356</v>
      </c>
      <c r="E22" s="254" t="s">
        <v>357</v>
      </c>
      <c r="F22" s="254" t="s">
        <v>431</v>
      </c>
      <c r="G22" s="254" t="s">
        <v>404</v>
      </c>
      <c r="H22" s="255">
        <v>17868</v>
      </c>
      <c r="I22" s="254" t="s">
        <v>270</v>
      </c>
      <c r="J22" s="254" t="s">
        <v>391</v>
      </c>
      <c r="K22" s="246">
        <f t="shared" si="0"/>
        <v>44759</v>
      </c>
      <c r="L22" s="246">
        <f t="shared" si="1"/>
        <v>44759</v>
      </c>
      <c r="M22" s="247">
        <f t="shared" si="2"/>
        <v>0.58491898148148147</v>
      </c>
      <c r="N22" s="246">
        <f t="shared" si="6"/>
        <v>44759</v>
      </c>
      <c r="O22" s="247">
        <f t="shared" si="3"/>
        <v>0.79172453703703705</v>
      </c>
      <c r="P22" s="247">
        <f t="shared" si="4"/>
        <v>0</v>
      </c>
      <c r="Q22" s="247">
        <f t="shared" si="5"/>
        <v>-0.79172453703703705</v>
      </c>
    </row>
    <row r="23" spans="1:17" ht="15" customHeight="1" x14ac:dyDescent="0.25">
      <c r="A23" s="254" t="s">
        <v>386</v>
      </c>
      <c r="B23" s="254" t="s">
        <v>273</v>
      </c>
      <c r="C23" s="254" t="s">
        <v>271</v>
      </c>
      <c r="D23" s="254" t="s">
        <v>293</v>
      </c>
      <c r="E23" s="254" t="s">
        <v>294</v>
      </c>
      <c r="F23" s="254" t="s">
        <v>433</v>
      </c>
      <c r="G23" s="254" t="s">
        <v>434</v>
      </c>
      <c r="H23" s="255">
        <v>3</v>
      </c>
      <c r="I23" s="254" t="s">
        <v>270</v>
      </c>
      <c r="J23" s="254" t="s">
        <v>286</v>
      </c>
      <c r="K23" s="246">
        <f t="shared" si="0"/>
        <v>44759</v>
      </c>
      <c r="L23" s="246">
        <f t="shared" si="1"/>
        <v>44759</v>
      </c>
      <c r="M23" s="247">
        <f t="shared" si="2"/>
        <v>0.32943287037037039</v>
      </c>
      <c r="N23" s="246">
        <f t="shared" si="6"/>
        <v>44759</v>
      </c>
      <c r="O23" s="247">
        <f t="shared" si="3"/>
        <v>0.32946759259259262</v>
      </c>
      <c r="P23" s="247">
        <f t="shared" si="4"/>
        <v>0.33285879629629628</v>
      </c>
      <c r="Q23" s="247">
        <f t="shared" si="5"/>
        <v>3.3912037037036602E-3</v>
      </c>
    </row>
    <row r="24" spans="1:17" ht="15" customHeight="1" x14ac:dyDescent="0.25">
      <c r="A24" s="254" t="s">
        <v>386</v>
      </c>
      <c r="B24" s="254" t="s">
        <v>273</v>
      </c>
      <c r="C24" s="254" t="s">
        <v>271</v>
      </c>
      <c r="D24" s="254" t="s">
        <v>293</v>
      </c>
      <c r="E24" s="254" t="s">
        <v>294</v>
      </c>
      <c r="F24" s="254" t="s">
        <v>435</v>
      </c>
      <c r="G24" s="254" t="s">
        <v>436</v>
      </c>
      <c r="H24" s="255">
        <v>18255</v>
      </c>
      <c r="I24" s="254" t="s">
        <v>270</v>
      </c>
      <c r="J24" s="254" t="s">
        <v>286</v>
      </c>
      <c r="K24" s="246">
        <f t="shared" si="0"/>
        <v>44759</v>
      </c>
      <c r="L24" s="246">
        <f t="shared" si="1"/>
        <v>44759</v>
      </c>
      <c r="M24" s="247">
        <f t="shared" si="2"/>
        <v>0.33285879629629628</v>
      </c>
      <c r="N24" s="246">
        <f t="shared" si="6"/>
        <v>44759</v>
      </c>
      <c r="O24" s="247">
        <f t="shared" si="3"/>
        <v>0.5441435185185185</v>
      </c>
      <c r="P24" s="247">
        <f t="shared" si="4"/>
        <v>0.5814583333333333</v>
      </c>
      <c r="Q24" s="247">
        <f t="shared" si="5"/>
        <v>3.7314814814814801E-2</v>
      </c>
    </row>
    <row r="25" spans="1:17" ht="15" customHeight="1" x14ac:dyDescent="0.25">
      <c r="A25" s="254" t="s">
        <v>386</v>
      </c>
      <c r="B25" s="254" t="s">
        <v>273</v>
      </c>
      <c r="C25" s="254" t="s">
        <v>271</v>
      </c>
      <c r="D25" s="254" t="s">
        <v>293</v>
      </c>
      <c r="E25" s="254" t="s">
        <v>294</v>
      </c>
      <c r="F25" s="254" t="s">
        <v>437</v>
      </c>
      <c r="G25" s="254" t="s">
        <v>438</v>
      </c>
      <c r="H25" s="255">
        <v>12</v>
      </c>
      <c r="I25" s="254" t="s">
        <v>270</v>
      </c>
      <c r="J25" s="254" t="s">
        <v>286</v>
      </c>
      <c r="K25" s="246">
        <f t="shared" si="0"/>
        <v>44759</v>
      </c>
      <c r="L25" s="246">
        <f t="shared" si="1"/>
        <v>44759</v>
      </c>
      <c r="M25" s="247">
        <f t="shared" si="2"/>
        <v>0.5814583333333333</v>
      </c>
      <c r="N25" s="246">
        <f t="shared" si="6"/>
        <v>44759</v>
      </c>
      <c r="O25" s="247">
        <f t="shared" si="3"/>
        <v>0.58159722222222221</v>
      </c>
      <c r="P25" s="247">
        <f t="shared" si="4"/>
        <v>0.5834259259259259</v>
      </c>
      <c r="Q25" s="247">
        <f t="shared" si="5"/>
        <v>1.8287037037036935E-3</v>
      </c>
    </row>
    <row r="26" spans="1:17" ht="15" customHeight="1" x14ac:dyDescent="0.25">
      <c r="A26" s="254" t="s">
        <v>386</v>
      </c>
      <c r="B26" s="254" t="s">
        <v>273</v>
      </c>
      <c r="C26" s="254" t="s">
        <v>271</v>
      </c>
      <c r="D26" s="254" t="s">
        <v>293</v>
      </c>
      <c r="E26" s="254" t="s">
        <v>294</v>
      </c>
      <c r="F26" s="254" t="s">
        <v>439</v>
      </c>
      <c r="G26" s="254" t="s">
        <v>440</v>
      </c>
      <c r="H26" s="255">
        <v>9708</v>
      </c>
      <c r="I26" s="254" t="s">
        <v>270</v>
      </c>
      <c r="J26" s="254" t="s">
        <v>286</v>
      </c>
      <c r="K26" s="246">
        <f t="shared" si="0"/>
        <v>44759</v>
      </c>
      <c r="L26" s="246">
        <f t="shared" si="1"/>
        <v>44759</v>
      </c>
      <c r="M26" s="247">
        <f t="shared" si="2"/>
        <v>0.5834259259259259</v>
      </c>
      <c r="N26" s="246">
        <f t="shared" si="6"/>
        <v>44759</v>
      </c>
      <c r="O26" s="247">
        <f t="shared" si="3"/>
        <v>0.69578703703703704</v>
      </c>
      <c r="P26" s="247">
        <f t="shared" si="4"/>
        <v>0.70045138888888892</v>
      </c>
      <c r="Q26" s="247">
        <f t="shared" si="5"/>
        <v>4.6643518518518778E-3</v>
      </c>
    </row>
    <row r="27" spans="1:17" ht="15" customHeight="1" x14ac:dyDescent="0.25">
      <c r="A27" s="254" t="s">
        <v>386</v>
      </c>
      <c r="B27" s="254" t="s">
        <v>273</v>
      </c>
      <c r="C27" s="254" t="s">
        <v>271</v>
      </c>
      <c r="D27" s="254" t="s">
        <v>293</v>
      </c>
      <c r="E27" s="254" t="s">
        <v>294</v>
      </c>
      <c r="F27" s="254" t="s">
        <v>441</v>
      </c>
      <c r="G27" s="254" t="s">
        <v>442</v>
      </c>
      <c r="H27" s="255">
        <v>22</v>
      </c>
      <c r="I27" s="254" t="s">
        <v>270</v>
      </c>
      <c r="J27" s="254" t="s">
        <v>286</v>
      </c>
      <c r="K27" s="246">
        <f t="shared" si="0"/>
        <v>44759</v>
      </c>
      <c r="L27" s="246">
        <f t="shared" si="1"/>
        <v>44759</v>
      </c>
      <c r="M27" s="247">
        <f t="shared" si="2"/>
        <v>0.70045138888888892</v>
      </c>
      <c r="N27" s="246">
        <f t="shared" si="6"/>
        <v>44759</v>
      </c>
      <c r="O27" s="247">
        <f t="shared" si="3"/>
        <v>0.70070601851851855</v>
      </c>
      <c r="P27" s="247">
        <f t="shared" si="4"/>
        <v>0.70072916666666663</v>
      </c>
      <c r="Q27" s="247">
        <f t="shared" si="5"/>
        <v>2.3148148148077752E-5</v>
      </c>
    </row>
    <row r="28" spans="1:17" ht="15" customHeight="1" x14ac:dyDescent="0.25">
      <c r="A28" s="254" t="s">
        <v>386</v>
      </c>
      <c r="B28" s="254" t="s">
        <v>273</v>
      </c>
      <c r="C28" s="254" t="s">
        <v>271</v>
      </c>
      <c r="D28" s="254" t="s">
        <v>293</v>
      </c>
      <c r="E28" s="254" t="s">
        <v>294</v>
      </c>
      <c r="F28" s="254" t="s">
        <v>443</v>
      </c>
      <c r="G28" s="254" t="s">
        <v>444</v>
      </c>
      <c r="H28" s="255">
        <v>4266</v>
      </c>
      <c r="I28" s="254" t="s">
        <v>270</v>
      </c>
      <c r="J28" s="254" t="s">
        <v>286</v>
      </c>
      <c r="K28" s="246">
        <f t="shared" si="0"/>
        <v>44759</v>
      </c>
      <c r="L28" s="246">
        <f t="shared" si="1"/>
        <v>44759</v>
      </c>
      <c r="M28" s="247">
        <f t="shared" si="2"/>
        <v>0.70072916666666663</v>
      </c>
      <c r="N28" s="246">
        <f t="shared" si="6"/>
        <v>44759</v>
      </c>
      <c r="O28" s="247">
        <f t="shared" si="3"/>
        <v>0.75010416666666668</v>
      </c>
      <c r="P28" s="247">
        <f t="shared" si="4"/>
        <v>0</v>
      </c>
      <c r="Q28" s="247">
        <f t="shared" si="5"/>
        <v>-0.75010416666666668</v>
      </c>
    </row>
    <row r="29" spans="1:17" ht="15" customHeight="1" x14ac:dyDescent="0.25">
      <c r="A29" s="254" t="s">
        <v>386</v>
      </c>
      <c r="B29" s="254" t="s">
        <v>273</v>
      </c>
      <c r="C29" s="254" t="s">
        <v>271</v>
      </c>
      <c r="D29" s="254" t="s">
        <v>295</v>
      </c>
      <c r="E29" s="254" t="s">
        <v>296</v>
      </c>
      <c r="F29" s="254" t="s">
        <v>446</v>
      </c>
      <c r="G29" s="254" t="s">
        <v>447</v>
      </c>
      <c r="H29" s="255">
        <v>2383</v>
      </c>
      <c r="I29" s="254" t="s">
        <v>270</v>
      </c>
      <c r="J29" s="254" t="s">
        <v>286</v>
      </c>
      <c r="K29" s="246">
        <f t="shared" si="0"/>
        <v>44759</v>
      </c>
      <c r="L29" s="246">
        <f t="shared" si="1"/>
        <v>44759</v>
      </c>
      <c r="M29" s="247">
        <f t="shared" si="2"/>
        <v>0.46266203703703701</v>
      </c>
      <c r="N29" s="246">
        <f t="shared" si="6"/>
        <v>44759</v>
      </c>
      <c r="O29" s="247">
        <f t="shared" si="3"/>
        <v>0.49024305555555553</v>
      </c>
      <c r="P29" s="247">
        <f t="shared" si="4"/>
        <v>0.50062499999999999</v>
      </c>
      <c r="Q29" s="247">
        <f t="shared" si="5"/>
        <v>1.0381944444444458E-2</v>
      </c>
    </row>
    <row r="30" spans="1:17" ht="15" customHeight="1" x14ac:dyDescent="0.25">
      <c r="A30" s="254" t="s">
        <v>386</v>
      </c>
      <c r="B30" s="254" t="s">
        <v>273</v>
      </c>
      <c r="C30" s="254" t="s">
        <v>271</v>
      </c>
      <c r="D30" s="254" t="s">
        <v>295</v>
      </c>
      <c r="E30" s="254" t="s">
        <v>296</v>
      </c>
      <c r="F30" s="254" t="s">
        <v>448</v>
      </c>
      <c r="G30" s="254" t="s">
        <v>449</v>
      </c>
      <c r="H30" s="255">
        <v>1380</v>
      </c>
      <c r="I30" s="254" t="s">
        <v>270</v>
      </c>
      <c r="J30" s="254" t="s">
        <v>286</v>
      </c>
      <c r="K30" s="246">
        <f t="shared" si="0"/>
        <v>44759</v>
      </c>
      <c r="L30" s="246">
        <f t="shared" si="1"/>
        <v>44759</v>
      </c>
      <c r="M30" s="247">
        <f t="shared" si="2"/>
        <v>0.50062499999999999</v>
      </c>
      <c r="N30" s="246">
        <f t="shared" si="6"/>
        <v>44759</v>
      </c>
      <c r="O30" s="247">
        <f t="shared" si="3"/>
        <v>0.51659722222222226</v>
      </c>
      <c r="P30" s="247">
        <f t="shared" si="4"/>
        <v>0.51664351851851853</v>
      </c>
      <c r="Q30" s="247">
        <f t="shared" si="5"/>
        <v>4.6296296296266526E-5</v>
      </c>
    </row>
    <row r="31" spans="1:17" ht="15" customHeight="1" x14ac:dyDescent="0.25">
      <c r="A31" s="254" t="s">
        <v>386</v>
      </c>
      <c r="B31" s="254" t="s">
        <v>273</v>
      </c>
      <c r="C31" s="254" t="s">
        <v>271</v>
      </c>
      <c r="D31" s="254" t="s">
        <v>295</v>
      </c>
      <c r="E31" s="254" t="s">
        <v>296</v>
      </c>
      <c r="F31" s="254" t="s">
        <v>450</v>
      </c>
      <c r="G31" s="254" t="s">
        <v>451</v>
      </c>
      <c r="H31" s="255">
        <v>3862</v>
      </c>
      <c r="I31" s="254" t="s">
        <v>270</v>
      </c>
      <c r="J31" s="254" t="s">
        <v>286</v>
      </c>
      <c r="K31" s="246">
        <f t="shared" si="0"/>
        <v>44759</v>
      </c>
      <c r="L31" s="246">
        <f t="shared" si="1"/>
        <v>44759</v>
      </c>
      <c r="M31" s="247">
        <f t="shared" si="2"/>
        <v>0.51664351851851853</v>
      </c>
      <c r="N31" s="246">
        <f t="shared" si="6"/>
        <v>44759</v>
      </c>
      <c r="O31" s="247">
        <f t="shared" si="3"/>
        <v>0.56134259259259256</v>
      </c>
      <c r="P31" s="247">
        <f t="shared" si="4"/>
        <v>0.56182870370370375</v>
      </c>
      <c r="Q31" s="247">
        <f t="shared" si="5"/>
        <v>4.861111111111871E-4</v>
      </c>
    </row>
    <row r="32" spans="1:17" ht="15" customHeight="1" x14ac:dyDescent="0.25">
      <c r="A32" s="254" t="s">
        <v>386</v>
      </c>
      <c r="B32" s="254" t="s">
        <v>273</v>
      </c>
      <c r="C32" s="254" t="s">
        <v>271</v>
      </c>
      <c r="D32" s="254" t="s">
        <v>295</v>
      </c>
      <c r="E32" s="254" t="s">
        <v>296</v>
      </c>
      <c r="F32" s="254" t="s">
        <v>452</v>
      </c>
      <c r="G32" s="254" t="s">
        <v>453</v>
      </c>
      <c r="H32" s="255">
        <v>5466</v>
      </c>
      <c r="I32" s="254" t="s">
        <v>270</v>
      </c>
      <c r="J32" s="254" t="s">
        <v>286</v>
      </c>
      <c r="K32" s="246">
        <f t="shared" si="0"/>
        <v>44759</v>
      </c>
      <c r="L32" s="246">
        <f t="shared" si="1"/>
        <v>44759</v>
      </c>
      <c r="M32" s="247">
        <f t="shared" si="2"/>
        <v>0.56182870370370375</v>
      </c>
      <c r="N32" s="246">
        <f t="shared" si="6"/>
        <v>44759</v>
      </c>
      <c r="O32" s="247">
        <f t="shared" si="3"/>
        <v>0.62509259259259264</v>
      </c>
      <c r="P32" s="247">
        <f t="shared" si="4"/>
        <v>0.66490740740740739</v>
      </c>
      <c r="Q32" s="247">
        <f t="shared" si="5"/>
        <v>3.9814814814814747E-2</v>
      </c>
    </row>
    <row r="33" spans="1:17" ht="15" customHeight="1" x14ac:dyDescent="0.25">
      <c r="A33" s="254" t="s">
        <v>386</v>
      </c>
      <c r="B33" s="254" t="s">
        <v>273</v>
      </c>
      <c r="C33" s="254" t="s">
        <v>271</v>
      </c>
      <c r="D33" s="254" t="s">
        <v>295</v>
      </c>
      <c r="E33" s="254" t="s">
        <v>296</v>
      </c>
      <c r="F33" s="254" t="s">
        <v>454</v>
      </c>
      <c r="G33" s="254" t="s">
        <v>455</v>
      </c>
      <c r="H33" s="255">
        <v>61</v>
      </c>
      <c r="I33" s="254" t="s">
        <v>270</v>
      </c>
      <c r="J33" s="254" t="s">
        <v>286</v>
      </c>
      <c r="K33" s="246">
        <f t="shared" si="0"/>
        <v>44759</v>
      </c>
      <c r="L33" s="246">
        <f t="shared" si="1"/>
        <v>44759</v>
      </c>
      <c r="M33" s="247">
        <f t="shared" si="2"/>
        <v>0.66490740740740739</v>
      </c>
      <c r="N33" s="246">
        <f t="shared" si="6"/>
        <v>44759</v>
      </c>
      <c r="O33" s="247">
        <f t="shared" si="3"/>
        <v>0.66561342592592587</v>
      </c>
      <c r="P33" s="247">
        <f t="shared" si="4"/>
        <v>0.66642361111111115</v>
      </c>
      <c r="Q33" s="247">
        <f t="shared" si="5"/>
        <v>8.1018518518527483E-4</v>
      </c>
    </row>
    <row r="34" spans="1:17" ht="15" customHeight="1" x14ac:dyDescent="0.25">
      <c r="A34" s="254" t="s">
        <v>386</v>
      </c>
      <c r="B34" s="254" t="s">
        <v>273</v>
      </c>
      <c r="C34" s="254" t="s">
        <v>271</v>
      </c>
      <c r="D34" s="254" t="s">
        <v>295</v>
      </c>
      <c r="E34" s="254" t="s">
        <v>296</v>
      </c>
      <c r="F34" s="254" t="s">
        <v>456</v>
      </c>
      <c r="G34" s="254" t="s">
        <v>457</v>
      </c>
      <c r="H34" s="255">
        <v>1658</v>
      </c>
      <c r="I34" s="254" t="s">
        <v>270</v>
      </c>
      <c r="J34" s="254" t="s">
        <v>286</v>
      </c>
      <c r="K34" s="246">
        <f t="shared" si="0"/>
        <v>44759</v>
      </c>
      <c r="L34" s="246">
        <f t="shared" si="1"/>
        <v>44759</v>
      </c>
      <c r="M34" s="247">
        <f t="shared" si="2"/>
        <v>0.66642361111111115</v>
      </c>
      <c r="N34" s="246">
        <f t="shared" si="6"/>
        <v>44759</v>
      </c>
      <c r="O34" s="247">
        <f t="shared" si="3"/>
        <v>0.68561342592592589</v>
      </c>
      <c r="P34" s="247">
        <f t="shared" si="4"/>
        <v>0.68618055555555557</v>
      </c>
      <c r="Q34" s="247">
        <f t="shared" si="5"/>
        <v>5.6712962962968128E-4</v>
      </c>
    </row>
    <row r="35" spans="1:17" ht="15" customHeight="1" x14ac:dyDescent="0.25">
      <c r="A35" s="254" t="s">
        <v>386</v>
      </c>
      <c r="B35" s="254" t="s">
        <v>273</v>
      </c>
      <c r="C35" s="254" t="s">
        <v>271</v>
      </c>
      <c r="D35" s="254" t="s">
        <v>295</v>
      </c>
      <c r="E35" s="254" t="s">
        <v>296</v>
      </c>
      <c r="F35" s="254" t="s">
        <v>458</v>
      </c>
      <c r="G35" s="254" t="s">
        <v>459</v>
      </c>
      <c r="H35" s="255">
        <v>1262</v>
      </c>
      <c r="I35" s="254" t="s">
        <v>270</v>
      </c>
      <c r="J35" s="254" t="s">
        <v>286</v>
      </c>
      <c r="K35" s="246">
        <f t="shared" si="0"/>
        <v>44759</v>
      </c>
      <c r="L35" s="246">
        <f t="shared" si="1"/>
        <v>44759</v>
      </c>
      <c r="M35" s="247">
        <f t="shared" si="2"/>
        <v>0.68618055555555557</v>
      </c>
      <c r="N35" s="246">
        <f t="shared" si="6"/>
        <v>44759</v>
      </c>
      <c r="O35" s="247">
        <f t="shared" si="3"/>
        <v>0.70078703703703704</v>
      </c>
      <c r="P35" s="247">
        <f t="shared" si="4"/>
        <v>0.70104166666666667</v>
      </c>
      <c r="Q35" s="247">
        <f t="shared" si="5"/>
        <v>2.5462962962963243E-4</v>
      </c>
    </row>
    <row r="36" spans="1:17" ht="15" customHeight="1" x14ac:dyDescent="0.25">
      <c r="A36" s="254" t="s">
        <v>386</v>
      </c>
      <c r="B36" s="254" t="s">
        <v>273</v>
      </c>
      <c r="C36" s="254" t="s">
        <v>271</v>
      </c>
      <c r="D36" s="254" t="s">
        <v>295</v>
      </c>
      <c r="E36" s="254" t="s">
        <v>296</v>
      </c>
      <c r="F36" s="254" t="s">
        <v>460</v>
      </c>
      <c r="G36" s="254" t="s">
        <v>461</v>
      </c>
      <c r="H36" s="255">
        <v>231</v>
      </c>
      <c r="I36" s="254" t="s">
        <v>270</v>
      </c>
      <c r="J36" s="254" t="s">
        <v>286</v>
      </c>
      <c r="K36" s="246">
        <f t="shared" si="0"/>
        <v>44759</v>
      </c>
      <c r="L36" s="246">
        <f t="shared" si="1"/>
        <v>44759</v>
      </c>
      <c r="M36" s="247">
        <f t="shared" si="2"/>
        <v>0.70104166666666667</v>
      </c>
      <c r="N36" s="246">
        <f t="shared" si="6"/>
        <v>44759</v>
      </c>
      <c r="O36" s="247">
        <f t="shared" si="3"/>
        <v>0.70371527777777776</v>
      </c>
      <c r="P36" s="247">
        <f t="shared" si="4"/>
        <v>0.70446759259259262</v>
      </c>
      <c r="Q36" s="247">
        <f t="shared" si="5"/>
        <v>7.523148148148584E-4</v>
      </c>
    </row>
    <row r="37" spans="1:17" ht="15" customHeight="1" x14ac:dyDescent="0.25">
      <c r="A37" s="254" t="s">
        <v>386</v>
      </c>
      <c r="B37" s="254" t="s">
        <v>273</v>
      </c>
      <c r="C37" s="254" t="s">
        <v>271</v>
      </c>
      <c r="D37" s="254" t="s">
        <v>295</v>
      </c>
      <c r="E37" s="254" t="s">
        <v>296</v>
      </c>
      <c r="F37" s="254" t="s">
        <v>462</v>
      </c>
      <c r="G37" s="254" t="s">
        <v>463</v>
      </c>
      <c r="H37" s="255">
        <v>14747</v>
      </c>
      <c r="I37" s="254" t="s">
        <v>270</v>
      </c>
      <c r="J37" s="254" t="s">
        <v>286</v>
      </c>
      <c r="K37" s="246">
        <f t="shared" si="0"/>
        <v>44759</v>
      </c>
      <c r="L37" s="246">
        <f t="shared" si="1"/>
        <v>44759</v>
      </c>
      <c r="M37" s="247">
        <f t="shared" si="2"/>
        <v>0.70446759259259262</v>
      </c>
      <c r="N37" s="246">
        <f t="shared" si="6"/>
        <v>44759</v>
      </c>
      <c r="O37" s="247">
        <f t="shared" si="3"/>
        <v>0.87515046296296295</v>
      </c>
      <c r="P37" s="247">
        <f t="shared" si="4"/>
        <v>0</v>
      </c>
      <c r="Q37" s="247">
        <f t="shared" si="5"/>
        <v>-0.87515046296296295</v>
      </c>
    </row>
    <row r="38" spans="1:17" ht="15" customHeight="1" x14ac:dyDescent="0.25">
      <c r="A38" s="254" t="s">
        <v>386</v>
      </c>
      <c r="B38" s="254" t="s">
        <v>273</v>
      </c>
      <c r="C38" s="254" t="s">
        <v>271</v>
      </c>
      <c r="D38" s="254" t="s">
        <v>360</v>
      </c>
      <c r="E38" s="254" t="s">
        <v>361</v>
      </c>
      <c r="F38" s="254" t="s">
        <v>464</v>
      </c>
      <c r="G38" s="254" t="s">
        <v>465</v>
      </c>
      <c r="H38" s="255">
        <v>62</v>
      </c>
      <c r="I38" s="254" t="s">
        <v>270</v>
      </c>
      <c r="J38" s="254" t="s">
        <v>286</v>
      </c>
      <c r="K38" s="246">
        <f t="shared" si="0"/>
        <v>44759</v>
      </c>
      <c r="L38" s="246">
        <f t="shared" si="1"/>
        <v>44759</v>
      </c>
      <c r="M38" s="247">
        <f t="shared" si="2"/>
        <v>0.36253472222222222</v>
      </c>
      <c r="N38" s="246">
        <f t="shared" si="6"/>
        <v>44759</v>
      </c>
      <c r="O38" s="247">
        <f t="shared" si="3"/>
        <v>0.36325231481481479</v>
      </c>
      <c r="P38" s="247">
        <f t="shared" si="4"/>
        <v>0.37527777777777777</v>
      </c>
      <c r="Q38" s="247">
        <f t="shared" si="5"/>
        <v>1.2025462962962974E-2</v>
      </c>
    </row>
    <row r="39" spans="1:17" ht="15" customHeight="1" x14ac:dyDescent="0.25">
      <c r="A39" s="254" t="s">
        <v>386</v>
      </c>
      <c r="B39" s="254" t="s">
        <v>273</v>
      </c>
      <c r="C39" s="254" t="s">
        <v>271</v>
      </c>
      <c r="D39" s="254" t="s">
        <v>360</v>
      </c>
      <c r="E39" s="254" t="s">
        <v>361</v>
      </c>
      <c r="F39" s="254" t="s">
        <v>466</v>
      </c>
      <c r="G39" s="254" t="s">
        <v>467</v>
      </c>
      <c r="H39" s="255">
        <v>544</v>
      </c>
      <c r="I39" s="254" t="s">
        <v>270</v>
      </c>
      <c r="J39" s="254" t="s">
        <v>286</v>
      </c>
      <c r="K39" s="246">
        <f t="shared" si="0"/>
        <v>44759</v>
      </c>
      <c r="L39" s="246">
        <f t="shared" si="1"/>
        <v>44759</v>
      </c>
      <c r="M39" s="247">
        <f t="shared" si="2"/>
        <v>0.37527777777777777</v>
      </c>
      <c r="N39" s="246">
        <f t="shared" si="6"/>
        <v>44759</v>
      </c>
      <c r="O39" s="247">
        <f t="shared" si="3"/>
        <v>0.38157407407407407</v>
      </c>
      <c r="P39" s="247">
        <f t="shared" si="4"/>
        <v>0.38162037037037039</v>
      </c>
      <c r="Q39" s="247">
        <f t="shared" si="5"/>
        <v>4.6296296296322037E-5</v>
      </c>
    </row>
    <row r="40" spans="1:17" ht="15" customHeight="1" x14ac:dyDescent="0.25">
      <c r="A40" s="254" t="s">
        <v>386</v>
      </c>
      <c r="B40" s="254" t="s">
        <v>273</v>
      </c>
      <c r="C40" s="254" t="s">
        <v>271</v>
      </c>
      <c r="D40" s="254" t="s">
        <v>360</v>
      </c>
      <c r="E40" s="254" t="s">
        <v>361</v>
      </c>
      <c r="F40" s="254" t="s">
        <v>468</v>
      </c>
      <c r="G40" s="254" t="s">
        <v>469</v>
      </c>
      <c r="H40" s="255">
        <v>59</v>
      </c>
      <c r="I40" s="254" t="s">
        <v>270</v>
      </c>
      <c r="J40" s="254" t="s">
        <v>286</v>
      </c>
      <c r="K40" s="246">
        <f t="shared" si="0"/>
        <v>44759</v>
      </c>
      <c r="L40" s="246">
        <f t="shared" si="1"/>
        <v>44759</v>
      </c>
      <c r="M40" s="247">
        <f t="shared" si="2"/>
        <v>0.38162037037037039</v>
      </c>
      <c r="N40" s="246">
        <f t="shared" si="6"/>
        <v>44759</v>
      </c>
      <c r="O40" s="247">
        <f t="shared" si="3"/>
        <v>0.38230324074074074</v>
      </c>
      <c r="P40" s="247">
        <f t="shared" si="4"/>
        <v>0.3830324074074074</v>
      </c>
      <c r="Q40" s="247">
        <f t="shared" si="5"/>
        <v>7.2916666666666963E-4</v>
      </c>
    </row>
    <row r="41" spans="1:17" ht="15" customHeight="1" x14ac:dyDescent="0.25">
      <c r="A41" s="254" t="s">
        <v>386</v>
      </c>
      <c r="B41" s="254" t="s">
        <v>273</v>
      </c>
      <c r="C41" s="254" t="s">
        <v>271</v>
      </c>
      <c r="D41" s="254" t="s">
        <v>360</v>
      </c>
      <c r="E41" s="254" t="s">
        <v>361</v>
      </c>
      <c r="F41" s="254" t="s">
        <v>470</v>
      </c>
      <c r="G41" s="254" t="s">
        <v>471</v>
      </c>
      <c r="H41" s="255">
        <v>1093</v>
      </c>
      <c r="I41" s="254" t="s">
        <v>270</v>
      </c>
      <c r="J41" s="254" t="s">
        <v>286</v>
      </c>
      <c r="K41" s="246">
        <f t="shared" si="0"/>
        <v>44759</v>
      </c>
      <c r="L41" s="246">
        <f t="shared" si="1"/>
        <v>44759</v>
      </c>
      <c r="M41" s="247">
        <f t="shared" si="2"/>
        <v>0.3830324074074074</v>
      </c>
      <c r="N41" s="246">
        <f t="shared" si="6"/>
        <v>44759</v>
      </c>
      <c r="O41" s="247">
        <f t="shared" si="3"/>
        <v>0.39568287037037037</v>
      </c>
      <c r="P41" s="247">
        <f t="shared" si="4"/>
        <v>0.39690972222222221</v>
      </c>
      <c r="Q41" s="247">
        <f t="shared" si="5"/>
        <v>1.2268518518518401E-3</v>
      </c>
    </row>
    <row r="42" spans="1:17" ht="15" customHeight="1" x14ac:dyDescent="0.25">
      <c r="A42" s="254" t="s">
        <v>386</v>
      </c>
      <c r="B42" s="254" t="s">
        <v>273</v>
      </c>
      <c r="C42" s="254" t="s">
        <v>271</v>
      </c>
      <c r="D42" s="254" t="s">
        <v>360</v>
      </c>
      <c r="E42" s="254" t="s">
        <v>361</v>
      </c>
      <c r="F42" s="254" t="s">
        <v>472</v>
      </c>
      <c r="G42" s="254" t="s">
        <v>473</v>
      </c>
      <c r="H42" s="255">
        <v>16173</v>
      </c>
      <c r="I42" s="254" t="s">
        <v>270</v>
      </c>
      <c r="J42" s="254" t="s">
        <v>286</v>
      </c>
      <c r="K42" s="246">
        <f t="shared" si="0"/>
        <v>44759</v>
      </c>
      <c r="L42" s="246">
        <f t="shared" si="1"/>
        <v>44759</v>
      </c>
      <c r="M42" s="247">
        <f t="shared" si="2"/>
        <v>0.39690972222222221</v>
      </c>
      <c r="N42" s="246">
        <f t="shared" si="6"/>
        <v>44759</v>
      </c>
      <c r="O42" s="247">
        <f t="shared" si="3"/>
        <v>0.58409722222222227</v>
      </c>
      <c r="P42" s="247">
        <f t="shared" si="4"/>
        <v>0.6262847222222222</v>
      </c>
      <c r="Q42" s="247">
        <f t="shared" si="5"/>
        <v>4.2187499999999933E-2</v>
      </c>
    </row>
    <row r="43" spans="1:17" ht="15" customHeight="1" x14ac:dyDescent="0.25">
      <c r="A43" s="254" t="s">
        <v>386</v>
      </c>
      <c r="B43" s="254" t="s">
        <v>273</v>
      </c>
      <c r="C43" s="254" t="s">
        <v>271</v>
      </c>
      <c r="D43" s="254" t="s">
        <v>360</v>
      </c>
      <c r="E43" s="254" t="s">
        <v>361</v>
      </c>
      <c r="F43" s="254" t="s">
        <v>411</v>
      </c>
      <c r="G43" s="254" t="s">
        <v>474</v>
      </c>
      <c r="H43" s="255">
        <v>5112</v>
      </c>
      <c r="I43" s="254" t="s">
        <v>270</v>
      </c>
      <c r="J43" s="254" t="s">
        <v>286</v>
      </c>
      <c r="K43" s="246">
        <f t="shared" si="0"/>
        <v>44759</v>
      </c>
      <c r="L43" s="246">
        <f t="shared" si="1"/>
        <v>44759</v>
      </c>
      <c r="M43" s="247">
        <f t="shared" si="2"/>
        <v>0.6262847222222222</v>
      </c>
      <c r="N43" s="246">
        <f t="shared" si="6"/>
        <v>44759</v>
      </c>
      <c r="O43" s="247">
        <f t="shared" si="3"/>
        <v>0.6854513888888889</v>
      </c>
      <c r="P43" s="247">
        <f t="shared" si="4"/>
        <v>0.68791666666666662</v>
      </c>
      <c r="Q43" s="247">
        <f t="shared" si="5"/>
        <v>2.4652777777777191E-3</v>
      </c>
    </row>
    <row r="44" spans="1:17" ht="15" customHeight="1" x14ac:dyDescent="0.25">
      <c r="A44" s="254" t="s">
        <v>386</v>
      </c>
      <c r="B44" s="254" t="s">
        <v>273</v>
      </c>
      <c r="C44" s="254" t="s">
        <v>271</v>
      </c>
      <c r="D44" s="254" t="s">
        <v>360</v>
      </c>
      <c r="E44" s="254" t="s">
        <v>361</v>
      </c>
      <c r="F44" s="254" t="s">
        <v>475</v>
      </c>
      <c r="G44" s="254" t="s">
        <v>476</v>
      </c>
      <c r="H44" s="255">
        <v>5370</v>
      </c>
      <c r="I44" s="254" t="s">
        <v>270</v>
      </c>
      <c r="J44" s="254" t="s">
        <v>286</v>
      </c>
      <c r="K44" s="246">
        <f t="shared" si="0"/>
        <v>44759</v>
      </c>
      <c r="L44" s="246">
        <f t="shared" si="1"/>
        <v>44759</v>
      </c>
      <c r="M44" s="247">
        <f t="shared" si="2"/>
        <v>0.68791666666666662</v>
      </c>
      <c r="N44" s="246">
        <f t="shared" si="6"/>
        <v>44759</v>
      </c>
      <c r="O44" s="247">
        <f t="shared" si="3"/>
        <v>0.75006944444444446</v>
      </c>
      <c r="P44" s="247">
        <f t="shared" si="4"/>
        <v>0</v>
      </c>
      <c r="Q44" s="247">
        <f t="shared" si="5"/>
        <v>-0.75006944444444446</v>
      </c>
    </row>
    <row r="45" spans="1:17" ht="15" customHeight="1" x14ac:dyDescent="0.25">
      <c r="A45" s="254" t="s">
        <v>386</v>
      </c>
      <c r="B45" s="254" t="s">
        <v>273</v>
      </c>
      <c r="C45" s="254" t="s">
        <v>271</v>
      </c>
      <c r="D45" s="254" t="s">
        <v>297</v>
      </c>
      <c r="E45" s="254" t="s">
        <v>298</v>
      </c>
      <c r="F45" s="254" t="s">
        <v>477</v>
      </c>
      <c r="G45" s="254" t="s">
        <v>478</v>
      </c>
      <c r="H45" s="255">
        <v>18069</v>
      </c>
      <c r="I45" s="254" t="s">
        <v>270</v>
      </c>
      <c r="J45" s="254" t="s">
        <v>391</v>
      </c>
      <c r="K45" s="246">
        <f t="shared" si="0"/>
        <v>44759</v>
      </c>
      <c r="L45" s="246">
        <f t="shared" si="1"/>
        <v>44759</v>
      </c>
      <c r="M45" s="247">
        <f t="shared" si="2"/>
        <v>0.45768518518518519</v>
      </c>
      <c r="N45" s="246">
        <f t="shared" si="6"/>
        <v>44759</v>
      </c>
      <c r="O45" s="247">
        <f t="shared" si="3"/>
        <v>0.66681712962962958</v>
      </c>
      <c r="P45" s="247">
        <f t="shared" si="4"/>
        <v>0.70700231481481479</v>
      </c>
      <c r="Q45" s="247">
        <f t="shared" si="5"/>
        <v>4.0185185185185213E-2</v>
      </c>
    </row>
    <row r="46" spans="1:17" ht="15" customHeight="1" x14ac:dyDescent="0.25">
      <c r="A46" s="254" t="s">
        <v>386</v>
      </c>
      <c r="B46" s="254" t="s">
        <v>273</v>
      </c>
      <c r="C46" s="254" t="s">
        <v>271</v>
      </c>
      <c r="D46" s="254" t="s">
        <v>297</v>
      </c>
      <c r="E46" s="254" t="s">
        <v>298</v>
      </c>
      <c r="F46" s="254" t="s">
        <v>479</v>
      </c>
      <c r="G46" s="254" t="s">
        <v>480</v>
      </c>
      <c r="H46" s="255">
        <v>14521</v>
      </c>
      <c r="I46" s="254" t="s">
        <v>270</v>
      </c>
      <c r="J46" s="254" t="s">
        <v>391</v>
      </c>
      <c r="K46" s="246">
        <f t="shared" si="0"/>
        <v>44759</v>
      </c>
      <c r="L46" s="246">
        <f t="shared" si="1"/>
        <v>44759</v>
      </c>
      <c r="M46" s="247">
        <f t="shared" si="2"/>
        <v>0.70700231481481479</v>
      </c>
      <c r="N46" s="246">
        <f t="shared" si="6"/>
        <v>44759</v>
      </c>
      <c r="O46" s="247">
        <f t="shared" si="3"/>
        <v>0.87506944444444446</v>
      </c>
      <c r="P46" s="247">
        <f t="shared" si="4"/>
        <v>0</v>
      </c>
      <c r="Q46" s="247">
        <f t="shared" si="5"/>
        <v>-0.87506944444444446</v>
      </c>
    </row>
    <row r="47" spans="1:17" ht="15" customHeight="1" x14ac:dyDescent="0.25">
      <c r="A47" s="254" t="s">
        <v>386</v>
      </c>
      <c r="B47" s="254" t="s">
        <v>273</v>
      </c>
      <c r="C47" s="254" t="s">
        <v>271</v>
      </c>
      <c r="D47" s="254" t="s">
        <v>299</v>
      </c>
      <c r="E47" s="254" t="s">
        <v>300</v>
      </c>
      <c r="F47" s="254" t="s">
        <v>482</v>
      </c>
      <c r="G47" s="254" t="s">
        <v>483</v>
      </c>
      <c r="H47" s="255">
        <v>14465</v>
      </c>
      <c r="I47" s="254" t="s">
        <v>270</v>
      </c>
      <c r="J47" s="254" t="s">
        <v>391</v>
      </c>
      <c r="K47" s="246">
        <f t="shared" si="0"/>
        <v>44759</v>
      </c>
      <c r="L47" s="246">
        <f t="shared" si="1"/>
        <v>44759</v>
      </c>
      <c r="M47" s="247">
        <f t="shared" si="2"/>
        <v>0.45787037037037037</v>
      </c>
      <c r="N47" s="246">
        <f t="shared" si="6"/>
        <v>44759</v>
      </c>
      <c r="O47" s="247">
        <f t="shared" si="3"/>
        <v>0.62528935185185186</v>
      </c>
      <c r="P47" s="247">
        <f t="shared" si="4"/>
        <v>0.66637731481481477</v>
      </c>
      <c r="Q47" s="247">
        <f t="shared" si="5"/>
        <v>4.108796296296291E-2</v>
      </c>
    </row>
    <row r="48" spans="1:17" ht="15" customHeight="1" x14ac:dyDescent="0.25">
      <c r="A48" s="254" t="s">
        <v>386</v>
      </c>
      <c r="B48" s="254" t="s">
        <v>273</v>
      </c>
      <c r="C48" s="254" t="s">
        <v>271</v>
      </c>
      <c r="D48" s="254" t="s">
        <v>299</v>
      </c>
      <c r="E48" s="254" t="s">
        <v>300</v>
      </c>
      <c r="F48" s="254" t="s">
        <v>484</v>
      </c>
      <c r="G48" s="254" t="s">
        <v>480</v>
      </c>
      <c r="H48" s="255">
        <v>18031</v>
      </c>
      <c r="I48" s="254" t="s">
        <v>270</v>
      </c>
      <c r="J48" s="254" t="s">
        <v>391</v>
      </c>
      <c r="K48" s="246">
        <f t="shared" si="0"/>
        <v>44759</v>
      </c>
      <c r="L48" s="246">
        <f t="shared" si="1"/>
        <v>44759</v>
      </c>
      <c r="M48" s="247">
        <f t="shared" si="2"/>
        <v>0.66637731481481477</v>
      </c>
      <c r="N48" s="246">
        <f t="shared" si="6"/>
        <v>44759</v>
      </c>
      <c r="O48" s="247">
        <f t="shared" si="3"/>
        <v>0.87506944444444446</v>
      </c>
      <c r="P48" s="247">
        <f t="shared" si="4"/>
        <v>0</v>
      </c>
      <c r="Q48" s="247">
        <f t="shared" si="5"/>
        <v>-0.87506944444444446</v>
      </c>
    </row>
    <row r="49" spans="1:17" ht="15" customHeight="1" x14ac:dyDescent="0.25">
      <c r="A49" s="254" t="s">
        <v>386</v>
      </c>
      <c r="B49" s="254" t="s">
        <v>273</v>
      </c>
      <c r="C49" s="254" t="s">
        <v>271</v>
      </c>
      <c r="D49" s="254" t="s">
        <v>364</v>
      </c>
      <c r="E49" s="254" t="s">
        <v>365</v>
      </c>
      <c r="F49" s="254" t="s">
        <v>485</v>
      </c>
      <c r="G49" s="254" t="s">
        <v>486</v>
      </c>
      <c r="H49" s="255">
        <v>18879</v>
      </c>
      <c r="I49" s="254" t="s">
        <v>270</v>
      </c>
      <c r="J49" s="254" t="s">
        <v>286</v>
      </c>
      <c r="K49" s="246">
        <f t="shared" si="0"/>
        <v>44759</v>
      </c>
      <c r="L49" s="246">
        <f t="shared" si="1"/>
        <v>44759</v>
      </c>
      <c r="M49" s="247">
        <f t="shared" si="2"/>
        <v>0.32685185185185184</v>
      </c>
      <c r="N49" s="246">
        <f t="shared" si="6"/>
        <v>44759</v>
      </c>
      <c r="O49" s="247">
        <f t="shared" si="3"/>
        <v>0.54535879629629624</v>
      </c>
      <c r="P49" s="247">
        <f t="shared" si="4"/>
        <v>0.58625000000000005</v>
      </c>
      <c r="Q49" s="247">
        <f t="shared" si="5"/>
        <v>4.0891203703703805E-2</v>
      </c>
    </row>
    <row r="50" spans="1:17" ht="15" customHeight="1" x14ac:dyDescent="0.25">
      <c r="A50" s="254" t="s">
        <v>386</v>
      </c>
      <c r="B50" s="254" t="s">
        <v>273</v>
      </c>
      <c r="C50" s="254" t="s">
        <v>271</v>
      </c>
      <c r="D50" s="254" t="s">
        <v>364</v>
      </c>
      <c r="E50" s="254" t="s">
        <v>365</v>
      </c>
      <c r="F50" s="254" t="s">
        <v>487</v>
      </c>
      <c r="G50" s="254" t="s">
        <v>432</v>
      </c>
      <c r="H50" s="255">
        <v>14151</v>
      </c>
      <c r="I50" s="254" t="s">
        <v>270</v>
      </c>
      <c r="J50" s="254" t="s">
        <v>286</v>
      </c>
      <c r="K50" s="246">
        <f t="shared" si="0"/>
        <v>44759</v>
      </c>
      <c r="L50" s="246">
        <f t="shared" si="1"/>
        <v>44759</v>
      </c>
      <c r="M50" s="247">
        <f t="shared" si="2"/>
        <v>0.58625000000000005</v>
      </c>
      <c r="N50" s="246">
        <f t="shared" si="6"/>
        <v>44759</v>
      </c>
      <c r="O50" s="247">
        <f t="shared" si="3"/>
        <v>0.75003472222222223</v>
      </c>
      <c r="P50" s="247">
        <f t="shared" si="4"/>
        <v>0</v>
      </c>
      <c r="Q50" s="247">
        <f t="shared" si="5"/>
        <v>-0.75003472222222223</v>
      </c>
    </row>
    <row r="51" spans="1:17" ht="15" customHeight="1" x14ac:dyDescent="0.25">
      <c r="A51" s="254" t="s">
        <v>386</v>
      </c>
      <c r="B51" s="254" t="s">
        <v>273</v>
      </c>
      <c r="C51" s="254" t="s">
        <v>271</v>
      </c>
      <c r="D51" s="254" t="s">
        <v>301</v>
      </c>
      <c r="E51" s="254" t="s">
        <v>302</v>
      </c>
      <c r="F51" s="254" t="s">
        <v>445</v>
      </c>
      <c r="G51" s="254" t="s">
        <v>419</v>
      </c>
      <c r="H51" s="255">
        <v>14402</v>
      </c>
      <c r="I51" s="254" t="s">
        <v>270</v>
      </c>
      <c r="J51" s="254" t="s">
        <v>391</v>
      </c>
      <c r="K51" s="246">
        <f t="shared" si="0"/>
        <v>44759</v>
      </c>
      <c r="L51" s="246">
        <f t="shared" si="1"/>
        <v>44759</v>
      </c>
      <c r="M51" s="247">
        <f t="shared" si="2"/>
        <v>0.50013888888888891</v>
      </c>
      <c r="N51" s="246">
        <f t="shared" si="6"/>
        <v>44759</v>
      </c>
      <c r="O51" s="247">
        <f t="shared" si="3"/>
        <v>0.66682870370370373</v>
      </c>
      <c r="P51" s="247">
        <f t="shared" si="4"/>
        <v>0.70276620370370368</v>
      </c>
      <c r="Q51" s="247">
        <f t="shared" si="5"/>
        <v>3.5937499999999956E-2</v>
      </c>
    </row>
    <row r="52" spans="1:17" ht="15" customHeight="1" x14ac:dyDescent="0.25">
      <c r="A52" s="254" t="s">
        <v>386</v>
      </c>
      <c r="B52" s="254" t="s">
        <v>273</v>
      </c>
      <c r="C52" s="254" t="s">
        <v>271</v>
      </c>
      <c r="D52" s="254" t="s">
        <v>301</v>
      </c>
      <c r="E52" s="254" t="s">
        <v>302</v>
      </c>
      <c r="F52" s="254" t="s">
        <v>488</v>
      </c>
      <c r="G52" s="254" t="s">
        <v>489</v>
      </c>
      <c r="H52" s="255">
        <v>23</v>
      </c>
      <c r="I52" s="254" t="s">
        <v>270</v>
      </c>
      <c r="J52" s="254" t="s">
        <v>391</v>
      </c>
      <c r="K52" s="246">
        <f t="shared" si="0"/>
        <v>44759</v>
      </c>
      <c r="L52" s="246">
        <f t="shared" si="1"/>
        <v>44759</v>
      </c>
      <c r="M52" s="247">
        <f t="shared" si="2"/>
        <v>0.70276620370370368</v>
      </c>
      <c r="N52" s="246">
        <f t="shared" si="6"/>
        <v>44759</v>
      </c>
      <c r="O52" s="247">
        <f t="shared" si="3"/>
        <v>0.70303240740740736</v>
      </c>
      <c r="P52" s="247">
        <f t="shared" si="4"/>
        <v>0.70906250000000004</v>
      </c>
      <c r="Q52" s="247">
        <f t="shared" si="5"/>
        <v>6.030092592592684E-3</v>
      </c>
    </row>
    <row r="53" spans="1:17" ht="15" customHeight="1" x14ac:dyDescent="0.25">
      <c r="A53" s="254" t="s">
        <v>386</v>
      </c>
      <c r="B53" s="254" t="s">
        <v>273</v>
      </c>
      <c r="C53" s="254" t="s">
        <v>271</v>
      </c>
      <c r="D53" s="254" t="s">
        <v>301</v>
      </c>
      <c r="E53" s="254" t="s">
        <v>302</v>
      </c>
      <c r="F53" s="254" t="s">
        <v>490</v>
      </c>
      <c r="G53" s="254" t="s">
        <v>428</v>
      </c>
      <c r="H53" s="255">
        <v>14340</v>
      </c>
      <c r="I53" s="254" t="s">
        <v>270</v>
      </c>
      <c r="J53" s="254" t="s">
        <v>391</v>
      </c>
      <c r="K53" s="246">
        <f t="shared" si="0"/>
        <v>44759</v>
      </c>
      <c r="L53" s="246">
        <f t="shared" si="1"/>
        <v>44759</v>
      </c>
      <c r="M53" s="247">
        <f t="shared" si="2"/>
        <v>0.70906250000000004</v>
      </c>
      <c r="N53" s="246">
        <f t="shared" si="6"/>
        <v>44759</v>
      </c>
      <c r="O53" s="247">
        <f t="shared" si="3"/>
        <v>0.87503472222222223</v>
      </c>
      <c r="P53" s="247">
        <f t="shared" si="4"/>
        <v>0</v>
      </c>
      <c r="Q53" s="247">
        <f t="shared" si="5"/>
        <v>-0.87503472222222223</v>
      </c>
    </row>
    <row r="54" spans="1:17" ht="15" customHeight="1" x14ac:dyDescent="0.25">
      <c r="A54" s="254" t="s">
        <v>386</v>
      </c>
      <c r="B54" s="254" t="s">
        <v>273</v>
      </c>
      <c r="C54" s="254" t="s">
        <v>271</v>
      </c>
      <c r="D54" s="254" t="s">
        <v>303</v>
      </c>
      <c r="E54" s="254" t="s">
        <v>304</v>
      </c>
      <c r="F54" s="254" t="s">
        <v>491</v>
      </c>
      <c r="G54" s="254" t="s">
        <v>492</v>
      </c>
      <c r="H54" s="255">
        <v>18436</v>
      </c>
      <c r="I54" s="254" t="s">
        <v>270</v>
      </c>
      <c r="J54" s="254" t="s">
        <v>278</v>
      </c>
      <c r="K54" s="246">
        <f t="shared" si="0"/>
        <v>44759</v>
      </c>
      <c r="L54" s="246">
        <f t="shared" si="1"/>
        <v>44759</v>
      </c>
      <c r="M54" s="247">
        <f t="shared" si="2"/>
        <v>0.33251157407407406</v>
      </c>
      <c r="N54" s="246">
        <f t="shared" si="6"/>
        <v>44759</v>
      </c>
      <c r="O54" s="247">
        <f t="shared" si="3"/>
        <v>0.5458912037037037</v>
      </c>
      <c r="P54" s="247">
        <f t="shared" si="4"/>
        <v>0.58334490740740741</v>
      </c>
      <c r="Q54" s="247">
        <f t="shared" si="5"/>
        <v>3.7453703703703711E-2</v>
      </c>
    </row>
    <row r="55" spans="1:17" ht="15" customHeight="1" x14ac:dyDescent="0.25">
      <c r="A55" s="254" t="s">
        <v>386</v>
      </c>
      <c r="B55" s="254" t="s">
        <v>273</v>
      </c>
      <c r="C55" s="254" t="s">
        <v>271</v>
      </c>
      <c r="D55" s="254" t="s">
        <v>303</v>
      </c>
      <c r="E55" s="254" t="s">
        <v>304</v>
      </c>
      <c r="F55" s="254" t="s">
        <v>396</v>
      </c>
      <c r="G55" s="254" t="s">
        <v>493</v>
      </c>
      <c r="H55" s="255">
        <v>14407</v>
      </c>
      <c r="I55" s="254" t="s">
        <v>270</v>
      </c>
      <c r="J55" s="254" t="s">
        <v>278</v>
      </c>
      <c r="K55" s="246">
        <f t="shared" si="0"/>
        <v>44759</v>
      </c>
      <c r="L55" s="246">
        <f t="shared" si="1"/>
        <v>44759</v>
      </c>
      <c r="M55" s="247">
        <f t="shared" si="2"/>
        <v>0.58334490740740741</v>
      </c>
      <c r="N55" s="246">
        <f t="shared" si="6"/>
        <v>44759</v>
      </c>
      <c r="O55" s="247">
        <f t="shared" si="3"/>
        <v>0.75009259259259264</v>
      </c>
      <c r="P55" s="247">
        <f t="shared" si="4"/>
        <v>0</v>
      </c>
      <c r="Q55" s="247">
        <f t="shared" si="5"/>
        <v>-0.75009259259259264</v>
      </c>
    </row>
    <row r="56" spans="1:17" ht="15" customHeight="1" x14ac:dyDescent="0.25">
      <c r="A56" s="254" t="s">
        <v>386</v>
      </c>
      <c r="B56" s="254" t="s">
        <v>273</v>
      </c>
      <c r="C56" s="254" t="s">
        <v>271</v>
      </c>
      <c r="D56" s="254" t="s">
        <v>305</v>
      </c>
      <c r="E56" s="254" t="s">
        <v>306</v>
      </c>
      <c r="F56" s="254" t="s">
        <v>494</v>
      </c>
      <c r="G56" s="254" t="s">
        <v>495</v>
      </c>
      <c r="H56" s="255">
        <v>1869</v>
      </c>
      <c r="I56" s="254" t="s">
        <v>270</v>
      </c>
      <c r="J56" s="254" t="s">
        <v>278</v>
      </c>
      <c r="K56" s="246">
        <f t="shared" si="0"/>
        <v>44759</v>
      </c>
      <c r="L56" s="246">
        <f t="shared" si="1"/>
        <v>44759</v>
      </c>
      <c r="M56" s="247">
        <f t="shared" si="2"/>
        <v>0.37474537037037037</v>
      </c>
      <c r="N56" s="246">
        <f t="shared" si="6"/>
        <v>44759</v>
      </c>
      <c r="O56" s="247">
        <f t="shared" si="3"/>
        <v>0.39637731481481481</v>
      </c>
      <c r="P56" s="247">
        <f t="shared" si="4"/>
        <v>0.40688657407407408</v>
      </c>
      <c r="Q56" s="247">
        <f t="shared" si="5"/>
        <v>1.0509259259259274E-2</v>
      </c>
    </row>
    <row r="57" spans="1:17" ht="15" customHeight="1" x14ac:dyDescent="0.25">
      <c r="A57" s="254" t="s">
        <v>386</v>
      </c>
      <c r="B57" s="254" t="s">
        <v>273</v>
      </c>
      <c r="C57" s="254" t="s">
        <v>271</v>
      </c>
      <c r="D57" s="254" t="s">
        <v>305</v>
      </c>
      <c r="E57" s="254" t="s">
        <v>306</v>
      </c>
      <c r="F57" s="254" t="s">
        <v>496</v>
      </c>
      <c r="G57" s="254" t="s">
        <v>387</v>
      </c>
      <c r="H57" s="255">
        <v>15249</v>
      </c>
      <c r="I57" s="254" t="s">
        <v>270</v>
      </c>
      <c r="J57" s="254" t="s">
        <v>278</v>
      </c>
      <c r="K57" s="246">
        <f t="shared" si="0"/>
        <v>44759</v>
      </c>
      <c r="L57" s="246">
        <f t="shared" si="1"/>
        <v>44759</v>
      </c>
      <c r="M57" s="247">
        <f t="shared" si="2"/>
        <v>0.40688657407407408</v>
      </c>
      <c r="N57" s="246">
        <f t="shared" si="6"/>
        <v>44759</v>
      </c>
      <c r="O57" s="247">
        <f t="shared" si="3"/>
        <v>0.58337962962962964</v>
      </c>
      <c r="P57" s="247">
        <f t="shared" si="4"/>
        <v>0.62459490740740742</v>
      </c>
      <c r="Q57" s="247">
        <f t="shared" si="5"/>
        <v>4.1215277777777781E-2</v>
      </c>
    </row>
    <row r="58" spans="1:17" ht="15" customHeight="1" x14ac:dyDescent="0.25">
      <c r="A58" s="254" t="s">
        <v>386</v>
      </c>
      <c r="B58" s="254" t="s">
        <v>273</v>
      </c>
      <c r="C58" s="254" t="s">
        <v>271</v>
      </c>
      <c r="D58" s="254" t="s">
        <v>305</v>
      </c>
      <c r="E58" s="254" t="s">
        <v>306</v>
      </c>
      <c r="F58" s="254" t="s">
        <v>497</v>
      </c>
      <c r="G58" s="254" t="s">
        <v>498</v>
      </c>
      <c r="H58" s="255">
        <v>10</v>
      </c>
      <c r="I58" s="254" t="s">
        <v>270</v>
      </c>
      <c r="J58" s="254" t="s">
        <v>278</v>
      </c>
      <c r="K58" s="246">
        <f t="shared" si="0"/>
        <v>44759</v>
      </c>
      <c r="L58" s="246">
        <f t="shared" si="1"/>
        <v>44759</v>
      </c>
      <c r="M58" s="247">
        <f t="shared" si="2"/>
        <v>0.62459490740740742</v>
      </c>
      <c r="N58" s="246">
        <f t="shared" si="6"/>
        <v>44759</v>
      </c>
      <c r="O58" s="247">
        <f t="shared" si="3"/>
        <v>0.62471064814814814</v>
      </c>
      <c r="P58" s="247">
        <f t="shared" si="4"/>
        <v>0.62495370370370373</v>
      </c>
      <c r="Q58" s="247">
        <f t="shared" si="5"/>
        <v>2.4305555555559355E-4</v>
      </c>
    </row>
    <row r="59" spans="1:17" ht="15" customHeight="1" x14ac:dyDescent="0.25">
      <c r="A59" s="254" t="s">
        <v>386</v>
      </c>
      <c r="B59" s="254" t="s">
        <v>273</v>
      </c>
      <c r="C59" s="254" t="s">
        <v>271</v>
      </c>
      <c r="D59" s="254" t="s">
        <v>305</v>
      </c>
      <c r="E59" s="254" t="s">
        <v>306</v>
      </c>
      <c r="F59" s="254" t="s">
        <v>499</v>
      </c>
      <c r="G59" s="254" t="s">
        <v>500</v>
      </c>
      <c r="H59" s="255">
        <v>6645</v>
      </c>
      <c r="I59" s="254" t="s">
        <v>270</v>
      </c>
      <c r="J59" s="254" t="s">
        <v>278</v>
      </c>
      <c r="K59" s="246">
        <f t="shared" si="0"/>
        <v>44759</v>
      </c>
      <c r="L59" s="246">
        <f t="shared" si="1"/>
        <v>44759</v>
      </c>
      <c r="M59" s="247">
        <f t="shared" si="2"/>
        <v>0.62495370370370373</v>
      </c>
      <c r="N59" s="246">
        <f t="shared" si="6"/>
        <v>44759</v>
      </c>
      <c r="O59" s="247">
        <f t="shared" si="3"/>
        <v>0.70186342592592588</v>
      </c>
      <c r="P59" s="247">
        <f t="shared" si="4"/>
        <v>0.70993055555555551</v>
      </c>
      <c r="Q59" s="247">
        <f t="shared" si="5"/>
        <v>8.0671296296296324E-3</v>
      </c>
    </row>
    <row r="60" spans="1:17" ht="15" customHeight="1" x14ac:dyDescent="0.25">
      <c r="A60" s="254" t="s">
        <v>386</v>
      </c>
      <c r="B60" s="254" t="s">
        <v>273</v>
      </c>
      <c r="C60" s="254" t="s">
        <v>271</v>
      </c>
      <c r="D60" s="254" t="s">
        <v>305</v>
      </c>
      <c r="E60" s="254" t="s">
        <v>306</v>
      </c>
      <c r="F60" s="254" t="s">
        <v>501</v>
      </c>
      <c r="G60" s="254" t="s">
        <v>476</v>
      </c>
      <c r="H60" s="255">
        <v>3468</v>
      </c>
      <c r="I60" s="254" t="s">
        <v>270</v>
      </c>
      <c r="J60" s="254" t="s">
        <v>278</v>
      </c>
      <c r="K60" s="246">
        <f t="shared" si="0"/>
        <v>44759</v>
      </c>
      <c r="L60" s="246">
        <f t="shared" si="1"/>
        <v>44759</v>
      </c>
      <c r="M60" s="247">
        <f t="shared" si="2"/>
        <v>0.70993055555555551</v>
      </c>
      <c r="N60" s="246">
        <f t="shared" si="6"/>
        <v>44759</v>
      </c>
      <c r="O60" s="247">
        <f t="shared" si="3"/>
        <v>0.75006944444444446</v>
      </c>
      <c r="P60" s="247">
        <f t="shared" si="4"/>
        <v>0</v>
      </c>
      <c r="Q60" s="247">
        <f t="shared" si="5"/>
        <v>-0.75006944444444446</v>
      </c>
    </row>
    <row r="61" spans="1:17" ht="15" customHeight="1" x14ac:dyDescent="0.25">
      <c r="A61" s="254" t="s">
        <v>386</v>
      </c>
      <c r="B61" s="254" t="s">
        <v>273</v>
      </c>
      <c r="C61" s="254" t="s">
        <v>271</v>
      </c>
      <c r="D61" s="254" t="s">
        <v>307</v>
      </c>
      <c r="E61" s="254" t="s">
        <v>308</v>
      </c>
      <c r="F61" s="254" t="s">
        <v>502</v>
      </c>
      <c r="G61" s="254" t="s">
        <v>503</v>
      </c>
      <c r="H61" s="255">
        <v>4758</v>
      </c>
      <c r="I61" s="254" t="s">
        <v>270</v>
      </c>
      <c r="J61" s="254" t="s">
        <v>286</v>
      </c>
      <c r="K61" s="246">
        <f t="shared" si="0"/>
        <v>44759</v>
      </c>
      <c r="L61" s="246">
        <f t="shared" si="1"/>
        <v>44759</v>
      </c>
      <c r="M61" s="247">
        <f t="shared" si="2"/>
        <v>0.4563888888888889</v>
      </c>
      <c r="N61" s="246">
        <f t="shared" si="6"/>
        <v>44759</v>
      </c>
      <c r="O61" s="247">
        <f t="shared" si="3"/>
        <v>0.51145833333333335</v>
      </c>
      <c r="P61" s="247">
        <f t="shared" si="4"/>
        <v>0.51184027777777774</v>
      </c>
      <c r="Q61" s="247">
        <f t="shared" si="5"/>
        <v>3.8194444444439313E-4</v>
      </c>
    </row>
    <row r="62" spans="1:17" ht="15" customHeight="1" x14ac:dyDescent="0.25">
      <c r="A62" s="254" t="s">
        <v>386</v>
      </c>
      <c r="B62" s="254" t="s">
        <v>273</v>
      </c>
      <c r="C62" s="254" t="s">
        <v>271</v>
      </c>
      <c r="D62" s="254" t="s">
        <v>307</v>
      </c>
      <c r="E62" s="254" t="s">
        <v>308</v>
      </c>
      <c r="F62" s="254" t="s">
        <v>504</v>
      </c>
      <c r="G62" s="254" t="s">
        <v>505</v>
      </c>
      <c r="H62" s="255">
        <v>9790</v>
      </c>
      <c r="I62" s="254" t="s">
        <v>270</v>
      </c>
      <c r="J62" s="254" t="s">
        <v>286</v>
      </c>
      <c r="K62" s="246">
        <f t="shared" si="0"/>
        <v>44759</v>
      </c>
      <c r="L62" s="246">
        <f t="shared" si="1"/>
        <v>44759</v>
      </c>
      <c r="M62" s="247">
        <f t="shared" si="2"/>
        <v>0.51184027777777774</v>
      </c>
      <c r="N62" s="246">
        <f t="shared" si="6"/>
        <v>44759</v>
      </c>
      <c r="O62" s="247">
        <f t="shared" si="3"/>
        <v>0.62515046296296295</v>
      </c>
      <c r="P62" s="247">
        <f t="shared" si="4"/>
        <v>0.66467592592592595</v>
      </c>
      <c r="Q62" s="247">
        <f t="shared" si="5"/>
        <v>3.9525462962962998E-2</v>
      </c>
    </row>
    <row r="63" spans="1:17" ht="15" customHeight="1" x14ac:dyDescent="0.25">
      <c r="A63" s="254" t="s">
        <v>386</v>
      </c>
      <c r="B63" s="254" t="s">
        <v>273</v>
      </c>
      <c r="C63" s="254" t="s">
        <v>271</v>
      </c>
      <c r="D63" s="254" t="s">
        <v>307</v>
      </c>
      <c r="E63" s="254" t="s">
        <v>308</v>
      </c>
      <c r="F63" s="254" t="s">
        <v>506</v>
      </c>
      <c r="G63" s="254" t="s">
        <v>507</v>
      </c>
      <c r="H63" s="255">
        <v>3614</v>
      </c>
      <c r="I63" s="254" t="s">
        <v>270</v>
      </c>
      <c r="J63" s="254" t="s">
        <v>286</v>
      </c>
      <c r="K63" s="246">
        <f t="shared" si="0"/>
        <v>44759</v>
      </c>
      <c r="L63" s="246">
        <f t="shared" si="1"/>
        <v>44759</v>
      </c>
      <c r="M63" s="247">
        <f t="shared" si="2"/>
        <v>0.66467592592592595</v>
      </c>
      <c r="N63" s="246">
        <f t="shared" si="6"/>
        <v>44759</v>
      </c>
      <c r="O63" s="247">
        <f t="shared" si="3"/>
        <v>0.70650462962962968</v>
      </c>
      <c r="P63" s="247">
        <f t="shared" si="4"/>
        <v>0.70726851851851846</v>
      </c>
      <c r="Q63" s="247">
        <f t="shared" si="5"/>
        <v>7.6388888888878625E-4</v>
      </c>
    </row>
    <row r="64" spans="1:17" ht="15" customHeight="1" x14ac:dyDescent="0.25">
      <c r="A64" s="254" t="s">
        <v>386</v>
      </c>
      <c r="B64" s="254" t="s">
        <v>273</v>
      </c>
      <c r="C64" s="254" t="s">
        <v>271</v>
      </c>
      <c r="D64" s="254" t="s">
        <v>307</v>
      </c>
      <c r="E64" s="254" t="s">
        <v>308</v>
      </c>
      <c r="F64" s="254" t="s">
        <v>508</v>
      </c>
      <c r="G64" s="254" t="s">
        <v>509</v>
      </c>
      <c r="H64" s="255">
        <v>3234</v>
      </c>
      <c r="I64" s="254" t="s">
        <v>270</v>
      </c>
      <c r="J64" s="254" t="s">
        <v>286</v>
      </c>
      <c r="K64" s="246">
        <f t="shared" si="0"/>
        <v>44759</v>
      </c>
      <c r="L64" s="246">
        <f t="shared" si="1"/>
        <v>44759</v>
      </c>
      <c r="M64" s="247">
        <f t="shared" si="2"/>
        <v>0.70726851851851846</v>
      </c>
      <c r="N64" s="246">
        <f t="shared" si="6"/>
        <v>44759</v>
      </c>
      <c r="O64" s="247">
        <f t="shared" si="3"/>
        <v>0.7446990740740741</v>
      </c>
      <c r="P64" s="247">
        <f t="shared" si="4"/>
        <v>0.74511574074074072</v>
      </c>
      <c r="Q64" s="247">
        <f t="shared" si="5"/>
        <v>4.1666666666662078E-4</v>
      </c>
    </row>
    <row r="65" spans="1:17" ht="15" customHeight="1" x14ac:dyDescent="0.25">
      <c r="A65" s="254" t="s">
        <v>386</v>
      </c>
      <c r="B65" s="254" t="s">
        <v>273</v>
      </c>
      <c r="C65" s="254" t="s">
        <v>271</v>
      </c>
      <c r="D65" s="254" t="s">
        <v>307</v>
      </c>
      <c r="E65" s="254" t="s">
        <v>308</v>
      </c>
      <c r="F65" s="254" t="s">
        <v>510</v>
      </c>
      <c r="G65" s="254" t="s">
        <v>511</v>
      </c>
      <c r="H65" s="255">
        <v>1592</v>
      </c>
      <c r="I65" s="254" t="s">
        <v>270</v>
      </c>
      <c r="J65" s="254" t="s">
        <v>286</v>
      </c>
      <c r="K65" s="246">
        <f t="shared" si="0"/>
        <v>44759</v>
      </c>
      <c r="L65" s="246">
        <f t="shared" si="1"/>
        <v>44759</v>
      </c>
      <c r="M65" s="247">
        <f t="shared" si="2"/>
        <v>0.74511574074074072</v>
      </c>
      <c r="N65" s="246">
        <f t="shared" si="6"/>
        <v>44759</v>
      </c>
      <c r="O65" s="247">
        <f t="shared" si="3"/>
        <v>0.76354166666666667</v>
      </c>
      <c r="P65" s="247">
        <f t="shared" si="4"/>
        <v>0.7638773148148148</v>
      </c>
      <c r="Q65" s="247">
        <f t="shared" si="5"/>
        <v>3.356481481481266E-4</v>
      </c>
    </row>
    <row r="66" spans="1:17" ht="15" customHeight="1" x14ac:dyDescent="0.25">
      <c r="A66" s="254" t="s">
        <v>386</v>
      </c>
      <c r="B66" s="254" t="s">
        <v>273</v>
      </c>
      <c r="C66" s="254" t="s">
        <v>271</v>
      </c>
      <c r="D66" s="254" t="s">
        <v>307</v>
      </c>
      <c r="E66" s="254" t="s">
        <v>308</v>
      </c>
      <c r="F66" s="254" t="s">
        <v>512</v>
      </c>
      <c r="G66" s="254" t="s">
        <v>513</v>
      </c>
      <c r="H66" s="255">
        <v>8899</v>
      </c>
      <c r="I66" s="254" t="s">
        <v>270</v>
      </c>
      <c r="J66" s="254" t="s">
        <v>286</v>
      </c>
      <c r="K66" s="246">
        <f t="shared" ref="K66:K129" si="7">DATE(VALUE(LEFT(A66,4)),VALUE(MID(A66,5,2)),VALUE(RIGHT(A66,2)))</f>
        <v>44759</v>
      </c>
      <c r="L66" s="246">
        <f t="shared" ref="L66:L129" si="8">DATEVALUE(LEFT(F66,10))</f>
        <v>44759</v>
      </c>
      <c r="M66" s="247">
        <f t="shared" ref="M66:M129" si="9">TIMEVALUE(MID(F66,12,8))</f>
        <v>0.7638773148148148</v>
      </c>
      <c r="N66" s="246">
        <f t="shared" ref="N66:N129" si="10">DATEVALUE(LEFT(G66,10))</f>
        <v>44759</v>
      </c>
      <c r="O66" s="247">
        <f t="shared" ref="O66:O129" si="11">TIMEVALUE(MID(G66,12,8))</f>
        <v>0.86687499999999995</v>
      </c>
      <c r="P66" s="247">
        <f t="shared" ref="P66:P129" si="12">IFERROR(_xlfn.MINIFS($M:$M,$E:$E,$E66,$K:$K,$K66,$M:$M,"&gt;"&amp;$O66),"")</f>
        <v>0.86730324074074072</v>
      </c>
      <c r="Q66" s="247">
        <f t="shared" ref="Q66:Q129" si="13">IF($P66="","",$P66-$O66)</f>
        <v>4.2824074074077068E-4</v>
      </c>
    </row>
    <row r="67" spans="1:17" ht="15" customHeight="1" x14ac:dyDescent="0.25">
      <c r="A67" s="254" t="s">
        <v>386</v>
      </c>
      <c r="B67" s="254" t="s">
        <v>273</v>
      </c>
      <c r="C67" s="254" t="s">
        <v>271</v>
      </c>
      <c r="D67" s="254" t="s">
        <v>307</v>
      </c>
      <c r="E67" s="254" t="s">
        <v>308</v>
      </c>
      <c r="F67" s="254" t="s">
        <v>514</v>
      </c>
      <c r="G67" s="254" t="s">
        <v>515</v>
      </c>
      <c r="H67" s="255">
        <v>670</v>
      </c>
      <c r="I67" s="254" t="s">
        <v>270</v>
      </c>
      <c r="J67" s="254" t="s">
        <v>286</v>
      </c>
      <c r="K67" s="246">
        <f t="shared" si="7"/>
        <v>44759</v>
      </c>
      <c r="L67" s="246">
        <f t="shared" si="8"/>
        <v>44759</v>
      </c>
      <c r="M67" s="247">
        <f t="shared" si="9"/>
        <v>0.86730324074074072</v>
      </c>
      <c r="N67" s="246">
        <f t="shared" si="10"/>
        <v>44759</v>
      </c>
      <c r="O67" s="247">
        <f t="shared" si="11"/>
        <v>0.87505787037037042</v>
      </c>
      <c r="P67" s="247">
        <f t="shared" si="12"/>
        <v>0</v>
      </c>
      <c r="Q67" s="247">
        <f t="shared" si="13"/>
        <v>-0.87505787037037042</v>
      </c>
    </row>
    <row r="68" spans="1:17" ht="15" customHeight="1" x14ac:dyDescent="0.25">
      <c r="A68" s="254" t="s">
        <v>386</v>
      </c>
      <c r="B68" s="254" t="s">
        <v>273</v>
      </c>
      <c r="C68" s="254" t="s">
        <v>271</v>
      </c>
      <c r="D68" s="254" t="s">
        <v>516</v>
      </c>
      <c r="E68" s="254" t="s">
        <v>517</v>
      </c>
      <c r="F68" s="254" t="s">
        <v>518</v>
      </c>
      <c r="G68" s="254" t="s">
        <v>519</v>
      </c>
      <c r="H68" s="255">
        <v>14775</v>
      </c>
      <c r="I68" s="254" t="s">
        <v>270</v>
      </c>
      <c r="J68" s="254" t="s">
        <v>391</v>
      </c>
      <c r="K68" s="246">
        <f t="shared" si="7"/>
        <v>44759</v>
      </c>
      <c r="L68" s="246">
        <f t="shared" si="8"/>
        <v>44759</v>
      </c>
      <c r="M68" s="247">
        <f t="shared" si="9"/>
        <v>0.37633101851851852</v>
      </c>
      <c r="N68" s="246">
        <f t="shared" si="10"/>
        <v>44759</v>
      </c>
      <c r="O68" s="247">
        <f t="shared" si="11"/>
        <v>0.547337962962963</v>
      </c>
      <c r="P68" s="247">
        <f t="shared" si="12"/>
        <v>0.5893518518518519</v>
      </c>
      <c r="Q68" s="247">
        <f t="shared" si="13"/>
        <v>4.2013888888888906E-2</v>
      </c>
    </row>
    <row r="69" spans="1:17" ht="15" customHeight="1" x14ac:dyDescent="0.25">
      <c r="A69" s="254" t="s">
        <v>386</v>
      </c>
      <c r="B69" s="254" t="s">
        <v>273</v>
      </c>
      <c r="C69" s="254" t="s">
        <v>271</v>
      </c>
      <c r="D69" s="254" t="s">
        <v>516</v>
      </c>
      <c r="E69" s="254" t="s">
        <v>517</v>
      </c>
      <c r="F69" s="254" t="s">
        <v>520</v>
      </c>
      <c r="G69" s="254" t="s">
        <v>521</v>
      </c>
      <c r="H69" s="255">
        <v>17495</v>
      </c>
      <c r="I69" s="254" t="s">
        <v>270</v>
      </c>
      <c r="J69" s="254" t="s">
        <v>391</v>
      </c>
      <c r="K69" s="246">
        <f t="shared" si="7"/>
        <v>44759</v>
      </c>
      <c r="L69" s="246">
        <f t="shared" si="8"/>
        <v>44759</v>
      </c>
      <c r="M69" s="247">
        <f t="shared" si="9"/>
        <v>0.5893518518518519</v>
      </c>
      <c r="N69" s="246">
        <f t="shared" si="10"/>
        <v>44759</v>
      </c>
      <c r="O69" s="247">
        <f t="shared" si="11"/>
        <v>0.79184027777777777</v>
      </c>
      <c r="P69" s="247">
        <f t="shared" si="12"/>
        <v>0</v>
      </c>
      <c r="Q69" s="247">
        <f t="shared" si="13"/>
        <v>-0.79184027777777777</v>
      </c>
    </row>
    <row r="70" spans="1:17" ht="15" customHeight="1" x14ac:dyDescent="0.25">
      <c r="A70" s="254" t="s">
        <v>386</v>
      </c>
      <c r="B70" s="254" t="s">
        <v>273</v>
      </c>
      <c r="C70" s="254" t="s">
        <v>271</v>
      </c>
      <c r="D70" s="254" t="s">
        <v>311</v>
      </c>
      <c r="E70" s="254" t="s">
        <v>312</v>
      </c>
      <c r="F70" s="254" t="s">
        <v>522</v>
      </c>
      <c r="G70" s="254" t="s">
        <v>523</v>
      </c>
      <c r="H70" s="255">
        <v>11104</v>
      </c>
      <c r="I70" s="254" t="s">
        <v>270</v>
      </c>
      <c r="J70" s="254" t="s">
        <v>391</v>
      </c>
      <c r="K70" s="246">
        <f t="shared" si="7"/>
        <v>44759</v>
      </c>
      <c r="L70" s="246">
        <f t="shared" si="8"/>
        <v>44759</v>
      </c>
      <c r="M70" s="247">
        <f t="shared" si="9"/>
        <v>0.49679398148148146</v>
      </c>
      <c r="N70" s="246">
        <f t="shared" si="10"/>
        <v>44759</v>
      </c>
      <c r="O70" s="247">
        <f t="shared" si="11"/>
        <v>0.62531250000000005</v>
      </c>
      <c r="P70" s="247">
        <f t="shared" si="12"/>
        <v>0.66591435185185188</v>
      </c>
      <c r="Q70" s="247">
        <f t="shared" si="13"/>
        <v>4.0601851851851833E-2</v>
      </c>
    </row>
    <row r="71" spans="1:17" ht="15" customHeight="1" x14ac:dyDescent="0.25">
      <c r="A71" s="254" t="s">
        <v>386</v>
      </c>
      <c r="B71" s="254" t="s">
        <v>273</v>
      </c>
      <c r="C71" s="254" t="s">
        <v>271</v>
      </c>
      <c r="D71" s="254" t="s">
        <v>311</v>
      </c>
      <c r="E71" s="254" t="s">
        <v>312</v>
      </c>
      <c r="F71" s="254" t="s">
        <v>524</v>
      </c>
      <c r="G71" s="254" t="s">
        <v>525</v>
      </c>
      <c r="H71" s="255">
        <v>18073</v>
      </c>
      <c r="I71" s="254" t="s">
        <v>270</v>
      </c>
      <c r="J71" s="254" t="s">
        <v>391</v>
      </c>
      <c r="K71" s="246">
        <f t="shared" si="7"/>
        <v>44759</v>
      </c>
      <c r="L71" s="246">
        <f t="shared" si="8"/>
        <v>44759</v>
      </c>
      <c r="M71" s="247">
        <f t="shared" si="9"/>
        <v>0.66591435185185188</v>
      </c>
      <c r="N71" s="246">
        <f t="shared" si="10"/>
        <v>44759</v>
      </c>
      <c r="O71" s="247">
        <f t="shared" si="11"/>
        <v>0.87509259259259264</v>
      </c>
      <c r="P71" s="247">
        <f t="shared" si="12"/>
        <v>0</v>
      </c>
      <c r="Q71" s="247">
        <f t="shared" si="13"/>
        <v>-0.87509259259259264</v>
      </c>
    </row>
    <row r="72" spans="1:17" ht="15" customHeight="1" x14ac:dyDescent="0.25">
      <c r="A72" s="254" t="s">
        <v>386</v>
      </c>
      <c r="B72" s="254" t="s">
        <v>273</v>
      </c>
      <c r="C72" s="254" t="s">
        <v>271</v>
      </c>
      <c r="D72" s="254" t="s">
        <v>313</v>
      </c>
      <c r="E72" s="254" t="s">
        <v>314</v>
      </c>
      <c r="F72" s="254" t="s">
        <v>526</v>
      </c>
      <c r="G72" s="254" t="s">
        <v>527</v>
      </c>
      <c r="H72" s="255">
        <v>11448</v>
      </c>
      <c r="I72" s="254" t="s">
        <v>270</v>
      </c>
      <c r="J72" s="254" t="s">
        <v>286</v>
      </c>
      <c r="K72" s="246">
        <f t="shared" si="7"/>
        <v>44759</v>
      </c>
      <c r="L72" s="246">
        <f t="shared" si="8"/>
        <v>44759</v>
      </c>
      <c r="M72" s="247">
        <f t="shared" si="9"/>
        <v>0.49782407407407409</v>
      </c>
      <c r="N72" s="246">
        <f t="shared" si="10"/>
        <v>44759</v>
      </c>
      <c r="O72" s="247">
        <f t="shared" si="11"/>
        <v>0.63032407407407409</v>
      </c>
      <c r="P72" s="247">
        <f t="shared" si="12"/>
        <v>0.6702893518518519</v>
      </c>
      <c r="Q72" s="247">
        <f t="shared" si="13"/>
        <v>3.9965277777777808E-2</v>
      </c>
    </row>
    <row r="73" spans="1:17" ht="15" customHeight="1" x14ac:dyDescent="0.25">
      <c r="A73" s="254" t="s">
        <v>386</v>
      </c>
      <c r="B73" s="254" t="s">
        <v>273</v>
      </c>
      <c r="C73" s="254" t="s">
        <v>271</v>
      </c>
      <c r="D73" s="254" t="s">
        <v>313</v>
      </c>
      <c r="E73" s="254" t="s">
        <v>314</v>
      </c>
      <c r="F73" s="254" t="s">
        <v>528</v>
      </c>
      <c r="G73" s="254" t="s">
        <v>529</v>
      </c>
      <c r="H73" s="255">
        <v>17702</v>
      </c>
      <c r="I73" s="254" t="s">
        <v>270</v>
      </c>
      <c r="J73" s="254" t="s">
        <v>286</v>
      </c>
      <c r="K73" s="246">
        <f t="shared" si="7"/>
        <v>44759</v>
      </c>
      <c r="L73" s="246">
        <f t="shared" si="8"/>
        <v>44759</v>
      </c>
      <c r="M73" s="247">
        <f t="shared" si="9"/>
        <v>0.6702893518518519</v>
      </c>
      <c r="N73" s="246">
        <f t="shared" si="10"/>
        <v>44759</v>
      </c>
      <c r="O73" s="247">
        <f t="shared" si="11"/>
        <v>0.87517361111111114</v>
      </c>
      <c r="P73" s="247">
        <f t="shared" si="12"/>
        <v>0</v>
      </c>
      <c r="Q73" s="247">
        <f t="shared" si="13"/>
        <v>-0.87517361111111114</v>
      </c>
    </row>
    <row r="74" spans="1:17" ht="15" customHeight="1" x14ac:dyDescent="0.25">
      <c r="A74" s="254" t="s">
        <v>386</v>
      </c>
      <c r="B74" s="254" t="s">
        <v>273</v>
      </c>
      <c r="C74" s="254" t="s">
        <v>271</v>
      </c>
      <c r="D74" s="254" t="s">
        <v>315</v>
      </c>
      <c r="E74" s="254" t="s">
        <v>316</v>
      </c>
      <c r="F74" s="254" t="s">
        <v>530</v>
      </c>
      <c r="G74" s="254" t="s">
        <v>531</v>
      </c>
      <c r="H74" s="255">
        <v>1556</v>
      </c>
      <c r="I74" s="254" t="s">
        <v>270</v>
      </c>
      <c r="J74" s="254" t="s">
        <v>278</v>
      </c>
      <c r="K74" s="246">
        <f t="shared" si="7"/>
        <v>44759</v>
      </c>
      <c r="L74" s="246">
        <f t="shared" si="8"/>
        <v>44759</v>
      </c>
      <c r="M74" s="247">
        <f t="shared" si="9"/>
        <v>0.45653935185185185</v>
      </c>
      <c r="N74" s="246">
        <f t="shared" si="10"/>
        <v>44759</v>
      </c>
      <c r="O74" s="247">
        <f t="shared" si="11"/>
        <v>0.47454861111111113</v>
      </c>
      <c r="P74" s="247">
        <f t="shared" si="12"/>
        <v>0.47605324074074074</v>
      </c>
      <c r="Q74" s="247">
        <f t="shared" si="13"/>
        <v>1.5046296296296058E-3</v>
      </c>
    </row>
    <row r="75" spans="1:17" ht="15" customHeight="1" x14ac:dyDescent="0.25">
      <c r="A75" s="254" t="s">
        <v>386</v>
      </c>
      <c r="B75" s="254" t="s">
        <v>273</v>
      </c>
      <c r="C75" s="254" t="s">
        <v>271</v>
      </c>
      <c r="D75" s="254" t="s">
        <v>315</v>
      </c>
      <c r="E75" s="254" t="s">
        <v>316</v>
      </c>
      <c r="F75" s="254" t="s">
        <v>532</v>
      </c>
      <c r="G75" s="254" t="s">
        <v>533</v>
      </c>
      <c r="H75" s="255">
        <v>12952</v>
      </c>
      <c r="I75" s="254" t="s">
        <v>270</v>
      </c>
      <c r="J75" s="254" t="s">
        <v>278</v>
      </c>
      <c r="K75" s="246">
        <f t="shared" si="7"/>
        <v>44759</v>
      </c>
      <c r="L75" s="246">
        <f t="shared" si="8"/>
        <v>44759</v>
      </c>
      <c r="M75" s="247">
        <f t="shared" si="9"/>
        <v>0.47605324074074074</v>
      </c>
      <c r="N75" s="246">
        <f t="shared" si="10"/>
        <v>44759</v>
      </c>
      <c r="O75" s="247">
        <f t="shared" si="11"/>
        <v>0.62596064814814811</v>
      </c>
      <c r="P75" s="247">
        <f t="shared" si="12"/>
        <v>0.66638888888888892</v>
      </c>
      <c r="Q75" s="247">
        <f t="shared" si="13"/>
        <v>4.0428240740740806E-2</v>
      </c>
    </row>
    <row r="76" spans="1:17" ht="15" customHeight="1" x14ac:dyDescent="0.25">
      <c r="A76" s="254" t="s">
        <v>386</v>
      </c>
      <c r="B76" s="254" t="s">
        <v>273</v>
      </c>
      <c r="C76" s="254" t="s">
        <v>271</v>
      </c>
      <c r="D76" s="254" t="s">
        <v>315</v>
      </c>
      <c r="E76" s="254" t="s">
        <v>316</v>
      </c>
      <c r="F76" s="254" t="s">
        <v>534</v>
      </c>
      <c r="G76" s="254" t="s">
        <v>535</v>
      </c>
      <c r="H76" s="255">
        <v>10440</v>
      </c>
      <c r="I76" s="254" t="s">
        <v>270</v>
      </c>
      <c r="J76" s="254" t="s">
        <v>278</v>
      </c>
      <c r="K76" s="246">
        <f t="shared" si="7"/>
        <v>44759</v>
      </c>
      <c r="L76" s="246">
        <f t="shared" si="8"/>
        <v>44759</v>
      </c>
      <c r="M76" s="247">
        <f t="shared" si="9"/>
        <v>0.66638888888888892</v>
      </c>
      <c r="N76" s="246">
        <f t="shared" si="10"/>
        <v>44759</v>
      </c>
      <c r="O76" s="247">
        <f t="shared" si="11"/>
        <v>0.78722222222222227</v>
      </c>
      <c r="P76" s="247">
        <f t="shared" si="12"/>
        <v>0.78814814814814815</v>
      </c>
      <c r="Q76" s="247">
        <f t="shared" si="13"/>
        <v>9.2592592592588563E-4</v>
      </c>
    </row>
    <row r="77" spans="1:17" ht="15" customHeight="1" x14ac:dyDescent="0.25">
      <c r="A77" s="254" t="s">
        <v>386</v>
      </c>
      <c r="B77" s="254" t="s">
        <v>273</v>
      </c>
      <c r="C77" s="254" t="s">
        <v>271</v>
      </c>
      <c r="D77" s="254" t="s">
        <v>315</v>
      </c>
      <c r="E77" s="254" t="s">
        <v>316</v>
      </c>
      <c r="F77" s="254" t="s">
        <v>536</v>
      </c>
      <c r="G77" s="254" t="s">
        <v>537</v>
      </c>
      <c r="H77" s="255">
        <v>7531</v>
      </c>
      <c r="I77" s="254" t="s">
        <v>270</v>
      </c>
      <c r="J77" s="254" t="s">
        <v>278</v>
      </c>
      <c r="K77" s="246">
        <f t="shared" si="7"/>
        <v>44759</v>
      </c>
      <c r="L77" s="246">
        <f t="shared" si="8"/>
        <v>44759</v>
      </c>
      <c r="M77" s="247">
        <f t="shared" si="9"/>
        <v>0.78814814814814815</v>
      </c>
      <c r="N77" s="246">
        <f t="shared" si="10"/>
        <v>44759</v>
      </c>
      <c r="O77" s="247">
        <f t="shared" si="11"/>
        <v>0.87531250000000005</v>
      </c>
      <c r="P77" s="247">
        <f t="shared" si="12"/>
        <v>0</v>
      </c>
      <c r="Q77" s="247">
        <f t="shared" si="13"/>
        <v>-0.87531250000000005</v>
      </c>
    </row>
    <row r="78" spans="1:17" ht="15" customHeight="1" x14ac:dyDescent="0.25">
      <c r="A78" s="254" t="s">
        <v>386</v>
      </c>
      <c r="B78" s="254" t="s">
        <v>273</v>
      </c>
      <c r="C78" s="254" t="s">
        <v>271</v>
      </c>
      <c r="D78" s="254" t="s">
        <v>317</v>
      </c>
      <c r="E78" s="254" t="s">
        <v>318</v>
      </c>
      <c r="F78" s="254" t="s">
        <v>538</v>
      </c>
      <c r="G78" s="254" t="s">
        <v>412</v>
      </c>
      <c r="H78" s="255">
        <v>14281</v>
      </c>
      <c r="I78" s="254" t="s">
        <v>270</v>
      </c>
      <c r="J78" s="254" t="s">
        <v>391</v>
      </c>
      <c r="K78" s="246">
        <f t="shared" si="7"/>
        <v>44759</v>
      </c>
      <c r="L78" s="246">
        <f t="shared" si="8"/>
        <v>44759</v>
      </c>
      <c r="M78" s="247">
        <f t="shared" si="9"/>
        <v>0.37664351851851852</v>
      </c>
      <c r="N78" s="246">
        <f t="shared" si="10"/>
        <v>44759</v>
      </c>
      <c r="O78" s="247">
        <f t="shared" si="11"/>
        <v>0.54193287037037041</v>
      </c>
      <c r="P78" s="247">
        <f t="shared" si="12"/>
        <v>0.58385416666666667</v>
      </c>
      <c r="Q78" s="247">
        <f t="shared" si="13"/>
        <v>4.1921296296296262E-2</v>
      </c>
    </row>
    <row r="79" spans="1:17" ht="15" customHeight="1" x14ac:dyDescent="0.25">
      <c r="A79" s="254" t="s">
        <v>386</v>
      </c>
      <c r="B79" s="254" t="s">
        <v>273</v>
      </c>
      <c r="C79" s="254" t="s">
        <v>271</v>
      </c>
      <c r="D79" s="254" t="s">
        <v>317</v>
      </c>
      <c r="E79" s="254" t="s">
        <v>318</v>
      </c>
      <c r="F79" s="254" t="s">
        <v>388</v>
      </c>
      <c r="G79" s="254" t="s">
        <v>539</v>
      </c>
      <c r="H79" s="255">
        <v>14359</v>
      </c>
      <c r="I79" s="254" t="s">
        <v>270</v>
      </c>
      <c r="J79" s="254" t="s">
        <v>391</v>
      </c>
      <c r="K79" s="246">
        <f t="shared" si="7"/>
        <v>44759</v>
      </c>
      <c r="L79" s="246">
        <f t="shared" si="8"/>
        <v>44759</v>
      </c>
      <c r="M79" s="247">
        <f t="shared" si="9"/>
        <v>0.58385416666666667</v>
      </c>
      <c r="N79" s="246">
        <f t="shared" si="10"/>
        <v>44759</v>
      </c>
      <c r="O79" s="247">
        <f t="shared" si="11"/>
        <v>0.75004629629629627</v>
      </c>
      <c r="P79" s="247">
        <f t="shared" si="12"/>
        <v>0</v>
      </c>
      <c r="Q79" s="247">
        <f t="shared" si="13"/>
        <v>-0.75004629629629627</v>
      </c>
    </row>
    <row r="80" spans="1:17" ht="15" customHeight="1" x14ac:dyDescent="0.25">
      <c r="A80" s="254" t="s">
        <v>386</v>
      </c>
      <c r="B80" s="254" t="s">
        <v>273</v>
      </c>
      <c r="C80" s="254" t="s">
        <v>271</v>
      </c>
      <c r="D80" s="254" t="s">
        <v>368</v>
      </c>
      <c r="E80" s="254" t="s">
        <v>369</v>
      </c>
      <c r="F80" s="254" t="s">
        <v>540</v>
      </c>
      <c r="G80" s="254" t="s">
        <v>541</v>
      </c>
      <c r="H80" s="255">
        <v>3</v>
      </c>
      <c r="I80" s="254" t="s">
        <v>270</v>
      </c>
      <c r="J80" s="254" t="s">
        <v>391</v>
      </c>
      <c r="K80" s="246">
        <f t="shared" si="7"/>
        <v>44759</v>
      </c>
      <c r="L80" s="246">
        <f t="shared" si="8"/>
        <v>44759</v>
      </c>
      <c r="M80" s="247">
        <f t="shared" si="9"/>
        <v>0.45402777777777775</v>
      </c>
      <c r="N80" s="246">
        <f t="shared" si="10"/>
        <v>44759</v>
      </c>
      <c r="O80" s="247">
        <f t="shared" si="11"/>
        <v>0.45406249999999998</v>
      </c>
      <c r="P80" s="247">
        <f t="shared" si="12"/>
        <v>0.45730324074074075</v>
      </c>
      <c r="Q80" s="247">
        <f t="shared" si="13"/>
        <v>3.2407407407407662E-3</v>
      </c>
    </row>
    <row r="81" spans="1:17" ht="15" customHeight="1" x14ac:dyDescent="0.25">
      <c r="A81" s="254" t="s">
        <v>386</v>
      </c>
      <c r="B81" s="254" t="s">
        <v>273</v>
      </c>
      <c r="C81" s="254" t="s">
        <v>271</v>
      </c>
      <c r="D81" s="254" t="s">
        <v>368</v>
      </c>
      <c r="E81" s="254" t="s">
        <v>369</v>
      </c>
      <c r="F81" s="254" t="s">
        <v>542</v>
      </c>
      <c r="G81" s="254" t="s">
        <v>543</v>
      </c>
      <c r="H81" s="255">
        <v>14496</v>
      </c>
      <c r="I81" s="254" t="s">
        <v>270</v>
      </c>
      <c r="J81" s="254" t="s">
        <v>391</v>
      </c>
      <c r="K81" s="246">
        <f t="shared" si="7"/>
        <v>44759</v>
      </c>
      <c r="L81" s="246">
        <f t="shared" si="8"/>
        <v>44759</v>
      </c>
      <c r="M81" s="247">
        <f t="shared" si="9"/>
        <v>0.45730324074074075</v>
      </c>
      <c r="N81" s="246">
        <f t="shared" si="10"/>
        <v>44759</v>
      </c>
      <c r="O81" s="247">
        <f t="shared" si="11"/>
        <v>0.62508101851851849</v>
      </c>
      <c r="P81" s="247">
        <f t="shared" si="12"/>
        <v>0.66634259259259254</v>
      </c>
      <c r="Q81" s="247">
        <f t="shared" si="13"/>
        <v>4.1261574074074048E-2</v>
      </c>
    </row>
    <row r="82" spans="1:17" ht="15" customHeight="1" x14ac:dyDescent="0.25">
      <c r="A82" s="254" t="s">
        <v>386</v>
      </c>
      <c r="B82" s="254" t="s">
        <v>273</v>
      </c>
      <c r="C82" s="254" t="s">
        <v>271</v>
      </c>
      <c r="D82" s="254" t="s">
        <v>368</v>
      </c>
      <c r="E82" s="254" t="s">
        <v>369</v>
      </c>
      <c r="F82" s="254" t="s">
        <v>544</v>
      </c>
      <c r="G82" s="254" t="s">
        <v>480</v>
      </c>
      <c r="H82" s="255">
        <v>18034</v>
      </c>
      <c r="I82" s="254" t="s">
        <v>270</v>
      </c>
      <c r="J82" s="254" t="s">
        <v>391</v>
      </c>
      <c r="K82" s="246">
        <f t="shared" si="7"/>
        <v>44759</v>
      </c>
      <c r="L82" s="246">
        <f t="shared" si="8"/>
        <v>44759</v>
      </c>
      <c r="M82" s="247">
        <f t="shared" si="9"/>
        <v>0.66634259259259254</v>
      </c>
      <c r="N82" s="246">
        <f t="shared" si="10"/>
        <v>44759</v>
      </c>
      <c r="O82" s="247">
        <f t="shared" si="11"/>
        <v>0.87506944444444446</v>
      </c>
      <c r="P82" s="247">
        <f t="shared" si="12"/>
        <v>0</v>
      </c>
      <c r="Q82" s="247">
        <f t="shared" si="13"/>
        <v>-0.87506944444444446</v>
      </c>
    </row>
    <row r="83" spans="1:17" ht="15" customHeight="1" x14ac:dyDescent="0.25">
      <c r="A83" s="254" t="s">
        <v>386</v>
      </c>
      <c r="B83" s="254" t="s">
        <v>273</v>
      </c>
      <c r="C83" s="254" t="s">
        <v>271</v>
      </c>
      <c r="D83" s="254" t="s">
        <v>323</v>
      </c>
      <c r="E83" s="254" t="s">
        <v>324</v>
      </c>
      <c r="F83" s="254" t="s">
        <v>545</v>
      </c>
      <c r="G83" s="254" t="s">
        <v>546</v>
      </c>
      <c r="H83" s="255">
        <v>17990</v>
      </c>
      <c r="I83" s="254" t="s">
        <v>270</v>
      </c>
      <c r="J83" s="254" t="s">
        <v>278</v>
      </c>
      <c r="K83" s="246">
        <f t="shared" si="7"/>
        <v>44759</v>
      </c>
      <c r="L83" s="246">
        <f t="shared" si="8"/>
        <v>44759</v>
      </c>
      <c r="M83" s="247">
        <f t="shared" si="9"/>
        <v>0.33350694444444445</v>
      </c>
      <c r="N83" s="246">
        <f t="shared" si="10"/>
        <v>44759</v>
      </c>
      <c r="O83" s="247">
        <f t="shared" si="11"/>
        <v>0.54172453703703705</v>
      </c>
      <c r="P83" s="247">
        <f t="shared" si="12"/>
        <v>0.58339120370370368</v>
      </c>
      <c r="Q83" s="247">
        <f t="shared" si="13"/>
        <v>4.166666666666663E-2</v>
      </c>
    </row>
    <row r="84" spans="1:17" ht="15" customHeight="1" x14ac:dyDescent="0.25">
      <c r="A84" s="254" t="s">
        <v>386</v>
      </c>
      <c r="B84" s="254" t="s">
        <v>273</v>
      </c>
      <c r="C84" s="254" t="s">
        <v>271</v>
      </c>
      <c r="D84" s="254" t="s">
        <v>323</v>
      </c>
      <c r="E84" s="254" t="s">
        <v>324</v>
      </c>
      <c r="F84" s="254" t="s">
        <v>547</v>
      </c>
      <c r="G84" s="254" t="s">
        <v>548</v>
      </c>
      <c r="H84" s="255">
        <v>9665</v>
      </c>
      <c r="I84" s="254" t="s">
        <v>270</v>
      </c>
      <c r="J84" s="254" t="s">
        <v>278</v>
      </c>
      <c r="K84" s="246">
        <f t="shared" si="7"/>
        <v>44759</v>
      </c>
      <c r="L84" s="246">
        <f t="shared" si="8"/>
        <v>44759</v>
      </c>
      <c r="M84" s="247">
        <f t="shared" si="9"/>
        <v>0.58339120370370368</v>
      </c>
      <c r="N84" s="246">
        <f t="shared" si="10"/>
        <v>44759</v>
      </c>
      <c r="O84" s="247">
        <f t="shared" si="11"/>
        <v>0.69525462962962958</v>
      </c>
      <c r="P84" s="247">
        <f t="shared" si="12"/>
        <v>0.70343750000000005</v>
      </c>
      <c r="Q84" s="247">
        <f t="shared" si="13"/>
        <v>8.1828703703704653E-3</v>
      </c>
    </row>
    <row r="85" spans="1:17" ht="15" customHeight="1" x14ac:dyDescent="0.25">
      <c r="A85" s="254" t="s">
        <v>386</v>
      </c>
      <c r="B85" s="254" t="s">
        <v>273</v>
      </c>
      <c r="C85" s="254" t="s">
        <v>271</v>
      </c>
      <c r="D85" s="254" t="s">
        <v>323</v>
      </c>
      <c r="E85" s="254" t="s">
        <v>324</v>
      </c>
      <c r="F85" s="254" t="s">
        <v>549</v>
      </c>
      <c r="G85" s="254" t="s">
        <v>493</v>
      </c>
      <c r="H85" s="255">
        <v>4031</v>
      </c>
      <c r="I85" s="254" t="s">
        <v>270</v>
      </c>
      <c r="J85" s="254" t="s">
        <v>278</v>
      </c>
      <c r="K85" s="246">
        <f t="shared" si="7"/>
        <v>44759</v>
      </c>
      <c r="L85" s="246">
        <f t="shared" si="8"/>
        <v>44759</v>
      </c>
      <c r="M85" s="247">
        <f t="shared" si="9"/>
        <v>0.70343750000000005</v>
      </c>
      <c r="N85" s="246">
        <f t="shared" si="10"/>
        <v>44759</v>
      </c>
      <c r="O85" s="247">
        <f t="shared" si="11"/>
        <v>0.75009259259259264</v>
      </c>
      <c r="P85" s="247">
        <f t="shared" si="12"/>
        <v>0</v>
      </c>
      <c r="Q85" s="247">
        <f t="shared" si="13"/>
        <v>-0.75009259259259264</v>
      </c>
    </row>
    <row r="86" spans="1:17" ht="15" customHeight="1" x14ac:dyDescent="0.25">
      <c r="A86" s="254" t="s">
        <v>386</v>
      </c>
      <c r="B86" s="254" t="s">
        <v>273</v>
      </c>
      <c r="C86" s="254" t="s">
        <v>271</v>
      </c>
      <c r="D86" s="254" t="s">
        <v>372</v>
      </c>
      <c r="E86" s="254" t="s">
        <v>373</v>
      </c>
      <c r="F86" s="254" t="s">
        <v>550</v>
      </c>
      <c r="G86" s="254" t="s">
        <v>551</v>
      </c>
      <c r="H86" s="255">
        <v>16095</v>
      </c>
      <c r="I86" s="254" t="s">
        <v>270</v>
      </c>
      <c r="J86" s="254" t="s">
        <v>391</v>
      </c>
      <c r="K86" s="246">
        <f t="shared" si="7"/>
        <v>44759</v>
      </c>
      <c r="L86" s="246">
        <f t="shared" si="8"/>
        <v>44759</v>
      </c>
      <c r="M86" s="247">
        <f t="shared" si="9"/>
        <v>0.60541666666666671</v>
      </c>
      <c r="N86" s="246">
        <f t="shared" si="10"/>
        <v>44759</v>
      </c>
      <c r="O86" s="247">
        <f t="shared" si="11"/>
        <v>0.79170138888888886</v>
      </c>
      <c r="P86" s="247">
        <f t="shared" si="12"/>
        <v>0</v>
      </c>
      <c r="Q86" s="247">
        <f t="shared" si="13"/>
        <v>-0.79170138888888886</v>
      </c>
    </row>
    <row r="87" spans="1:17" ht="15" customHeight="1" x14ac:dyDescent="0.25">
      <c r="A87" s="254" t="s">
        <v>386</v>
      </c>
      <c r="B87" s="254" t="s">
        <v>273</v>
      </c>
      <c r="C87" s="254" t="s">
        <v>271</v>
      </c>
      <c r="D87" s="254" t="s">
        <v>331</v>
      </c>
      <c r="E87" s="254" t="s">
        <v>332</v>
      </c>
      <c r="F87" s="254" t="s">
        <v>552</v>
      </c>
      <c r="G87" s="254" t="s">
        <v>553</v>
      </c>
      <c r="H87" s="255">
        <v>8564</v>
      </c>
      <c r="I87" s="254" t="s">
        <v>270</v>
      </c>
      <c r="J87" s="254" t="s">
        <v>286</v>
      </c>
      <c r="K87" s="246">
        <f t="shared" si="7"/>
        <v>44759</v>
      </c>
      <c r="L87" s="246">
        <f t="shared" si="8"/>
        <v>44759</v>
      </c>
      <c r="M87" s="247">
        <f t="shared" si="9"/>
        <v>0.46091435185185187</v>
      </c>
      <c r="N87" s="246">
        <f t="shared" si="10"/>
        <v>44759</v>
      </c>
      <c r="O87" s="247">
        <f t="shared" si="11"/>
        <v>0.56003472222222217</v>
      </c>
      <c r="P87" s="247">
        <f t="shared" si="12"/>
        <v>0.56773148148148145</v>
      </c>
      <c r="Q87" s="247">
        <f t="shared" si="13"/>
        <v>7.6967592592592782E-3</v>
      </c>
    </row>
    <row r="88" spans="1:17" ht="15" customHeight="1" x14ac:dyDescent="0.25">
      <c r="A88" s="254" t="s">
        <v>386</v>
      </c>
      <c r="B88" s="254" t="s">
        <v>273</v>
      </c>
      <c r="C88" s="254" t="s">
        <v>271</v>
      </c>
      <c r="D88" s="254" t="s">
        <v>331</v>
      </c>
      <c r="E88" s="254" t="s">
        <v>332</v>
      </c>
      <c r="F88" s="254" t="s">
        <v>554</v>
      </c>
      <c r="G88" s="254" t="s">
        <v>555</v>
      </c>
      <c r="H88" s="255">
        <v>4991</v>
      </c>
      <c r="I88" s="254" t="s">
        <v>270</v>
      </c>
      <c r="J88" s="254" t="s">
        <v>286</v>
      </c>
      <c r="K88" s="246">
        <f t="shared" si="7"/>
        <v>44759</v>
      </c>
      <c r="L88" s="246">
        <f t="shared" si="8"/>
        <v>44759</v>
      </c>
      <c r="M88" s="247">
        <f t="shared" si="9"/>
        <v>0.56773148148148145</v>
      </c>
      <c r="N88" s="246">
        <f t="shared" si="10"/>
        <v>44759</v>
      </c>
      <c r="O88" s="247">
        <f t="shared" si="11"/>
        <v>0.62549768518518523</v>
      </c>
      <c r="P88" s="247">
        <f t="shared" si="12"/>
        <v>0.67034722222222221</v>
      </c>
      <c r="Q88" s="247">
        <f t="shared" si="13"/>
        <v>4.4849537037036979E-2</v>
      </c>
    </row>
    <row r="89" spans="1:17" ht="15" customHeight="1" x14ac:dyDescent="0.25">
      <c r="A89" s="254" t="s">
        <v>386</v>
      </c>
      <c r="B89" s="254" t="s">
        <v>273</v>
      </c>
      <c r="C89" s="254" t="s">
        <v>271</v>
      </c>
      <c r="D89" s="254" t="s">
        <v>331</v>
      </c>
      <c r="E89" s="254" t="s">
        <v>332</v>
      </c>
      <c r="F89" s="254" t="s">
        <v>556</v>
      </c>
      <c r="G89" s="254" t="s">
        <v>557</v>
      </c>
      <c r="H89" s="255">
        <v>17773</v>
      </c>
      <c r="I89" s="254" t="s">
        <v>270</v>
      </c>
      <c r="J89" s="254" t="s">
        <v>286</v>
      </c>
      <c r="K89" s="246">
        <f t="shared" si="7"/>
        <v>44759</v>
      </c>
      <c r="L89" s="246">
        <f t="shared" si="8"/>
        <v>44759</v>
      </c>
      <c r="M89" s="247">
        <f t="shared" si="9"/>
        <v>0.67034722222222221</v>
      </c>
      <c r="N89" s="246">
        <f t="shared" si="10"/>
        <v>44759</v>
      </c>
      <c r="O89" s="247">
        <f t="shared" si="11"/>
        <v>0.87605324074074076</v>
      </c>
      <c r="P89" s="247">
        <f t="shared" si="12"/>
        <v>0</v>
      </c>
      <c r="Q89" s="247">
        <f t="shared" si="13"/>
        <v>-0.87605324074074076</v>
      </c>
    </row>
    <row r="90" spans="1:17" ht="15" customHeight="1" x14ac:dyDescent="0.25">
      <c r="A90" s="254" t="s">
        <v>386</v>
      </c>
      <c r="B90" s="254" t="s">
        <v>273</v>
      </c>
      <c r="C90" s="254" t="s">
        <v>271</v>
      </c>
      <c r="D90" s="254" t="s">
        <v>333</v>
      </c>
      <c r="E90" s="254" t="s">
        <v>334</v>
      </c>
      <c r="F90" s="254" t="s">
        <v>558</v>
      </c>
      <c r="G90" s="254" t="s">
        <v>492</v>
      </c>
      <c r="H90" s="255">
        <v>18922</v>
      </c>
      <c r="I90" s="254" t="s">
        <v>270</v>
      </c>
      <c r="J90" s="254" t="s">
        <v>278</v>
      </c>
      <c r="K90" s="246">
        <f t="shared" si="7"/>
        <v>44759</v>
      </c>
      <c r="L90" s="246">
        <f t="shared" si="8"/>
        <v>44759</v>
      </c>
      <c r="M90" s="247">
        <f t="shared" si="9"/>
        <v>0.32688657407407407</v>
      </c>
      <c r="N90" s="246">
        <f t="shared" si="10"/>
        <v>44759</v>
      </c>
      <c r="O90" s="247">
        <f t="shared" si="11"/>
        <v>0.5458912037037037</v>
      </c>
      <c r="P90" s="247">
        <f t="shared" si="12"/>
        <v>0.58572916666666663</v>
      </c>
      <c r="Q90" s="247">
        <f t="shared" si="13"/>
        <v>3.9837962962962936E-2</v>
      </c>
    </row>
    <row r="91" spans="1:17" ht="15" customHeight="1" x14ac:dyDescent="0.25">
      <c r="A91" s="254" t="s">
        <v>386</v>
      </c>
      <c r="B91" s="254" t="s">
        <v>273</v>
      </c>
      <c r="C91" s="254" t="s">
        <v>271</v>
      </c>
      <c r="D91" s="254" t="s">
        <v>333</v>
      </c>
      <c r="E91" s="254" t="s">
        <v>334</v>
      </c>
      <c r="F91" s="254" t="s">
        <v>559</v>
      </c>
      <c r="G91" s="254" t="s">
        <v>476</v>
      </c>
      <c r="H91" s="255">
        <v>14199</v>
      </c>
      <c r="I91" s="254" t="s">
        <v>270</v>
      </c>
      <c r="J91" s="254" t="s">
        <v>278</v>
      </c>
      <c r="K91" s="246">
        <f t="shared" si="7"/>
        <v>44759</v>
      </c>
      <c r="L91" s="246">
        <f t="shared" si="8"/>
        <v>44759</v>
      </c>
      <c r="M91" s="247">
        <f t="shared" si="9"/>
        <v>0.58572916666666663</v>
      </c>
      <c r="N91" s="246">
        <f t="shared" si="10"/>
        <v>44759</v>
      </c>
      <c r="O91" s="247">
        <f t="shared" si="11"/>
        <v>0.75006944444444446</v>
      </c>
      <c r="P91" s="247">
        <f t="shared" si="12"/>
        <v>0</v>
      </c>
      <c r="Q91" s="247">
        <f t="shared" si="13"/>
        <v>-0.75006944444444446</v>
      </c>
    </row>
    <row r="92" spans="1:17" ht="15" customHeight="1" x14ac:dyDescent="0.25">
      <c r="A92" s="254" t="s">
        <v>386</v>
      </c>
      <c r="B92" s="254" t="s">
        <v>273</v>
      </c>
      <c r="C92" s="254" t="s">
        <v>271</v>
      </c>
      <c r="D92" s="254" t="s">
        <v>335</v>
      </c>
      <c r="E92" s="254" t="s">
        <v>336</v>
      </c>
      <c r="F92" s="254" t="s">
        <v>560</v>
      </c>
      <c r="G92" s="254" t="s">
        <v>412</v>
      </c>
      <c r="H92" s="255">
        <v>14527</v>
      </c>
      <c r="I92" s="254" t="s">
        <v>270</v>
      </c>
      <c r="J92" s="254" t="s">
        <v>391</v>
      </c>
      <c r="K92" s="246">
        <f t="shared" si="7"/>
        <v>44759</v>
      </c>
      <c r="L92" s="246">
        <f t="shared" si="8"/>
        <v>44759</v>
      </c>
      <c r="M92" s="247">
        <f t="shared" si="9"/>
        <v>0.37379629629629629</v>
      </c>
      <c r="N92" s="246">
        <f t="shared" si="10"/>
        <v>44759</v>
      </c>
      <c r="O92" s="247">
        <f t="shared" si="11"/>
        <v>0.54193287037037041</v>
      </c>
      <c r="P92" s="247">
        <f t="shared" si="12"/>
        <v>0.58327546296296295</v>
      </c>
      <c r="Q92" s="247">
        <f t="shared" si="13"/>
        <v>4.1342592592592542E-2</v>
      </c>
    </row>
    <row r="93" spans="1:17" ht="15" customHeight="1" x14ac:dyDescent="0.25">
      <c r="A93" s="254" t="s">
        <v>386</v>
      </c>
      <c r="B93" s="254" t="s">
        <v>273</v>
      </c>
      <c r="C93" s="254" t="s">
        <v>271</v>
      </c>
      <c r="D93" s="254" t="s">
        <v>335</v>
      </c>
      <c r="E93" s="254" t="s">
        <v>336</v>
      </c>
      <c r="F93" s="254" t="s">
        <v>561</v>
      </c>
      <c r="G93" s="254" t="s">
        <v>562</v>
      </c>
      <c r="H93" s="255">
        <v>8706</v>
      </c>
      <c r="I93" s="254" t="s">
        <v>270</v>
      </c>
      <c r="J93" s="254" t="s">
        <v>391</v>
      </c>
      <c r="K93" s="246">
        <f t="shared" si="7"/>
        <v>44759</v>
      </c>
      <c r="L93" s="246">
        <f t="shared" si="8"/>
        <v>44759</v>
      </c>
      <c r="M93" s="247">
        <f t="shared" si="9"/>
        <v>0.58327546296296295</v>
      </c>
      <c r="N93" s="246">
        <f t="shared" si="10"/>
        <v>44759</v>
      </c>
      <c r="O93" s="247">
        <f t="shared" si="11"/>
        <v>0.68403935185185183</v>
      </c>
      <c r="P93" s="247">
        <f t="shared" si="12"/>
        <v>0.6878009259259259</v>
      </c>
      <c r="Q93" s="247">
        <f t="shared" si="13"/>
        <v>3.76157407407407E-3</v>
      </c>
    </row>
    <row r="94" spans="1:17" ht="15" customHeight="1" x14ac:dyDescent="0.25">
      <c r="A94" s="254" t="s">
        <v>386</v>
      </c>
      <c r="B94" s="254" t="s">
        <v>273</v>
      </c>
      <c r="C94" s="254" t="s">
        <v>271</v>
      </c>
      <c r="D94" s="254" t="s">
        <v>335</v>
      </c>
      <c r="E94" s="254" t="s">
        <v>336</v>
      </c>
      <c r="F94" s="254" t="s">
        <v>563</v>
      </c>
      <c r="G94" s="254" t="s">
        <v>564</v>
      </c>
      <c r="H94" s="255">
        <v>8981</v>
      </c>
      <c r="I94" s="254" t="s">
        <v>270</v>
      </c>
      <c r="J94" s="254" t="s">
        <v>391</v>
      </c>
      <c r="K94" s="246">
        <f t="shared" si="7"/>
        <v>44759</v>
      </c>
      <c r="L94" s="246">
        <f t="shared" si="8"/>
        <v>44759</v>
      </c>
      <c r="M94" s="247">
        <f t="shared" si="9"/>
        <v>0.6878009259259259</v>
      </c>
      <c r="N94" s="246">
        <f t="shared" si="10"/>
        <v>44759</v>
      </c>
      <c r="O94" s="247">
        <f t="shared" si="11"/>
        <v>0.79174768518518523</v>
      </c>
      <c r="P94" s="247">
        <f t="shared" si="12"/>
        <v>0</v>
      </c>
      <c r="Q94" s="247">
        <f t="shared" si="13"/>
        <v>-0.79174768518518523</v>
      </c>
    </row>
    <row r="95" spans="1:17" ht="15" customHeight="1" x14ac:dyDescent="0.25">
      <c r="A95" s="254" t="s">
        <v>386</v>
      </c>
      <c r="B95" s="254" t="s">
        <v>273</v>
      </c>
      <c r="C95" s="254" t="s">
        <v>271</v>
      </c>
      <c r="D95" s="254" t="s">
        <v>337</v>
      </c>
      <c r="E95" s="254" t="s">
        <v>338</v>
      </c>
      <c r="F95" s="254" t="s">
        <v>565</v>
      </c>
      <c r="G95" s="254" t="s">
        <v>566</v>
      </c>
      <c r="H95" s="255">
        <v>16</v>
      </c>
      <c r="I95" s="254" t="s">
        <v>270</v>
      </c>
      <c r="J95" s="254" t="s">
        <v>278</v>
      </c>
      <c r="K95" s="246">
        <f t="shared" si="7"/>
        <v>44759</v>
      </c>
      <c r="L95" s="246">
        <f t="shared" si="8"/>
        <v>44759</v>
      </c>
      <c r="M95" s="247">
        <f t="shared" si="9"/>
        <v>0.44519675925925928</v>
      </c>
      <c r="N95" s="246">
        <f t="shared" si="10"/>
        <v>44759</v>
      </c>
      <c r="O95" s="247">
        <f t="shared" si="11"/>
        <v>0.44538194444444446</v>
      </c>
      <c r="P95" s="247">
        <f t="shared" si="12"/>
        <v>0.45672453703703703</v>
      </c>
      <c r="Q95" s="247">
        <f t="shared" si="13"/>
        <v>1.1342592592592571E-2</v>
      </c>
    </row>
    <row r="96" spans="1:17" ht="15" customHeight="1" x14ac:dyDescent="0.25">
      <c r="A96" s="254" t="s">
        <v>386</v>
      </c>
      <c r="B96" s="254" t="s">
        <v>273</v>
      </c>
      <c r="C96" s="254" t="s">
        <v>271</v>
      </c>
      <c r="D96" s="254" t="s">
        <v>337</v>
      </c>
      <c r="E96" s="254" t="s">
        <v>338</v>
      </c>
      <c r="F96" s="254" t="s">
        <v>567</v>
      </c>
      <c r="G96" s="254" t="s">
        <v>568</v>
      </c>
      <c r="H96" s="255">
        <v>14584</v>
      </c>
      <c r="I96" s="254" t="s">
        <v>270</v>
      </c>
      <c r="J96" s="254" t="s">
        <v>278</v>
      </c>
      <c r="K96" s="246">
        <f t="shared" si="7"/>
        <v>44759</v>
      </c>
      <c r="L96" s="246">
        <f t="shared" si="8"/>
        <v>44759</v>
      </c>
      <c r="M96" s="247">
        <f t="shared" si="9"/>
        <v>0.45672453703703703</v>
      </c>
      <c r="N96" s="246">
        <f t="shared" si="10"/>
        <v>44759</v>
      </c>
      <c r="O96" s="247">
        <f t="shared" si="11"/>
        <v>0.6255208333333333</v>
      </c>
      <c r="P96" s="247">
        <f t="shared" si="12"/>
        <v>0.66464120370370372</v>
      </c>
      <c r="Q96" s="247">
        <f t="shared" si="13"/>
        <v>3.9120370370370416E-2</v>
      </c>
    </row>
    <row r="97" spans="1:17" ht="15" customHeight="1" x14ac:dyDescent="0.25">
      <c r="A97" s="254" t="s">
        <v>386</v>
      </c>
      <c r="B97" s="254" t="s">
        <v>273</v>
      </c>
      <c r="C97" s="254" t="s">
        <v>271</v>
      </c>
      <c r="D97" s="254" t="s">
        <v>337</v>
      </c>
      <c r="E97" s="254" t="s">
        <v>338</v>
      </c>
      <c r="F97" s="254" t="s">
        <v>569</v>
      </c>
      <c r="G97" s="254" t="s">
        <v>570</v>
      </c>
      <c r="H97" s="255">
        <v>5298</v>
      </c>
      <c r="I97" s="254" t="s">
        <v>270</v>
      </c>
      <c r="J97" s="254" t="s">
        <v>278</v>
      </c>
      <c r="K97" s="246">
        <f t="shared" si="7"/>
        <v>44759</v>
      </c>
      <c r="L97" s="246">
        <f t="shared" si="8"/>
        <v>44759</v>
      </c>
      <c r="M97" s="247">
        <f t="shared" si="9"/>
        <v>0.66464120370370372</v>
      </c>
      <c r="N97" s="246">
        <f t="shared" si="10"/>
        <v>44759</v>
      </c>
      <c r="O97" s="247">
        <f t="shared" si="11"/>
        <v>0.7259606481481482</v>
      </c>
      <c r="P97" s="247">
        <f t="shared" si="12"/>
        <v>0.72636574074074078</v>
      </c>
      <c r="Q97" s="247">
        <f t="shared" si="13"/>
        <v>4.050925925925819E-4</v>
      </c>
    </row>
    <row r="98" spans="1:17" ht="15" customHeight="1" x14ac:dyDescent="0.25">
      <c r="A98" s="254" t="s">
        <v>386</v>
      </c>
      <c r="B98" s="254" t="s">
        <v>273</v>
      </c>
      <c r="C98" s="254" t="s">
        <v>271</v>
      </c>
      <c r="D98" s="254" t="s">
        <v>337</v>
      </c>
      <c r="E98" s="254" t="s">
        <v>338</v>
      </c>
      <c r="F98" s="254" t="s">
        <v>571</v>
      </c>
      <c r="G98" s="254" t="s">
        <v>572</v>
      </c>
      <c r="H98" s="255">
        <v>9255</v>
      </c>
      <c r="I98" s="254" t="s">
        <v>270</v>
      </c>
      <c r="J98" s="254" t="s">
        <v>278</v>
      </c>
      <c r="K98" s="246">
        <f t="shared" si="7"/>
        <v>44759</v>
      </c>
      <c r="L98" s="246">
        <f t="shared" si="8"/>
        <v>44759</v>
      </c>
      <c r="M98" s="247">
        <f t="shared" si="9"/>
        <v>0.72636574074074078</v>
      </c>
      <c r="N98" s="246">
        <f t="shared" si="10"/>
        <v>44759</v>
      </c>
      <c r="O98" s="247">
        <f t="shared" si="11"/>
        <v>0.83348379629629632</v>
      </c>
      <c r="P98" s="247">
        <f t="shared" si="12"/>
        <v>0.84651620370370373</v>
      </c>
      <c r="Q98" s="247">
        <f t="shared" si="13"/>
        <v>1.3032407407407409E-2</v>
      </c>
    </row>
    <row r="99" spans="1:17" ht="15" customHeight="1" x14ac:dyDescent="0.25">
      <c r="A99" s="254" t="s">
        <v>386</v>
      </c>
      <c r="B99" s="254" t="s">
        <v>273</v>
      </c>
      <c r="C99" s="254" t="s">
        <v>271</v>
      </c>
      <c r="D99" s="254" t="s">
        <v>337</v>
      </c>
      <c r="E99" s="254" t="s">
        <v>338</v>
      </c>
      <c r="F99" s="254" t="s">
        <v>573</v>
      </c>
      <c r="G99" s="254" t="s">
        <v>525</v>
      </c>
      <c r="H99" s="255">
        <v>2469</v>
      </c>
      <c r="I99" s="254" t="s">
        <v>270</v>
      </c>
      <c r="J99" s="254" t="s">
        <v>278</v>
      </c>
      <c r="K99" s="246">
        <f t="shared" si="7"/>
        <v>44759</v>
      </c>
      <c r="L99" s="246">
        <f t="shared" si="8"/>
        <v>44759</v>
      </c>
      <c r="M99" s="247">
        <f t="shared" si="9"/>
        <v>0.84651620370370373</v>
      </c>
      <c r="N99" s="246">
        <f t="shared" si="10"/>
        <v>44759</v>
      </c>
      <c r="O99" s="247">
        <f t="shared" si="11"/>
        <v>0.87509259259259264</v>
      </c>
      <c r="P99" s="247">
        <f t="shared" si="12"/>
        <v>0</v>
      </c>
      <c r="Q99" s="247">
        <f t="shared" si="13"/>
        <v>-0.87509259259259264</v>
      </c>
    </row>
    <row r="100" spans="1:17" ht="15" customHeight="1" x14ac:dyDescent="0.25">
      <c r="A100" s="254" t="s">
        <v>386</v>
      </c>
      <c r="B100" s="254" t="s">
        <v>273</v>
      </c>
      <c r="C100" s="254" t="s">
        <v>271</v>
      </c>
      <c r="D100" s="254" t="s">
        <v>339</v>
      </c>
      <c r="E100" s="254" t="s">
        <v>340</v>
      </c>
      <c r="F100" s="254" t="s">
        <v>574</v>
      </c>
      <c r="G100" s="254" t="s">
        <v>575</v>
      </c>
      <c r="H100" s="255">
        <v>10832</v>
      </c>
      <c r="I100" s="254" t="s">
        <v>270</v>
      </c>
      <c r="J100" s="254" t="s">
        <v>278</v>
      </c>
      <c r="K100" s="246">
        <f t="shared" si="7"/>
        <v>44759</v>
      </c>
      <c r="L100" s="246">
        <f t="shared" si="8"/>
        <v>44759</v>
      </c>
      <c r="M100" s="247">
        <f t="shared" si="9"/>
        <v>0.49975694444444446</v>
      </c>
      <c r="N100" s="246">
        <f t="shared" si="10"/>
        <v>44759</v>
      </c>
      <c r="O100" s="247">
        <f t="shared" si="11"/>
        <v>0.62512731481481476</v>
      </c>
      <c r="P100" s="247">
        <f t="shared" si="12"/>
        <v>0.66849537037037032</v>
      </c>
      <c r="Q100" s="247">
        <f t="shared" si="13"/>
        <v>4.3368055555555562E-2</v>
      </c>
    </row>
    <row r="101" spans="1:17" ht="15" customHeight="1" x14ac:dyDescent="0.25">
      <c r="A101" s="254" t="s">
        <v>386</v>
      </c>
      <c r="B101" s="254" t="s">
        <v>273</v>
      </c>
      <c r="C101" s="254" t="s">
        <v>271</v>
      </c>
      <c r="D101" s="254" t="s">
        <v>339</v>
      </c>
      <c r="E101" s="254" t="s">
        <v>340</v>
      </c>
      <c r="F101" s="254" t="s">
        <v>576</v>
      </c>
      <c r="G101" s="254" t="s">
        <v>577</v>
      </c>
      <c r="H101" s="255">
        <v>17851</v>
      </c>
      <c r="I101" s="254" t="s">
        <v>270</v>
      </c>
      <c r="J101" s="254" t="s">
        <v>278</v>
      </c>
      <c r="K101" s="246">
        <f t="shared" si="7"/>
        <v>44759</v>
      </c>
      <c r="L101" s="246">
        <f t="shared" si="8"/>
        <v>44759</v>
      </c>
      <c r="M101" s="247">
        <f t="shared" si="9"/>
        <v>0.66849537037037032</v>
      </c>
      <c r="N101" s="246">
        <f t="shared" si="10"/>
        <v>44759</v>
      </c>
      <c r="O101" s="247">
        <f t="shared" si="11"/>
        <v>0.87510416666666668</v>
      </c>
      <c r="P101" s="247">
        <f t="shared" si="12"/>
        <v>0</v>
      </c>
      <c r="Q101" s="247">
        <f t="shared" si="13"/>
        <v>-0.87510416666666668</v>
      </c>
    </row>
    <row r="102" spans="1:17" ht="15" customHeight="1" x14ac:dyDescent="0.25">
      <c r="A102" s="254" t="s">
        <v>386</v>
      </c>
      <c r="B102" s="254" t="s">
        <v>273</v>
      </c>
      <c r="C102" s="254" t="s">
        <v>271</v>
      </c>
      <c r="D102" s="254" t="s">
        <v>343</v>
      </c>
      <c r="E102" s="254" t="s">
        <v>344</v>
      </c>
      <c r="F102" s="254" t="s">
        <v>578</v>
      </c>
      <c r="G102" s="254" t="s">
        <v>579</v>
      </c>
      <c r="H102" s="255">
        <v>14387</v>
      </c>
      <c r="I102" s="254" t="s">
        <v>270</v>
      </c>
      <c r="J102" s="254" t="s">
        <v>391</v>
      </c>
      <c r="K102" s="246">
        <f t="shared" si="7"/>
        <v>44759</v>
      </c>
      <c r="L102" s="246">
        <f t="shared" si="8"/>
        <v>44759</v>
      </c>
      <c r="M102" s="247">
        <f t="shared" si="9"/>
        <v>0.50042824074074077</v>
      </c>
      <c r="N102" s="246">
        <f t="shared" si="10"/>
        <v>44759</v>
      </c>
      <c r="O102" s="247">
        <f t="shared" si="11"/>
        <v>0.66694444444444445</v>
      </c>
      <c r="P102" s="247">
        <f t="shared" si="12"/>
        <v>0.70682870370370365</v>
      </c>
      <c r="Q102" s="247">
        <f t="shared" si="13"/>
        <v>3.9884259259259203E-2</v>
      </c>
    </row>
    <row r="103" spans="1:17" ht="15" customHeight="1" x14ac:dyDescent="0.25">
      <c r="A103" s="254" t="s">
        <v>386</v>
      </c>
      <c r="B103" s="254" t="s">
        <v>273</v>
      </c>
      <c r="C103" s="254" t="s">
        <v>271</v>
      </c>
      <c r="D103" s="254" t="s">
        <v>343</v>
      </c>
      <c r="E103" s="254" t="s">
        <v>344</v>
      </c>
      <c r="F103" s="254" t="s">
        <v>580</v>
      </c>
      <c r="G103" s="254" t="s">
        <v>581</v>
      </c>
      <c r="H103" s="255">
        <v>14549</v>
      </c>
      <c r="I103" s="254" t="s">
        <v>270</v>
      </c>
      <c r="J103" s="254" t="s">
        <v>391</v>
      </c>
      <c r="K103" s="246">
        <f t="shared" si="7"/>
        <v>44759</v>
      </c>
      <c r="L103" s="246">
        <f t="shared" si="8"/>
        <v>44759</v>
      </c>
      <c r="M103" s="247">
        <f t="shared" si="9"/>
        <v>0.70682870370370365</v>
      </c>
      <c r="N103" s="246">
        <f t="shared" si="10"/>
        <v>44759</v>
      </c>
      <c r="O103" s="247">
        <f t="shared" si="11"/>
        <v>0.8752199074074074</v>
      </c>
      <c r="P103" s="247">
        <f t="shared" si="12"/>
        <v>0</v>
      </c>
      <c r="Q103" s="247">
        <f t="shared" si="13"/>
        <v>-0.8752199074074074</v>
      </c>
    </row>
    <row r="104" spans="1:17" ht="15" customHeight="1" x14ac:dyDescent="0.25">
      <c r="A104" s="254" t="s">
        <v>386</v>
      </c>
      <c r="B104" s="254" t="s">
        <v>273</v>
      </c>
      <c r="C104" s="254" t="s">
        <v>271</v>
      </c>
      <c r="D104" s="254" t="s">
        <v>345</v>
      </c>
      <c r="E104" s="254" t="s">
        <v>346</v>
      </c>
      <c r="F104" s="254" t="s">
        <v>582</v>
      </c>
      <c r="G104" s="254" t="s">
        <v>583</v>
      </c>
      <c r="H104" s="255">
        <v>3512</v>
      </c>
      <c r="I104" s="254" t="s">
        <v>270</v>
      </c>
      <c r="J104" s="254" t="s">
        <v>278</v>
      </c>
      <c r="K104" s="246">
        <f t="shared" si="7"/>
        <v>44759</v>
      </c>
      <c r="L104" s="246">
        <f t="shared" si="8"/>
        <v>44759</v>
      </c>
      <c r="M104" s="247">
        <f t="shared" si="9"/>
        <v>0.37506944444444446</v>
      </c>
      <c r="N104" s="246">
        <f t="shared" si="10"/>
        <v>44759</v>
      </c>
      <c r="O104" s="247">
        <f t="shared" si="11"/>
        <v>0.41571759259259261</v>
      </c>
      <c r="P104" s="247">
        <f t="shared" si="12"/>
        <v>0.41674768518518518</v>
      </c>
      <c r="Q104" s="247">
        <f t="shared" si="13"/>
        <v>1.0300925925925686E-3</v>
      </c>
    </row>
    <row r="105" spans="1:17" ht="15" customHeight="1" x14ac:dyDescent="0.25">
      <c r="A105" s="254" t="s">
        <v>386</v>
      </c>
      <c r="B105" s="254" t="s">
        <v>273</v>
      </c>
      <c r="C105" s="254" t="s">
        <v>271</v>
      </c>
      <c r="D105" s="254" t="s">
        <v>345</v>
      </c>
      <c r="E105" s="254" t="s">
        <v>346</v>
      </c>
      <c r="F105" s="254" t="s">
        <v>584</v>
      </c>
      <c r="G105" s="254" t="s">
        <v>585</v>
      </c>
      <c r="H105" s="255">
        <v>14396</v>
      </c>
      <c r="I105" s="254" t="s">
        <v>270</v>
      </c>
      <c r="J105" s="254" t="s">
        <v>278</v>
      </c>
      <c r="K105" s="246">
        <f t="shared" si="7"/>
        <v>44759</v>
      </c>
      <c r="L105" s="246">
        <f t="shared" si="8"/>
        <v>44759</v>
      </c>
      <c r="M105" s="247">
        <f t="shared" si="9"/>
        <v>0.41674768518518518</v>
      </c>
      <c r="N105" s="246">
        <f t="shared" si="10"/>
        <v>44759</v>
      </c>
      <c r="O105" s="247">
        <f t="shared" si="11"/>
        <v>0.5833680555555556</v>
      </c>
      <c r="P105" s="247">
        <f t="shared" si="12"/>
        <v>0.62535879629629632</v>
      </c>
      <c r="Q105" s="247">
        <f t="shared" si="13"/>
        <v>4.1990740740740717E-2</v>
      </c>
    </row>
    <row r="106" spans="1:17" ht="15" customHeight="1" x14ac:dyDescent="0.25">
      <c r="A106" s="254" t="s">
        <v>386</v>
      </c>
      <c r="B106" s="254" t="s">
        <v>273</v>
      </c>
      <c r="C106" s="254" t="s">
        <v>271</v>
      </c>
      <c r="D106" s="254" t="s">
        <v>345</v>
      </c>
      <c r="E106" s="254" t="s">
        <v>346</v>
      </c>
      <c r="F106" s="254" t="s">
        <v>586</v>
      </c>
      <c r="G106" s="254" t="s">
        <v>551</v>
      </c>
      <c r="H106" s="255">
        <v>14372</v>
      </c>
      <c r="I106" s="254" t="s">
        <v>270</v>
      </c>
      <c r="J106" s="254" t="s">
        <v>278</v>
      </c>
      <c r="K106" s="246">
        <f t="shared" si="7"/>
        <v>44759</v>
      </c>
      <c r="L106" s="246">
        <f t="shared" si="8"/>
        <v>44759</v>
      </c>
      <c r="M106" s="247">
        <f t="shared" si="9"/>
        <v>0.62535879629629632</v>
      </c>
      <c r="N106" s="246">
        <f t="shared" si="10"/>
        <v>44759</v>
      </c>
      <c r="O106" s="247">
        <f t="shared" si="11"/>
        <v>0.79170138888888886</v>
      </c>
      <c r="P106" s="247">
        <f t="shared" si="12"/>
        <v>0</v>
      </c>
      <c r="Q106" s="247">
        <f t="shared" si="13"/>
        <v>-0.79170138888888886</v>
      </c>
    </row>
    <row r="107" spans="1:17" ht="15" customHeight="1" x14ac:dyDescent="0.25">
      <c r="A107" s="254" t="s">
        <v>386</v>
      </c>
      <c r="B107" s="254" t="s">
        <v>273</v>
      </c>
      <c r="C107" s="254" t="s">
        <v>271</v>
      </c>
      <c r="D107" s="254" t="s">
        <v>348</v>
      </c>
      <c r="E107" s="254" t="s">
        <v>349</v>
      </c>
      <c r="F107" s="254" t="s">
        <v>587</v>
      </c>
      <c r="G107" s="254" t="s">
        <v>481</v>
      </c>
      <c r="H107" s="255">
        <v>14427</v>
      </c>
      <c r="I107" s="254" t="s">
        <v>270</v>
      </c>
      <c r="J107" s="254" t="s">
        <v>391</v>
      </c>
      <c r="K107" s="246">
        <f t="shared" si="7"/>
        <v>44759</v>
      </c>
      <c r="L107" s="246">
        <f t="shared" si="8"/>
        <v>44759</v>
      </c>
      <c r="M107" s="247">
        <f t="shared" si="9"/>
        <v>0.37479166666666669</v>
      </c>
      <c r="N107" s="246">
        <f t="shared" si="10"/>
        <v>44759</v>
      </c>
      <c r="O107" s="247">
        <f t="shared" si="11"/>
        <v>0.54177083333333331</v>
      </c>
      <c r="P107" s="247">
        <f t="shared" si="12"/>
        <v>0.58318287037037042</v>
      </c>
      <c r="Q107" s="247">
        <f t="shared" si="13"/>
        <v>4.1412037037037108E-2</v>
      </c>
    </row>
    <row r="108" spans="1:17" ht="15" customHeight="1" x14ac:dyDescent="0.25">
      <c r="A108" s="254" t="s">
        <v>386</v>
      </c>
      <c r="B108" s="254" t="s">
        <v>273</v>
      </c>
      <c r="C108" s="254" t="s">
        <v>271</v>
      </c>
      <c r="D108" s="254" t="s">
        <v>348</v>
      </c>
      <c r="E108" s="254" t="s">
        <v>349</v>
      </c>
      <c r="F108" s="254" t="s">
        <v>588</v>
      </c>
      <c r="G108" s="254" t="s">
        <v>394</v>
      </c>
      <c r="H108" s="255">
        <v>14418</v>
      </c>
      <c r="I108" s="254" t="s">
        <v>270</v>
      </c>
      <c r="J108" s="254" t="s">
        <v>391</v>
      </c>
      <c r="K108" s="246">
        <f t="shared" si="7"/>
        <v>44759</v>
      </c>
      <c r="L108" s="246">
        <f t="shared" si="8"/>
        <v>44759</v>
      </c>
      <c r="M108" s="247">
        <f t="shared" si="9"/>
        <v>0.58318287037037042</v>
      </c>
      <c r="N108" s="246">
        <f t="shared" si="10"/>
        <v>44759</v>
      </c>
      <c r="O108" s="247">
        <f t="shared" si="11"/>
        <v>0.75005787037037042</v>
      </c>
      <c r="P108" s="247">
        <f t="shared" si="12"/>
        <v>0</v>
      </c>
      <c r="Q108" s="247">
        <f t="shared" si="13"/>
        <v>-0.75005787037037042</v>
      </c>
    </row>
    <row r="109" spans="1:17" ht="15" customHeight="1" x14ac:dyDescent="0.25">
      <c r="A109" s="254" t="s">
        <v>589</v>
      </c>
      <c r="B109" s="254" t="s">
        <v>273</v>
      </c>
      <c r="C109" s="254" t="s">
        <v>271</v>
      </c>
      <c r="D109" s="254" t="s">
        <v>293</v>
      </c>
      <c r="E109" s="254" t="s">
        <v>294</v>
      </c>
      <c r="F109" s="254" t="s">
        <v>590</v>
      </c>
      <c r="G109" s="254" t="s">
        <v>591</v>
      </c>
      <c r="H109" s="255">
        <v>14075</v>
      </c>
      <c r="I109" s="254" t="s">
        <v>270</v>
      </c>
      <c r="J109" s="254" t="s">
        <v>286</v>
      </c>
      <c r="K109" s="246">
        <f t="shared" si="7"/>
        <v>44760</v>
      </c>
      <c r="L109" s="246">
        <f t="shared" si="8"/>
        <v>44760</v>
      </c>
      <c r="M109" s="247">
        <f t="shared" si="9"/>
        <v>0.37886574074074075</v>
      </c>
      <c r="N109" s="246">
        <f t="shared" si="10"/>
        <v>44760</v>
      </c>
      <c r="O109" s="247">
        <f t="shared" si="11"/>
        <v>0.54177083333333331</v>
      </c>
      <c r="P109" s="247">
        <f t="shared" si="12"/>
        <v>0.58288194444444441</v>
      </c>
      <c r="Q109" s="247">
        <f t="shared" si="13"/>
        <v>4.1111111111111098E-2</v>
      </c>
    </row>
    <row r="110" spans="1:17" ht="15" customHeight="1" x14ac:dyDescent="0.25">
      <c r="A110" s="254" t="s">
        <v>589</v>
      </c>
      <c r="B110" s="254" t="s">
        <v>273</v>
      </c>
      <c r="C110" s="254" t="s">
        <v>271</v>
      </c>
      <c r="D110" s="254" t="s">
        <v>293</v>
      </c>
      <c r="E110" s="254" t="s">
        <v>294</v>
      </c>
      <c r="F110" s="254" t="s">
        <v>592</v>
      </c>
      <c r="G110" s="254" t="s">
        <v>593</v>
      </c>
      <c r="H110" s="255">
        <v>7146</v>
      </c>
      <c r="I110" s="254" t="s">
        <v>270</v>
      </c>
      <c r="J110" s="254" t="s">
        <v>286</v>
      </c>
      <c r="K110" s="246">
        <f t="shared" si="7"/>
        <v>44760</v>
      </c>
      <c r="L110" s="246">
        <f t="shared" si="8"/>
        <v>44760</v>
      </c>
      <c r="M110" s="247">
        <f t="shared" si="9"/>
        <v>0.58288194444444441</v>
      </c>
      <c r="N110" s="246">
        <f t="shared" si="10"/>
        <v>44760</v>
      </c>
      <c r="O110" s="247">
        <f t="shared" si="11"/>
        <v>0.66559027777777779</v>
      </c>
      <c r="P110" s="247">
        <f t="shared" si="12"/>
        <v>0.66619212962962959</v>
      </c>
      <c r="Q110" s="247">
        <f t="shared" si="13"/>
        <v>6.018518518517979E-4</v>
      </c>
    </row>
    <row r="111" spans="1:17" ht="15" customHeight="1" x14ac:dyDescent="0.25">
      <c r="A111" s="254" t="s">
        <v>589</v>
      </c>
      <c r="B111" s="254" t="s">
        <v>273</v>
      </c>
      <c r="C111" s="254" t="s">
        <v>271</v>
      </c>
      <c r="D111" s="254" t="s">
        <v>293</v>
      </c>
      <c r="E111" s="254" t="s">
        <v>294</v>
      </c>
      <c r="F111" s="254" t="s">
        <v>594</v>
      </c>
      <c r="G111" s="254" t="s">
        <v>595</v>
      </c>
      <c r="H111" s="255">
        <v>3654</v>
      </c>
      <c r="I111" s="254" t="s">
        <v>270</v>
      </c>
      <c r="J111" s="254" t="s">
        <v>286</v>
      </c>
      <c r="K111" s="246">
        <f t="shared" si="7"/>
        <v>44760</v>
      </c>
      <c r="L111" s="246">
        <f t="shared" si="8"/>
        <v>44760</v>
      </c>
      <c r="M111" s="247">
        <f t="shared" si="9"/>
        <v>0.66619212962962959</v>
      </c>
      <c r="N111" s="246">
        <f t="shared" si="10"/>
        <v>44760</v>
      </c>
      <c r="O111" s="247">
        <f t="shared" si="11"/>
        <v>0.70848379629629632</v>
      </c>
      <c r="P111" s="247">
        <f t="shared" si="12"/>
        <v>0</v>
      </c>
      <c r="Q111" s="247">
        <f t="shared" si="13"/>
        <v>-0.70848379629629632</v>
      </c>
    </row>
    <row r="112" spans="1:17" ht="15" customHeight="1" x14ac:dyDescent="0.25">
      <c r="A112" s="254" t="s">
        <v>589</v>
      </c>
      <c r="B112" s="254" t="s">
        <v>273</v>
      </c>
      <c r="C112" s="254" t="s">
        <v>271</v>
      </c>
      <c r="D112" s="254" t="s">
        <v>295</v>
      </c>
      <c r="E112" s="254" t="s">
        <v>296</v>
      </c>
      <c r="F112" s="254" t="s">
        <v>596</v>
      </c>
      <c r="G112" s="254" t="s">
        <v>597</v>
      </c>
      <c r="H112" s="255">
        <v>2</v>
      </c>
      <c r="I112" s="254" t="s">
        <v>270</v>
      </c>
      <c r="J112" s="254" t="s">
        <v>286</v>
      </c>
      <c r="K112" s="246">
        <f t="shared" si="7"/>
        <v>44760</v>
      </c>
      <c r="L112" s="246">
        <f t="shared" si="8"/>
        <v>44760</v>
      </c>
      <c r="M112" s="247">
        <f t="shared" si="9"/>
        <v>0.49780092592592595</v>
      </c>
      <c r="N112" s="246">
        <f t="shared" si="10"/>
        <v>44760</v>
      </c>
      <c r="O112" s="247">
        <f t="shared" si="11"/>
        <v>0.49782407407407409</v>
      </c>
      <c r="P112" s="247">
        <f t="shared" si="12"/>
        <v>0.49968750000000001</v>
      </c>
      <c r="Q112" s="247">
        <f t="shared" si="13"/>
        <v>1.8634259259259212E-3</v>
      </c>
    </row>
    <row r="113" spans="1:17" ht="15" customHeight="1" x14ac:dyDescent="0.25">
      <c r="A113" s="254" t="s">
        <v>589</v>
      </c>
      <c r="B113" s="254" t="s">
        <v>273</v>
      </c>
      <c r="C113" s="254" t="s">
        <v>271</v>
      </c>
      <c r="D113" s="254" t="s">
        <v>295</v>
      </c>
      <c r="E113" s="254" t="s">
        <v>296</v>
      </c>
      <c r="F113" s="254" t="s">
        <v>598</v>
      </c>
      <c r="G113" s="254" t="s">
        <v>599</v>
      </c>
      <c r="H113" s="255">
        <v>10905</v>
      </c>
      <c r="I113" s="254" t="s">
        <v>270</v>
      </c>
      <c r="J113" s="254" t="s">
        <v>286</v>
      </c>
      <c r="K113" s="246">
        <f t="shared" si="7"/>
        <v>44760</v>
      </c>
      <c r="L113" s="246">
        <f t="shared" si="8"/>
        <v>44760</v>
      </c>
      <c r="M113" s="247">
        <f t="shared" si="9"/>
        <v>0.49968750000000001</v>
      </c>
      <c r="N113" s="246">
        <f t="shared" si="10"/>
        <v>44760</v>
      </c>
      <c r="O113" s="247">
        <f t="shared" si="11"/>
        <v>0.62590277777777781</v>
      </c>
      <c r="P113" s="247">
        <f t="shared" si="12"/>
        <v>0.66432870370370367</v>
      </c>
      <c r="Q113" s="247">
        <f t="shared" si="13"/>
        <v>3.8425925925925863E-2</v>
      </c>
    </row>
    <row r="114" spans="1:17" ht="15" customHeight="1" x14ac:dyDescent="0.25">
      <c r="A114" s="254" t="s">
        <v>589</v>
      </c>
      <c r="B114" s="254" t="s">
        <v>273</v>
      </c>
      <c r="C114" s="254" t="s">
        <v>271</v>
      </c>
      <c r="D114" s="254" t="s">
        <v>295</v>
      </c>
      <c r="E114" s="254" t="s">
        <v>296</v>
      </c>
      <c r="F114" s="254" t="s">
        <v>600</v>
      </c>
      <c r="G114" s="254" t="s">
        <v>601</v>
      </c>
      <c r="H114" s="255">
        <v>4</v>
      </c>
      <c r="I114" s="254" t="s">
        <v>270</v>
      </c>
      <c r="J114" s="254" t="s">
        <v>286</v>
      </c>
      <c r="K114" s="246">
        <f t="shared" si="7"/>
        <v>44760</v>
      </c>
      <c r="L114" s="246">
        <f t="shared" si="8"/>
        <v>44760</v>
      </c>
      <c r="M114" s="247">
        <f t="shared" si="9"/>
        <v>0.66432870370370367</v>
      </c>
      <c r="N114" s="246">
        <f t="shared" si="10"/>
        <v>44760</v>
      </c>
      <c r="O114" s="247">
        <f t="shared" si="11"/>
        <v>0.66437500000000005</v>
      </c>
      <c r="P114" s="247">
        <f t="shared" si="12"/>
        <v>0.66648148148148145</v>
      </c>
      <c r="Q114" s="247">
        <f t="shared" si="13"/>
        <v>2.1064814814814037E-3</v>
      </c>
    </row>
    <row r="115" spans="1:17" ht="15" customHeight="1" x14ac:dyDescent="0.25">
      <c r="A115" s="254" t="s">
        <v>589</v>
      </c>
      <c r="B115" s="254" t="s">
        <v>273</v>
      </c>
      <c r="C115" s="254" t="s">
        <v>271</v>
      </c>
      <c r="D115" s="254" t="s">
        <v>295</v>
      </c>
      <c r="E115" s="254" t="s">
        <v>296</v>
      </c>
      <c r="F115" s="254" t="s">
        <v>602</v>
      </c>
      <c r="G115" s="254" t="s">
        <v>603</v>
      </c>
      <c r="H115" s="255">
        <v>1803</v>
      </c>
      <c r="I115" s="254" t="s">
        <v>270</v>
      </c>
      <c r="J115" s="254" t="s">
        <v>286</v>
      </c>
      <c r="K115" s="246">
        <f t="shared" si="7"/>
        <v>44760</v>
      </c>
      <c r="L115" s="246">
        <f t="shared" si="8"/>
        <v>44760</v>
      </c>
      <c r="M115" s="247">
        <f t="shared" si="9"/>
        <v>0.66648148148148145</v>
      </c>
      <c r="N115" s="246">
        <f t="shared" si="10"/>
        <v>44760</v>
      </c>
      <c r="O115" s="247">
        <f t="shared" si="11"/>
        <v>0.68734953703703705</v>
      </c>
      <c r="P115" s="247">
        <f t="shared" si="12"/>
        <v>0.68805555555555553</v>
      </c>
      <c r="Q115" s="247">
        <f t="shared" si="13"/>
        <v>7.0601851851848085E-4</v>
      </c>
    </row>
    <row r="116" spans="1:17" ht="15" customHeight="1" x14ac:dyDescent="0.25">
      <c r="A116" s="254" t="s">
        <v>589</v>
      </c>
      <c r="B116" s="254" t="s">
        <v>273</v>
      </c>
      <c r="C116" s="254" t="s">
        <v>271</v>
      </c>
      <c r="D116" s="254" t="s">
        <v>295</v>
      </c>
      <c r="E116" s="254" t="s">
        <v>296</v>
      </c>
      <c r="F116" s="254" t="s">
        <v>604</v>
      </c>
      <c r="G116" s="254" t="s">
        <v>605</v>
      </c>
      <c r="H116" s="255">
        <v>686</v>
      </c>
      <c r="I116" s="254" t="s">
        <v>270</v>
      </c>
      <c r="J116" s="254" t="s">
        <v>286</v>
      </c>
      <c r="K116" s="246">
        <f t="shared" si="7"/>
        <v>44760</v>
      </c>
      <c r="L116" s="246">
        <f t="shared" si="8"/>
        <v>44760</v>
      </c>
      <c r="M116" s="247">
        <f t="shared" si="9"/>
        <v>0.68805555555555553</v>
      </c>
      <c r="N116" s="246">
        <f t="shared" si="10"/>
        <v>44760</v>
      </c>
      <c r="O116" s="247">
        <f t="shared" si="11"/>
        <v>0.6959953703703704</v>
      </c>
      <c r="P116" s="247">
        <f t="shared" si="12"/>
        <v>0.70122685185185185</v>
      </c>
      <c r="Q116" s="247">
        <f t="shared" si="13"/>
        <v>5.2314814814814481E-3</v>
      </c>
    </row>
    <row r="117" spans="1:17" ht="15" customHeight="1" x14ac:dyDescent="0.25">
      <c r="A117" s="254" t="s">
        <v>589</v>
      </c>
      <c r="B117" s="254" t="s">
        <v>273</v>
      </c>
      <c r="C117" s="254" t="s">
        <v>271</v>
      </c>
      <c r="D117" s="254" t="s">
        <v>295</v>
      </c>
      <c r="E117" s="254" t="s">
        <v>296</v>
      </c>
      <c r="F117" s="254" t="s">
        <v>606</v>
      </c>
      <c r="G117" s="254" t="s">
        <v>607</v>
      </c>
      <c r="H117" s="255">
        <v>8167</v>
      </c>
      <c r="I117" s="254" t="s">
        <v>270</v>
      </c>
      <c r="J117" s="254" t="s">
        <v>286</v>
      </c>
      <c r="K117" s="246">
        <f t="shared" si="7"/>
        <v>44760</v>
      </c>
      <c r="L117" s="246">
        <f t="shared" si="8"/>
        <v>44760</v>
      </c>
      <c r="M117" s="247">
        <f t="shared" si="9"/>
        <v>0.70122685185185185</v>
      </c>
      <c r="N117" s="246">
        <f t="shared" si="10"/>
        <v>44760</v>
      </c>
      <c r="O117" s="247">
        <f t="shared" si="11"/>
        <v>0.79575231481481479</v>
      </c>
      <c r="P117" s="247">
        <f t="shared" si="12"/>
        <v>0.79917824074074073</v>
      </c>
      <c r="Q117" s="247">
        <f t="shared" si="13"/>
        <v>3.4259259259259434E-3</v>
      </c>
    </row>
    <row r="118" spans="1:17" ht="15" customHeight="1" x14ac:dyDescent="0.25">
      <c r="A118" s="254" t="s">
        <v>589</v>
      </c>
      <c r="B118" s="254" t="s">
        <v>273</v>
      </c>
      <c r="C118" s="254" t="s">
        <v>271</v>
      </c>
      <c r="D118" s="254" t="s">
        <v>295</v>
      </c>
      <c r="E118" s="254" t="s">
        <v>296</v>
      </c>
      <c r="F118" s="254" t="s">
        <v>608</v>
      </c>
      <c r="G118" s="254" t="s">
        <v>609</v>
      </c>
      <c r="H118" s="255">
        <v>6572</v>
      </c>
      <c r="I118" s="254" t="s">
        <v>270</v>
      </c>
      <c r="J118" s="254" t="s">
        <v>286</v>
      </c>
      <c r="K118" s="246">
        <f t="shared" si="7"/>
        <v>44760</v>
      </c>
      <c r="L118" s="246">
        <f t="shared" si="8"/>
        <v>44760</v>
      </c>
      <c r="M118" s="247">
        <f t="shared" si="9"/>
        <v>0.79917824074074073</v>
      </c>
      <c r="N118" s="246">
        <f t="shared" si="10"/>
        <v>44760</v>
      </c>
      <c r="O118" s="247">
        <f t="shared" si="11"/>
        <v>0.87524305555555559</v>
      </c>
      <c r="P118" s="247">
        <f t="shared" si="12"/>
        <v>0</v>
      </c>
      <c r="Q118" s="247">
        <f t="shared" si="13"/>
        <v>-0.87524305555555559</v>
      </c>
    </row>
    <row r="119" spans="1:17" ht="15" customHeight="1" x14ac:dyDescent="0.25">
      <c r="A119" s="254" t="s">
        <v>589</v>
      </c>
      <c r="B119" s="254" t="s">
        <v>273</v>
      </c>
      <c r="C119" s="254" t="s">
        <v>271</v>
      </c>
      <c r="D119" s="254" t="s">
        <v>305</v>
      </c>
      <c r="E119" s="254" t="s">
        <v>306</v>
      </c>
      <c r="F119" s="254" t="s">
        <v>611</v>
      </c>
      <c r="G119" s="254" t="s">
        <v>612</v>
      </c>
      <c r="H119" s="255">
        <v>915</v>
      </c>
      <c r="I119" s="254" t="s">
        <v>270</v>
      </c>
      <c r="J119" s="254" t="s">
        <v>278</v>
      </c>
      <c r="K119" s="246">
        <f t="shared" si="7"/>
        <v>44760</v>
      </c>
      <c r="L119" s="246">
        <f t="shared" si="8"/>
        <v>44760</v>
      </c>
      <c r="M119" s="247">
        <f t="shared" si="9"/>
        <v>0.33403935185185185</v>
      </c>
      <c r="N119" s="246">
        <f t="shared" si="10"/>
        <v>44760</v>
      </c>
      <c r="O119" s="247">
        <f t="shared" si="11"/>
        <v>0.34462962962962962</v>
      </c>
      <c r="P119" s="247">
        <f t="shared" si="12"/>
        <v>0.34484953703703702</v>
      </c>
      <c r="Q119" s="247">
        <f t="shared" si="13"/>
        <v>2.1990740740740478E-4</v>
      </c>
    </row>
    <row r="120" spans="1:17" ht="15" customHeight="1" x14ac:dyDescent="0.25">
      <c r="A120" s="254" t="s">
        <v>589</v>
      </c>
      <c r="B120" s="254" t="s">
        <v>273</v>
      </c>
      <c r="C120" s="254" t="s">
        <v>271</v>
      </c>
      <c r="D120" s="254" t="s">
        <v>305</v>
      </c>
      <c r="E120" s="254" t="s">
        <v>306</v>
      </c>
      <c r="F120" s="254" t="s">
        <v>613</v>
      </c>
      <c r="G120" s="254" t="s">
        <v>614</v>
      </c>
      <c r="H120" s="255">
        <v>20637</v>
      </c>
      <c r="I120" s="254" t="s">
        <v>270</v>
      </c>
      <c r="J120" s="254" t="s">
        <v>278</v>
      </c>
      <c r="K120" s="246">
        <f t="shared" si="7"/>
        <v>44760</v>
      </c>
      <c r="L120" s="246">
        <f t="shared" si="8"/>
        <v>44760</v>
      </c>
      <c r="M120" s="247">
        <f t="shared" si="9"/>
        <v>0.34484953703703702</v>
      </c>
      <c r="N120" s="246">
        <f t="shared" si="10"/>
        <v>44760</v>
      </c>
      <c r="O120" s="247">
        <f t="shared" si="11"/>
        <v>0.58370370370370372</v>
      </c>
      <c r="P120" s="247">
        <f t="shared" si="12"/>
        <v>0.58415509259259257</v>
      </c>
      <c r="Q120" s="247">
        <f t="shared" si="13"/>
        <v>4.5138888888884843E-4</v>
      </c>
    </row>
    <row r="121" spans="1:17" ht="15" customHeight="1" x14ac:dyDescent="0.25">
      <c r="A121" s="254" t="s">
        <v>589</v>
      </c>
      <c r="B121" s="254" t="s">
        <v>273</v>
      </c>
      <c r="C121" s="254" t="s">
        <v>271</v>
      </c>
      <c r="D121" s="254" t="s">
        <v>305</v>
      </c>
      <c r="E121" s="254" t="s">
        <v>306</v>
      </c>
      <c r="F121" s="254" t="s">
        <v>615</v>
      </c>
      <c r="G121" s="254" t="s">
        <v>616</v>
      </c>
      <c r="H121" s="255">
        <v>2948</v>
      </c>
      <c r="I121" s="254" t="s">
        <v>270</v>
      </c>
      <c r="J121" s="254" t="s">
        <v>278</v>
      </c>
      <c r="K121" s="246">
        <f t="shared" si="7"/>
        <v>44760</v>
      </c>
      <c r="L121" s="246">
        <f t="shared" si="8"/>
        <v>44760</v>
      </c>
      <c r="M121" s="247">
        <f t="shared" si="9"/>
        <v>0.58415509259259257</v>
      </c>
      <c r="N121" s="246">
        <f t="shared" si="10"/>
        <v>44760</v>
      </c>
      <c r="O121" s="247">
        <f t="shared" si="11"/>
        <v>0.61827546296296299</v>
      </c>
      <c r="P121" s="247">
        <f t="shared" si="12"/>
        <v>0.61836805555555552</v>
      </c>
      <c r="Q121" s="247">
        <f t="shared" si="13"/>
        <v>9.2592592592533052E-5</v>
      </c>
    </row>
    <row r="122" spans="1:17" ht="15" customHeight="1" x14ac:dyDescent="0.25">
      <c r="A122" s="254" t="s">
        <v>589</v>
      </c>
      <c r="B122" s="254" t="s">
        <v>273</v>
      </c>
      <c r="C122" s="254" t="s">
        <v>271</v>
      </c>
      <c r="D122" s="254" t="s">
        <v>305</v>
      </c>
      <c r="E122" s="254" t="s">
        <v>306</v>
      </c>
      <c r="F122" s="254" t="s">
        <v>617</v>
      </c>
      <c r="G122" s="254" t="s">
        <v>618</v>
      </c>
      <c r="H122" s="255">
        <v>35</v>
      </c>
      <c r="I122" s="254" t="s">
        <v>270</v>
      </c>
      <c r="J122" s="254" t="s">
        <v>278</v>
      </c>
      <c r="K122" s="246">
        <f t="shared" si="7"/>
        <v>44760</v>
      </c>
      <c r="L122" s="246">
        <f t="shared" si="8"/>
        <v>44760</v>
      </c>
      <c r="M122" s="247">
        <f t="shared" si="9"/>
        <v>0.61836805555555552</v>
      </c>
      <c r="N122" s="246">
        <f t="shared" si="10"/>
        <v>44760</v>
      </c>
      <c r="O122" s="247">
        <f t="shared" si="11"/>
        <v>0.6187731481481481</v>
      </c>
      <c r="P122" s="247">
        <f t="shared" si="12"/>
        <v>0.61914351851851857</v>
      </c>
      <c r="Q122" s="247">
        <f t="shared" si="13"/>
        <v>3.7037037037046527E-4</v>
      </c>
    </row>
    <row r="123" spans="1:17" ht="15" customHeight="1" x14ac:dyDescent="0.25">
      <c r="A123" s="254" t="s">
        <v>589</v>
      </c>
      <c r="B123" s="254" t="s">
        <v>273</v>
      </c>
      <c r="C123" s="254" t="s">
        <v>271</v>
      </c>
      <c r="D123" s="254" t="s">
        <v>305</v>
      </c>
      <c r="E123" s="254" t="s">
        <v>306</v>
      </c>
      <c r="F123" s="254" t="s">
        <v>619</v>
      </c>
      <c r="G123" s="254" t="s">
        <v>620</v>
      </c>
      <c r="H123" s="255">
        <v>11671</v>
      </c>
      <c r="I123" s="254" t="s">
        <v>270</v>
      </c>
      <c r="J123" s="254" t="s">
        <v>278</v>
      </c>
      <c r="K123" s="246">
        <f t="shared" si="7"/>
        <v>44760</v>
      </c>
      <c r="L123" s="246">
        <f t="shared" si="8"/>
        <v>44760</v>
      </c>
      <c r="M123" s="247">
        <f t="shared" si="9"/>
        <v>0.61914351851851857</v>
      </c>
      <c r="N123" s="246">
        <f t="shared" si="10"/>
        <v>44760</v>
      </c>
      <c r="O123" s="247">
        <f t="shared" si="11"/>
        <v>0.75422453703703707</v>
      </c>
      <c r="P123" s="247">
        <f t="shared" si="12"/>
        <v>0</v>
      </c>
      <c r="Q123" s="247">
        <f t="shared" si="13"/>
        <v>-0.75422453703703707</v>
      </c>
    </row>
    <row r="124" spans="1:17" ht="15" customHeight="1" x14ac:dyDescent="0.25">
      <c r="A124" s="254" t="s">
        <v>589</v>
      </c>
      <c r="B124" s="254" t="s">
        <v>273</v>
      </c>
      <c r="C124" s="254" t="s">
        <v>271</v>
      </c>
      <c r="D124" s="254" t="s">
        <v>315</v>
      </c>
      <c r="E124" s="254" t="s">
        <v>316</v>
      </c>
      <c r="F124" s="254" t="s">
        <v>621</v>
      </c>
      <c r="G124" s="254" t="s">
        <v>622</v>
      </c>
      <c r="H124" s="255">
        <v>18273</v>
      </c>
      <c r="I124" s="254" t="s">
        <v>270</v>
      </c>
      <c r="J124" s="254" t="s">
        <v>278</v>
      </c>
      <c r="K124" s="246">
        <f t="shared" si="7"/>
        <v>44760</v>
      </c>
      <c r="L124" s="246">
        <f t="shared" si="8"/>
        <v>44760</v>
      </c>
      <c r="M124" s="247">
        <f t="shared" si="9"/>
        <v>0.33163194444444444</v>
      </c>
      <c r="N124" s="246">
        <f t="shared" si="10"/>
        <v>44760</v>
      </c>
      <c r="O124" s="247">
        <f t="shared" si="11"/>
        <v>0.54312499999999997</v>
      </c>
      <c r="P124" s="247">
        <f t="shared" si="12"/>
        <v>0.58234953703703707</v>
      </c>
      <c r="Q124" s="247">
        <f t="shared" si="13"/>
        <v>3.9224537037037099E-2</v>
      </c>
    </row>
    <row r="125" spans="1:17" ht="15" customHeight="1" x14ac:dyDescent="0.25">
      <c r="A125" s="254" t="s">
        <v>589</v>
      </c>
      <c r="B125" s="254" t="s">
        <v>273</v>
      </c>
      <c r="C125" s="254" t="s">
        <v>271</v>
      </c>
      <c r="D125" s="254" t="s">
        <v>315</v>
      </c>
      <c r="E125" s="254" t="s">
        <v>316</v>
      </c>
      <c r="F125" s="254" t="s">
        <v>623</v>
      </c>
      <c r="G125" s="254" t="s">
        <v>624</v>
      </c>
      <c r="H125" s="255">
        <v>10891</v>
      </c>
      <c r="I125" s="254" t="s">
        <v>270</v>
      </c>
      <c r="J125" s="254" t="s">
        <v>278</v>
      </c>
      <c r="K125" s="246">
        <f t="shared" si="7"/>
        <v>44760</v>
      </c>
      <c r="L125" s="246">
        <f t="shared" si="8"/>
        <v>44760</v>
      </c>
      <c r="M125" s="247">
        <f t="shared" si="9"/>
        <v>0.58234953703703707</v>
      </c>
      <c r="N125" s="246">
        <f t="shared" si="10"/>
        <v>44760</v>
      </c>
      <c r="O125" s="247">
        <f t="shared" si="11"/>
        <v>0.70840277777777783</v>
      </c>
      <c r="P125" s="247">
        <f t="shared" si="12"/>
        <v>0</v>
      </c>
      <c r="Q125" s="247">
        <f t="shared" si="13"/>
        <v>-0.70840277777777783</v>
      </c>
    </row>
    <row r="126" spans="1:17" ht="15" customHeight="1" x14ac:dyDescent="0.25">
      <c r="A126" s="254" t="s">
        <v>589</v>
      </c>
      <c r="B126" s="254" t="s">
        <v>273</v>
      </c>
      <c r="C126" s="254" t="s">
        <v>271</v>
      </c>
      <c r="D126" s="254" t="s">
        <v>323</v>
      </c>
      <c r="E126" s="254" t="s">
        <v>324</v>
      </c>
      <c r="F126" s="254" t="s">
        <v>625</v>
      </c>
      <c r="G126" s="254" t="s">
        <v>626</v>
      </c>
      <c r="H126" s="255">
        <v>17409</v>
      </c>
      <c r="I126" s="254" t="s">
        <v>270</v>
      </c>
      <c r="J126" s="254" t="s">
        <v>278</v>
      </c>
      <c r="K126" s="246">
        <f t="shared" si="7"/>
        <v>44760</v>
      </c>
      <c r="L126" s="246">
        <f t="shared" si="8"/>
        <v>44760</v>
      </c>
      <c r="M126" s="247">
        <f t="shared" si="9"/>
        <v>0.33339120370370373</v>
      </c>
      <c r="N126" s="246">
        <f t="shared" si="10"/>
        <v>44760</v>
      </c>
      <c r="O126" s="247">
        <f t="shared" si="11"/>
        <v>0.53488425925925931</v>
      </c>
      <c r="P126" s="247">
        <f t="shared" si="12"/>
        <v>0.53539351851851846</v>
      </c>
      <c r="Q126" s="247">
        <f t="shared" si="13"/>
        <v>5.0925925925915383E-4</v>
      </c>
    </row>
    <row r="127" spans="1:17" ht="15" customHeight="1" x14ac:dyDescent="0.25">
      <c r="A127" s="254" t="s">
        <v>589</v>
      </c>
      <c r="B127" s="254" t="s">
        <v>273</v>
      </c>
      <c r="C127" s="254" t="s">
        <v>271</v>
      </c>
      <c r="D127" s="254" t="s">
        <v>323</v>
      </c>
      <c r="E127" s="254" t="s">
        <v>324</v>
      </c>
      <c r="F127" s="254" t="s">
        <v>627</v>
      </c>
      <c r="G127" s="254" t="s">
        <v>628</v>
      </c>
      <c r="H127" s="255">
        <v>217</v>
      </c>
      <c r="I127" s="254" t="s">
        <v>270</v>
      </c>
      <c r="J127" s="254" t="s">
        <v>278</v>
      </c>
      <c r="K127" s="246">
        <f t="shared" si="7"/>
        <v>44760</v>
      </c>
      <c r="L127" s="246">
        <f t="shared" si="8"/>
        <v>44760</v>
      </c>
      <c r="M127" s="247">
        <f t="shared" si="9"/>
        <v>0.53539351851851846</v>
      </c>
      <c r="N127" s="246">
        <f t="shared" si="10"/>
        <v>44760</v>
      </c>
      <c r="O127" s="247">
        <f t="shared" si="11"/>
        <v>0.53790509259259256</v>
      </c>
      <c r="P127" s="247">
        <f t="shared" si="12"/>
        <v>0.5383796296296296</v>
      </c>
      <c r="Q127" s="247">
        <f t="shared" si="13"/>
        <v>4.745370370370372E-4</v>
      </c>
    </row>
    <row r="128" spans="1:17" ht="15" customHeight="1" x14ac:dyDescent="0.25">
      <c r="A128" s="254" t="s">
        <v>589</v>
      </c>
      <c r="B128" s="254" t="s">
        <v>273</v>
      </c>
      <c r="C128" s="254" t="s">
        <v>271</v>
      </c>
      <c r="D128" s="254" t="s">
        <v>323</v>
      </c>
      <c r="E128" s="254" t="s">
        <v>324</v>
      </c>
      <c r="F128" s="254" t="s">
        <v>629</v>
      </c>
      <c r="G128" s="254" t="s">
        <v>630</v>
      </c>
      <c r="H128" s="255">
        <v>426</v>
      </c>
      <c r="I128" s="254" t="s">
        <v>270</v>
      </c>
      <c r="J128" s="254" t="s">
        <v>278</v>
      </c>
      <c r="K128" s="246">
        <f t="shared" si="7"/>
        <v>44760</v>
      </c>
      <c r="L128" s="246">
        <f t="shared" si="8"/>
        <v>44760</v>
      </c>
      <c r="M128" s="247">
        <f t="shared" si="9"/>
        <v>0.5383796296296296</v>
      </c>
      <c r="N128" s="246">
        <f t="shared" si="10"/>
        <v>44760</v>
      </c>
      <c r="O128" s="247">
        <f t="shared" si="11"/>
        <v>0.54331018518518515</v>
      </c>
      <c r="P128" s="247">
        <f t="shared" si="12"/>
        <v>0.58498842592592593</v>
      </c>
      <c r="Q128" s="247">
        <f t="shared" si="13"/>
        <v>4.167824074074078E-2</v>
      </c>
    </row>
    <row r="129" spans="1:17" ht="15" customHeight="1" x14ac:dyDescent="0.25">
      <c r="A129" s="254" t="s">
        <v>589</v>
      </c>
      <c r="B129" s="254" t="s">
        <v>273</v>
      </c>
      <c r="C129" s="254" t="s">
        <v>271</v>
      </c>
      <c r="D129" s="254" t="s">
        <v>323</v>
      </c>
      <c r="E129" s="254" t="s">
        <v>324</v>
      </c>
      <c r="F129" s="254" t="s">
        <v>631</v>
      </c>
      <c r="G129" s="254" t="s">
        <v>632</v>
      </c>
      <c r="H129" s="255">
        <v>10659</v>
      </c>
      <c r="I129" s="254" t="s">
        <v>270</v>
      </c>
      <c r="J129" s="254" t="s">
        <v>278</v>
      </c>
      <c r="K129" s="246">
        <f t="shared" si="7"/>
        <v>44760</v>
      </c>
      <c r="L129" s="246">
        <f t="shared" si="8"/>
        <v>44760</v>
      </c>
      <c r="M129" s="247">
        <f t="shared" si="9"/>
        <v>0.58498842592592593</v>
      </c>
      <c r="N129" s="246">
        <f t="shared" si="10"/>
        <v>44760</v>
      </c>
      <c r="O129" s="247">
        <f t="shared" si="11"/>
        <v>0.70835648148148145</v>
      </c>
      <c r="P129" s="247">
        <f t="shared" si="12"/>
        <v>0</v>
      </c>
      <c r="Q129" s="247">
        <f t="shared" si="13"/>
        <v>-0.70835648148148145</v>
      </c>
    </row>
    <row r="130" spans="1:17" ht="15" customHeight="1" x14ac:dyDescent="0.25">
      <c r="A130" s="254" t="s">
        <v>589</v>
      </c>
      <c r="B130" s="254" t="s">
        <v>273</v>
      </c>
      <c r="C130" s="254" t="s">
        <v>271</v>
      </c>
      <c r="D130" s="254" t="s">
        <v>325</v>
      </c>
      <c r="E130" s="254" t="s">
        <v>326</v>
      </c>
      <c r="F130" s="254" t="s">
        <v>633</v>
      </c>
      <c r="G130" s="254" t="s">
        <v>634</v>
      </c>
      <c r="H130" s="255">
        <v>14642</v>
      </c>
      <c r="I130" s="254" t="s">
        <v>270</v>
      </c>
      <c r="J130" s="254" t="s">
        <v>278</v>
      </c>
      <c r="K130" s="246">
        <f t="shared" ref="K130:K193" si="14">DATE(VALUE(LEFT(A130,4)),VALUE(MID(A130,5,2)),VALUE(RIGHT(A130,2)))</f>
        <v>44760</v>
      </c>
      <c r="L130" s="246">
        <f t="shared" ref="L130:L193" si="15">DATEVALUE(LEFT(F130,10))</f>
        <v>44760</v>
      </c>
      <c r="M130" s="247">
        <f t="shared" ref="M130:M193" si="16">TIMEVALUE(MID(F130,12,8))</f>
        <v>0.45744212962962966</v>
      </c>
      <c r="N130" s="246">
        <f t="shared" ref="N130:N193" si="17">DATEVALUE(LEFT(G130,10))</f>
        <v>44760</v>
      </c>
      <c r="O130" s="247">
        <f t="shared" ref="O130:O193" si="18">TIMEVALUE(MID(G130,12,8))</f>
        <v>0.62690972222222219</v>
      </c>
      <c r="P130" s="247">
        <f t="shared" ref="P130:P193" si="19">IFERROR(_xlfn.MINIFS($M:$M,$E:$E,$E130,$K:$K,$K130,$M:$M,"&gt;"&amp;$O130),"")</f>
        <v>0.66693287037037041</v>
      </c>
      <c r="Q130" s="247">
        <f t="shared" ref="Q130:Q193" si="20">IF($P130="","",$P130-$O130)</f>
        <v>4.0023148148148224E-2</v>
      </c>
    </row>
    <row r="131" spans="1:17" ht="15" customHeight="1" x14ac:dyDescent="0.25">
      <c r="A131" s="254" t="s">
        <v>589</v>
      </c>
      <c r="B131" s="254" t="s">
        <v>273</v>
      </c>
      <c r="C131" s="254" t="s">
        <v>271</v>
      </c>
      <c r="D131" s="254" t="s">
        <v>325</v>
      </c>
      <c r="E131" s="254" t="s">
        <v>326</v>
      </c>
      <c r="F131" s="254" t="s">
        <v>635</v>
      </c>
      <c r="G131" s="254" t="s">
        <v>636</v>
      </c>
      <c r="H131" s="255">
        <v>13225</v>
      </c>
      <c r="I131" s="254" t="s">
        <v>270</v>
      </c>
      <c r="J131" s="254" t="s">
        <v>278</v>
      </c>
      <c r="K131" s="246">
        <f t="shared" si="14"/>
        <v>44760</v>
      </c>
      <c r="L131" s="246">
        <f t="shared" si="15"/>
        <v>44760</v>
      </c>
      <c r="M131" s="247">
        <f t="shared" si="16"/>
        <v>0.66693287037037041</v>
      </c>
      <c r="N131" s="246">
        <f t="shared" si="17"/>
        <v>44760</v>
      </c>
      <c r="O131" s="247">
        <f t="shared" si="18"/>
        <v>0.82</v>
      </c>
      <c r="P131" s="247">
        <f t="shared" si="19"/>
        <v>0.82459490740740737</v>
      </c>
      <c r="Q131" s="247">
        <f t="shared" si="20"/>
        <v>4.5949074074074225E-3</v>
      </c>
    </row>
    <row r="132" spans="1:17" ht="15" customHeight="1" x14ac:dyDescent="0.25">
      <c r="A132" s="254" t="s">
        <v>589</v>
      </c>
      <c r="B132" s="254" t="s">
        <v>273</v>
      </c>
      <c r="C132" s="254" t="s">
        <v>271</v>
      </c>
      <c r="D132" s="254" t="s">
        <v>325</v>
      </c>
      <c r="E132" s="254" t="s">
        <v>326</v>
      </c>
      <c r="F132" s="254" t="s">
        <v>637</v>
      </c>
      <c r="G132" s="254" t="s">
        <v>638</v>
      </c>
      <c r="H132" s="255">
        <v>4398</v>
      </c>
      <c r="I132" s="254" t="s">
        <v>270</v>
      </c>
      <c r="J132" s="254" t="s">
        <v>278</v>
      </c>
      <c r="K132" s="246">
        <f t="shared" si="14"/>
        <v>44760</v>
      </c>
      <c r="L132" s="246">
        <f t="shared" si="15"/>
        <v>44760</v>
      </c>
      <c r="M132" s="247">
        <f t="shared" si="16"/>
        <v>0.82459490740740737</v>
      </c>
      <c r="N132" s="246">
        <f t="shared" si="17"/>
        <v>44760</v>
      </c>
      <c r="O132" s="247">
        <f t="shared" si="18"/>
        <v>0.87549768518518523</v>
      </c>
      <c r="P132" s="247">
        <f t="shared" si="19"/>
        <v>0</v>
      </c>
      <c r="Q132" s="247">
        <f t="shared" si="20"/>
        <v>-0.87549768518518523</v>
      </c>
    </row>
    <row r="133" spans="1:17" ht="15" customHeight="1" x14ac:dyDescent="0.25">
      <c r="A133" s="254" t="s">
        <v>589</v>
      </c>
      <c r="B133" s="254" t="s">
        <v>273</v>
      </c>
      <c r="C133" s="254" t="s">
        <v>271</v>
      </c>
      <c r="D133" s="254" t="s">
        <v>331</v>
      </c>
      <c r="E133" s="254" t="s">
        <v>332</v>
      </c>
      <c r="F133" s="254" t="s">
        <v>639</v>
      </c>
      <c r="G133" s="254" t="s">
        <v>640</v>
      </c>
      <c r="H133" s="255">
        <v>5548</v>
      </c>
      <c r="I133" s="254" t="s">
        <v>270</v>
      </c>
      <c r="J133" s="254" t="s">
        <v>286</v>
      </c>
      <c r="K133" s="246">
        <f t="shared" si="14"/>
        <v>44760</v>
      </c>
      <c r="L133" s="246">
        <f t="shared" si="15"/>
        <v>44760</v>
      </c>
      <c r="M133" s="247">
        <f t="shared" si="16"/>
        <v>0.50579861111111113</v>
      </c>
      <c r="N133" s="246">
        <f t="shared" si="17"/>
        <v>44760</v>
      </c>
      <c r="O133" s="247">
        <f t="shared" si="18"/>
        <v>0.5700115740740741</v>
      </c>
      <c r="P133" s="247">
        <f t="shared" si="19"/>
        <v>0.57146990740740744</v>
      </c>
      <c r="Q133" s="247">
        <f t="shared" si="20"/>
        <v>1.4583333333333393E-3</v>
      </c>
    </row>
    <row r="134" spans="1:17" ht="15" customHeight="1" x14ac:dyDescent="0.25">
      <c r="A134" s="254" t="s">
        <v>589</v>
      </c>
      <c r="B134" s="254" t="s">
        <v>273</v>
      </c>
      <c r="C134" s="254" t="s">
        <v>271</v>
      </c>
      <c r="D134" s="254" t="s">
        <v>331</v>
      </c>
      <c r="E134" s="254" t="s">
        <v>332</v>
      </c>
      <c r="F134" s="254" t="s">
        <v>641</v>
      </c>
      <c r="G134" s="254" t="s">
        <v>642</v>
      </c>
      <c r="H134" s="255">
        <v>5335</v>
      </c>
      <c r="I134" s="254" t="s">
        <v>270</v>
      </c>
      <c r="J134" s="254" t="s">
        <v>286</v>
      </c>
      <c r="K134" s="246">
        <f t="shared" si="14"/>
        <v>44760</v>
      </c>
      <c r="L134" s="246">
        <f t="shared" si="15"/>
        <v>44760</v>
      </c>
      <c r="M134" s="247">
        <f t="shared" si="16"/>
        <v>0.57146990740740744</v>
      </c>
      <c r="N134" s="246">
        <f t="shared" si="17"/>
        <v>44760</v>
      </c>
      <c r="O134" s="247">
        <f t="shared" si="18"/>
        <v>0.63321759259259258</v>
      </c>
      <c r="P134" s="247">
        <f t="shared" si="19"/>
        <v>0.67391203703703706</v>
      </c>
      <c r="Q134" s="247">
        <f t="shared" si="20"/>
        <v>4.0694444444444478E-2</v>
      </c>
    </row>
    <row r="135" spans="1:17" ht="15" customHeight="1" x14ac:dyDescent="0.25">
      <c r="A135" s="254" t="s">
        <v>589</v>
      </c>
      <c r="B135" s="254" t="s">
        <v>273</v>
      </c>
      <c r="C135" s="254" t="s">
        <v>271</v>
      </c>
      <c r="D135" s="254" t="s">
        <v>331</v>
      </c>
      <c r="E135" s="254" t="s">
        <v>332</v>
      </c>
      <c r="F135" s="254" t="s">
        <v>643</v>
      </c>
      <c r="G135" s="254" t="s">
        <v>644</v>
      </c>
      <c r="H135" s="255">
        <v>5599</v>
      </c>
      <c r="I135" s="254" t="s">
        <v>270</v>
      </c>
      <c r="J135" s="254" t="s">
        <v>286</v>
      </c>
      <c r="K135" s="246">
        <f t="shared" si="14"/>
        <v>44760</v>
      </c>
      <c r="L135" s="246">
        <f t="shared" si="15"/>
        <v>44760</v>
      </c>
      <c r="M135" s="247">
        <f t="shared" si="16"/>
        <v>0.67391203703703706</v>
      </c>
      <c r="N135" s="246">
        <f t="shared" si="17"/>
        <v>44760</v>
      </c>
      <c r="O135" s="247">
        <f t="shared" si="18"/>
        <v>0.73871527777777779</v>
      </c>
      <c r="P135" s="247">
        <f t="shared" si="19"/>
        <v>0.73920138888888887</v>
      </c>
      <c r="Q135" s="247">
        <f t="shared" si="20"/>
        <v>4.8611111111107608E-4</v>
      </c>
    </row>
    <row r="136" spans="1:17" ht="15" customHeight="1" x14ac:dyDescent="0.25">
      <c r="A136" s="254" t="s">
        <v>589</v>
      </c>
      <c r="B136" s="254" t="s">
        <v>273</v>
      </c>
      <c r="C136" s="254" t="s">
        <v>271</v>
      </c>
      <c r="D136" s="254" t="s">
        <v>331</v>
      </c>
      <c r="E136" s="254" t="s">
        <v>332</v>
      </c>
      <c r="F136" s="254" t="s">
        <v>645</v>
      </c>
      <c r="G136" s="254" t="s">
        <v>646</v>
      </c>
      <c r="H136" s="255">
        <v>3683</v>
      </c>
      <c r="I136" s="254" t="s">
        <v>270</v>
      </c>
      <c r="J136" s="254" t="s">
        <v>286</v>
      </c>
      <c r="K136" s="246">
        <f t="shared" si="14"/>
        <v>44760</v>
      </c>
      <c r="L136" s="246">
        <f t="shared" si="15"/>
        <v>44760</v>
      </c>
      <c r="M136" s="247">
        <f t="shared" si="16"/>
        <v>0.73920138888888887</v>
      </c>
      <c r="N136" s="246">
        <f t="shared" si="17"/>
        <v>44760</v>
      </c>
      <c r="O136" s="247">
        <f t="shared" si="18"/>
        <v>0.78182870370370372</v>
      </c>
      <c r="P136" s="247">
        <f t="shared" si="19"/>
        <v>0.78197916666666667</v>
      </c>
      <c r="Q136" s="247">
        <f t="shared" si="20"/>
        <v>1.5046296296294948E-4</v>
      </c>
    </row>
    <row r="137" spans="1:17" ht="15" customHeight="1" x14ac:dyDescent="0.25">
      <c r="A137" s="254" t="s">
        <v>589</v>
      </c>
      <c r="B137" s="254" t="s">
        <v>273</v>
      </c>
      <c r="C137" s="254" t="s">
        <v>271</v>
      </c>
      <c r="D137" s="254" t="s">
        <v>331</v>
      </c>
      <c r="E137" s="254" t="s">
        <v>332</v>
      </c>
      <c r="F137" s="254" t="s">
        <v>647</v>
      </c>
      <c r="G137" s="254" t="s">
        <v>648</v>
      </c>
      <c r="H137" s="255">
        <v>8206</v>
      </c>
      <c r="I137" s="254" t="s">
        <v>270</v>
      </c>
      <c r="J137" s="254" t="s">
        <v>286</v>
      </c>
      <c r="K137" s="246">
        <f t="shared" si="14"/>
        <v>44760</v>
      </c>
      <c r="L137" s="246">
        <f t="shared" si="15"/>
        <v>44760</v>
      </c>
      <c r="M137" s="247">
        <f t="shared" si="16"/>
        <v>0.78197916666666667</v>
      </c>
      <c r="N137" s="246">
        <f t="shared" si="17"/>
        <v>44760</v>
      </c>
      <c r="O137" s="247">
        <f t="shared" si="18"/>
        <v>0.87695601851851857</v>
      </c>
      <c r="P137" s="247">
        <f t="shared" si="19"/>
        <v>0</v>
      </c>
      <c r="Q137" s="247">
        <f t="shared" si="20"/>
        <v>-0.87695601851851857</v>
      </c>
    </row>
    <row r="138" spans="1:17" ht="15" customHeight="1" x14ac:dyDescent="0.25">
      <c r="A138" s="254" t="s">
        <v>589</v>
      </c>
      <c r="B138" s="254" t="s">
        <v>273</v>
      </c>
      <c r="C138" s="254" t="s">
        <v>271</v>
      </c>
      <c r="D138" s="254" t="s">
        <v>337</v>
      </c>
      <c r="E138" s="254" t="s">
        <v>338</v>
      </c>
      <c r="F138" s="254" t="s">
        <v>649</v>
      </c>
      <c r="G138" s="254" t="s">
        <v>650</v>
      </c>
      <c r="H138" s="255">
        <v>723</v>
      </c>
      <c r="I138" s="254" t="s">
        <v>270</v>
      </c>
      <c r="J138" s="254" t="s">
        <v>278</v>
      </c>
      <c r="K138" s="246">
        <f t="shared" si="14"/>
        <v>44760</v>
      </c>
      <c r="L138" s="246">
        <f t="shared" si="15"/>
        <v>44760</v>
      </c>
      <c r="M138" s="247">
        <f t="shared" si="16"/>
        <v>0.45990740740740743</v>
      </c>
      <c r="N138" s="246">
        <f t="shared" si="17"/>
        <v>44760</v>
      </c>
      <c r="O138" s="247">
        <f t="shared" si="18"/>
        <v>0.46827546296296296</v>
      </c>
      <c r="P138" s="247">
        <f t="shared" si="19"/>
        <v>0.49989583333333332</v>
      </c>
      <c r="Q138" s="247">
        <f t="shared" si="20"/>
        <v>3.1620370370370354E-2</v>
      </c>
    </row>
    <row r="139" spans="1:17" ht="15" customHeight="1" x14ac:dyDescent="0.25">
      <c r="A139" s="254" t="s">
        <v>589</v>
      </c>
      <c r="B139" s="254" t="s">
        <v>273</v>
      </c>
      <c r="C139" s="254" t="s">
        <v>271</v>
      </c>
      <c r="D139" s="254" t="s">
        <v>337</v>
      </c>
      <c r="E139" s="254" t="s">
        <v>338</v>
      </c>
      <c r="F139" s="254" t="s">
        <v>651</v>
      </c>
      <c r="G139" s="254" t="s">
        <v>610</v>
      </c>
      <c r="H139" s="255">
        <v>10821</v>
      </c>
      <c r="I139" s="254" t="s">
        <v>270</v>
      </c>
      <c r="J139" s="254" t="s">
        <v>278</v>
      </c>
      <c r="K139" s="246">
        <f t="shared" si="14"/>
        <v>44760</v>
      </c>
      <c r="L139" s="246">
        <f t="shared" si="15"/>
        <v>44760</v>
      </c>
      <c r="M139" s="247">
        <f t="shared" si="16"/>
        <v>0.49989583333333332</v>
      </c>
      <c r="N139" s="246">
        <f t="shared" si="17"/>
        <v>44760</v>
      </c>
      <c r="O139" s="247">
        <f t="shared" si="18"/>
        <v>0.62513888888888891</v>
      </c>
      <c r="P139" s="247">
        <f t="shared" si="19"/>
        <v>0.66652777777777783</v>
      </c>
      <c r="Q139" s="247">
        <f t="shared" si="20"/>
        <v>4.1388888888888919E-2</v>
      </c>
    </row>
    <row r="140" spans="1:17" ht="15" customHeight="1" x14ac:dyDescent="0.25">
      <c r="A140" s="254" t="s">
        <v>589</v>
      </c>
      <c r="B140" s="254" t="s">
        <v>273</v>
      </c>
      <c r="C140" s="254" t="s">
        <v>271</v>
      </c>
      <c r="D140" s="254" t="s">
        <v>337</v>
      </c>
      <c r="E140" s="254" t="s">
        <v>338</v>
      </c>
      <c r="F140" s="254" t="s">
        <v>652</v>
      </c>
      <c r="G140" s="254" t="s">
        <v>653</v>
      </c>
      <c r="H140" s="255">
        <v>280</v>
      </c>
      <c r="I140" s="254" t="s">
        <v>270</v>
      </c>
      <c r="J140" s="254" t="s">
        <v>278</v>
      </c>
      <c r="K140" s="246">
        <f t="shared" si="14"/>
        <v>44760</v>
      </c>
      <c r="L140" s="246">
        <f t="shared" si="15"/>
        <v>44760</v>
      </c>
      <c r="M140" s="247">
        <f t="shared" si="16"/>
        <v>0.66652777777777783</v>
      </c>
      <c r="N140" s="246">
        <f t="shared" si="17"/>
        <v>44760</v>
      </c>
      <c r="O140" s="247">
        <f t="shared" si="18"/>
        <v>0.66976851851851849</v>
      </c>
      <c r="P140" s="247">
        <f t="shared" si="19"/>
        <v>0.67046296296296293</v>
      </c>
      <c r="Q140" s="247">
        <f t="shared" si="20"/>
        <v>6.9444444444444198E-4</v>
      </c>
    </row>
    <row r="141" spans="1:17" ht="15" customHeight="1" x14ac:dyDescent="0.25">
      <c r="A141" s="254" t="s">
        <v>589</v>
      </c>
      <c r="B141" s="254" t="s">
        <v>273</v>
      </c>
      <c r="C141" s="254" t="s">
        <v>271</v>
      </c>
      <c r="D141" s="254" t="s">
        <v>337</v>
      </c>
      <c r="E141" s="254" t="s">
        <v>338</v>
      </c>
      <c r="F141" s="254" t="s">
        <v>654</v>
      </c>
      <c r="G141" s="254" t="s">
        <v>655</v>
      </c>
      <c r="H141" s="255">
        <v>750</v>
      </c>
      <c r="I141" s="254" t="s">
        <v>270</v>
      </c>
      <c r="J141" s="254" t="s">
        <v>278</v>
      </c>
      <c r="K141" s="246">
        <f t="shared" si="14"/>
        <v>44760</v>
      </c>
      <c r="L141" s="246">
        <f t="shared" si="15"/>
        <v>44760</v>
      </c>
      <c r="M141" s="247">
        <f t="shared" si="16"/>
        <v>0.67046296296296293</v>
      </c>
      <c r="N141" s="246">
        <f t="shared" si="17"/>
        <v>44760</v>
      </c>
      <c r="O141" s="247">
        <f t="shared" si="18"/>
        <v>0.67914351851851851</v>
      </c>
      <c r="P141" s="247">
        <f t="shared" si="19"/>
        <v>0.68519675925925927</v>
      </c>
      <c r="Q141" s="247">
        <f t="shared" si="20"/>
        <v>6.0532407407407618E-3</v>
      </c>
    </row>
    <row r="142" spans="1:17" ht="15" customHeight="1" x14ac:dyDescent="0.25">
      <c r="A142" s="254" t="s">
        <v>589</v>
      </c>
      <c r="B142" s="254" t="s">
        <v>273</v>
      </c>
      <c r="C142" s="254" t="s">
        <v>271</v>
      </c>
      <c r="D142" s="254" t="s">
        <v>337</v>
      </c>
      <c r="E142" s="254" t="s">
        <v>338</v>
      </c>
      <c r="F142" s="254" t="s">
        <v>656</v>
      </c>
      <c r="G142" s="254" t="s">
        <v>657</v>
      </c>
      <c r="H142" s="255">
        <v>707</v>
      </c>
      <c r="I142" s="254" t="s">
        <v>270</v>
      </c>
      <c r="J142" s="254" t="s">
        <v>278</v>
      </c>
      <c r="K142" s="246">
        <f t="shared" si="14"/>
        <v>44760</v>
      </c>
      <c r="L142" s="246">
        <f t="shared" si="15"/>
        <v>44760</v>
      </c>
      <c r="M142" s="247">
        <f t="shared" si="16"/>
        <v>0.68519675925925927</v>
      </c>
      <c r="N142" s="246">
        <f t="shared" si="17"/>
        <v>44760</v>
      </c>
      <c r="O142" s="247">
        <f t="shared" si="18"/>
        <v>0.69337962962962962</v>
      </c>
      <c r="P142" s="247">
        <f t="shared" si="19"/>
        <v>0.69663194444444443</v>
      </c>
      <c r="Q142" s="247">
        <f t="shared" si="20"/>
        <v>3.2523148148148051E-3</v>
      </c>
    </row>
    <row r="143" spans="1:17" ht="15" customHeight="1" x14ac:dyDescent="0.25">
      <c r="A143" s="254" t="s">
        <v>589</v>
      </c>
      <c r="B143" s="254" t="s">
        <v>273</v>
      </c>
      <c r="C143" s="254" t="s">
        <v>271</v>
      </c>
      <c r="D143" s="254" t="s">
        <v>337</v>
      </c>
      <c r="E143" s="254" t="s">
        <v>338</v>
      </c>
      <c r="F143" s="254" t="s">
        <v>658</v>
      </c>
      <c r="G143" s="254" t="s">
        <v>659</v>
      </c>
      <c r="H143" s="255">
        <v>179</v>
      </c>
      <c r="I143" s="254" t="s">
        <v>270</v>
      </c>
      <c r="J143" s="254" t="s">
        <v>278</v>
      </c>
      <c r="K143" s="246">
        <f t="shared" si="14"/>
        <v>44760</v>
      </c>
      <c r="L143" s="246">
        <f t="shared" si="15"/>
        <v>44760</v>
      </c>
      <c r="M143" s="247">
        <f t="shared" si="16"/>
        <v>0.69663194444444443</v>
      </c>
      <c r="N143" s="246">
        <f t="shared" si="17"/>
        <v>44760</v>
      </c>
      <c r="O143" s="247">
        <f t="shared" si="18"/>
        <v>0.69870370370370372</v>
      </c>
      <c r="P143" s="247">
        <f t="shared" si="19"/>
        <v>0.69966435185185183</v>
      </c>
      <c r="Q143" s="247">
        <f t="shared" si="20"/>
        <v>9.6064814814811328E-4</v>
      </c>
    </row>
    <row r="144" spans="1:17" ht="15" customHeight="1" x14ac:dyDescent="0.25">
      <c r="A144" s="254" t="s">
        <v>589</v>
      </c>
      <c r="B144" s="254" t="s">
        <v>273</v>
      </c>
      <c r="C144" s="254" t="s">
        <v>271</v>
      </c>
      <c r="D144" s="254" t="s">
        <v>337</v>
      </c>
      <c r="E144" s="254" t="s">
        <v>338</v>
      </c>
      <c r="F144" s="254" t="s">
        <v>660</v>
      </c>
      <c r="G144" s="254" t="s">
        <v>661</v>
      </c>
      <c r="H144" s="255">
        <v>380</v>
      </c>
      <c r="I144" s="254" t="s">
        <v>270</v>
      </c>
      <c r="J144" s="254" t="s">
        <v>278</v>
      </c>
      <c r="K144" s="246">
        <f t="shared" si="14"/>
        <v>44760</v>
      </c>
      <c r="L144" s="246">
        <f t="shared" si="15"/>
        <v>44760</v>
      </c>
      <c r="M144" s="247">
        <f t="shared" si="16"/>
        <v>0.69966435185185183</v>
      </c>
      <c r="N144" s="246">
        <f t="shared" si="17"/>
        <v>44760</v>
      </c>
      <c r="O144" s="247">
        <f t="shared" si="18"/>
        <v>0.70406250000000004</v>
      </c>
      <c r="P144" s="247">
        <f t="shared" si="19"/>
        <v>0.70420138888888884</v>
      </c>
      <c r="Q144" s="247">
        <f t="shared" si="20"/>
        <v>1.3888888888879958E-4</v>
      </c>
    </row>
    <row r="145" spans="1:17" ht="15" customHeight="1" x14ac:dyDescent="0.25">
      <c r="A145" s="254" t="s">
        <v>589</v>
      </c>
      <c r="B145" s="254" t="s">
        <v>273</v>
      </c>
      <c r="C145" s="254" t="s">
        <v>271</v>
      </c>
      <c r="D145" s="254" t="s">
        <v>337</v>
      </c>
      <c r="E145" s="254" t="s">
        <v>338</v>
      </c>
      <c r="F145" s="254" t="s">
        <v>662</v>
      </c>
      <c r="G145" s="254" t="s">
        <v>663</v>
      </c>
      <c r="H145" s="255">
        <v>294</v>
      </c>
      <c r="I145" s="254" t="s">
        <v>270</v>
      </c>
      <c r="J145" s="254" t="s">
        <v>278</v>
      </c>
      <c r="K145" s="246">
        <f t="shared" si="14"/>
        <v>44760</v>
      </c>
      <c r="L145" s="246">
        <f t="shared" si="15"/>
        <v>44760</v>
      </c>
      <c r="M145" s="247">
        <f t="shared" si="16"/>
        <v>0.70420138888888884</v>
      </c>
      <c r="N145" s="246">
        <f t="shared" si="17"/>
        <v>44760</v>
      </c>
      <c r="O145" s="247">
        <f t="shared" si="18"/>
        <v>0.7076041666666667</v>
      </c>
      <c r="P145" s="247">
        <f t="shared" si="19"/>
        <v>0.7131481481481482</v>
      </c>
      <c r="Q145" s="247">
        <f t="shared" si="20"/>
        <v>5.5439814814814969E-3</v>
      </c>
    </row>
    <row r="146" spans="1:17" ht="15" customHeight="1" x14ac:dyDescent="0.25">
      <c r="A146" s="254" t="s">
        <v>589</v>
      </c>
      <c r="B146" s="254" t="s">
        <v>273</v>
      </c>
      <c r="C146" s="254" t="s">
        <v>271</v>
      </c>
      <c r="D146" s="254" t="s">
        <v>337</v>
      </c>
      <c r="E146" s="254" t="s">
        <v>338</v>
      </c>
      <c r="F146" s="254" t="s">
        <v>664</v>
      </c>
      <c r="G146" s="254" t="s">
        <v>665</v>
      </c>
      <c r="H146" s="255">
        <v>23</v>
      </c>
      <c r="I146" s="254" t="s">
        <v>270</v>
      </c>
      <c r="J146" s="254" t="s">
        <v>278</v>
      </c>
      <c r="K146" s="246">
        <f t="shared" si="14"/>
        <v>44760</v>
      </c>
      <c r="L146" s="246">
        <f t="shared" si="15"/>
        <v>44760</v>
      </c>
      <c r="M146" s="247">
        <f t="shared" si="16"/>
        <v>0.7131481481481482</v>
      </c>
      <c r="N146" s="246">
        <f t="shared" si="17"/>
        <v>44760</v>
      </c>
      <c r="O146" s="247">
        <f t="shared" si="18"/>
        <v>0.71341435185185187</v>
      </c>
      <c r="P146" s="247">
        <f t="shared" si="19"/>
        <v>0.72121527777777783</v>
      </c>
      <c r="Q146" s="247">
        <f t="shared" si="20"/>
        <v>7.8009259259259611E-3</v>
      </c>
    </row>
    <row r="147" spans="1:17" ht="15" customHeight="1" x14ac:dyDescent="0.25">
      <c r="A147" s="254" t="s">
        <v>589</v>
      </c>
      <c r="B147" s="254" t="s">
        <v>273</v>
      </c>
      <c r="C147" s="254" t="s">
        <v>271</v>
      </c>
      <c r="D147" s="254" t="s">
        <v>337</v>
      </c>
      <c r="E147" s="254" t="s">
        <v>338</v>
      </c>
      <c r="F147" s="254" t="s">
        <v>666</v>
      </c>
      <c r="G147" s="254" t="s">
        <v>667</v>
      </c>
      <c r="H147" s="255">
        <v>168</v>
      </c>
      <c r="I147" s="254" t="s">
        <v>270</v>
      </c>
      <c r="J147" s="254" t="s">
        <v>278</v>
      </c>
      <c r="K147" s="246">
        <f t="shared" si="14"/>
        <v>44760</v>
      </c>
      <c r="L147" s="246">
        <f t="shared" si="15"/>
        <v>44760</v>
      </c>
      <c r="M147" s="247">
        <f t="shared" si="16"/>
        <v>0.72121527777777783</v>
      </c>
      <c r="N147" s="246">
        <f t="shared" si="17"/>
        <v>44760</v>
      </c>
      <c r="O147" s="247">
        <f t="shared" si="18"/>
        <v>0.72315972222222225</v>
      </c>
      <c r="P147" s="247">
        <f t="shared" si="19"/>
        <v>0.74804398148148143</v>
      </c>
      <c r="Q147" s="247">
        <f t="shared" si="20"/>
        <v>2.4884259259259189E-2</v>
      </c>
    </row>
    <row r="148" spans="1:17" ht="15" customHeight="1" x14ac:dyDescent="0.25">
      <c r="A148" s="254" t="s">
        <v>589</v>
      </c>
      <c r="B148" s="254" t="s">
        <v>273</v>
      </c>
      <c r="C148" s="254" t="s">
        <v>271</v>
      </c>
      <c r="D148" s="254" t="s">
        <v>337</v>
      </c>
      <c r="E148" s="254" t="s">
        <v>338</v>
      </c>
      <c r="F148" s="254" t="s">
        <v>668</v>
      </c>
      <c r="G148" s="254" t="s">
        <v>669</v>
      </c>
      <c r="H148" s="255">
        <v>11016</v>
      </c>
      <c r="I148" s="254" t="s">
        <v>270</v>
      </c>
      <c r="J148" s="254" t="s">
        <v>278</v>
      </c>
      <c r="K148" s="246">
        <f t="shared" si="14"/>
        <v>44760</v>
      </c>
      <c r="L148" s="246">
        <f t="shared" si="15"/>
        <v>44760</v>
      </c>
      <c r="M148" s="247">
        <f t="shared" si="16"/>
        <v>0.74804398148148143</v>
      </c>
      <c r="N148" s="246">
        <f t="shared" si="17"/>
        <v>44760</v>
      </c>
      <c r="O148" s="247">
        <f t="shared" si="18"/>
        <v>0.87554398148148149</v>
      </c>
      <c r="P148" s="247">
        <f t="shared" si="19"/>
        <v>0</v>
      </c>
      <c r="Q148" s="247">
        <f t="shared" si="20"/>
        <v>-0.87554398148148149</v>
      </c>
    </row>
    <row r="149" spans="1:17" ht="15" customHeight="1" x14ac:dyDescent="0.25">
      <c r="A149" s="254" t="s">
        <v>670</v>
      </c>
      <c r="B149" s="254" t="s">
        <v>273</v>
      </c>
      <c r="C149" s="254" t="s">
        <v>271</v>
      </c>
      <c r="D149" s="254" t="s">
        <v>274</v>
      </c>
      <c r="E149" s="254" t="s">
        <v>275</v>
      </c>
      <c r="F149" s="254" t="s">
        <v>671</v>
      </c>
      <c r="G149" s="254" t="s">
        <v>672</v>
      </c>
      <c r="H149" s="255">
        <v>18354</v>
      </c>
      <c r="I149" s="254" t="s">
        <v>270</v>
      </c>
      <c r="J149" s="254" t="s">
        <v>391</v>
      </c>
      <c r="K149" s="246">
        <f t="shared" si="14"/>
        <v>44761</v>
      </c>
      <c r="L149" s="246">
        <f t="shared" si="15"/>
        <v>44761</v>
      </c>
      <c r="M149" s="247">
        <f t="shared" si="16"/>
        <v>0.41260416666666666</v>
      </c>
      <c r="N149" s="246">
        <f t="shared" si="17"/>
        <v>44761</v>
      </c>
      <c r="O149" s="247">
        <f t="shared" si="18"/>
        <v>0.62503472222222223</v>
      </c>
      <c r="P149" s="247">
        <f t="shared" si="19"/>
        <v>0.67355324074074074</v>
      </c>
      <c r="Q149" s="247">
        <f t="shared" si="20"/>
        <v>4.8518518518518516E-2</v>
      </c>
    </row>
    <row r="150" spans="1:17" ht="15" customHeight="1" x14ac:dyDescent="0.25">
      <c r="A150" s="254" t="s">
        <v>670</v>
      </c>
      <c r="B150" s="254" t="s">
        <v>273</v>
      </c>
      <c r="C150" s="254" t="s">
        <v>271</v>
      </c>
      <c r="D150" s="254" t="s">
        <v>274</v>
      </c>
      <c r="E150" s="254" t="s">
        <v>275</v>
      </c>
      <c r="F150" s="254" t="s">
        <v>673</v>
      </c>
      <c r="G150" s="254" t="s">
        <v>674</v>
      </c>
      <c r="H150" s="255">
        <v>273</v>
      </c>
      <c r="I150" s="254" t="s">
        <v>270</v>
      </c>
      <c r="J150" s="254" t="s">
        <v>391</v>
      </c>
      <c r="K150" s="246">
        <f t="shared" si="14"/>
        <v>44761</v>
      </c>
      <c r="L150" s="246">
        <f t="shared" si="15"/>
        <v>44761</v>
      </c>
      <c r="M150" s="247">
        <f t="shared" si="16"/>
        <v>0.67355324074074074</v>
      </c>
      <c r="N150" s="246">
        <f t="shared" si="17"/>
        <v>44761</v>
      </c>
      <c r="O150" s="247">
        <f t="shared" si="18"/>
        <v>0.67671296296296302</v>
      </c>
      <c r="P150" s="247">
        <f t="shared" si="19"/>
        <v>0.67745370370370372</v>
      </c>
      <c r="Q150" s="247">
        <f t="shared" si="20"/>
        <v>7.407407407407085E-4</v>
      </c>
    </row>
    <row r="151" spans="1:17" ht="15" customHeight="1" x14ac:dyDescent="0.25">
      <c r="A151" s="254" t="s">
        <v>670</v>
      </c>
      <c r="B151" s="254" t="s">
        <v>273</v>
      </c>
      <c r="C151" s="254" t="s">
        <v>271</v>
      </c>
      <c r="D151" s="254" t="s">
        <v>274</v>
      </c>
      <c r="E151" s="254" t="s">
        <v>275</v>
      </c>
      <c r="F151" s="254" t="s">
        <v>675</v>
      </c>
      <c r="G151" s="254" t="s">
        <v>676</v>
      </c>
      <c r="H151" s="255">
        <v>3744</v>
      </c>
      <c r="I151" s="254" t="s">
        <v>270</v>
      </c>
      <c r="J151" s="254" t="s">
        <v>391</v>
      </c>
      <c r="K151" s="246">
        <f t="shared" si="14"/>
        <v>44761</v>
      </c>
      <c r="L151" s="246">
        <f t="shared" si="15"/>
        <v>44761</v>
      </c>
      <c r="M151" s="247">
        <f t="shared" si="16"/>
        <v>0.67745370370370372</v>
      </c>
      <c r="N151" s="246">
        <f t="shared" si="17"/>
        <v>44761</v>
      </c>
      <c r="O151" s="247">
        <f t="shared" si="18"/>
        <v>0.72078703703703706</v>
      </c>
      <c r="P151" s="247">
        <f t="shared" si="19"/>
        <v>0.72186342592592589</v>
      </c>
      <c r="Q151" s="247">
        <f t="shared" si="20"/>
        <v>1.0763888888888351E-3</v>
      </c>
    </row>
    <row r="152" spans="1:17" ht="15" customHeight="1" x14ac:dyDescent="0.25">
      <c r="A152" s="254" t="s">
        <v>670</v>
      </c>
      <c r="B152" s="254" t="s">
        <v>273</v>
      </c>
      <c r="C152" s="254" t="s">
        <v>271</v>
      </c>
      <c r="D152" s="254" t="s">
        <v>274</v>
      </c>
      <c r="E152" s="254" t="s">
        <v>275</v>
      </c>
      <c r="F152" s="254" t="s">
        <v>677</v>
      </c>
      <c r="G152" s="254" t="s">
        <v>678</v>
      </c>
      <c r="H152" s="255">
        <v>9632</v>
      </c>
      <c r="I152" s="254" t="s">
        <v>270</v>
      </c>
      <c r="J152" s="254" t="s">
        <v>391</v>
      </c>
      <c r="K152" s="246">
        <f t="shared" si="14"/>
        <v>44761</v>
      </c>
      <c r="L152" s="246">
        <f t="shared" si="15"/>
        <v>44761</v>
      </c>
      <c r="M152" s="247">
        <f t="shared" si="16"/>
        <v>0.72186342592592589</v>
      </c>
      <c r="N152" s="246">
        <f t="shared" si="17"/>
        <v>44761</v>
      </c>
      <c r="O152" s="247">
        <f t="shared" si="18"/>
        <v>0.83334490740740741</v>
      </c>
      <c r="P152" s="247">
        <f t="shared" si="19"/>
        <v>0</v>
      </c>
      <c r="Q152" s="247">
        <f t="shared" si="20"/>
        <v>-0.83334490740740741</v>
      </c>
    </row>
    <row r="153" spans="1:17" ht="15" customHeight="1" x14ac:dyDescent="0.25">
      <c r="A153" s="254" t="s">
        <v>670</v>
      </c>
      <c r="B153" s="254" t="s">
        <v>273</v>
      </c>
      <c r="C153" s="254" t="s">
        <v>271</v>
      </c>
      <c r="D153" s="254" t="s">
        <v>350</v>
      </c>
      <c r="E153" s="254" t="s">
        <v>351</v>
      </c>
      <c r="F153" s="254" t="s">
        <v>681</v>
      </c>
      <c r="G153" s="254" t="s">
        <v>682</v>
      </c>
      <c r="H153" s="255">
        <v>10</v>
      </c>
      <c r="I153" s="254" t="s">
        <v>270</v>
      </c>
      <c r="J153" s="254" t="s">
        <v>278</v>
      </c>
      <c r="K153" s="246">
        <f t="shared" si="14"/>
        <v>44761</v>
      </c>
      <c r="L153" s="246">
        <f t="shared" si="15"/>
        <v>44761</v>
      </c>
      <c r="M153" s="247">
        <f t="shared" si="16"/>
        <v>0.45421296296296299</v>
      </c>
      <c r="N153" s="246">
        <f t="shared" si="17"/>
        <v>44761</v>
      </c>
      <c r="O153" s="247">
        <f t="shared" si="18"/>
        <v>0.45432870370370371</v>
      </c>
      <c r="P153" s="247">
        <f t="shared" si="19"/>
        <v>0.45861111111111114</v>
      </c>
      <c r="Q153" s="247">
        <f t="shared" si="20"/>
        <v>4.2824074074074292E-3</v>
      </c>
    </row>
    <row r="154" spans="1:17" ht="15" customHeight="1" x14ac:dyDescent="0.25">
      <c r="A154" s="254" t="s">
        <v>670</v>
      </c>
      <c r="B154" s="254" t="s">
        <v>273</v>
      </c>
      <c r="C154" s="254" t="s">
        <v>271</v>
      </c>
      <c r="D154" s="254" t="s">
        <v>350</v>
      </c>
      <c r="E154" s="254" t="s">
        <v>351</v>
      </c>
      <c r="F154" s="254" t="s">
        <v>683</v>
      </c>
      <c r="G154" s="254" t="s">
        <v>684</v>
      </c>
      <c r="H154" s="255">
        <v>14406</v>
      </c>
      <c r="I154" s="254" t="s">
        <v>270</v>
      </c>
      <c r="J154" s="254" t="s">
        <v>278</v>
      </c>
      <c r="K154" s="246">
        <f t="shared" si="14"/>
        <v>44761</v>
      </c>
      <c r="L154" s="246">
        <f t="shared" si="15"/>
        <v>44761</v>
      </c>
      <c r="M154" s="247">
        <f t="shared" si="16"/>
        <v>0.45861111111111114</v>
      </c>
      <c r="N154" s="246">
        <f t="shared" si="17"/>
        <v>44761</v>
      </c>
      <c r="O154" s="247">
        <f t="shared" si="18"/>
        <v>0.62534722222222228</v>
      </c>
      <c r="P154" s="247">
        <f t="shared" si="19"/>
        <v>0.66589120370370369</v>
      </c>
      <c r="Q154" s="247">
        <f t="shared" si="20"/>
        <v>4.0543981481481417E-2</v>
      </c>
    </row>
    <row r="155" spans="1:17" ht="15" customHeight="1" x14ac:dyDescent="0.25">
      <c r="A155" s="254" t="s">
        <v>670</v>
      </c>
      <c r="B155" s="254" t="s">
        <v>273</v>
      </c>
      <c r="C155" s="254" t="s">
        <v>271</v>
      </c>
      <c r="D155" s="254" t="s">
        <v>350</v>
      </c>
      <c r="E155" s="254" t="s">
        <v>351</v>
      </c>
      <c r="F155" s="254" t="s">
        <v>685</v>
      </c>
      <c r="G155" s="254" t="s">
        <v>686</v>
      </c>
      <c r="H155" s="255">
        <v>18087</v>
      </c>
      <c r="I155" s="254" t="s">
        <v>270</v>
      </c>
      <c r="J155" s="254" t="s">
        <v>278</v>
      </c>
      <c r="K155" s="246">
        <f t="shared" si="14"/>
        <v>44761</v>
      </c>
      <c r="L155" s="246">
        <f t="shared" si="15"/>
        <v>44761</v>
      </c>
      <c r="M155" s="247">
        <f t="shared" si="16"/>
        <v>0.66589120370370369</v>
      </c>
      <c r="N155" s="246">
        <f t="shared" si="17"/>
        <v>44761</v>
      </c>
      <c r="O155" s="247">
        <f t="shared" si="18"/>
        <v>0.87523148148148144</v>
      </c>
      <c r="P155" s="247">
        <f t="shared" si="19"/>
        <v>0</v>
      </c>
      <c r="Q155" s="247">
        <f t="shared" si="20"/>
        <v>-0.87523148148148144</v>
      </c>
    </row>
    <row r="156" spans="1:17" ht="15" customHeight="1" x14ac:dyDescent="0.25">
      <c r="A156" s="254" t="s">
        <v>670</v>
      </c>
      <c r="B156" s="254" t="s">
        <v>273</v>
      </c>
      <c r="C156" s="254" t="s">
        <v>271</v>
      </c>
      <c r="D156" s="254" t="s">
        <v>276</v>
      </c>
      <c r="E156" s="254" t="s">
        <v>277</v>
      </c>
      <c r="F156" s="254" t="s">
        <v>687</v>
      </c>
      <c r="G156" s="254" t="s">
        <v>688</v>
      </c>
      <c r="H156" s="255">
        <v>193</v>
      </c>
      <c r="I156" s="254" t="s">
        <v>270</v>
      </c>
      <c r="J156" s="254" t="s">
        <v>278</v>
      </c>
      <c r="K156" s="246">
        <f t="shared" si="14"/>
        <v>44761</v>
      </c>
      <c r="L156" s="246">
        <f t="shared" si="15"/>
        <v>44761</v>
      </c>
      <c r="M156" s="247">
        <f t="shared" si="16"/>
        <v>0.33246527777777779</v>
      </c>
      <c r="N156" s="246">
        <f t="shared" si="17"/>
        <v>44761</v>
      </c>
      <c r="O156" s="247">
        <f t="shared" si="18"/>
        <v>0.33469907407407407</v>
      </c>
      <c r="P156" s="247">
        <f t="shared" si="19"/>
        <v>0.33527777777777779</v>
      </c>
      <c r="Q156" s="247">
        <f t="shared" si="20"/>
        <v>5.7870370370372015E-4</v>
      </c>
    </row>
    <row r="157" spans="1:17" ht="15" customHeight="1" x14ac:dyDescent="0.25">
      <c r="A157" s="254" t="s">
        <v>670</v>
      </c>
      <c r="B157" s="254" t="s">
        <v>273</v>
      </c>
      <c r="C157" s="254" t="s">
        <v>271</v>
      </c>
      <c r="D157" s="254" t="s">
        <v>276</v>
      </c>
      <c r="E157" s="254" t="s">
        <v>277</v>
      </c>
      <c r="F157" s="254" t="s">
        <v>689</v>
      </c>
      <c r="G157" s="254" t="s">
        <v>690</v>
      </c>
      <c r="H157" s="255">
        <v>17841</v>
      </c>
      <c r="I157" s="254" t="s">
        <v>270</v>
      </c>
      <c r="J157" s="254" t="s">
        <v>278</v>
      </c>
      <c r="K157" s="246">
        <f t="shared" si="14"/>
        <v>44761</v>
      </c>
      <c r="L157" s="246">
        <f t="shared" si="15"/>
        <v>44761</v>
      </c>
      <c r="M157" s="247">
        <f t="shared" si="16"/>
        <v>0.33527777777777779</v>
      </c>
      <c r="N157" s="246">
        <f t="shared" si="17"/>
        <v>44761</v>
      </c>
      <c r="O157" s="247">
        <f t="shared" si="18"/>
        <v>0.54177083333333331</v>
      </c>
      <c r="P157" s="247">
        <f t="shared" si="19"/>
        <v>0.58175925925925931</v>
      </c>
      <c r="Q157" s="247">
        <f t="shared" si="20"/>
        <v>3.9988425925925997E-2</v>
      </c>
    </row>
    <row r="158" spans="1:17" ht="15" customHeight="1" x14ac:dyDescent="0.25">
      <c r="A158" s="254" t="s">
        <v>670</v>
      </c>
      <c r="B158" s="254" t="s">
        <v>273</v>
      </c>
      <c r="C158" s="254" t="s">
        <v>271</v>
      </c>
      <c r="D158" s="254" t="s">
        <v>276</v>
      </c>
      <c r="E158" s="254" t="s">
        <v>277</v>
      </c>
      <c r="F158" s="254" t="s">
        <v>691</v>
      </c>
      <c r="G158" s="254" t="s">
        <v>692</v>
      </c>
      <c r="H158" s="255">
        <v>8159</v>
      </c>
      <c r="I158" s="254" t="s">
        <v>270</v>
      </c>
      <c r="J158" s="254" t="s">
        <v>278</v>
      </c>
      <c r="K158" s="246">
        <f t="shared" si="14"/>
        <v>44761</v>
      </c>
      <c r="L158" s="246">
        <f t="shared" si="15"/>
        <v>44761</v>
      </c>
      <c r="M158" s="247">
        <f t="shared" si="16"/>
        <v>0.58175925925925931</v>
      </c>
      <c r="N158" s="246">
        <f t="shared" si="17"/>
        <v>44761</v>
      </c>
      <c r="O158" s="247">
        <f t="shared" si="18"/>
        <v>0.6761921296296296</v>
      </c>
      <c r="P158" s="247">
        <f t="shared" si="19"/>
        <v>0.67709490740740741</v>
      </c>
      <c r="Q158" s="247">
        <f t="shared" si="20"/>
        <v>9.0277777777780788E-4</v>
      </c>
    </row>
    <row r="159" spans="1:17" ht="15" customHeight="1" x14ac:dyDescent="0.25">
      <c r="A159" s="254" t="s">
        <v>670</v>
      </c>
      <c r="B159" s="254" t="s">
        <v>273</v>
      </c>
      <c r="C159" s="254" t="s">
        <v>271</v>
      </c>
      <c r="D159" s="254" t="s">
        <v>276</v>
      </c>
      <c r="E159" s="254" t="s">
        <v>277</v>
      </c>
      <c r="F159" s="254" t="s">
        <v>693</v>
      </c>
      <c r="G159" s="254" t="s">
        <v>694</v>
      </c>
      <c r="H159" s="255">
        <v>6302</v>
      </c>
      <c r="I159" s="254" t="s">
        <v>270</v>
      </c>
      <c r="J159" s="254" t="s">
        <v>278</v>
      </c>
      <c r="K159" s="246">
        <f t="shared" si="14"/>
        <v>44761</v>
      </c>
      <c r="L159" s="246">
        <f t="shared" si="15"/>
        <v>44761</v>
      </c>
      <c r="M159" s="247">
        <f t="shared" si="16"/>
        <v>0.67709490740740741</v>
      </c>
      <c r="N159" s="246">
        <f t="shared" si="17"/>
        <v>44761</v>
      </c>
      <c r="O159" s="247">
        <f t="shared" si="18"/>
        <v>0.75003472222222223</v>
      </c>
      <c r="P159" s="247">
        <f t="shared" si="19"/>
        <v>0</v>
      </c>
      <c r="Q159" s="247">
        <f t="shared" si="20"/>
        <v>-0.75003472222222223</v>
      </c>
    </row>
    <row r="160" spans="1:17" ht="15" customHeight="1" x14ac:dyDescent="0.25">
      <c r="A160" s="254" t="s">
        <v>670</v>
      </c>
      <c r="B160" s="254" t="s">
        <v>273</v>
      </c>
      <c r="C160" s="254" t="s">
        <v>271</v>
      </c>
      <c r="D160" s="254" t="s">
        <v>352</v>
      </c>
      <c r="E160" s="254" t="s">
        <v>353</v>
      </c>
      <c r="F160" s="254" t="s">
        <v>696</v>
      </c>
      <c r="G160" s="254" t="s">
        <v>697</v>
      </c>
      <c r="H160" s="255">
        <v>328</v>
      </c>
      <c r="I160" s="254" t="s">
        <v>270</v>
      </c>
      <c r="J160" s="254" t="s">
        <v>286</v>
      </c>
      <c r="K160" s="246">
        <f t="shared" si="14"/>
        <v>44761</v>
      </c>
      <c r="L160" s="246">
        <f t="shared" si="15"/>
        <v>44761</v>
      </c>
      <c r="M160" s="247">
        <f t="shared" si="16"/>
        <v>0.33361111111111114</v>
      </c>
      <c r="N160" s="246">
        <f t="shared" si="17"/>
        <v>44761</v>
      </c>
      <c r="O160" s="247">
        <f t="shared" si="18"/>
        <v>0.33740740740740743</v>
      </c>
      <c r="P160" s="247">
        <f t="shared" si="19"/>
        <v>0.33792824074074074</v>
      </c>
      <c r="Q160" s="247">
        <f t="shared" si="20"/>
        <v>5.2083333333330373E-4</v>
      </c>
    </row>
    <row r="161" spans="1:17" ht="15" customHeight="1" x14ac:dyDescent="0.25">
      <c r="A161" s="254" t="s">
        <v>670</v>
      </c>
      <c r="B161" s="254" t="s">
        <v>273</v>
      </c>
      <c r="C161" s="254" t="s">
        <v>271</v>
      </c>
      <c r="D161" s="254" t="s">
        <v>352</v>
      </c>
      <c r="E161" s="254" t="s">
        <v>353</v>
      </c>
      <c r="F161" s="254" t="s">
        <v>698</v>
      </c>
      <c r="G161" s="254" t="s">
        <v>699</v>
      </c>
      <c r="H161" s="255">
        <v>17604</v>
      </c>
      <c r="I161" s="254" t="s">
        <v>270</v>
      </c>
      <c r="J161" s="254" t="s">
        <v>286</v>
      </c>
      <c r="K161" s="246">
        <f t="shared" si="14"/>
        <v>44761</v>
      </c>
      <c r="L161" s="246">
        <f t="shared" si="15"/>
        <v>44761</v>
      </c>
      <c r="M161" s="247">
        <f t="shared" si="16"/>
        <v>0.33792824074074074</v>
      </c>
      <c r="N161" s="246">
        <f t="shared" si="17"/>
        <v>44761</v>
      </c>
      <c r="O161" s="247">
        <f t="shared" si="18"/>
        <v>0.54167824074074078</v>
      </c>
      <c r="P161" s="247">
        <f t="shared" si="19"/>
        <v>0.58281249999999996</v>
      </c>
      <c r="Q161" s="247">
        <f t="shared" si="20"/>
        <v>4.1134259259259176E-2</v>
      </c>
    </row>
    <row r="162" spans="1:17" ht="15" customHeight="1" x14ac:dyDescent="0.25">
      <c r="A162" s="254" t="s">
        <v>670</v>
      </c>
      <c r="B162" s="254" t="s">
        <v>273</v>
      </c>
      <c r="C162" s="254" t="s">
        <v>271</v>
      </c>
      <c r="D162" s="254" t="s">
        <v>352</v>
      </c>
      <c r="E162" s="254" t="s">
        <v>353</v>
      </c>
      <c r="F162" s="254" t="s">
        <v>700</v>
      </c>
      <c r="G162" s="254" t="s">
        <v>701</v>
      </c>
      <c r="H162" s="255">
        <v>7716</v>
      </c>
      <c r="I162" s="254" t="s">
        <v>270</v>
      </c>
      <c r="J162" s="254" t="s">
        <v>286</v>
      </c>
      <c r="K162" s="246">
        <f t="shared" si="14"/>
        <v>44761</v>
      </c>
      <c r="L162" s="246">
        <f t="shared" si="15"/>
        <v>44761</v>
      </c>
      <c r="M162" s="247">
        <f t="shared" si="16"/>
        <v>0.58281249999999996</v>
      </c>
      <c r="N162" s="246">
        <f t="shared" si="17"/>
        <v>44761</v>
      </c>
      <c r="O162" s="247">
        <f t="shared" si="18"/>
        <v>0.67211805555555559</v>
      </c>
      <c r="P162" s="247">
        <f t="shared" si="19"/>
        <v>0.67216435185185186</v>
      </c>
      <c r="Q162" s="247">
        <f t="shared" si="20"/>
        <v>4.6296296296266526E-5</v>
      </c>
    </row>
    <row r="163" spans="1:17" ht="15" customHeight="1" x14ac:dyDescent="0.25">
      <c r="A163" s="254" t="s">
        <v>670</v>
      </c>
      <c r="B163" s="254" t="s">
        <v>273</v>
      </c>
      <c r="C163" s="254" t="s">
        <v>271</v>
      </c>
      <c r="D163" s="254" t="s">
        <v>352</v>
      </c>
      <c r="E163" s="254" t="s">
        <v>353</v>
      </c>
      <c r="F163" s="254" t="s">
        <v>702</v>
      </c>
      <c r="G163" s="254" t="s">
        <v>703</v>
      </c>
      <c r="H163" s="255">
        <v>297</v>
      </c>
      <c r="I163" s="254" t="s">
        <v>270</v>
      </c>
      <c r="J163" s="254" t="s">
        <v>286</v>
      </c>
      <c r="K163" s="246">
        <f t="shared" si="14"/>
        <v>44761</v>
      </c>
      <c r="L163" s="246">
        <f t="shared" si="15"/>
        <v>44761</v>
      </c>
      <c r="M163" s="247">
        <f t="shared" si="16"/>
        <v>0.67216435185185186</v>
      </c>
      <c r="N163" s="246">
        <f t="shared" si="17"/>
        <v>44761</v>
      </c>
      <c r="O163" s="247">
        <f t="shared" si="18"/>
        <v>0.67560185185185184</v>
      </c>
      <c r="P163" s="247">
        <f t="shared" si="19"/>
        <v>0.67607638888888888</v>
      </c>
      <c r="Q163" s="247">
        <f t="shared" si="20"/>
        <v>4.745370370370372E-4</v>
      </c>
    </row>
    <row r="164" spans="1:17" ht="15" customHeight="1" x14ac:dyDescent="0.25">
      <c r="A164" s="254" t="s">
        <v>670</v>
      </c>
      <c r="B164" s="254" t="s">
        <v>273</v>
      </c>
      <c r="C164" s="254" t="s">
        <v>271</v>
      </c>
      <c r="D164" s="254" t="s">
        <v>352</v>
      </c>
      <c r="E164" s="254" t="s">
        <v>353</v>
      </c>
      <c r="F164" s="254" t="s">
        <v>704</v>
      </c>
      <c r="G164" s="254" t="s">
        <v>705</v>
      </c>
      <c r="H164" s="255">
        <v>6398</v>
      </c>
      <c r="I164" s="254" t="s">
        <v>270</v>
      </c>
      <c r="J164" s="254" t="s">
        <v>286</v>
      </c>
      <c r="K164" s="246">
        <f t="shared" si="14"/>
        <v>44761</v>
      </c>
      <c r="L164" s="246">
        <f t="shared" si="15"/>
        <v>44761</v>
      </c>
      <c r="M164" s="247">
        <f t="shared" si="16"/>
        <v>0.67607638888888888</v>
      </c>
      <c r="N164" s="246">
        <f t="shared" si="17"/>
        <v>44761</v>
      </c>
      <c r="O164" s="247">
        <f t="shared" si="18"/>
        <v>0.75012731481481476</v>
      </c>
      <c r="P164" s="247">
        <f t="shared" si="19"/>
        <v>0</v>
      </c>
      <c r="Q164" s="247">
        <f t="shared" si="20"/>
        <v>-0.75012731481481476</v>
      </c>
    </row>
    <row r="165" spans="1:17" ht="15" customHeight="1" x14ac:dyDescent="0.25">
      <c r="A165" s="254" t="s">
        <v>670</v>
      </c>
      <c r="B165" s="254" t="s">
        <v>273</v>
      </c>
      <c r="C165" s="254" t="s">
        <v>271</v>
      </c>
      <c r="D165" s="254" t="s">
        <v>279</v>
      </c>
      <c r="E165" s="254" t="s">
        <v>280</v>
      </c>
      <c r="F165" s="254" t="s">
        <v>706</v>
      </c>
      <c r="G165" s="254" t="s">
        <v>707</v>
      </c>
      <c r="H165" s="255">
        <v>10912</v>
      </c>
      <c r="I165" s="254" t="s">
        <v>270</v>
      </c>
      <c r="J165" s="254" t="s">
        <v>391</v>
      </c>
      <c r="K165" s="246">
        <f t="shared" si="14"/>
        <v>44761</v>
      </c>
      <c r="L165" s="246">
        <f t="shared" si="15"/>
        <v>44761</v>
      </c>
      <c r="M165" s="247">
        <f t="shared" si="16"/>
        <v>0.41630787037037037</v>
      </c>
      <c r="N165" s="246">
        <f t="shared" si="17"/>
        <v>44761</v>
      </c>
      <c r="O165" s="247">
        <f t="shared" si="18"/>
        <v>0.54260416666666667</v>
      </c>
      <c r="P165" s="247">
        <f t="shared" si="19"/>
        <v>0.58682870370370366</v>
      </c>
      <c r="Q165" s="247">
        <f t="shared" si="20"/>
        <v>4.4224537037036993E-2</v>
      </c>
    </row>
    <row r="166" spans="1:17" ht="15" customHeight="1" x14ac:dyDescent="0.25">
      <c r="A166" s="254" t="s">
        <v>670</v>
      </c>
      <c r="B166" s="254" t="s">
        <v>273</v>
      </c>
      <c r="C166" s="254" t="s">
        <v>271</v>
      </c>
      <c r="D166" s="254" t="s">
        <v>279</v>
      </c>
      <c r="E166" s="254" t="s">
        <v>280</v>
      </c>
      <c r="F166" s="254" t="s">
        <v>708</v>
      </c>
      <c r="G166" s="254" t="s">
        <v>709</v>
      </c>
      <c r="H166" s="255">
        <v>21305</v>
      </c>
      <c r="I166" s="254" t="s">
        <v>270</v>
      </c>
      <c r="J166" s="254" t="s">
        <v>391</v>
      </c>
      <c r="K166" s="246">
        <f t="shared" si="14"/>
        <v>44761</v>
      </c>
      <c r="L166" s="246">
        <f t="shared" si="15"/>
        <v>44761</v>
      </c>
      <c r="M166" s="247">
        <f t="shared" si="16"/>
        <v>0.58682870370370366</v>
      </c>
      <c r="N166" s="246">
        <f t="shared" si="17"/>
        <v>44761</v>
      </c>
      <c r="O166" s="247">
        <f t="shared" si="18"/>
        <v>0.83341435185185186</v>
      </c>
      <c r="P166" s="247">
        <f t="shared" si="19"/>
        <v>0</v>
      </c>
      <c r="Q166" s="247">
        <f t="shared" si="20"/>
        <v>-0.83341435185185186</v>
      </c>
    </row>
    <row r="167" spans="1:17" ht="15" customHeight="1" x14ac:dyDescent="0.25">
      <c r="A167" s="254" t="s">
        <v>670</v>
      </c>
      <c r="B167" s="254" t="s">
        <v>273</v>
      </c>
      <c r="C167" s="254" t="s">
        <v>271</v>
      </c>
      <c r="D167" s="254" t="s">
        <v>282</v>
      </c>
      <c r="E167" s="254" t="s">
        <v>283</v>
      </c>
      <c r="F167" s="254" t="s">
        <v>711</v>
      </c>
      <c r="G167" s="254" t="s">
        <v>712</v>
      </c>
      <c r="H167" s="255">
        <v>18049</v>
      </c>
      <c r="I167" s="254" t="s">
        <v>270</v>
      </c>
      <c r="J167" s="254" t="s">
        <v>391</v>
      </c>
      <c r="K167" s="246">
        <f t="shared" si="14"/>
        <v>44761</v>
      </c>
      <c r="L167" s="246">
        <f t="shared" si="15"/>
        <v>44761</v>
      </c>
      <c r="M167" s="247">
        <f t="shared" si="16"/>
        <v>0.41629629629629628</v>
      </c>
      <c r="N167" s="246">
        <f t="shared" si="17"/>
        <v>44761</v>
      </c>
      <c r="O167" s="247">
        <f t="shared" si="18"/>
        <v>0.62519675925925922</v>
      </c>
      <c r="P167" s="247">
        <f t="shared" si="19"/>
        <v>0.66540509259259262</v>
      </c>
      <c r="Q167" s="247">
        <f t="shared" si="20"/>
        <v>4.0208333333333401E-2</v>
      </c>
    </row>
    <row r="168" spans="1:17" ht="15" customHeight="1" x14ac:dyDescent="0.25">
      <c r="A168" s="254" t="s">
        <v>670</v>
      </c>
      <c r="B168" s="254" t="s">
        <v>273</v>
      </c>
      <c r="C168" s="254" t="s">
        <v>271</v>
      </c>
      <c r="D168" s="254" t="s">
        <v>282</v>
      </c>
      <c r="E168" s="254" t="s">
        <v>283</v>
      </c>
      <c r="F168" s="254" t="s">
        <v>713</v>
      </c>
      <c r="G168" s="254" t="s">
        <v>714</v>
      </c>
      <c r="H168" s="255">
        <v>14518</v>
      </c>
      <c r="I168" s="254" t="s">
        <v>270</v>
      </c>
      <c r="J168" s="254" t="s">
        <v>391</v>
      </c>
      <c r="K168" s="246">
        <f t="shared" si="14"/>
        <v>44761</v>
      </c>
      <c r="L168" s="246">
        <f t="shared" si="15"/>
        <v>44761</v>
      </c>
      <c r="M168" s="247">
        <f t="shared" si="16"/>
        <v>0.66540509259259262</v>
      </c>
      <c r="N168" s="246">
        <f t="shared" si="17"/>
        <v>44761</v>
      </c>
      <c r="O168" s="247">
        <f t="shared" si="18"/>
        <v>0.83343750000000005</v>
      </c>
      <c r="P168" s="247">
        <f t="shared" si="19"/>
        <v>0</v>
      </c>
      <c r="Q168" s="247">
        <f t="shared" si="20"/>
        <v>-0.83343750000000005</v>
      </c>
    </row>
    <row r="169" spans="1:17" ht="15" customHeight="1" x14ac:dyDescent="0.25">
      <c r="A169" s="254" t="s">
        <v>670</v>
      </c>
      <c r="B169" s="254" t="s">
        <v>273</v>
      </c>
      <c r="C169" s="254" t="s">
        <v>271</v>
      </c>
      <c r="D169" s="254" t="s">
        <v>284</v>
      </c>
      <c r="E169" s="254" t="s">
        <v>285</v>
      </c>
      <c r="F169" s="254" t="s">
        <v>720</v>
      </c>
      <c r="G169" s="254" t="s">
        <v>721</v>
      </c>
      <c r="H169" s="255">
        <v>17876</v>
      </c>
      <c r="I169" s="254" t="s">
        <v>270</v>
      </c>
      <c r="J169" s="254" t="s">
        <v>286</v>
      </c>
      <c r="K169" s="246">
        <f t="shared" si="14"/>
        <v>44761</v>
      </c>
      <c r="L169" s="246">
        <f t="shared" si="15"/>
        <v>44761</v>
      </c>
      <c r="M169" s="247">
        <f t="shared" si="16"/>
        <v>0.3351851851851852</v>
      </c>
      <c r="N169" s="246">
        <f t="shared" si="17"/>
        <v>44761</v>
      </c>
      <c r="O169" s="247">
        <f t="shared" si="18"/>
        <v>0.54208333333333336</v>
      </c>
      <c r="P169" s="247">
        <f t="shared" si="19"/>
        <v>0.58481481481481479</v>
      </c>
      <c r="Q169" s="247">
        <f t="shared" si="20"/>
        <v>4.2731481481481426E-2</v>
      </c>
    </row>
    <row r="170" spans="1:17" ht="15" customHeight="1" x14ac:dyDescent="0.25">
      <c r="A170" s="254" t="s">
        <v>670</v>
      </c>
      <c r="B170" s="254" t="s">
        <v>273</v>
      </c>
      <c r="C170" s="254" t="s">
        <v>271</v>
      </c>
      <c r="D170" s="254" t="s">
        <v>284</v>
      </c>
      <c r="E170" s="254" t="s">
        <v>285</v>
      </c>
      <c r="F170" s="254" t="s">
        <v>722</v>
      </c>
      <c r="G170" s="254" t="s">
        <v>723</v>
      </c>
      <c r="H170" s="255">
        <v>10680</v>
      </c>
      <c r="I170" s="254" t="s">
        <v>270</v>
      </c>
      <c r="J170" s="254" t="s">
        <v>286</v>
      </c>
      <c r="K170" s="246">
        <f t="shared" si="14"/>
        <v>44761</v>
      </c>
      <c r="L170" s="246">
        <f t="shared" si="15"/>
        <v>44761</v>
      </c>
      <c r="M170" s="247">
        <f t="shared" si="16"/>
        <v>0.58481481481481479</v>
      </c>
      <c r="N170" s="246">
        <f t="shared" si="17"/>
        <v>44761</v>
      </c>
      <c r="O170" s="247">
        <f t="shared" si="18"/>
        <v>0.7084259259259259</v>
      </c>
      <c r="P170" s="247">
        <f t="shared" si="19"/>
        <v>0</v>
      </c>
      <c r="Q170" s="247">
        <f t="shared" si="20"/>
        <v>-0.7084259259259259</v>
      </c>
    </row>
    <row r="171" spans="1:17" ht="15" customHeight="1" x14ac:dyDescent="0.25">
      <c r="A171" s="254" t="s">
        <v>670</v>
      </c>
      <c r="B171" s="254" t="s">
        <v>273</v>
      </c>
      <c r="C171" s="254" t="s">
        <v>271</v>
      </c>
      <c r="D171" s="254" t="s">
        <v>287</v>
      </c>
      <c r="E171" s="254" t="s">
        <v>288</v>
      </c>
      <c r="F171" s="254" t="s">
        <v>731</v>
      </c>
      <c r="G171" s="254" t="s">
        <v>732</v>
      </c>
      <c r="H171" s="255">
        <v>18823</v>
      </c>
      <c r="I171" s="254" t="s">
        <v>272</v>
      </c>
      <c r="J171" s="254" t="s">
        <v>391</v>
      </c>
      <c r="K171" s="246">
        <f t="shared" si="14"/>
        <v>44761</v>
      </c>
      <c r="L171" s="246">
        <f t="shared" si="15"/>
        <v>44761</v>
      </c>
      <c r="M171" s="247">
        <f t="shared" si="16"/>
        <v>0.41613425925925923</v>
      </c>
      <c r="N171" s="246">
        <f t="shared" si="17"/>
        <v>44761</v>
      </c>
      <c r="O171" s="247">
        <f t="shared" si="18"/>
        <v>0.63399305555555552</v>
      </c>
      <c r="P171" s="247">
        <f t="shared" si="19"/>
        <v>0.67212962962962963</v>
      </c>
      <c r="Q171" s="247">
        <f t="shared" si="20"/>
        <v>3.8136574074074114E-2</v>
      </c>
    </row>
    <row r="172" spans="1:17" ht="15" customHeight="1" x14ac:dyDescent="0.25">
      <c r="A172" s="254" t="s">
        <v>670</v>
      </c>
      <c r="B172" s="254" t="s">
        <v>273</v>
      </c>
      <c r="C172" s="254" t="s">
        <v>271</v>
      </c>
      <c r="D172" s="254" t="s">
        <v>287</v>
      </c>
      <c r="E172" s="254" t="s">
        <v>288</v>
      </c>
      <c r="F172" s="254" t="s">
        <v>733</v>
      </c>
      <c r="G172" s="254" t="s">
        <v>734</v>
      </c>
      <c r="H172" s="255">
        <v>18786</v>
      </c>
      <c r="I172" s="254" t="s">
        <v>270</v>
      </c>
      <c r="J172" s="254" t="s">
        <v>391</v>
      </c>
      <c r="K172" s="246">
        <f t="shared" si="14"/>
        <v>44761</v>
      </c>
      <c r="L172" s="246">
        <f t="shared" si="15"/>
        <v>44761</v>
      </c>
      <c r="M172" s="247">
        <f t="shared" si="16"/>
        <v>0.41645833333333332</v>
      </c>
      <c r="N172" s="246">
        <f t="shared" si="17"/>
        <v>44761</v>
      </c>
      <c r="O172" s="247">
        <f t="shared" si="18"/>
        <v>0.63388888888888884</v>
      </c>
      <c r="P172" s="247">
        <f t="shared" si="19"/>
        <v>0.67212962962962963</v>
      </c>
      <c r="Q172" s="247">
        <f t="shared" si="20"/>
        <v>3.8240740740740797E-2</v>
      </c>
    </row>
    <row r="173" spans="1:17" ht="15" customHeight="1" x14ac:dyDescent="0.25">
      <c r="A173" s="254" t="s">
        <v>670</v>
      </c>
      <c r="B173" s="254" t="s">
        <v>273</v>
      </c>
      <c r="C173" s="254" t="s">
        <v>271</v>
      </c>
      <c r="D173" s="254" t="s">
        <v>287</v>
      </c>
      <c r="E173" s="254" t="s">
        <v>288</v>
      </c>
      <c r="F173" s="254" t="s">
        <v>735</v>
      </c>
      <c r="G173" s="254" t="s">
        <v>736</v>
      </c>
      <c r="H173" s="255">
        <v>356</v>
      </c>
      <c r="I173" s="254" t="s">
        <v>272</v>
      </c>
      <c r="J173" s="254" t="s">
        <v>391</v>
      </c>
      <c r="K173" s="246">
        <f t="shared" si="14"/>
        <v>44761</v>
      </c>
      <c r="L173" s="246">
        <f t="shared" si="15"/>
        <v>44761</v>
      </c>
      <c r="M173" s="247">
        <f t="shared" si="16"/>
        <v>0.67212962962962963</v>
      </c>
      <c r="N173" s="246">
        <f t="shared" si="17"/>
        <v>44761</v>
      </c>
      <c r="O173" s="247">
        <f t="shared" si="18"/>
        <v>0.67625000000000002</v>
      </c>
      <c r="P173" s="247">
        <f t="shared" si="19"/>
        <v>0.68715277777777772</v>
      </c>
      <c r="Q173" s="247">
        <f t="shared" si="20"/>
        <v>1.0902777777777706E-2</v>
      </c>
    </row>
    <row r="174" spans="1:17" ht="15" customHeight="1" x14ac:dyDescent="0.25">
      <c r="A174" s="254" t="s">
        <v>670</v>
      </c>
      <c r="B174" s="254" t="s">
        <v>273</v>
      </c>
      <c r="C174" s="254" t="s">
        <v>271</v>
      </c>
      <c r="D174" s="254" t="s">
        <v>287</v>
      </c>
      <c r="E174" s="254" t="s">
        <v>288</v>
      </c>
      <c r="F174" s="254" t="s">
        <v>737</v>
      </c>
      <c r="G174" s="254" t="s">
        <v>725</v>
      </c>
      <c r="H174" s="255">
        <v>337</v>
      </c>
      <c r="I174" s="254" t="s">
        <v>270</v>
      </c>
      <c r="J174" s="254" t="s">
        <v>391</v>
      </c>
      <c r="K174" s="246">
        <f t="shared" si="14"/>
        <v>44761</v>
      </c>
      <c r="L174" s="246">
        <f t="shared" si="15"/>
        <v>44761</v>
      </c>
      <c r="M174" s="247">
        <f t="shared" si="16"/>
        <v>0.67222222222222228</v>
      </c>
      <c r="N174" s="246">
        <f t="shared" si="17"/>
        <v>44761</v>
      </c>
      <c r="O174" s="247">
        <f t="shared" si="18"/>
        <v>0.67612268518518515</v>
      </c>
      <c r="P174" s="247">
        <f t="shared" si="19"/>
        <v>0.68715277777777772</v>
      </c>
      <c r="Q174" s="247">
        <f t="shared" si="20"/>
        <v>1.1030092592592577E-2</v>
      </c>
    </row>
    <row r="175" spans="1:17" ht="15" customHeight="1" x14ac:dyDescent="0.25">
      <c r="A175" s="254" t="s">
        <v>670</v>
      </c>
      <c r="B175" s="254" t="s">
        <v>273</v>
      </c>
      <c r="C175" s="254" t="s">
        <v>271</v>
      </c>
      <c r="D175" s="254" t="s">
        <v>287</v>
      </c>
      <c r="E175" s="254" t="s">
        <v>288</v>
      </c>
      <c r="F175" s="254" t="s">
        <v>738</v>
      </c>
      <c r="G175" s="254" t="s">
        <v>739</v>
      </c>
      <c r="H175" s="255">
        <v>500</v>
      </c>
      <c r="I175" s="254" t="s">
        <v>272</v>
      </c>
      <c r="J175" s="254" t="s">
        <v>391</v>
      </c>
      <c r="K175" s="246">
        <f t="shared" si="14"/>
        <v>44761</v>
      </c>
      <c r="L175" s="246">
        <f t="shared" si="15"/>
        <v>44761</v>
      </c>
      <c r="M175" s="247">
        <f t="shared" si="16"/>
        <v>0.68715277777777772</v>
      </c>
      <c r="N175" s="246">
        <f t="shared" si="17"/>
        <v>44761</v>
      </c>
      <c r="O175" s="247">
        <f t="shared" si="18"/>
        <v>0.69293981481481481</v>
      </c>
      <c r="P175" s="247">
        <f t="shared" si="19"/>
        <v>0.69361111111111107</v>
      </c>
      <c r="Q175" s="247">
        <f t="shared" si="20"/>
        <v>6.712962962962532E-4</v>
      </c>
    </row>
    <row r="176" spans="1:17" ht="15" customHeight="1" x14ac:dyDescent="0.25">
      <c r="A176" s="254" t="s">
        <v>670</v>
      </c>
      <c r="B176" s="254" t="s">
        <v>273</v>
      </c>
      <c r="C176" s="254" t="s">
        <v>271</v>
      </c>
      <c r="D176" s="254" t="s">
        <v>287</v>
      </c>
      <c r="E176" s="254" t="s">
        <v>288</v>
      </c>
      <c r="F176" s="254" t="s">
        <v>740</v>
      </c>
      <c r="G176" s="254" t="s">
        <v>739</v>
      </c>
      <c r="H176" s="255">
        <v>494</v>
      </c>
      <c r="I176" s="254" t="s">
        <v>270</v>
      </c>
      <c r="J176" s="254" t="s">
        <v>391</v>
      </c>
      <c r="K176" s="246">
        <f t="shared" si="14"/>
        <v>44761</v>
      </c>
      <c r="L176" s="246">
        <f t="shared" si="15"/>
        <v>44761</v>
      </c>
      <c r="M176" s="247">
        <f t="shared" si="16"/>
        <v>0.68722222222222218</v>
      </c>
      <c r="N176" s="246">
        <f t="shared" si="17"/>
        <v>44761</v>
      </c>
      <c r="O176" s="247">
        <f t="shared" si="18"/>
        <v>0.69293981481481481</v>
      </c>
      <c r="P176" s="247">
        <f t="shared" si="19"/>
        <v>0.69361111111111107</v>
      </c>
      <c r="Q176" s="247">
        <f t="shared" si="20"/>
        <v>6.712962962962532E-4</v>
      </c>
    </row>
    <row r="177" spans="1:17" ht="15" customHeight="1" x14ac:dyDescent="0.25">
      <c r="A177" s="254" t="s">
        <v>670</v>
      </c>
      <c r="B177" s="254" t="s">
        <v>273</v>
      </c>
      <c r="C177" s="254" t="s">
        <v>271</v>
      </c>
      <c r="D177" s="254" t="s">
        <v>287</v>
      </c>
      <c r="E177" s="254" t="s">
        <v>288</v>
      </c>
      <c r="F177" s="254" t="s">
        <v>741</v>
      </c>
      <c r="G177" s="254" t="s">
        <v>742</v>
      </c>
      <c r="H177" s="255">
        <v>12102</v>
      </c>
      <c r="I177" s="254" t="s">
        <v>272</v>
      </c>
      <c r="J177" s="254" t="s">
        <v>391</v>
      </c>
      <c r="K177" s="246">
        <f t="shared" si="14"/>
        <v>44761</v>
      </c>
      <c r="L177" s="246">
        <f t="shared" si="15"/>
        <v>44761</v>
      </c>
      <c r="M177" s="247">
        <f t="shared" si="16"/>
        <v>0.69361111111111107</v>
      </c>
      <c r="N177" s="246">
        <f t="shared" si="17"/>
        <v>44761</v>
      </c>
      <c r="O177" s="247">
        <f t="shared" si="18"/>
        <v>0.83368055555555554</v>
      </c>
      <c r="P177" s="247">
        <f t="shared" si="19"/>
        <v>0</v>
      </c>
      <c r="Q177" s="247">
        <f t="shared" si="20"/>
        <v>-0.83368055555555554</v>
      </c>
    </row>
    <row r="178" spans="1:17" ht="15" customHeight="1" x14ac:dyDescent="0.25">
      <c r="A178" s="254" t="s">
        <v>670</v>
      </c>
      <c r="B178" s="254" t="s">
        <v>273</v>
      </c>
      <c r="C178" s="254" t="s">
        <v>271</v>
      </c>
      <c r="D178" s="254" t="s">
        <v>287</v>
      </c>
      <c r="E178" s="254" t="s">
        <v>288</v>
      </c>
      <c r="F178" s="254" t="s">
        <v>743</v>
      </c>
      <c r="G178" s="254" t="s">
        <v>744</v>
      </c>
      <c r="H178" s="255">
        <v>12074</v>
      </c>
      <c r="I178" s="254" t="s">
        <v>270</v>
      </c>
      <c r="J178" s="254" t="s">
        <v>391</v>
      </c>
      <c r="K178" s="246">
        <f t="shared" si="14"/>
        <v>44761</v>
      </c>
      <c r="L178" s="246">
        <f t="shared" si="15"/>
        <v>44761</v>
      </c>
      <c r="M178" s="247">
        <f t="shared" si="16"/>
        <v>0.69380787037037039</v>
      </c>
      <c r="N178" s="246">
        <f t="shared" si="17"/>
        <v>44761</v>
      </c>
      <c r="O178" s="247">
        <f t="shared" si="18"/>
        <v>0.83355324074074078</v>
      </c>
      <c r="P178" s="247">
        <f t="shared" si="19"/>
        <v>0</v>
      </c>
      <c r="Q178" s="247">
        <f t="shared" si="20"/>
        <v>-0.83355324074074078</v>
      </c>
    </row>
    <row r="179" spans="1:17" ht="15" customHeight="1" x14ac:dyDescent="0.25">
      <c r="A179" s="254" t="s">
        <v>670</v>
      </c>
      <c r="B179" s="254" t="s">
        <v>273</v>
      </c>
      <c r="C179" s="254" t="s">
        <v>271</v>
      </c>
      <c r="D179" s="254" t="s">
        <v>289</v>
      </c>
      <c r="E179" s="254" t="s">
        <v>290</v>
      </c>
      <c r="F179" s="254" t="s">
        <v>749</v>
      </c>
      <c r="G179" s="254" t="s">
        <v>750</v>
      </c>
      <c r="H179" s="255">
        <v>14567</v>
      </c>
      <c r="I179" s="254" t="s">
        <v>270</v>
      </c>
      <c r="J179" s="254" t="s">
        <v>391</v>
      </c>
      <c r="K179" s="246">
        <f t="shared" si="14"/>
        <v>44761</v>
      </c>
      <c r="L179" s="246">
        <f t="shared" si="15"/>
        <v>44761</v>
      </c>
      <c r="M179" s="247">
        <f t="shared" si="16"/>
        <v>0.41508101851851853</v>
      </c>
      <c r="N179" s="246">
        <f t="shared" si="17"/>
        <v>44761</v>
      </c>
      <c r="O179" s="247">
        <f t="shared" si="18"/>
        <v>0.58368055555555554</v>
      </c>
      <c r="P179" s="247">
        <f t="shared" si="19"/>
        <v>0.62113425925925925</v>
      </c>
      <c r="Q179" s="247">
        <f t="shared" si="20"/>
        <v>3.7453703703703711E-2</v>
      </c>
    </row>
    <row r="180" spans="1:17" ht="15" customHeight="1" x14ac:dyDescent="0.25">
      <c r="A180" s="254" t="s">
        <v>670</v>
      </c>
      <c r="B180" s="254" t="s">
        <v>273</v>
      </c>
      <c r="C180" s="254" t="s">
        <v>271</v>
      </c>
      <c r="D180" s="254" t="s">
        <v>289</v>
      </c>
      <c r="E180" s="254" t="s">
        <v>290</v>
      </c>
      <c r="F180" s="254" t="s">
        <v>751</v>
      </c>
      <c r="G180" s="254" t="s">
        <v>752</v>
      </c>
      <c r="H180" s="255">
        <v>2496</v>
      </c>
      <c r="I180" s="254" t="s">
        <v>270</v>
      </c>
      <c r="J180" s="254" t="s">
        <v>391</v>
      </c>
      <c r="K180" s="246">
        <f t="shared" si="14"/>
        <v>44761</v>
      </c>
      <c r="L180" s="246">
        <f t="shared" si="15"/>
        <v>44761</v>
      </c>
      <c r="M180" s="247">
        <f t="shared" si="16"/>
        <v>0.62113425925925925</v>
      </c>
      <c r="N180" s="246">
        <f t="shared" si="17"/>
        <v>44761</v>
      </c>
      <c r="O180" s="247">
        <f t="shared" si="18"/>
        <v>0.6500231481481481</v>
      </c>
      <c r="P180" s="247">
        <f t="shared" si="19"/>
        <v>0.67230324074074077</v>
      </c>
      <c r="Q180" s="247">
        <f t="shared" si="20"/>
        <v>2.2280092592592671E-2</v>
      </c>
    </row>
    <row r="181" spans="1:17" ht="15" customHeight="1" x14ac:dyDescent="0.25">
      <c r="A181" s="254" t="s">
        <v>670</v>
      </c>
      <c r="B181" s="254" t="s">
        <v>273</v>
      </c>
      <c r="C181" s="254" t="s">
        <v>271</v>
      </c>
      <c r="D181" s="254" t="s">
        <v>289</v>
      </c>
      <c r="E181" s="254" t="s">
        <v>290</v>
      </c>
      <c r="F181" s="254" t="s">
        <v>753</v>
      </c>
      <c r="G181" s="254" t="s">
        <v>754</v>
      </c>
      <c r="H181" s="255">
        <v>13916</v>
      </c>
      <c r="I181" s="254" t="s">
        <v>270</v>
      </c>
      <c r="J181" s="254" t="s">
        <v>391</v>
      </c>
      <c r="K181" s="246">
        <f t="shared" si="14"/>
        <v>44761</v>
      </c>
      <c r="L181" s="246">
        <f t="shared" si="15"/>
        <v>44761</v>
      </c>
      <c r="M181" s="247">
        <f t="shared" si="16"/>
        <v>0.67230324074074077</v>
      </c>
      <c r="N181" s="246">
        <f t="shared" si="17"/>
        <v>44761</v>
      </c>
      <c r="O181" s="247">
        <f t="shared" si="18"/>
        <v>0.8333680555555556</v>
      </c>
      <c r="P181" s="247">
        <f t="shared" si="19"/>
        <v>0</v>
      </c>
      <c r="Q181" s="247">
        <f t="shared" si="20"/>
        <v>-0.8333680555555556</v>
      </c>
    </row>
    <row r="182" spans="1:17" ht="15" customHeight="1" x14ac:dyDescent="0.25">
      <c r="A182" s="254" t="s">
        <v>670</v>
      </c>
      <c r="B182" s="254" t="s">
        <v>273</v>
      </c>
      <c r="C182" s="254" t="s">
        <v>271</v>
      </c>
      <c r="D182" s="254" t="s">
        <v>291</v>
      </c>
      <c r="E182" s="254" t="s">
        <v>292</v>
      </c>
      <c r="F182" s="254" t="s">
        <v>755</v>
      </c>
      <c r="G182" s="254" t="s">
        <v>756</v>
      </c>
      <c r="H182" s="255">
        <v>18055</v>
      </c>
      <c r="I182" s="254" t="s">
        <v>270</v>
      </c>
      <c r="J182" s="254" t="s">
        <v>391</v>
      </c>
      <c r="K182" s="246">
        <f t="shared" si="14"/>
        <v>44761</v>
      </c>
      <c r="L182" s="246">
        <f t="shared" si="15"/>
        <v>44761</v>
      </c>
      <c r="M182" s="247">
        <f t="shared" si="16"/>
        <v>0.41607638888888887</v>
      </c>
      <c r="N182" s="246">
        <f t="shared" si="17"/>
        <v>44761</v>
      </c>
      <c r="O182" s="247">
        <f t="shared" si="18"/>
        <v>0.62504629629629627</v>
      </c>
      <c r="P182" s="247">
        <f t="shared" si="19"/>
        <v>0.67475694444444445</v>
      </c>
      <c r="Q182" s="247">
        <f t="shared" si="20"/>
        <v>4.9710648148148184E-2</v>
      </c>
    </row>
    <row r="183" spans="1:17" ht="15" customHeight="1" x14ac:dyDescent="0.25">
      <c r="A183" s="254" t="s">
        <v>670</v>
      </c>
      <c r="B183" s="254" t="s">
        <v>273</v>
      </c>
      <c r="C183" s="254" t="s">
        <v>271</v>
      </c>
      <c r="D183" s="254" t="s">
        <v>291</v>
      </c>
      <c r="E183" s="254" t="s">
        <v>292</v>
      </c>
      <c r="F183" s="254" t="s">
        <v>757</v>
      </c>
      <c r="G183" s="254" t="s">
        <v>754</v>
      </c>
      <c r="H183" s="255">
        <v>13704</v>
      </c>
      <c r="I183" s="254" t="s">
        <v>270</v>
      </c>
      <c r="J183" s="254" t="s">
        <v>391</v>
      </c>
      <c r="K183" s="246">
        <f t="shared" si="14"/>
        <v>44761</v>
      </c>
      <c r="L183" s="246">
        <f t="shared" si="15"/>
        <v>44761</v>
      </c>
      <c r="M183" s="247">
        <f t="shared" si="16"/>
        <v>0.67475694444444445</v>
      </c>
      <c r="N183" s="246">
        <f t="shared" si="17"/>
        <v>44761</v>
      </c>
      <c r="O183" s="247">
        <f t="shared" si="18"/>
        <v>0.8333680555555556</v>
      </c>
      <c r="P183" s="247">
        <f t="shared" si="19"/>
        <v>0</v>
      </c>
      <c r="Q183" s="247">
        <f t="shared" si="20"/>
        <v>-0.8333680555555556</v>
      </c>
    </row>
    <row r="184" spans="1:17" ht="15" customHeight="1" x14ac:dyDescent="0.25">
      <c r="A184" s="254" t="s">
        <v>670</v>
      </c>
      <c r="B184" s="254" t="s">
        <v>273</v>
      </c>
      <c r="C184" s="254" t="s">
        <v>271</v>
      </c>
      <c r="D184" s="254" t="s">
        <v>356</v>
      </c>
      <c r="E184" s="254" t="s">
        <v>357</v>
      </c>
      <c r="F184" s="254" t="s">
        <v>758</v>
      </c>
      <c r="G184" s="254" t="s">
        <v>759</v>
      </c>
      <c r="H184" s="255">
        <v>18082</v>
      </c>
      <c r="I184" s="254" t="s">
        <v>270</v>
      </c>
      <c r="J184" s="254" t="s">
        <v>391</v>
      </c>
      <c r="K184" s="246">
        <f t="shared" si="14"/>
        <v>44761</v>
      </c>
      <c r="L184" s="246">
        <f t="shared" si="15"/>
        <v>44761</v>
      </c>
      <c r="M184" s="247">
        <f t="shared" si="16"/>
        <v>0.41608796296296297</v>
      </c>
      <c r="N184" s="246">
        <f t="shared" si="17"/>
        <v>44761</v>
      </c>
      <c r="O184" s="247">
        <f t="shared" si="18"/>
        <v>0.62537037037037035</v>
      </c>
      <c r="P184" s="247">
        <f t="shared" si="19"/>
        <v>0.66665509259259259</v>
      </c>
      <c r="Q184" s="247">
        <f t="shared" si="20"/>
        <v>4.1284722222222237E-2</v>
      </c>
    </row>
    <row r="185" spans="1:17" ht="15" customHeight="1" x14ac:dyDescent="0.25">
      <c r="A185" s="254" t="s">
        <v>670</v>
      </c>
      <c r="B185" s="254" t="s">
        <v>273</v>
      </c>
      <c r="C185" s="254" t="s">
        <v>271</v>
      </c>
      <c r="D185" s="254" t="s">
        <v>356</v>
      </c>
      <c r="E185" s="254" t="s">
        <v>357</v>
      </c>
      <c r="F185" s="254" t="s">
        <v>760</v>
      </c>
      <c r="G185" s="254" t="s">
        <v>730</v>
      </c>
      <c r="H185" s="255">
        <v>14405</v>
      </c>
      <c r="I185" s="254" t="s">
        <v>270</v>
      </c>
      <c r="J185" s="254" t="s">
        <v>391</v>
      </c>
      <c r="K185" s="246">
        <f t="shared" si="14"/>
        <v>44761</v>
      </c>
      <c r="L185" s="246">
        <f t="shared" si="15"/>
        <v>44761</v>
      </c>
      <c r="M185" s="247">
        <f t="shared" si="16"/>
        <v>0.66665509259259259</v>
      </c>
      <c r="N185" s="246">
        <f t="shared" si="17"/>
        <v>44761</v>
      </c>
      <c r="O185" s="247">
        <f t="shared" si="18"/>
        <v>0.83337962962962964</v>
      </c>
      <c r="P185" s="247">
        <f t="shared" si="19"/>
        <v>0</v>
      </c>
      <c r="Q185" s="247">
        <f t="shared" si="20"/>
        <v>-0.83337962962962964</v>
      </c>
    </row>
    <row r="186" spans="1:17" ht="15" customHeight="1" x14ac:dyDescent="0.25">
      <c r="A186" s="254" t="s">
        <v>670</v>
      </c>
      <c r="B186" s="254" t="s">
        <v>273</v>
      </c>
      <c r="C186" s="254" t="s">
        <v>271</v>
      </c>
      <c r="D186" s="254" t="s">
        <v>293</v>
      </c>
      <c r="E186" s="254" t="s">
        <v>294</v>
      </c>
      <c r="F186" s="254" t="s">
        <v>763</v>
      </c>
      <c r="G186" s="254" t="s">
        <v>764</v>
      </c>
      <c r="H186" s="255">
        <v>14702</v>
      </c>
      <c r="I186" s="254" t="s">
        <v>270</v>
      </c>
      <c r="J186" s="254" t="s">
        <v>286</v>
      </c>
      <c r="K186" s="246">
        <f t="shared" si="14"/>
        <v>44761</v>
      </c>
      <c r="L186" s="246">
        <f t="shared" si="15"/>
        <v>44761</v>
      </c>
      <c r="M186" s="247">
        <f t="shared" si="16"/>
        <v>0.45773148148148146</v>
      </c>
      <c r="N186" s="246">
        <f t="shared" si="17"/>
        <v>44761</v>
      </c>
      <c r="O186" s="247">
        <f t="shared" si="18"/>
        <v>0.62789351851851849</v>
      </c>
      <c r="P186" s="247">
        <f t="shared" si="19"/>
        <v>0.66827546296296292</v>
      </c>
      <c r="Q186" s="247">
        <f t="shared" si="20"/>
        <v>4.0381944444444429E-2</v>
      </c>
    </row>
    <row r="187" spans="1:17" ht="15" customHeight="1" x14ac:dyDescent="0.25">
      <c r="A187" s="254" t="s">
        <v>670</v>
      </c>
      <c r="B187" s="254" t="s">
        <v>273</v>
      </c>
      <c r="C187" s="254" t="s">
        <v>271</v>
      </c>
      <c r="D187" s="254" t="s">
        <v>293</v>
      </c>
      <c r="E187" s="254" t="s">
        <v>294</v>
      </c>
      <c r="F187" s="254" t="s">
        <v>765</v>
      </c>
      <c r="G187" s="254" t="s">
        <v>766</v>
      </c>
      <c r="H187" s="255">
        <v>6</v>
      </c>
      <c r="I187" s="254" t="s">
        <v>270</v>
      </c>
      <c r="J187" s="254" t="s">
        <v>286</v>
      </c>
      <c r="K187" s="246">
        <f t="shared" si="14"/>
        <v>44761</v>
      </c>
      <c r="L187" s="246">
        <f t="shared" si="15"/>
        <v>44761</v>
      </c>
      <c r="M187" s="247">
        <f t="shared" si="16"/>
        <v>0.66827546296296292</v>
      </c>
      <c r="N187" s="246">
        <f t="shared" si="17"/>
        <v>44761</v>
      </c>
      <c r="O187" s="247">
        <f t="shared" si="18"/>
        <v>0.66834490740740737</v>
      </c>
      <c r="P187" s="247">
        <f t="shared" si="19"/>
        <v>0.66881944444444441</v>
      </c>
      <c r="Q187" s="247">
        <f t="shared" si="20"/>
        <v>4.745370370370372E-4</v>
      </c>
    </row>
    <row r="188" spans="1:17" ht="15" customHeight="1" x14ac:dyDescent="0.25">
      <c r="A188" s="254" t="s">
        <v>670</v>
      </c>
      <c r="B188" s="254" t="s">
        <v>273</v>
      </c>
      <c r="C188" s="254" t="s">
        <v>271</v>
      </c>
      <c r="D188" s="254" t="s">
        <v>293</v>
      </c>
      <c r="E188" s="254" t="s">
        <v>294</v>
      </c>
      <c r="F188" s="254" t="s">
        <v>767</v>
      </c>
      <c r="G188" s="254" t="s">
        <v>768</v>
      </c>
      <c r="H188" s="255">
        <v>18004</v>
      </c>
      <c r="I188" s="254" t="s">
        <v>270</v>
      </c>
      <c r="J188" s="254" t="s">
        <v>286</v>
      </c>
      <c r="K188" s="246">
        <f t="shared" si="14"/>
        <v>44761</v>
      </c>
      <c r="L188" s="246">
        <f t="shared" si="15"/>
        <v>44761</v>
      </c>
      <c r="M188" s="247">
        <f t="shared" si="16"/>
        <v>0.66881944444444441</v>
      </c>
      <c r="N188" s="246">
        <f t="shared" si="17"/>
        <v>44761</v>
      </c>
      <c r="O188" s="247">
        <f t="shared" si="18"/>
        <v>0.87719907407407405</v>
      </c>
      <c r="P188" s="247">
        <f t="shared" si="19"/>
        <v>0</v>
      </c>
      <c r="Q188" s="247">
        <f t="shared" si="20"/>
        <v>-0.87719907407407405</v>
      </c>
    </row>
    <row r="189" spans="1:17" ht="15" customHeight="1" x14ac:dyDescent="0.25">
      <c r="A189" s="254" t="s">
        <v>670</v>
      </c>
      <c r="B189" s="254" t="s">
        <v>273</v>
      </c>
      <c r="C189" s="254" t="s">
        <v>271</v>
      </c>
      <c r="D189" s="254" t="s">
        <v>358</v>
      </c>
      <c r="E189" s="254" t="s">
        <v>359</v>
      </c>
      <c r="F189" s="254" t="s">
        <v>769</v>
      </c>
      <c r="G189" s="254" t="s">
        <v>770</v>
      </c>
      <c r="H189" s="255">
        <v>6</v>
      </c>
      <c r="I189" s="254" t="s">
        <v>270</v>
      </c>
      <c r="J189" s="254" t="s">
        <v>391</v>
      </c>
      <c r="K189" s="246">
        <f t="shared" si="14"/>
        <v>44761</v>
      </c>
      <c r="L189" s="246">
        <f t="shared" si="15"/>
        <v>44761</v>
      </c>
      <c r="M189" s="247">
        <f t="shared" si="16"/>
        <v>0.41107638888888887</v>
      </c>
      <c r="N189" s="246">
        <f t="shared" si="17"/>
        <v>44761</v>
      </c>
      <c r="O189" s="247">
        <f t="shared" si="18"/>
        <v>0.41114583333333332</v>
      </c>
      <c r="P189" s="247">
        <f t="shared" si="19"/>
        <v>0.41601851851851851</v>
      </c>
      <c r="Q189" s="247">
        <f t="shared" si="20"/>
        <v>4.8726851851851882E-3</v>
      </c>
    </row>
    <row r="190" spans="1:17" ht="15" customHeight="1" x14ac:dyDescent="0.25">
      <c r="A190" s="254" t="s">
        <v>670</v>
      </c>
      <c r="B190" s="254" t="s">
        <v>273</v>
      </c>
      <c r="C190" s="254" t="s">
        <v>271</v>
      </c>
      <c r="D190" s="254" t="s">
        <v>358</v>
      </c>
      <c r="E190" s="254" t="s">
        <v>359</v>
      </c>
      <c r="F190" s="254" t="s">
        <v>771</v>
      </c>
      <c r="G190" s="254" t="s">
        <v>772</v>
      </c>
      <c r="H190" s="255">
        <v>18074</v>
      </c>
      <c r="I190" s="254" t="s">
        <v>270</v>
      </c>
      <c r="J190" s="254" t="s">
        <v>391</v>
      </c>
      <c r="K190" s="246">
        <f t="shared" si="14"/>
        <v>44761</v>
      </c>
      <c r="L190" s="246">
        <f t="shared" si="15"/>
        <v>44761</v>
      </c>
      <c r="M190" s="247">
        <f t="shared" si="16"/>
        <v>0.41601851851851851</v>
      </c>
      <c r="N190" s="246">
        <f t="shared" si="17"/>
        <v>44761</v>
      </c>
      <c r="O190" s="247">
        <f t="shared" si="18"/>
        <v>0.62520833333333337</v>
      </c>
      <c r="P190" s="247">
        <f t="shared" si="19"/>
        <v>0.66653935185185187</v>
      </c>
      <c r="Q190" s="247">
        <f t="shared" si="20"/>
        <v>4.1331018518518503E-2</v>
      </c>
    </row>
    <row r="191" spans="1:17" ht="15" customHeight="1" x14ac:dyDescent="0.25">
      <c r="A191" s="254" t="s">
        <v>670</v>
      </c>
      <c r="B191" s="254" t="s">
        <v>273</v>
      </c>
      <c r="C191" s="254" t="s">
        <v>271</v>
      </c>
      <c r="D191" s="254" t="s">
        <v>358</v>
      </c>
      <c r="E191" s="254" t="s">
        <v>359</v>
      </c>
      <c r="F191" s="254" t="s">
        <v>773</v>
      </c>
      <c r="G191" s="254" t="s">
        <v>774</v>
      </c>
      <c r="H191" s="255">
        <v>1073</v>
      </c>
      <c r="I191" s="254" t="s">
        <v>270</v>
      </c>
      <c r="J191" s="254" t="s">
        <v>391</v>
      </c>
      <c r="K191" s="246">
        <f t="shared" si="14"/>
        <v>44761</v>
      </c>
      <c r="L191" s="246">
        <f t="shared" si="15"/>
        <v>44761</v>
      </c>
      <c r="M191" s="247">
        <f t="shared" si="16"/>
        <v>0.66653935185185187</v>
      </c>
      <c r="N191" s="246">
        <f t="shared" si="17"/>
        <v>44761</v>
      </c>
      <c r="O191" s="247">
        <f t="shared" si="18"/>
        <v>0.67895833333333333</v>
      </c>
      <c r="P191" s="247">
        <f t="shared" si="19"/>
        <v>0.69321759259259264</v>
      </c>
      <c r="Q191" s="247">
        <f t="shared" si="20"/>
        <v>1.4259259259259305E-2</v>
      </c>
    </row>
    <row r="192" spans="1:17" ht="15" customHeight="1" x14ac:dyDescent="0.25">
      <c r="A192" s="254" t="s">
        <v>670</v>
      </c>
      <c r="B192" s="254" t="s">
        <v>273</v>
      </c>
      <c r="C192" s="254" t="s">
        <v>271</v>
      </c>
      <c r="D192" s="254" t="s">
        <v>358</v>
      </c>
      <c r="E192" s="254" t="s">
        <v>359</v>
      </c>
      <c r="F192" s="254" t="s">
        <v>775</v>
      </c>
      <c r="G192" s="254" t="s">
        <v>754</v>
      </c>
      <c r="H192" s="255">
        <v>12109</v>
      </c>
      <c r="I192" s="254" t="s">
        <v>270</v>
      </c>
      <c r="J192" s="254" t="s">
        <v>391</v>
      </c>
      <c r="K192" s="246">
        <f t="shared" si="14"/>
        <v>44761</v>
      </c>
      <c r="L192" s="246">
        <f t="shared" si="15"/>
        <v>44761</v>
      </c>
      <c r="M192" s="247">
        <f t="shared" si="16"/>
        <v>0.69321759259259264</v>
      </c>
      <c r="N192" s="246">
        <f t="shared" si="17"/>
        <v>44761</v>
      </c>
      <c r="O192" s="247">
        <f t="shared" si="18"/>
        <v>0.8333680555555556</v>
      </c>
      <c r="P192" s="247">
        <f t="shared" si="19"/>
        <v>0</v>
      </c>
      <c r="Q192" s="247">
        <f t="shared" si="20"/>
        <v>-0.8333680555555556</v>
      </c>
    </row>
    <row r="193" spans="1:17" ht="15" customHeight="1" x14ac:dyDescent="0.25">
      <c r="A193" s="254" t="s">
        <v>670</v>
      </c>
      <c r="B193" s="254" t="s">
        <v>273</v>
      </c>
      <c r="C193" s="254" t="s">
        <v>271</v>
      </c>
      <c r="D193" s="254" t="s">
        <v>295</v>
      </c>
      <c r="E193" s="254" t="s">
        <v>296</v>
      </c>
      <c r="F193" s="254" t="s">
        <v>777</v>
      </c>
      <c r="G193" s="254" t="s">
        <v>778</v>
      </c>
      <c r="H193" s="255">
        <v>3</v>
      </c>
      <c r="I193" s="254" t="s">
        <v>270</v>
      </c>
      <c r="J193" s="254" t="s">
        <v>286</v>
      </c>
      <c r="K193" s="246">
        <f t="shared" si="14"/>
        <v>44761</v>
      </c>
      <c r="L193" s="246">
        <f t="shared" si="15"/>
        <v>44761</v>
      </c>
      <c r="M193" s="247">
        <f t="shared" si="16"/>
        <v>0.32390046296296299</v>
      </c>
      <c r="N193" s="246">
        <f t="shared" si="17"/>
        <v>44761</v>
      </c>
      <c r="O193" s="247">
        <f t="shared" si="18"/>
        <v>0.32393518518518516</v>
      </c>
      <c r="P193" s="247">
        <f t="shared" si="19"/>
        <v>0.33285879629629628</v>
      </c>
      <c r="Q193" s="247">
        <f t="shared" si="20"/>
        <v>8.9236111111111183E-3</v>
      </c>
    </row>
    <row r="194" spans="1:17" ht="15" customHeight="1" x14ac:dyDescent="0.25">
      <c r="A194" s="254" t="s">
        <v>670</v>
      </c>
      <c r="B194" s="254" t="s">
        <v>273</v>
      </c>
      <c r="C194" s="254" t="s">
        <v>271</v>
      </c>
      <c r="D194" s="254" t="s">
        <v>295</v>
      </c>
      <c r="E194" s="254" t="s">
        <v>296</v>
      </c>
      <c r="F194" s="254" t="s">
        <v>779</v>
      </c>
      <c r="G194" s="254" t="s">
        <v>780</v>
      </c>
      <c r="H194" s="255">
        <v>18534</v>
      </c>
      <c r="I194" s="254" t="s">
        <v>270</v>
      </c>
      <c r="J194" s="254" t="s">
        <v>286</v>
      </c>
      <c r="K194" s="246">
        <f t="shared" ref="K194:K257" si="21">DATE(VALUE(LEFT(A194,4)),VALUE(MID(A194,5,2)),VALUE(RIGHT(A194,2)))</f>
        <v>44761</v>
      </c>
      <c r="L194" s="246">
        <f t="shared" ref="L194:L257" si="22">DATEVALUE(LEFT(F194,10))</f>
        <v>44761</v>
      </c>
      <c r="M194" s="247">
        <f t="shared" ref="M194:M257" si="23">TIMEVALUE(MID(F194,12,8))</f>
        <v>0.33285879629629628</v>
      </c>
      <c r="N194" s="246">
        <f t="shared" ref="N194:N257" si="24">DATEVALUE(LEFT(G194,10))</f>
        <v>44761</v>
      </c>
      <c r="O194" s="247">
        <f t="shared" ref="O194:O257" si="25">TIMEVALUE(MID(G194,12,8))</f>
        <v>0.54737268518518523</v>
      </c>
      <c r="P194" s="247">
        <f t="shared" ref="P194:P257" si="26">IFERROR(_xlfn.MINIFS($M:$M,$E:$E,$E194,$K:$K,$K194,$M:$M,"&gt;"&amp;$O194),"")</f>
        <v>0.57379629629629625</v>
      </c>
      <c r="Q194" s="247">
        <f t="shared" ref="Q194:Q257" si="27">IF($P194="","",$P194-$O194)</f>
        <v>2.6423611111111023E-2</v>
      </c>
    </row>
    <row r="195" spans="1:17" ht="15" customHeight="1" x14ac:dyDescent="0.25">
      <c r="A195" s="254" t="s">
        <v>670</v>
      </c>
      <c r="B195" s="254" t="s">
        <v>273</v>
      </c>
      <c r="C195" s="254" t="s">
        <v>271</v>
      </c>
      <c r="D195" s="254" t="s">
        <v>295</v>
      </c>
      <c r="E195" s="254" t="s">
        <v>296</v>
      </c>
      <c r="F195" s="254" t="s">
        <v>781</v>
      </c>
      <c r="G195" s="254" t="s">
        <v>782</v>
      </c>
      <c r="H195" s="255">
        <v>3</v>
      </c>
      <c r="I195" s="254" t="s">
        <v>270</v>
      </c>
      <c r="J195" s="254" t="s">
        <v>286</v>
      </c>
      <c r="K195" s="246">
        <f t="shared" si="21"/>
        <v>44761</v>
      </c>
      <c r="L195" s="246">
        <f t="shared" si="22"/>
        <v>44761</v>
      </c>
      <c r="M195" s="247">
        <f t="shared" si="23"/>
        <v>0.57379629629629625</v>
      </c>
      <c r="N195" s="246">
        <f t="shared" si="24"/>
        <v>44761</v>
      </c>
      <c r="O195" s="247">
        <f t="shared" si="25"/>
        <v>0.57383101851851848</v>
      </c>
      <c r="P195" s="247">
        <f t="shared" si="26"/>
        <v>0.58354166666666663</v>
      </c>
      <c r="Q195" s="247">
        <f t="shared" si="27"/>
        <v>9.7106481481481488E-3</v>
      </c>
    </row>
    <row r="196" spans="1:17" ht="15" customHeight="1" x14ac:dyDescent="0.25">
      <c r="A196" s="254" t="s">
        <v>670</v>
      </c>
      <c r="B196" s="254" t="s">
        <v>273</v>
      </c>
      <c r="C196" s="254" t="s">
        <v>271</v>
      </c>
      <c r="D196" s="254" t="s">
        <v>295</v>
      </c>
      <c r="E196" s="254" t="s">
        <v>296</v>
      </c>
      <c r="F196" s="254" t="s">
        <v>762</v>
      </c>
      <c r="G196" s="254" t="s">
        <v>718</v>
      </c>
      <c r="H196" s="255">
        <v>14383</v>
      </c>
      <c r="I196" s="254" t="s">
        <v>270</v>
      </c>
      <c r="J196" s="254" t="s">
        <v>286</v>
      </c>
      <c r="K196" s="246">
        <f t="shared" si="21"/>
        <v>44761</v>
      </c>
      <c r="L196" s="246">
        <f t="shared" si="22"/>
        <v>44761</v>
      </c>
      <c r="M196" s="247">
        <f t="shared" si="23"/>
        <v>0.58354166666666663</v>
      </c>
      <c r="N196" s="246">
        <f t="shared" si="24"/>
        <v>44761</v>
      </c>
      <c r="O196" s="247">
        <f t="shared" si="25"/>
        <v>0.75001157407407404</v>
      </c>
      <c r="P196" s="247">
        <f t="shared" si="26"/>
        <v>0</v>
      </c>
      <c r="Q196" s="247">
        <f t="shared" si="27"/>
        <v>-0.75001157407407404</v>
      </c>
    </row>
    <row r="197" spans="1:17" ht="15" customHeight="1" x14ac:dyDescent="0.25">
      <c r="A197" s="254" t="s">
        <v>670</v>
      </c>
      <c r="B197" s="254" t="s">
        <v>273</v>
      </c>
      <c r="C197" s="254" t="s">
        <v>271</v>
      </c>
      <c r="D197" s="254" t="s">
        <v>360</v>
      </c>
      <c r="E197" s="254" t="s">
        <v>361</v>
      </c>
      <c r="F197" s="254" t="s">
        <v>783</v>
      </c>
      <c r="G197" s="254" t="s">
        <v>784</v>
      </c>
      <c r="H197" s="255">
        <v>5</v>
      </c>
      <c r="I197" s="254" t="s">
        <v>270</v>
      </c>
      <c r="J197" s="254" t="s">
        <v>286</v>
      </c>
      <c r="K197" s="246">
        <f t="shared" si="21"/>
        <v>44761</v>
      </c>
      <c r="L197" s="246">
        <f t="shared" si="22"/>
        <v>44761</v>
      </c>
      <c r="M197" s="247">
        <f t="shared" si="23"/>
        <v>0.40917824074074072</v>
      </c>
      <c r="N197" s="246">
        <f t="shared" si="24"/>
        <v>44761</v>
      </c>
      <c r="O197" s="247">
        <f t="shared" si="25"/>
        <v>0.40923611111111113</v>
      </c>
      <c r="P197" s="247">
        <f t="shared" si="26"/>
        <v>0.41674768518518518</v>
      </c>
      <c r="Q197" s="247">
        <f t="shared" si="27"/>
        <v>7.5115740740740455E-3</v>
      </c>
    </row>
    <row r="198" spans="1:17" ht="15" customHeight="1" x14ac:dyDescent="0.25">
      <c r="A198" s="254" t="s">
        <v>670</v>
      </c>
      <c r="B198" s="254" t="s">
        <v>273</v>
      </c>
      <c r="C198" s="254" t="s">
        <v>271</v>
      </c>
      <c r="D198" s="254" t="s">
        <v>360</v>
      </c>
      <c r="E198" s="254" t="s">
        <v>361</v>
      </c>
      <c r="F198" s="254" t="s">
        <v>719</v>
      </c>
      <c r="G198" s="254" t="s">
        <v>761</v>
      </c>
      <c r="H198" s="255">
        <v>18024</v>
      </c>
      <c r="I198" s="254" t="s">
        <v>270</v>
      </c>
      <c r="J198" s="254" t="s">
        <v>286</v>
      </c>
      <c r="K198" s="246">
        <f t="shared" si="21"/>
        <v>44761</v>
      </c>
      <c r="L198" s="246">
        <f t="shared" si="22"/>
        <v>44761</v>
      </c>
      <c r="M198" s="247">
        <f t="shared" si="23"/>
        <v>0.41674768518518518</v>
      </c>
      <c r="N198" s="246">
        <f t="shared" si="24"/>
        <v>44761</v>
      </c>
      <c r="O198" s="247">
        <f t="shared" si="25"/>
        <v>0.62535879629629632</v>
      </c>
      <c r="P198" s="247">
        <f t="shared" si="26"/>
        <v>0.66619212962962959</v>
      </c>
      <c r="Q198" s="247">
        <f t="shared" si="27"/>
        <v>4.0833333333333277E-2</v>
      </c>
    </row>
    <row r="199" spans="1:17" ht="15" customHeight="1" x14ac:dyDescent="0.25">
      <c r="A199" s="254" t="s">
        <v>670</v>
      </c>
      <c r="B199" s="254" t="s">
        <v>273</v>
      </c>
      <c r="C199" s="254" t="s">
        <v>271</v>
      </c>
      <c r="D199" s="254" t="s">
        <v>360</v>
      </c>
      <c r="E199" s="254" t="s">
        <v>361</v>
      </c>
      <c r="F199" s="254" t="s">
        <v>776</v>
      </c>
      <c r="G199" s="254" t="s">
        <v>785</v>
      </c>
      <c r="H199" s="255">
        <v>158</v>
      </c>
      <c r="I199" s="254" t="s">
        <v>270</v>
      </c>
      <c r="J199" s="254" t="s">
        <v>286</v>
      </c>
      <c r="K199" s="246">
        <f t="shared" si="21"/>
        <v>44761</v>
      </c>
      <c r="L199" s="246">
        <f t="shared" si="22"/>
        <v>44761</v>
      </c>
      <c r="M199" s="247">
        <f t="shared" si="23"/>
        <v>0.66619212962962959</v>
      </c>
      <c r="N199" s="246">
        <f t="shared" si="24"/>
        <v>44761</v>
      </c>
      <c r="O199" s="247">
        <f t="shared" si="25"/>
        <v>0.66802083333333329</v>
      </c>
      <c r="P199" s="247">
        <f t="shared" si="26"/>
        <v>0.67149305555555561</v>
      </c>
      <c r="Q199" s="247">
        <f t="shared" si="27"/>
        <v>3.4722222222223209E-3</v>
      </c>
    </row>
    <row r="200" spans="1:17" ht="15" customHeight="1" x14ac:dyDescent="0.25">
      <c r="A200" s="254" t="s">
        <v>670</v>
      </c>
      <c r="B200" s="254" t="s">
        <v>273</v>
      </c>
      <c r="C200" s="254" t="s">
        <v>271</v>
      </c>
      <c r="D200" s="254" t="s">
        <v>360</v>
      </c>
      <c r="E200" s="254" t="s">
        <v>361</v>
      </c>
      <c r="F200" s="254" t="s">
        <v>786</v>
      </c>
      <c r="G200" s="254" t="s">
        <v>730</v>
      </c>
      <c r="H200" s="255">
        <v>13987</v>
      </c>
      <c r="I200" s="254" t="s">
        <v>270</v>
      </c>
      <c r="J200" s="254" t="s">
        <v>286</v>
      </c>
      <c r="K200" s="246">
        <f t="shared" si="21"/>
        <v>44761</v>
      </c>
      <c r="L200" s="246">
        <f t="shared" si="22"/>
        <v>44761</v>
      </c>
      <c r="M200" s="247">
        <f t="shared" si="23"/>
        <v>0.67149305555555561</v>
      </c>
      <c r="N200" s="246">
        <f t="shared" si="24"/>
        <v>44761</v>
      </c>
      <c r="O200" s="247">
        <f t="shared" si="25"/>
        <v>0.83337962962962964</v>
      </c>
      <c r="P200" s="247">
        <f t="shared" si="26"/>
        <v>0</v>
      </c>
      <c r="Q200" s="247">
        <f t="shared" si="27"/>
        <v>-0.83337962962962964</v>
      </c>
    </row>
    <row r="201" spans="1:17" ht="15" customHeight="1" x14ac:dyDescent="0.25">
      <c r="A201" s="254" t="s">
        <v>670</v>
      </c>
      <c r="B201" s="254" t="s">
        <v>273</v>
      </c>
      <c r="C201" s="254" t="s">
        <v>271</v>
      </c>
      <c r="D201" s="254" t="s">
        <v>297</v>
      </c>
      <c r="E201" s="254" t="s">
        <v>298</v>
      </c>
      <c r="F201" s="254" t="s">
        <v>788</v>
      </c>
      <c r="G201" s="254" t="s">
        <v>789</v>
      </c>
      <c r="H201" s="255">
        <v>14493</v>
      </c>
      <c r="I201" s="254" t="s">
        <v>270</v>
      </c>
      <c r="J201" s="254" t="s">
        <v>391</v>
      </c>
      <c r="K201" s="246">
        <f t="shared" si="21"/>
        <v>44761</v>
      </c>
      <c r="L201" s="246">
        <f t="shared" si="22"/>
        <v>44761</v>
      </c>
      <c r="M201" s="247">
        <f t="shared" si="23"/>
        <v>0.41571759259259261</v>
      </c>
      <c r="N201" s="246">
        <f t="shared" si="24"/>
        <v>44761</v>
      </c>
      <c r="O201" s="247">
        <f t="shared" si="25"/>
        <v>0.58346064814814813</v>
      </c>
      <c r="P201" s="247">
        <f t="shared" si="26"/>
        <v>0.62429398148148152</v>
      </c>
      <c r="Q201" s="247">
        <f t="shared" si="27"/>
        <v>4.0833333333333388E-2</v>
      </c>
    </row>
    <row r="202" spans="1:17" ht="15" customHeight="1" x14ac:dyDescent="0.25">
      <c r="A202" s="254" t="s">
        <v>670</v>
      </c>
      <c r="B202" s="254" t="s">
        <v>273</v>
      </c>
      <c r="C202" s="254" t="s">
        <v>271</v>
      </c>
      <c r="D202" s="254" t="s">
        <v>297</v>
      </c>
      <c r="E202" s="254" t="s">
        <v>298</v>
      </c>
      <c r="F202" s="254" t="s">
        <v>790</v>
      </c>
      <c r="G202" s="254" t="s">
        <v>791</v>
      </c>
      <c r="H202" s="255">
        <v>3248</v>
      </c>
      <c r="I202" s="254" t="s">
        <v>270</v>
      </c>
      <c r="J202" s="254" t="s">
        <v>391</v>
      </c>
      <c r="K202" s="246">
        <f t="shared" si="21"/>
        <v>44761</v>
      </c>
      <c r="L202" s="246">
        <f t="shared" si="22"/>
        <v>44761</v>
      </c>
      <c r="M202" s="247">
        <f t="shared" si="23"/>
        <v>0.62429398148148152</v>
      </c>
      <c r="N202" s="246">
        <f t="shared" si="24"/>
        <v>44761</v>
      </c>
      <c r="O202" s="247">
        <f t="shared" si="25"/>
        <v>0.66188657407407403</v>
      </c>
      <c r="P202" s="247">
        <f t="shared" si="26"/>
        <v>0.7203356481481481</v>
      </c>
      <c r="Q202" s="247">
        <f t="shared" si="27"/>
        <v>5.844907407407407E-2</v>
      </c>
    </row>
    <row r="203" spans="1:17" ht="15" customHeight="1" x14ac:dyDescent="0.25">
      <c r="A203" s="254" t="s">
        <v>670</v>
      </c>
      <c r="B203" s="254" t="s">
        <v>273</v>
      </c>
      <c r="C203" s="254" t="s">
        <v>271</v>
      </c>
      <c r="D203" s="254" t="s">
        <v>297</v>
      </c>
      <c r="E203" s="254" t="s">
        <v>298</v>
      </c>
      <c r="F203" s="254" t="s">
        <v>792</v>
      </c>
      <c r="G203" s="254" t="s">
        <v>730</v>
      </c>
      <c r="H203" s="255">
        <v>9767</v>
      </c>
      <c r="I203" s="254" t="s">
        <v>270</v>
      </c>
      <c r="J203" s="254" t="s">
        <v>391</v>
      </c>
      <c r="K203" s="246">
        <f t="shared" si="21"/>
        <v>44761</v>
      </c>
      <c r="L203" s="246">
        <f t="shared" si="22"/>
        <v>44761</v>
      </c>
      <c r="M203" s="247">
        <f t="shared" si="23"/>
        <v>0.7203356481481481</v>
      </c>
      <c r="N203" s="246">
        <f t="shared" si="24"/>
        <v>44761</v>
      </c>
      <c r="O203" s="247">
        <f t="shared" si="25"/>
        <v>0.83337962962962964</v>
      </c>
      <c r="P203" s="247">
        <f t="shared" si="26"/>
        <v>0</v>
      </c>
      <c r="Q203" s="247">
        <f t="shared" si="27"/>
        <v>-0.83337962962962964</v>
      </c>
    </row>
    <row r="204" spans="1:17" ht="15" customHeight="1" x14ac:dyDescent="0.25">
      <c r="A204" s="254" t="s">
        <v>670</v>
      </c>
      <c r="B204" s="254" t="s">
        <v>273</v>
      </c>
      <c r="C204" s="254" t="s">
        <v>271</v>
      </c>
      <c r="D204" s="254" t="s">
        <v>299</v>
      </c>
      <c r="E204" s="254" t="s">
        <v>300</v>
      </c>
      <c r="F204" s="254" t="s">
        <v>706</v>
      </c>
      <c r="G204" s="254" t="s">
        <v>679</v>
      </c>
      <c r="H204" s="255">
        <v>10838</v>
      </c>
      <c r="I204" s="254" t="s">
        <v>270</v>
      </c>
      <c r="J204" s="254" t="s">
        <v>391</v>
      </c>
      <c r="K204" s="246">
        <f t="shared" si="21"/>
        <v>44761</v>
      </c>
      <c r="L204" s="246">
        <f t="shared" si="22"/>
        <v>44761</v>
      </c>
      <c r="M204" s="247">
        <f t="shared" si="23"/>
        <v>0.41630787037037037</v>
      </c>
      <c r="N204" s="246">
        <f t="shared" si="24"/>
        <v>44761</v>
      </c>
      <c r="O204" s="247">
        <f t="shared" si="25"/>
        <v>0.54174768518518523</v>
      </c>
      <c r="P204" s="247">
        <f t="shared" si="26"/>
        <v>0.58341435185185186</v>
      </c>
      <c r="Q204" s="247">
        <f t="shared" si="27"/>
        <v>4.166666666666663E-2</v>
      </c>
    </row>
    <row r="205" spans="1:17" ht="15" customHeight="1" x14ac:dyDescent="0.25">
      <c r="A205" s="254" t="s">
        <v>670</v>
      </c>
      <c r="B205" s="254" t="s">
        <v>273</v>
      </c>
      <c r="C205" s="254" t="s">
        <v>271</v>
      </c>
      <c r="D205" s="254" t="s">
        <v>299</v>
      </c>
      <c r="E205" s="254" t="s">
        <v>300</v>
      </c>
      <c r="F205" s="254" t="s">
        <v>794</v>
      </c>
      <c r="G205" s="254" t="s">
        <v>795</v>
      </c>
      <c r="H205" s="255">
        <v>6118</v>
      </c>
      <c r="I205" s="254" t="s">
        <v>270</v>
      </c>
      <c r="J205" s="254" t="s">
        <v>391</v>
      </c>
      <c r="K205" s="246">
        <f t="shared" si="21"/>
        <v>44761</v>
      </c>
      <c r="L205" s="246">
        <f t="shared" si="22"/>
        <v>44761</v>
      </c>
      <c r="M205" s="247">
        <f t="shared" si="23"/>
        <v>0.58341435185185186</v>
      </c>
      <c r="N205" s="246">
        <f t="shared" si="24"/>
        <v>44761</v>
      </c>
      <c r="O205" s="247">
        <f t="shared" si="25"/>
        <v>0.65422453703703709</v>
      </c>
      <c r="P205" s="247">
        <f t="shared" si="26"/>
        <v>0.66305555555555551</v>
      </c>
      <c r="Q205" s="247">
        <f t="shared" si="27"/>
        <v>8.8310185185184187E-3</v>
      </c>
    </row>
    <row r="206" spans="1:17" ht="15" customHeight="1" x14ac:dyDescent="0.25">
      <c r="A206" s="254" t="s">
        <v>670</v>
      </c>
      <c r="B206" s="254" t="s">
        <v>273</v>
      </c>
      <c r="C206" s="254" t="s">
        <v>271</v>
      </c>
      <c r="D206" s="254" t="s">
        <v>299</v>
      </c>
      <c r="E206" s="254" t="s">
        <v>300</v>
      </c>
      <c r="F206" s="254" t="s">
        <v>796</v>
      </c>
      <c r="G206" s="254" t="s">
        <v>730</v>
      </c>
      <c r="H206" s="255">
        <v>14716</v>
      </c>
      <c r="I206" s="254" t="s">
        <v>270</v>
      </c>
      <c r="J206" s="254" t="s">
        <v>391</v>
      </c>
      <c r="K206" s="246">
        <f t="shared" si="21"/>
        <v>44761</v>
      </c>
      <c r="L206" s="246">
        <f t="shared" si="22"/>
        <v>44761</v>
      </c>
      <c r="M206" s="247">
        <f t="shared" si="23"/>
        <v>0.66305555555555551</v>
      </c>
      <c r="N206" s="246">
        <f t="shared" si="24"/>
        <v>44761</v>
      </c>
      <c r="O206" s="247">
        <f t="shared" si="25"/>
        <v>0.83337962962962964</v>
      </c>
      <c r="P206" s="247">
        <f t="shared" si="26"/>
        <v>0</v>
      </c>
      <c r="Q206" s="247">
        <f t="shared" si="27"/>
        <v>-0.83337962962962964</v>
      </c>
    </row>
    <row r="207" spans="1:17" ht="15" customHeight="1" x14ac:dyDescent="0.25">
      <c r="A207" s="254" t="s">
        <v>670</v>
      </c>
      <c r="B207" s="254" t="s">
        <v>273</v>
      </c>
      <c r="C207" s="254" t="s">
        <v>271</v>
      </c>
      <c r="D207" s="254" t="s">
        <v>800</v>
      </c>
      <c r="E207" s="254" t="s">
        <v>380</v>
      </c>
      <c r="F207" s="254" t="s">
        <v>801</v>
      </c>
      <c r="G207" s="254" t="s">
        <v>802</v>
      </c>
      <c r="H207" s="255">
        <v>13302</v>
      </c>
      <c r="I207" s="254" t="s">
        <v>270</v>
      </c>
      <c r="J207" s="254" t="s">
        <v>286</v>
      </c>
      <c r="K207" s="246">
        <f t="shared" si="21"/>
        <v>44761</v>
      </c>
      <c r="L207" s="246">
        <f t="shared" si="22"/>
        <v>44761</v>
      </c>
      <c r="M207" s="247">
        <f t="shared" si="23"/>
        <v>0.47119212962962964</v>
      </c>
      <c r="N207" s="246">
        <f t="shared" si="24"/>
        <v>44761</v>
      </c>
      <c r="O207" s="247">
        <f t="shared" si="25"/>
        <v>0.62515046296296295</v>
      </c>
      <c r="P207" s="247">
        <f t="shared" si="26"/>
        <v>0.66798611111111106</v>
      </c>
      <c r="Q207" s="247">
        <f t="shared" si="27"/>
        <v>4.2835648148148109E-2</v>
      </c>
    </row>
    <row r="208" spans="1:17" ht="15" customHeight="1" x14ac:dyDescent="0.25">
      <c r="A208" s="254" t="s">
        <v>670</v>
      </c>
      <c r="B208" s="254" t="s">
        <v>273</v>
      </c>
      <c r="C208" s="254" t="s">
        <v>271</v>
      </c>
      <c r="D208" s="254" t="s">
        <v>800</v>
      </c>
      <c r="E208" s="254" t="s">
        <v>380</v>
      </c>
      <c r="F208" s="254" t="s">
        <v>803</v>
      </c>
      <c r="G208" s="254" t="s">
        <v>804</v>
      </c>
      <c r="H208" s="255">
        <v>17913</v>
      </c>
      <c r="I208" s="254" t="s">
        <v>270</v>
      </c>
      <c r="J208" s="254" t="s">
        <v>286</v>
      </c>
      <c r="K208" s="246">
        <f t="shared" si="21"/>
        <v>44761</v>
      </c>
      <c r="L208" s="246">
        <f t="shared" si="22"/>
        <v>44761</v>
      </c>
      <c r="M208" s="247">
        <f t="shared" si="23"/>
        <v>0.66798611111111106</v>
      </c>
      <c r="N208" s="246">
        <f t="shared" si="24"/>
        <v>44761</v>
      </c>
      <c r="O208" s="247">
        <f t="shared" si="25"/>
        <v>0.87531250000000005</v>
      </c>
      <c r="P208" s="247">
        <f t="shared" si="26"/>
        <v>0</v>
      </c>
      <c r="Q208" s="247">
        <f t="shared" si="27"/>
        <v>-0.87531250000000005</v>
      </c>
    </row>
    <row r="209" spans="1:17" ht="15" customHeight="1" x14ac:dyDescent="0.25">
      <c r="A209" s="254" t="s">
        <v>670</v>
      </c>
      <c r="B209" s="254" t="s">
        <v>273</v>
      </c>
      <c r="C209" s="254" t="s">
        <v>271</v>
      </c>
      <c r="D209" s="254" t="s">
        <v>362</v>
      </c>
      <c r="E209" s="254" t="s">
        <v>363</v>
      </c>
      <c r="F209" s="254" t="s">
        <v>805</v>
      </c>
      <c r="G209" s="254" t="s">
        <v>806</v>
      </c>
      <c r="H209" s="255">
        <v>18059</v>
      </c>
      <c r="I209" s="254" t="s">
        <v>270</v>
      </c>
      <c r="J209" s="254" t="s">
        <v>391</v>
      </c>
      <c r="K209" s="246">
        <f t="shared" si="21"/>
        <v>44761</v>
      </c>
      <c r="L209" s="246">
        <f t="shared" si="22"/>
        <v>44761</v>
      </c>
      <c r="M209" s="247">
        <f t="shared" si="23"/>
        <v>0.41600694444444447</v>
      </c>
      <c r="N209" s="246">
        <f t="shared" si="24"/>
        <v>44761</v>
      </c>
      <c r="O209" s="247">
        <f t="shared" si="25"/>
        <v>0.62502314814814819</v>
      </c>
      <c r="P209" s="247">
        <f t="shared" si="26"/>
        <v>0.66971064814814818</v>
      </c>
      <c r="Q209" s="247">
        <f t="shared" si="27"/>
        <v>4.4687499999999991E-2</v>
      </c>
    </row>
    <row r="210" spans="1:17" ht="15" customHeight="1" x14ac:dyDescent="0.25">
      <c r="A210" s="254" t="s">
        <v>670</v>
      </c>
      <c r="B210" s="254" t="s">
        <v>273</v>
      </c>
      <c r="C210" s="254" t="s">
        <v>271</v>
      </c>
      <c r="D210" s="254" t="s">
        <v>362</v>
      </c>
      <c r="E210" s="254" t="s">
        <v>363</v>
      </c>
      <c r="F210" s="254" t="s">
        <v>807</v>
      </c>
      <c r="G210" s="254" t="s">
        <v>808</v>
      </c>
      <c r="H210" s="255">
        <v>14160</v>
      </c>
      <c r="I210" s="254" t="s">
        <v>270</v>
      </c>
      <c r="J210" s="254" t="s">
        <v>391</v>
      </c>
      <c r="K210" s="246">
        <f t="shared" si="21"/>
        <v>44761</v>
      </c>
      <c r="L210" s="246">
        <f t="shared" si="22"/>
        <v>44761</v>
      </c>
      <c r="M210" s="247">
        <f t="shared" si="23"/>
        <v>0.66971064814814818</v>
      </c>
      <c r="N210" s="246">
        <f t="shared" si="24"/>
        <v>44761</v>
      </c>
      <c r="O210" s="247">
        <f t="shared" si="25"/>
        <v>0.83359953703703704</v>
      </c>
      <c r="P210" s="247">
        <f t="shared" si="26"/>
        <v>0</v>
      </c>
      <c r="Q210" s="247">
        <f t="shared" si="27"/>
        <v>-0.83359953703703704</v>
      </c>
    </row>
    <row r="211" spans="1:17" ht="15" customHeight="1" x14ac:dyDescent="0.25">
      <c r="A211" s="254" t="s">
        <v>670</v>
      </c>
      <c r="B211" s="254" t="s">
        <v>273</v>
      </c>
      <c r="C211" s="254" t="s">
        <v>271</v>
      </c>
      <c r="D211" s="254" t="s">
        <v>364</v>
      </c>
      <c r="E211" s="254" t="s">
        <v>365</v>
      </c>
      <c r="F211" s="254" t="s">
        <v>726</v>
      </c>
      <c r="G211" s="254" t="s">
        <v>746</v>
      </c>
      <c r="H211" s="255">
        <v>3144</v>
      </c>
      <c r="I211" s="254" t="s">
        <v>270</v>
      </c>
      <c r="J211" s="254" t="s">
        <v>286</v>
      </c>
      <c r="K211" s="246">
        <f t="shared" si="21"/>
        <v>44761</v>
      </c>
      <c r="L211" s="246">
        <f t="shared" si="22"/>
        <v>44761</v>
      </c>
      <c r="M211" s="247">
        <f t="shared" si="23"/>
        <v>0.3318402777777778</v>
      </c>
      <c r="N211" s="246">
        <f t="shared" si="24"/>
        <v>44761</v>
      </c>
      <c r="O211" s="247">
        <f t="shared" si="25"/>
        <v>0.36822916666666666</v>
      </c>
      <c r="P211" s="247">
        <f t="shared" si="26"/>
        <v>0.36861111111111111</v>
      </c>
      <c r="Q211" s="247">
        <f t="shared" si="27"/>
        <v>3.8194444444444864E-4</v>
      </c>
    </row>
    <row r="212" spans="1:17" ht="15" customHeight="1" x14ac:dyDescent="0.25">
      <c r="A212" s="254" t="s">
        <v>670</v>
      </c>
      <c r="B212" s="254" t="s">
        <v>273</v>
      </c>
      <c r="C212" s="254" t="s">
        <v>271</v>
      </c>
      <c r="D212" s="254" t="s">
        <v>364</v>
      </c>
      <c r="E212" s="254" t="s">
        <v>365</v>
      </c>
      <c r="F212" s="254" t="s">
        <v>811</v>
      </c>
      <c r="G212" s="254" t="s">
        <v>812</v>
      </c>
      <c r="H212" s="255">
        <v>15108</v>
      </c>
      <c r="I212" s="254" t="s">
        <v>270</v>
      </c>
      <c r="J212" s="254" t="s">
        <v>286</v>
      </c>
      <c r="K212" s="246">
        <f t="shared" si="21"/>
        <v>44761</v>
      </c>
      <c r="L212" s="246">
        <f t="shared" si="22"/>
        <v>44761</v>
      </c>
      <c r="M212" s="247">
        <f t="shared" si="23"/>
        <v>0.36861111111111111</v>
      </c>
      <c r="N212" s="246">
        <f t="shared" si="24"/>
        <v>44761</v>
      </c>
      <c r="O212" s="247">
        <f t="shared" si="25"/>
        <v>0.54347222222222225</v>
      </c>
      <c r="P212" s="247">
        <f t="shared" si="26"/>
        <v>0.58443287037037039</v>
      </c>
      <c r="Q212" s="247">
        <f t="shared" si="27"/>
        <v>4.0960648148148149E-2</v>
      </c>
    </row>
    <row r="213" spans="1:17" ht="15" customHeight="1" x14ac:dyDescent="0.25">
      <c r="A213" s="254" t="s">
        <v>670</v>
      </c>
      <c r="B213" s="254" t="s">
        <v>273</v>
      </c>
      <c r="C213" s="254" t="s">
        <v>271</v>
      </c>
      <c r="D213" s="254" t="s">
        <v>364</v>
      </c>
      <c r="E213" s="254" t="s">
        <v>365</v>
      </c>
      <c r="F213" s="254" t="s">
        <v>813</v>
      </c>
      <c r="G213" s="254" t="s">
        <v>680</v>
      </c>
      <c r="H213" s="255">
        <v>14313</v>
      </c>
      <c r="I213" s="254" t="s">
        <v>270</v>
      </c>
      <c r="J213" s="254" t="s">
        <v>286</v>
      </c>
      <c r="K213" s="246">
        <f t="shared" si="21"/>
        <v>44761</v>
      </c>
      <c r="L213" s="246">
        <f t="shared" si="22"/>
        <v>44761</v>
      </c>
      <c r="M213" s="247">
        <f t="shared" si="23"/>
        <v>0.58443287037037039</v>
      </c>
      <c r="N213" s="246">
        <f t="shared" si="24"/>
        <v>44761</v>
      </c>
      <c r="O213" s="247">
        <f t="shared" si="25"/>
        <v>0.75009259259259264</v>
      </c>
      <c r="P213" s="247">
        <f t="shared" si="26"/>
        <v>0</v>
      </c>
      <c r="Q213" s="247">
        <f t="shared" si="27"/>
        <v>-0.75009259259259264</v>
      </c>
    </row>
    <row r="214" spans="1:17" ht="15" customHeight="1" x14ac:dyDescent="0.25">
      <c r="A214" s="254" t="s">
        <v>670</v>
      </c>
      <c r="B214" s="254" t="s">
        <v>273</v>
      </c>
      <c r="C214" s="254" t="s">
        <v>271</v>
      </c>
      <c r="D214" s="254" t="s">
        <v>366</v>
      </c>
      <c r="E214" s="254" t="s">
        <v>367</v>
      </c>
      <c r="F214" s="254" t="s">
        <v>815</v>
      </c>
      <c r="G214" s="254" t="s">
        <v>816</v>
      </c>
      <c r="H214" s="255">
        <v>12144</v>
      </c>
      <c r="I214" s="254" t="s">
        <v>270</v>
      </c>
      <c r="J214" s="254" t="s">
        <v>391</v>
      </c>
      <c r="K214" s="246">
        <f t="shared" si="21"/>
        <v>44761</v>
      </c>
      <c r="L214" s="246">
        <f t="shared" si="22"/>
        <v>44761</v>
      </c>
      <c r="M214" s="247">
        <f t="shared" si="23"/>
        <v>0.41780092592592594</v>
      </c>
      <c r="N214" s="246">
        <f t="shared" si="24"/>
        <v>44761</v>
      </c>
      <c r="O214" s="247">
        <f t="shared" si="25"/>
        <v>0.55835648148148154</v>
      </c>
      <c r="P214" s="247">
        <f t="shared" si="26"/>
        <v>0.60150462962962958</v>
      </c>
      <c r="Q214" s="247">
        <f t="shared" si="27"/>
        <v>4.3148148148148047E-2</v>
      </c>
    </row>
    <row r="215" spans="1:17" ht="15" customHeight="1" x14ac:dyDescent="0.25">
      <c r="A215" s="254" t="s">
        <v>670</v>
      </c>
      <c r="B215" s="254" t="s">
        <v>273</v>
      </c>
      <c r="C215" s="254" t="s">
        <v>271</v>
      </c>
      <c r="D215" s="254" t="s">
        <v>366</v>
      </c>
      <c r="E215" s="254" t="s">
        <v>367</v>
      </c>
      <c r="F215" s="254" t="s">
        <v>817</v>
      </c>
      <c r="G215" s="254" t="s">
        <v>818</v>
      </c>
      <c r="H215" s="255">
        <v>5168</v>
      </c>
      <c r="I215" s="254" t="s">
        <v>270</v>
      </c>
      <c r="J215" s="254" t="s">
        <v>391</v>
      </c>
      <c r="K215" s="246">
        <f t="shared" si="21"/>
        <v>44761</v>
      </c>
      <c r="L215" s="246">
        <f t="shared" si="22"/>
        <v>44761</v>
      </c>
      <c r="M215" s="247">
        <f t="shared" si="23"/>
        <v>0.60150462962962958</v>
      </c>
      <c r="N215" s="246">
        <f t="shared" si="24"/>
        <v>44761</v>
      </c>
      <c r="O215" s="247">
        <f t="shared" si="25"/>
        <v>0.66131944444444446</v>
      </c>
      <c r="P215" s="247">
        <f t="shared" si="26"/>
        <v>0.66134259259259254</v>
      </c>
      <c r="Q215" s="247">
        <f t="shared" si="27"/>
        <v>2.3148148148077752E-5</v>
      </c>
    </row>
    <row r="216" spans="1:17" ht="15" customHeight="1" x14ac:dyDescent="0.25">
      <c r="A216" s="254" t="s">
        <v>670</v>
      </c>
      <c r="B216" s="254" t="s">
        <v>273</v>
      </c>
      <c r="C216" s="254" t="s">
        <v>271</v>
      </c>
      <c r="D216" s="254" t="s">
        <v>366</v>
      </c>
      <c r="E216" s="254" t="s">
        <v>367</v>
      </c>
      <c r="F216" s="254" t="s">
        <v>819</v>
      </c>
      <c r="G216" s="254" t="s">
        <v>820</v>
      </c>
      <c r="H216" s="255">
        <v>1336</v>
      </c>
      <c r="I216" s="254" t="s">
        <v>270</v>
      </c>
      <c r="J216" s="254" t="s">
        <v>391</v>
      </c>
      <c r="K216" s="246">
        <f t="shared" si="21"/>
        <v>44761</v>
      </c>
      <c r="L216" s="246">
        <f t="shared" si="22"/>
        <v>44761</v>
      </c>
      <c r="M216" s="247">
        <f t="shared" si="23"/>
        <v>0.66134259259259254</v>
      </c>
      <c r="N216" s="246">
        <f t="shared" si="24"/>
        <v>44761</v>
      </c>
      <c r="O216" s="247">
        <f t="shared" si="25"/>
        <v>0.67680555555555555</v>
      </c>
      <c r="P216" s="247">
        <f t="shared" si="26"/>
        <v>0.6850694444444444</v>
      </c>
      <c r="Q216" s="247">
        <f t="shared" si="27"/>
        <v>8.2638888888888484E-3</v>
      </c>
    </row>
    <row r="217" spans="1:17" ht="15" customHeight="1" x14ac:dyDescent="0.25">
      <c r="A217" s="254" t="s">
        <v>670</v>
      </c>
      <c r="B217" s="254" t="s">
        <v>273</v>
      </c>
      <c r="C217" s="254" t="s">
        <v>271</v>
      </c>
      <c r="D217" s="254" t="s">
        <v>366</v>
      </c>
      <c r="E217" s="254" t="s">
        <v>367</v>
      </c>
      <c r="F217" s="254" t="s">
        <v>821</v>
      </c>
      <c r="G217" s="254" t="s">
        <v>822</v>
      </c>
      <c r="H217" s="255">
        <v>1397</v>
      </c>
      <c r="I217" s="254" t="s">
        <v>270</v>
      </c>
      <c r="J217" s="254" t="s">
        <v>391</v>
      </c>
      <c r="K217" s="246">
        <f t="shared" si="21"/>
        <v>44761</v>
      </c>
      <c r="L217" s="246">
        <f t="shared" si="22"/>
        <v>44761</v>
      </c>
      <c r="M217" s="247">
        <f t="shared" si="23"/>
        <v>0.6850694444444444</v>
      </c>
      <c r="N217" s="246">
        <f t="shared" si="24"/>
        <v>44761</v>
      </c>
      <c r="O217" s="247">
        <f t="shared" si="25"/>
        <v>0.70123842592592589</v>
      </c>
      <c r="P217" s="247">
        <f t="shared" si="26"/>
        <v>0.70603009259259264</v>
      </c>
      <c r="Q217" s="247">
        <f t="shared" si="27"/>
        <v>4.7916666666667496E-3</v>
      </c>
    </row>
    <row r="218" spans="1:17" ht="15" customHeight="1" x14ac:dyDescent="0.25">
      <c r="A218" s="254" t="s">
        <v>670</v>
      </c>
      <c r="B218" s="254" t="s">
        <v>273</v>
      </c>
      <c r="C218" s="254" t="s">
        <v>271</v>
      </c>
      <c r="D218" s="254" t="s">
        <v>366</v>
      </c>
      <c r="E218" s="254" t="s">
        <v>367</v>
      </c>
      <c r="F218" s="254" t="s">
        <v>823</v>
      </c>
      <c r="G218" s="254" t="s">
        <v>717</v>
      </c>
      <c r="H218" s="255">
        <v>11004</v>
      </c>
      <c r="I218" s="254" t="s">
        <v>270</v>
      </c>
      <c r="J218" s="254" t="s">
        <v>391</v>
      </c>
      <c r="K218" s="246">
        <f t="shared" si="21"/>
        <v>44761</v>
      </c>
      <c r="L218" s="246">
        <f t="shared" si="22"/>
        <v>44761</v>
      </c>
      <c r="M218" s="247">
        <f t="shared" si="23"/>
        <v>0.70603009259259264</v>
      </c>
      <c r="N218" s="246">
        <f t="shared" si="24"/>
        <v>44761</v>
      </c>
      <c r="O218" s="247">
        <f t="shared" si="25"/>
        <v>0.83339120370370368</v>
      </c>
      <c r="P218" s="247">
        <f t="shared" si="26"/>
        <v>0</v>
      </c>
      <c r="Q218" s="247">
        <f t="shared" si="27"/>
        <v>-0.83339120370370368</v>
      </c>
    </row>
    <row r="219" spans="1:17" ht="15" customHeight="1" x14ac:dyDescent="0.25">
      <c r="A219" s="254" t="s">
        <v>670</v>
      </c>
      <c r="B219" s="254" t="s">
        <v>273</v>
      </c>
      <c r="C219" s="254" t="s">
        <v>271</v>
      </c>
      <c r="D219" s="254" t="s">
        <v>301</v>
      </c>
      <c r="E219" s="254" t="s">
        <v>302</v>
      </c>
      <c r="F219" s="254" t="s">
        <v>824</v>
      </c>
      <c r="G219" s="254" t="s">
        <v>825</v>
      </c>
      <c r="H219" s="255">
        <v>18009</v>
      </c>
      <c r="I219" s="254" t="s">
        <v>270</v>
      </c>
      <c r="J219" s="254" t="s">
        <v>391</v>
      </c>
      <c r="K219" s="246">
        <f t="shared" si="21"/>
        <v>44761</v>
      </c>
      <c r="L219" s="246">
        <f t="shared" si="22"/>
        <v>44761</v>
      </c>
      <c r="M219" s="247">
        <f t="shared" si="23"/>
        <v>0.41834490740740743</v>
      </c>
      <c r="N219" s="246">
        <f t="shared" si="24"/>
        <v>44761</v>
      </c>
      <c r="O219" s="247">
        <f t="shared" si="25"/>
        <v>0.62678240740740743</v>
      </c>
      <c r="P219" s="247">
        <f t="shared" si="26"/>
        <v>0.66535879629629635</v>
      </c>
      <c r="Q219" s="247">
        <f t="shared" si="27"/>
        <v>3.8576388888888924E-2</v>
      </c>
    </row>
    <row r="220" spans="1:17" ht="15" customHeight="1" x14ac:dyDescent="0.25">
      <c r="A220" s="254" t="s">
        <v>670</v>
      </c>
      <c r="B220" s="254" t="s">
        <v>273</v>
      </c>
      <c r="C220" s="254" t="s">
        <v>271</v>
      </c>
      <c r="D220" s="254" t="s">
        <v>301</v>
      </c>
      <c r="E220" s="254" t="s">
        <v>302</v>
      </c>
      <c r="F220" s="254" t="s">
        <v>826</v>
      </c>
      <c r="G220" s="254" t="s">
        <v>709</v>
      </c>
      <c r="H220" s="255">
        <v>14520</v>
      </c>
      <c r="I220" s="254" t="s">
        <v>270</v>
      </c>
      <c r="J220" s="254" t="s">
        <v>391</v>
      </c>
      <c r="K220" s="246">
        <f t="shared" si="21"/>
        <v>44761</v>
      </c>
      <c r="L220" s="246">
        <f t="shared" si="22"/>
        <v>44761</v>
      </c>
      <c r="M220" s="247">
        <f t="shared" si="23"/>
        <v>0.66535879629629635</v>
      </c>
      <c r="N220" s="246">
        <f t="shared" si="24"/>
        <v>44761</v>
      </c>
      <c r="O220" s="247">
        <f t="shared" si="25"/>
        <v>0.83341435185185186</v>
      </c>
      <c r="P220" s="247">
        <f t="shared" si="26"/>
        <v>0</v>
      </c>
      <c r="Q220" s="247">
        <f t="shared" si="27"/>
        <v>-0.83341435185185186</v>
      </c>
    </row>
    <row r="221" spans="1:17" ht="15" customHeight="1" x14ac:dyDescent="0.25">
      <c r="A221" s="254" t="s">
        <v>670</v>
      </c>
      <c r="B221" s="254" t="s">
        <v>273</v>
      </c>
      <c r="C221" s="254" t="s">
        <v>271</v>
      </c>
      <c r="D221" s="254" t="s">
        <v>303</v>
      </c>
      <c r="E221" s="254" t="s">
        <v>304</v>
      </c>
      <c r="F221" s="254" t="s">
        <v>827</v>
      </c>
      <c r="G221" s="254" t="s">
        <v>712</v>
      </c>
      <c r="H221" s="255">
        <v>14573</v>
      </c>
      <c r="I221" s="254" t="s">
        <v>270</v>
      </c>
      <c r="J221" s="254" t="s">
        <v>278</v>
      </c>
      <c r="K221" s="246">
        <f t="shared" si="21"/>
        <v>44761</v>
      </c>
      <c r="L221" s="246">
        <f t="shared" si="22"/>
        <v>44761</v>
      </c>
      <c r="M221" s="247">
        <f t="shared" si="23"/>
        <v>0.45652777777777775</v>
      </c>
      <c r="N221" s="246">
        <f t="shared" si="24"/>
        <v>44761</v>
      </c>
      <c r="O221" s="247">
        <f t="shared" si="25"/>
        <v>0.62519675925925922</v>
      </c>
      <c r="P221" s="247">
        <f t="shared" si="26"/>
        <v>0.66561342592592587</v>
      </c>
      <c r="Q221" s="247">
        <f t="shared" si="27"/>
        <v>4.0416666666666656E-2</v>
      </c>
    </row>
    <row r="222" spans="1:17" ht="15" customHeight="1" x14ac:dyDescent="0.25">
      <c r="A222" s="254" t="s">
        <v>670</v>
      </c>
      <c r="B222" s="254" t="s">
        <v>273</v>
      </c>
      <c r="C222" s="254" t="s">
        <v>271</v>
      </c>
      <c r="D222" s="254" t="s">
        <v>303</v>
      </c>
      <c r="E222" s="254" t="s">
        <v>304</v>
      </c>
      <c r="F222" s="254" t="s">
        <v>828</v>
      </c>
      <c r="G222" s="254" t="s">
        <v>829</v>
      </c>
      <c r="H222" s="255">
        <v>18097</v>
      </c>
      <c r="I222" s="254" t="s">
        <v>270</v>
      </c>
      <c r="J222" s="254" t="s">
        <v>278</v>
      </c>
      <c r="K222" s="246">
        <f t="shared" si="21"/>
        <v>44761</v>
      </c>
      <c r="L222" s="246">
        <f t="shared" si="22"/>
        <v>44761</v>
      </c>
      <c r="M222" s="247">
        <f t="shared" si="23"/>
        <v>0.66561342592592587</v>
      </c>
      <c r="N222" s="246">
        <f t="shared" si="24"/>
        <v>44761</v>
      </c>
      <c r="O222" s="247">
        <f t="shared" si="25"/>
        <v>0.87506944444444446</v>
      </c>
      <c r="P222" s="247">
        <f t="shared" si="26"/>
        <v>0</v>
      </c>
      <c r="Q222" s="247">
        <f t="shared" si="27"/>
        <v>-0.87506944444444446</v>
      </c>
    </row>
    <row r="223" spans="1:17" ht="15" customHeight="1" x14ac:dyDescent="0.25">
      <c r="A223" s="254" t="s">
        <v>670</v>
      </c>
      <c r="B223" s="254" t="s">
        <v>273</v>
      </c>
      <c r="C223" s="254" t="s">
        <v>271</v>
      </c>
      <c r="D223" s="254" t="s">
        <v>307</v>
      </c>
      <c r="E223" s="254" t="s">
        <v>308</v>
      </c>
      <c r="F223" s="254" t="s">
        <v>830</v>
      </c>
      <c r="G223" s="254" t="s">
        <v>831</v>
      </c>
      <c r="H223" s="255">
        <v>14367</v>
      </c>
      <c r="I223" s="254" t="s">
        <v>270</v>
      </c>
      <c r="J223" s="254" t="s">
        <v>286</v>
      </c>
      <c r="K223" s="246">
        <f t="shared" si="21"/>
        <v>44761</v>
      </c>
      <c r="L223" s="246">
        <f t="shared" si="22"/>
        <v>44761</v>
      </c>
      <c r="M223" s="247">
        <f t="shared" si="23"/>
        <v>0.45887731481481481</v>
      </c>
      <c r="N223" s="246">
        <f t="shared" si="24"/>
        <v>44761</v>
      </c>
      <c r="O223" s="247">
        <f t="shared" si="25"/>
        <v>0.62516203703703699</v>
      </c>
      <c r="P223" s="247">
        <f t="shared" si="26"/>
        <v>0.66471064814814818</v>
      </c>
      <c r="Q223" s="247">
        <f t="shared" si="27"/>
        <v>3.9548611111111187E-2</v>
      </c>
    </row>
    <row r="224" spans="1:17" ht="15" customHeight="1" x14ac:dyDescent="0.25">
      <c r="A224" s="254" t="s">
        <v>670</v>
      </c>
      <c r="B224" s="254" t="s">
        <v>273</v>
      </c>
      <c r="C224" s="254" t="s">
        <v>271</v>
      </c>
      <c r="D224" s="254" t="s">
        <v>307</v>
      </c>
      <c r="E224" s="254" t="s">
        <v>308</v>
      </c>
      <c r="F224" s="254" t="s">
        <v>832</v>
      </c>
      <c r="G224" s="254" t="s">
        <v>833</v>
      </c>
      <c r="H224" s="255">
        <v>12650</v>
      </c>
      <c r="I224" s="254" t="s">
        <v>270</v>
      </c>
      <c r="J224" s="254" t="s">
        <v>286</v>
      </c>
      <c r="K224" s="246">
        <f t="shared" si="21"/>
        <v>44761</v>
      </c>
      <c r="L224" s="246">
        <f t="shared" si="22"/>
        <v>44761</v>
      </c>
      <c r="M224" s="247">
        <f t="shared" si="23"/>
        <v>0.66471064814814818</v>
      </c>
      <c r="N224" s="246">
        <f t="shared" si="24"/>
        <v>44761</v>
      </c>
      <c r="O224" s="247">
        <f t="shared" si="25"/>
        <v>0.81112268518518515</v>
      </c>
      <c r="P224" s="247">
        <f t="shared" si="26"/>
        <v>0.81155092592592593</v>
      </c>
      <c r="Q224" s="247">
        <f t="shared" si="27"/>
        <v>4.2824074074077068E-4</v>
      </c>
    </row>
    <row r="225" spans="1:17" ht="15" customHeight="1" x14ac:dyDescent="0.25">
      <c r="A225" s="254" t="s">
        <v>670</v>
      </c>
      <c r="B225" s="254" t="s">
        <v>273</v>
      </c>
      <c r="C225" s="254" t="s">
        <v>271</v>
      </c>
      <c r="D225" s="254" t="s">
        <v>307</v>
      </c>
      <c r="E225" s="254" t="s">
        <v>308</v>
      </c>
      <c r="F225" s="254" t="s">
        <v>834</v>
      </c>
      <c r="G225" s="254" t="s">
        <v>835</v>
      </c>
      <c r="H225" s="255">
        <v>4504</v>
      </c>
      <c r="I225" s="254" t="s">
        <v>270</v>
      </c>
      <c r="J225" s="254" t="s">
        <v>286</v>
      </c>
      <c r="K225" s="246">
        <f t="shared" si="21"/>
        <v>44761</v>
      </c>
      <c r="L225" s="246">
        <f t="shared" si="22"/>
        <v>44761</v>
      </c>
      <c r="M225" s="247">
        <f t="shared" si="23"/>
        <v>0.81155092592592593</v>
      </c>
      <c r="N225" s="246">
        <f t="shared" si="24"/>
        <v>44761</v>
      </c>
      <c r="O225" s="247">
        <f t="shared" si="25"/>
        <v>0.86368055555555556</v>
      </c>
      <c r="P225" s="247">
        <f t="shared" si="26"/>
        <v>0.86402777777777773</v>
      </c>
      <c r="Q225" s="247">
        <f t="shared" si="27"/>
        <v>3.4722222222216548E-4</v>
      </c>
    </row>
    <row r="226" spans="1:17" ht="15" customHeight="1" x14ac:dyDescent="0.25">
      <c r="A226" s="254" t="s">
        <v>670</v>
      </c>
      <c r="B226" s="254" t="s">
        <v>273</v>
      </c>
      <c r="C226" s="254" t="s">
        <v>271</v>
      </c>
      <c r="D226" s="254" t="s">
        <v>307</v>
      </c>
      <c r="E226" s="254" t="s">
        <v>308</v>
      </c>
      <c r="F226" s="254" t="s">
        <v>836</v>
      </c>
      <c r="G226" s="254" t="s">
        <v>837</v>
      </c>
      <c r="H226" s="255">
        <v>958</v>
      </c>
      <c r="I226" s="254" t="s">
        <v>270</v>
      </c>
      <c r="J226" s="254" t="s">
        <v>286</v>
      </c>
      <c r="K226" s="246">
        <f t="shared" si="21"/>
        <v>44761</v>
      </c>
      <c r="L226" s="246">
        <f t="shared" si="22"/>
        <v>44761</v>
      </c>
      <c r="M226" s="247">
        <f t="shared" si="23"/>
        <v>0.86402777777777773</v>
      </c>
      <c r="N226" s="246">
        <f t="shared" si="24"/>
        <v>44761</v>
      </c>
      <c r="O226" s="247">
        <f t="shared" si="25"/>
        <v>0.87511574074074072</v>
      </c>
      <c r="P226" s="247">
        <f t="shared" si="26"/>
        <v>0</v>
      </c>
      <c r="Q226" s="247">
        <f t="shared" si="27"/>
        <v>-0.87511574074074072</v>
      </c>
    </row>
    <row r="227" spans="1:17" ht="15" customHeight="1" x14ac:dyDescent="0.25">
      <c r="A227" s="254" t="s">
        <v>670</v>
      </c>
      <c r="B227" s="254" t="s">
        <v>273</v>
      </c>
      <c r="C227" s="254" t="s">
        <v>271</v>
      </c>
      <c r="D227" s="254" t="s">
        <v>309</v>
      </c>
      <c r="E227" s="254" t="s">
        <v>310</v>
      </c>
      <c r="F227" s="254" t="s">
        <v>839</v>
      </c>
      <c r="G227" s="254" t="s">
        <v>840</v>
      </c>
      <c r="H227" s="255">
        <v>10701</v>
      </c>
      <c r="I227" s="254" t="s">
        <v>270</v>
      </c>
      <c r="J227" s="254" t="s">
        <v>391</v>
      </c>
      <c r="K227" s="246">
        <f t="shared" si="21"/>
        <v>44761</v>
      </c>
      <c r="L227" s="246">
        <f t="shared" si="22"/>
        <v>44761</v>
      </c>
      <c r="M227" s="247">
        <f t="shared" si="23"/>
        <v>0.41798611111111111</v>
      </c>
      <c r="N227" s="246">
        <f t="shared" si="24"/>
        <v>44761</v>
      </c>
      <c r="O227" s="247">
        <f t="shared" si="25"/>
        <v>0.54184027777777777</v>
      </c>
      <c r="P227" s="247">
        <f t="shared" si="26"/>
        <v>0.58303240740740736</v>
      </c>
      <c r="Q227" s="247">
        <f t="shared" si="27"/>
        <v>4.1192129629629592E-2</v>
      </c>
    </row>
    <row r="228" spans="1:17" ht="15" customHeight="1" x14ac:dyDescent="0.25">
      <c r="A228" s="254" t="s">
        <v>670</v>
      </c>
      <c r="B228" s="254" t="s">
        <v>273</v>
      </c>
      <c r="C228" s="254" t="s">
        <v>271</v>
      </c>
      <c r="D228" s="254" t="s">
        <v>309</v>
      </c>
      <c r="E228" s="254" t="s">
        <v>310</v>
      </c>
      <c r="F228" s="254" t="s">
        <v>841</v>
      </c>
      <c r="G228" s="254" t="s">
        <v>842</v>
      </c>
      <c r="H228" s="255">
        <v>5790</v>
      </c>
      <c r="I228" s="254" t="s">
        <v>270</v>
      </c>
      <c r="J228" s="254" t="s">
        <v>391</v>
      </c>
      <c r="K228" s="246">
        <f t="shared" si="21"/>
        <v>44761</v>
      </c>
      <c r="L228" s="246">
        <f t="shared" si="22"/>
        <v>44761</v>
      </c>
      <c r="M228" s="247">
        <f t="shared" si="23"/>
        <v>0.58303240740740736</v>
      </c>
      <c r="N228" s="246">
        <f t="shared" si="24"/>
        <v>44761</v>
      </c>
      <c r="O228" s="247">
        <f t="shared" si="25"/>
        <v>0.65004629629629629</v>
      </c>
      <c r="P228" s="247">
        <f t="shared" si="26"/>
        <v>0.67229166666666662</v>
      </c>
      <c r="Q228" s="247">
        <f t="shared" si="27"/>
        <v>2.2245370370370332E-2</v>
      </c>
    </row>
    <row r="229" spans="1:17" ht="15" customHeight="1" x14ac:dyDescent="0.25">
      <c r="A229" s="254" t="s">
        <v>670</v>
      </c>
      <c r="B229" s="254" t="s">
        <v>273</v>
      </c>
      <c r="C229" s="254" t="s">
        <v>271</v>
      </c>
      <c r="D229" s="254" t="s">
        <v>309</v>
      </c>
      <c r="E229" s="254" t="s">
        <v>310</v>
      </c>
      <c r="F229" s="254" t="s">
        <v>843</v>
      </c>
      <c r="G229" s="254" t="s">
        <v>844</v>
      </c>
      <c r="H229" s="255">
        <v>2</v>
      </c>
      <c r="I229" s="254" t="s">
        <v>270</v>
      </c>
      <c r="J229" s="254" t="s">
        <v>391</v>
      </c>
      <c r="K229" s="246">
        <f t="shared" si="21"/>
        <v>44761</v>
      </c>
      <c r="L229" s="246">
        <f t="shared" si="22"/>
        <v>44761</v>
      </c>
      <c r="M229" s="247">
        <f t="shared" si="23"/>
        <v>0.67229166666666662</v>
      </c>
      <c r="N229" s="246">
        <f t="shared" si="24"/>
        <v>44761</v>
      </c>
      <c r="O229" s="247">
        <f t="shared" si="25"/>
        <v>0.67231481481481481</v>
      </c>
      <c r="P229" s="247">
        <f t="shared" si="26"/>
        <v>0.67267361111111112</v>
      </c>
      <c r="Q229" s="247">
        <f t="shared" si="27"/>
        <v>3.5879629629631538E-4</v>
      </c>
    </row>
    <row r="230" spans="1:17" ht="15" customHeight="1" x14ac:dyDescent="0.25">
      <c r="A230" s="254" t="s">
        <v>670</v>
      </c>
      <c r="B230" s="254" t="s">
        <v>273</v>
      </c>
      <c r="C230" s="254" t="s">
        <v>271</v>
      </c>
      <c r="D230" s="254" t="s">
        <v>309</v>
      </c>
      <c r="E230" s="254" t="s">
        <v>310</v>
      </c>
      <c r="F230" s="254" t="s">
        <v>845</v>
      </c>
      <c r="G230" s="254" t="s">
        <v>716</v>
      </c>
      <c r="H230" s="255">
        <v>13887</v>
      </c>
      <c r="I230" s="254" t="s">
        <v>270</v>
      </c>
      <c r="J230" s="254" t="s">
        <v>391</v>
      </c>
      <c r="K230" s="246">
        <f t="shared" si="21"/>
        <v>44761</v>
      </c>
      <c r="L230" s="246">
        <f t="shared" si="22"/>
        <v>44761</v>
      </c>
      <c r="M230" s="247">
        <f t="shared" si="23"/>
        <v>0.67267361111111112</v>
      </c>
      <c r="N230" s="246">
        <f t="shared" si="24"/>
        <v>44761</v>
      </c>
      <c r="O230" s="247">
        <f t="shared" si="25"/>
        <v>0.83340277777777783</v>
      </c>
      <c r="P230" s="247">
        <f t="shared" si="26"/>
        <v>0</v>
      </c>
      <c r="Q230" s="247">
        <f t="shared" si="27"/>
        <v>-0.83340277777777783</v>
      </c>
    </row>
    <row r="231" spans="1:17" ht="15" customHeight="1" x14ac:dyDescent="0.25">
      <c r="A231" s="254" t="s">
        <v>670</v>
      </c>
      <c r="B231" s="254" t="s">
        <v>273</v>
      </c>
      <c r="C231" s="254" t="s">
        <v>271</v>
      </c>
      <c r="D231" s="254" t="s">
        <v>516</v>
      </c>
      <c r="E231" s="254" t="s">
        <v>517</v>
      </c>
      <c r="F231" s="254" t="s">
        <v>846</v>
      </c>
      <c r="G231" s="254" t="s">
        <v>810</v>
      </c>
      <c r="H231" s="255">
        <v>10791</v>
      </c>
      <c r="I231" s="254" t="s">
        <v>270</v>
      </c>
      <c r="J231" s="254" t="s">
        <v>391</v>
      </c>
      <c r="K231" s="246">
        <f t="shared" si="21"/>
        <v>44761</v>
      </c>
      <c r="L231" s="246">
        <f t="shared" si="22"/>
        <v>44761</v>
      </c>
      <c r="M231" s="247">
        <f t="shared" si="23"/>
        <v>0.41711805555555553</v>
      </c>
      <c r="N231" s="246">
        <f t="shared" si="24"/>
        <v>44761</v>
      </c>
      <c r="O231" s="247">
        <f t="shared" si="25"/>
        <v>0.54201388888888891</v>
      </c>
      <c r="P231" s="247">
        <f t="shared" si="26"/>
        <v>0.5871643518518519</v>
      </c>
      <c r="Q231" s="247">
        <f t="shared" si="27"/>
        <v>4.5150462962962989E-2</v>
      </c>
    </row>
    <row r="232" spans="1:17" ht="15" customHeight="1" x14ac:dyDescent="0.25">
      <c r="A232" s="254" t="s">
        <v>670</v>
      </c>
      <c r="B232" s="254" t="s">
        <v>273</v>
      </c>
      <c r="C232" s="254" t="s">
        <v>271</v>
      </c>
      <c r="D232" s="254" t="s">
        <v>516</v>
      </c>
      <c r="E232" s="254" t="s">
        <v>517</v>
      </c>
      <c r="F232" s="254" t="s">
        <v>710</v>
      </c>
      <c r="G232" s="254" t="s">
        <v>847</v>
      </c>
      <c r="H232" s="255">
        <v>21300</v>
      </c>
      <c r="I232" s="254" t="s">
        <v>270</v>
      </c>
      <c r="J232" s="254" t="s">
        <v>391</v>
      </c>
      <c r="K232" s="246">
        <f t="shared" si="21"/>
        <v>44761</v>
      </c>
      <c r="L232" s="246">
        <f t="shared" si="22"/>
        <v>44761</v>
      </c>
      <c r="M232" s="247">
        <f t="shared" si="23"/>
        <v>0.5871643518518519</v>
      </c>
      <c r="N232" s="246">
        <f t="shared" si="24"/>
        <v>44761</v>
      </c>
      <c r="O232" s="247">
        <f t="shared" si="25"/>
        <v>0.83369212962962957</v>
      </c>
      <c r="P232" s="247">
        <f t="shared" si="26"/>
        <v>0</v>
      </c>
      <c r="Q232" s="247">
        <f t="shared" si="27"/>
        <v>-0.83369212962962957</v>
      </c>
    </row>
    <row r="233" spans="1:17" ht="15" customHeight="1" x14ac:dyDescent="0.25">
      <c r="A233" s="254" t="s">
        <v>670</v>
      </c>
      <c r="B233" s="254" t="s">
        <v>273</v>
      </c>
      <c r="C233" s="254" t="s">
        <v>271</v>
      </c>
      <c r="D233" s="254" t="s">
        <v>311</v>
      </c>
      <c r="E233" s="254" t="s">
        <v>312</v>
      </c>
      <c r="F233" s="254" t="s">
        <v>848</v>
      </c>
      <c r="G233" s="254" t="s">
        <v>849</v>
      </c>
      <c r="H233" s="255">
        <v>14475</v>
      </c>
      <c r="I233" s="254" t="s">
        <v>270</v>
      </c>
      <c r="J233" s="254" t="s">
        <v>391</v>
      </c>
      <c r="K233" s="246">
        <f t="shared" si="21"/>
        <v>44761</v>
      </c>
      <c r="L233" s="246">
        <f t="shared" si="22"/>
        <v>44761</v>
      </c>
      <c r="M233" s="247">
        <f t="shared" si="23"/>
        <v>0.41604166666666664</v>
      </c>
      <c r="N233" s="246">
        <f t="shared" si="24"/>
        <v>44761</v>
      </c>
      <c r="O233" s="247">
        <f t="shared" si="25"/>
        <v>0.58357638888888885</v>
      </c>
      <c r="P233" s="247">
        <f t="shared" si="26"/>
        <v>0.61920138888888887</v>
      </c>
      <c r="Q233" s="247">
        <f t="shared" si="27"/>
        <v>3.5625000000000018E-2</v>
      </c>
    </row>
    <row r="234" spans="1:17" ht="15" customHeight="1" x14ac:dyDescent="0.25">
      <c r="A234" s="254" t="s">
        <v>670</v>
      </c>
      <c r="B234" s="254" t="s">
        <v>273</v>
      </c>
      <c r="C234" s="254" t="s">
        <v>271</v>
      </c>
      <c r="D234" s="254" t="s">
        <v>311</v>
      </c>
      <c r="E234" s="254" t="s">
        <v>312</v>
      </c>
      <c r="F234" s="254" t="s">
        <v>850</v>
      </c>
      <c r="G234" s="254" t="s">
        <v>851</v>
      </c>
      <c r="H234" s="255">
        <v>2740</v>
      </c>
      <c r="I234" s="254" t="s">
        <v>270</v>
      </c>
      <c r="J234" s="254" t="s">
        <v>391</v>
      </c>
      <c r="K234" s="246">
        <f t="shared" si="21"/>
        <v>44761</v>
      </c>
      <c r="L234" s="246">
        <f t="shared" si="22"/>
        <v>44761</v>
      </c>
      <c r="M234" s="247">
        <f t="shared" si="23"/>
        <v>0.61920138888888887</v>
      </c>
      <c r="N234" s="246">
        <f t="shared" si="24"/>
        <v>44761</v>
      </c>
      <c r="O234" s="247">
        <f t="shared" si="25"/>
        <v>0.65091435185185187</v>
      </c>
      <c r="P234" s="247">
        <f t="shared" si="26"/>
        <v>0.66733796296296299</v>
      </c>
      <c r="Q234" s="247">
        <f t="shared" si="27"/>
        <v>1.6423611111111125E-2</v>
      </c>
    </row>
    <row r="235" spans="1:17" ht="15" customHeight="1" x14ac:dyDescent="0.25">
      <c r="A235" s="254" t="s">
        <v>670</v>
      </c>
      <c r="B235" s="254" t="s">
        <v>273</v>
      </c>
      <c r="C235" s="254" t="s">
        <v>271</v>
      </c>
      <c r="D235" s="254" t="s">
        <v>311</v>
      </c>
      <c r="E235" s="254" t="s">
        <v>312</v>
      </c>
      <c r="F235" s="254" t="s">
        <v>852</v>
      </c>
      <c r="G235" s="254" t="s">
        <v>853</v>
      </c>
      <c r="H235" s="255">
        <v>14353</v>
      </c>
      <c r="I235" s="254" t="s">
        <v>270</v>
      </c>
      <c r="J235" s="254" t="s">
        <v>391</v>
      </c>
      <c r="K235" s="246">
        <f t="shared" si="21"/>
        <v>44761</v>
      </c>
      <c r="L235" s="246">
        <f t="shared" si="22"/>
        <v>44761</v>
      </c>
      <c r="M235" s="247">
        <f t="shared" si="23"/>
        <v>0.66733796296296299</v>
      </c>
      <c r="N235" s="246">
        <f t="shared" si="24"/>
        <v>44761</v>
      </c>
      <c r="O235" s="247">
        <f t="shared" si="25"/>
        <v>0.83346064814814813</v>
      </c>
      <c r="P235" s="247">
        <f t="shared" si="26"/>
        <v>0</v>
      </c>
      <c r="Q235" s="247">
        <f t="shared" si="27"/>
        <v>-0.83346064814814813</v>
      </c>
    </row>
    <row r="236" spans="1:17" ht="15" customHeight="1" x14ac:dyDescent="0.25">
      <c r="A236" s="254" t="s">
        <v>670</v>
      </c>
      <c r="B236" s="254" t="s">
        <v>273</v>
      </c>
      <c r="C236" s="254" t="s">
        <v>271</v>
      </c>
      <c r="D236" s="254" t="s">
        <v>313</v>
      </c>
      <c r="E236" s="254" t="s">
        <v>314</v>
      </c>
      <c r="F236" s="254" t="s">
        <v>856</v>
      </c>
      <c r="G236" s="254" t="s">
        <v>857</v>
      </c>
      <c r="H236" s="255">
        <v>18294</v>
      </c>
      <c r="I236" s="254" t="s">
        <v>270</v>
      </c>
      <c r="J236" s="254" t="s">
        <v>286</v>
      </c>
      <c r="K236" s="246">
        <f t="shared" si="21"/>
        <v>44761</v>
      </c>
      <c r="L236" s="246">
        <f t="shared" si="22"/>
        <v>44761</v>
      </c>
      <c r="M236" s="247">
        <f t="shared" si="23"/>
        <v>0.33258101851851851</v>
      </c>
      <c r="N236" s="246">
        <f t="shared" si="24"/>
        <v>44761</v>
      </c>
      <c r="O236" s="247">
        <f t="shared" si="25"/>
        <v>0.54431712962962964</v>
      </c>
      <c r="P236" s="247">
        <f t="shared" si="26"/>
        <v>0.5854166666666667</v>
      </c>
      <c r="Q236" s="247">
        <f t="shared" si="27"/>
        <v>4.1099537037037059E-2</v>
      </c>
    </row>
    <row r="237" spans="1:17" ht="15" customHeight="1" x14ac:dyDescent="0.25">
      <c r="A237" s="254" t="s">
        <v>670</v>
      </c>
      <c r="B237" s="254" t="s">
        <v>273</v>
      </c>
      <c r="C237" s="254" t="s">
        <v>271</v>
      </c>
      <c r="D237" s="254" t="s">
        <v>313</v>
      </c>
      <c r="E237" s="254" t="s">
        <v>314</v>
      </c>
      <c r="F237" s="254" t="s">
        <v>858</v>
      </c>
      <c r="G237" s="254" t="s">
        <v>728</v>
      </c>
      <c r="H237" s="255">
        <v>14348</v>
      </c>
      <c r="I237" s="254" t="s">
        <v>270</v>
      </c>
      <c r="J237" s="254" t="s">
        <v>286</v>
      </c>
      <c r="K237" s="246">
        <f t="shared" si="21"/>
        <v>44761</v>
      </c>
      <c r="L237" s="246">
        <f t="shared" si="22"/>
        <v>44761</v>
      </c>
      <c r="M237" s="247">
        <f t="shared" si="23"/>
        <v>0.5854166666666667</v>
      </c>
      <c r="N237" s="246">
        <f t="shared" si="24"/>
        <v>44761</v>
      </c>
      <c r="O237" s="247">
        <f t="shared" si="25"/>
        <v>0.75148148148148153</v>
      </c>
      <c r="P237" s="247">
        <f t="shared" si="26"/>
        <v>0</v>
      </c>
      <c r="Q237" s="247">
        <f t="shared" si="27"/>
        <v>-0.75148148148148153</v>
      </c>
    </row>
    <row r="238" spans="1:17" ht="15" customHeight="1" x14ac:dyDescent="0.25">
      <c r="A238" s="254" t="s">
        <v>670</v>
      </c>
      <c r="B238" s="254" t="s">
        <v>273</v>
      </c>
      <c r="C238" s="254" t="s">
        <v>271</v>
      </c>
      <c r="D238" s="254" t="s">
        <v>315</v>
      </c>
      <c r="E238" s="254" t="s">
        <v>316</v>
      </c>
      <c r="F238" s="254" t="s">
        <v>809</v>
      </c>
      <c r="G238" s="254" t="s">
        <v>859</v>
      </c>
      <c r="H238" s="255">
        <v>544</v>
      </c>
      <c r="I238" s="254" t="s">
        <v>270</v>
      </c>
      <c r="J238" s="254" t="s">
        <v>278</v>
      </c>
      <c r="K238" s="246">
        <f t="shared" si="21"/>
        <v>44761</v>
      </c>
      <c r="L238" s="246">
        <f t="shared" si="22"/>
        <v>44761</v>
      </c>
      <c r="M238" s="247">
        <f t="shared" si="23"/>
        <v>0.33325231481481482</v>
      </c>
      <c r="N238" s="246">
        <f t="shared" si="24"/>
        <v>44761</v>
      </c>
      <c r="O238" s="247">
        <f t="shared" si="25"/>
        <v>0.33954861111111112</v>
      </c>
      <c r="P238" s="247">
        <f t="shared" si="26"/>
        <v>0.33988425925925925</v>
      </c>
      <c r="Q238" s="247">
        <f t="shared" si="27"/>
        <v>3.356481481481266E-4</v>
      </c>
    </row>
    <row r="239" spans="1:17" ht="15" customHeight="1" x14ac:dyDescent="0.25">
      <c r="A239" s="254" t="s">
        <v>670</v>
      </c>
      <c r="B239" s="254" t="s">
        <v>273</v>
      </c>
      <c r="C239" s="254" t="s">
        <v>271</v>
      </c>
      <c r="D239" s="254" t="s">
        <v>315</v>
      </c>
      <c r="E239" s="254" t="s">
        <v>316</v>
      </c>
      <c r="F239" s="254" t="s">
        <v>860</v>
      </c>
      <c r="G239" s="254" t="s">
        <v>861</v>
      </c>
      <c r="H239" s="255">
        <v>17686</v>
      </c>
      <c r="I239" s="254" t="s">
        <v>270</v>
      </c>
      <c r="J239" s="254" t="s">
        <v>278</v>
      </c>
      <c r="K239" s="246">
        <f t="shared" si="21"/>
        <v>44761</v>
      </c>
      <c r="L239" s="246">
        <f t="shared" si="22"/>
        <v>44761</v>
      </c>
      <c r="M239" s="247">
        <f t="shared" si="23"/>
        <v>0.33988425925925925</v>
      </c>
      <c r="N239" s="246">
        <f t="shared" si="24"/>
        <v>44761</v>
      </c>
      <c r="O239" s="247">
        <f t="shared" si="25"/>
        <v>0.54458333333333331</v>
      </c>
      <c r="P239" s="247">
        <f t="shared" si="26"/>
        <v>0.5838888888888889</v>
      </c>
      <c r="Q239" s="247">
        <f t="shared" si="27"/>
        <v>3.9305555555555594E-2</v>
      </c>
    </row>
    <row r="240" spans="1:17" ht="15" customHeight="1" x14ac:dyDescent="0.25">
      <c r="A240" s="254" t="s">
        <v>670</v>
      </c>
      <c r="B240" s="254" t="s">
        <v>273</v>
      </c>
      <c r="C240" s="254" t="s">
        <v>271</v>
      </c>
      <c r="D240" s="254" t="s">
        <v>315</v>
      </c>
      <c r="E240" s="254" t="s">
        <v>316</v>
      </c>
      <c r="F240" s="254" t="s">
        <v>798</v>
      </c>
      <c r="G240" s="254" t="s">
        <v>862</v>
      </c>
      <c r="H240" s="255">
        <v>14362</v>
      </c>
      <c r="I240" s="254" t="s">
        <v>270</v>
      </c>
      <c r="J240" s="254" t="s">
        <v>278</v>
      </c>
      <c r="K240" s="246">
        <f t="shared" si="21"/>
        <v>44761</v>
      </c>
      <c r="L240" s="246">
        <f t="shared" si="22"/>
        <v>44761</v>
      </c>
      <c r="M240" s="247">
        <f t="shared" si="23"/>
        <v>0.5838888888888889</v>
      </c>
      <c r="N240" s="246">
        <f t="shared" si="24"/>
        <v>44761</v>
      </c>
      <c r="O240" s="247">
        <f t="shared" si="25"/>
        <v>0.75011574074074072</v>
      </c>
      <c r="P240" s="247">
        <f t="shared" si="26"/>
        <v>0</v>
      </c>
      <c r="Q240" s="247">
        <f t="shared" si="27"/>
        <v>-0.75011574074074072</v>
      </c>
    </row>
    <row r="241" spans="1:17" ht="15" customHeight="1" x14ac:dyDescent="0.25">
      <c r="A241" s="254" t="s">
        <v>670</v>
      </c>
      <c r="B241" s="254" t="s">
        <v>273</v>
      </c>
      <c r="C241" s="254" t="s">
        <v>271</v>
      </c>
      <c r="D241" s="254" t="s">
        <v>317</v>
      </c>
      <c r="E241" s="254" t="s">
        <v>318</v>
      </c>
      <c r="F241" s="254" t="s">
        <v>863</v>
      </c>
      <c r="G241" s="254" t="s">
        <v>854</v>
      </c>
      <c r="H241" s="255">
        <v>10838</v>
      </c>
      <c r="I241" s="254" t="s">
        <v>270</v>
      </c>
      <c r="J241" s="254" t="s">
        <v>391</v>
      </c>
      <c r="K241" s="246">
        <f t="shared" si="21"/>
        <v>44761</v>
      </c>
      <c r="L241" s="246">
        <f t="shared" si="22"/>
        <v>44761</v>
      </c>
      <c r="M241" s="247">
        <f t="shared" si="23"/>
        <v>0.41627314814814814</v>
      </c>
      <c r="N241" s="246">
        <f t="shared" si="24"/>
        <v>44761</v>
      </c>
      <c r="O241" s="247">
        <f t="shared" si="25"/>
        <v>0.54171296296296301</v>
      </c>
      <c r="P241" s="247">
        <f t="shared" si="26"/>
        <v>0.58337962962962964</v>
      </c>
      <c r="Q241" s="247">
        <f t="shared" si="27"/>
        <v>4.166666666666663E-2</v>
      </c>
    </row>
    <row r="242" spans="1:17" ht="15" customHeight="1" x14ac:dyDescent="0.25">
      <c r="A242" s="254" t="s">
        <v>670</v>
      </c>
      <c r="B242" s="254" t="s">
        <v>273</v>
      </c>
      <c r="C242" s="254" t="s">
        <v>271</v>
      </c>
      <c r="D242" s="254" t="s">
        <v>317</v>
      </c>
      <c r="E242" s="254" t="s">
        <v>318</v>
      </c>
      <c r="F242" s="254" t="s">
        <v>715</v>
      </c>
      <c r="G242" s="254" t="s">
        <v>864</v>
      </c>
      <c r="H242" s="255">
        <v>21608</v>
      </c>
      <c r="I242" s="254" t="s">
        <v>270</v>
      </c>
      <c r="J242" s="254" t="s">
        <v>391</v>
      </c>
      <c r="K242" s="246">
        <f t="shared" si="21"/>
        <v>44761</v>
      </c>
      <c r="L242" s="246">
        <f t="shared" si="22"/>
        <v>44761</v>
      </c>
      <c r="M242" s="247">
        <f t="shared" si="23"/>
        <v>0.58337962962962964</v>
      </c>
      <c r="N242" s="246">
        <f t="shared" si="24"/>
        <v>44761</v>
      </c>
      <c r="O242" s="247">
        <f t="shared" si="25"/>
        <v>0.83347222222222217</v>
      </c>
      <c r="P242" s="247">
        <f t="shared" si="26"/>
        <v>0</v>
      </c>
      <c r="Q242" s="247">
        <f t="shared" si="27"/>
        <v>-0.83347222222222217</v>
      </c>
    </row>
    <row r="243" spans="1:17" ht="15" customHeight="1" x14ac:dyDescent="0.25">
      <c r="A243" s="254" t="s">
        <v>670</v>
      </c>
      <c r="B243" s="254" t="s">
        <v>273</v>
      </c>
      <c r="C243" s="254" t="s">
        <v>271</v>
      </c>
      <c r="D243" s="254" t="s">
        <v>368</v>
      </c>
      <c r="E243" s="254" t="s">
        <v>369</v>
      </c>
      <c r="F243" s="254" t="s">
        <v>866</v>
      </c>
      <c r="G243" s="254" t="s">
        <v>867</v>
      </c>
      <c r="H243" s="255">
        <v>14628</v>
      </c>
      <c r="I243" s="254" t="s">
        <v>270</v>
      </c>
      <c r="J243" s="254" t="s">
        <v>391</v>
      </c>
      <c r="K243" s="246">
        <f t="shared" si="21"/>
        <v>44761</v>
      </c>
      <c r="L243" s="246">
        <f t="shared" si="22"/>
        <v>44761</v>
      </c>
      <c r="M243" s="247">
        <f t="shared" si="23"/>
        <v>0.41493055555555558</v>
      </c>
      <c r="N243" s="246">
        <f t="shared" si="24"/>
        <v>44761</v>
      </c>
      <c r="O243" s="247">
        <f t="shared" si="25"/>
        <v>0.58423611111111107</v>
      </c>
      <c r="P243" s="247">
        <f t="shared" si="26"/>
        <v>0.62505787037037042</v>
      </c>
      <c r="Q243" s="247">
        <f t="shared" si="27"/>
        <v>4.0821759259259349E-2</v>
      </c>
    </row>
    <row r="244" spans="1:17" ht="15" customHeight="1" x14ac:dyDescent="0.25">
      <c r="A244" s="254" t="s">
        <v>670</v>
      </c>
      <c r="B244" s="254" t="s">
        <v>273</v>
      </c>
      <c r="C244" s="254" t="s">
        <v>271</v>
      </c>
      <c r="D244" s="254" t="s">
        <v>368</v>
      </c>
      <c r="E244" s="254" t="s">
        <v>369</v>
      </c>
      <c r="F244" s="254" t="s">
        <v>799</v>
      </c>
      <c r="G244" s="254" t="s">
        <v>709</v>
      </c>
      <c r="H244" s="255">
        <v>18002</v>
      </c>
      <c r="I244" s="254" t="s">
        <v>270</v>
      </c>
      <c r="J244" s="254" t="s">
        <v>391</v>
      </c>
      <c r="K244" s="246">
        <f t="shared" si="21"/>
        <v>44761</v>
      </c>
      <c r="L244" s="246">
        <f t="shared" si="22"/>
        <v>44761</v>
      </c>
      <c r="M244" s="247">
        <f t="shared" si="23"/>
        <v>0.62505787037037042</v>
      </c>
      <c r="N244" s="246">
        <f t="shared" si="24"/>
        <v>44761</v>
      </c>
      <c r="O244" s="247">
        <f t="shared" si="25"/>
        <v>0.83341435185185186</v>
      </c>
      <c r="P244" s="247">
        <f t="shared" si="26"/>
        <v>0</v>
      </c>
      <c r="Q244" s="247">
        <f t="shared" si="27"/>
        <v>-0.83341435185185186</v>
      </c>
    </row>
    <row r="245" spans="1:17" ht="15" customHeight="1" x14ac:dyDescent="0.25">
      <c r="A245" s="254" t="s">
        <v>670</v>
      </c>
      <c r="B245" s="254" t="s">
        <v>273</v>
      </c>
      <c r="C245" s="254" t="s">
        <v>271</v>
      </c>
      <c r="D245" s="254" t="s">
        <v>320</v>
      </c>
      <c r="E245" s="254" t="s">
        <v>321</v>
      </c>
      <c r="F245" s="254" t="s">
        <v>868</v>
      </c>
      <c r="G245" s="254" t="s">
        <v>869</v>
      </c>
      <c r="H245" s="255">
        <v>14781</v>
      </c>
      <c r="I245" s="254" t="s">
        <v>270</v>
      </c>
      <c r="J245" s="254" t="s">
        <v>286</v>
      </c>
      <c r="K245" s="246">
        <f t="shared" si="21"/>
        <v>44761</v>
      </c>
      <c r="L245" s="246">
        <f t="shared" si="22"/>
        <v>44761</v>
      </c>
      <c r="M245" s="247">
        <f t="shared" si="23"/>
        <v>0.4544097222222222</v>
      </c>
      <c r="N245" s="246">
        <f t="shared" si="24"/>
        <v>44761</v>
      </c>
      <c r="O245" s="247">
        <f t="shared" si="25"/>
        <v>0.62548611111111108</v>
      </c>
      <c r="P245" s="247">
        <f t="shared" si="26"/>
        <v>0.66613425925925929</v>
      </c>
      <c r="Q245" s="247">
        <f t="shared" si="27"/>
        <v>4.0648148148148211E-2</v>
      </c>
    </row>
    <row r="246" spans="1:17" ht="15" customHeight="1" x14ac:dyDescent="0.25">
      <c r="A246" s="254" t="s">
        <v>670</v>
      </c>
      <c r="B246" s="254" t="s">
        <v>273</v>
      </c>
      <c r="C246" s="254" t="s">
        <v>271</v>
      </c>
      <c r="D246" s="254" t="s">
        <v>320</v>
      </c>
      <c r="E246" s="254" t="s">
        <v>321</v>
      </c>
      <c r="F246" s="254" t="s">
        <v>748</v>
      </c>
      <c r="G246" s="254" t="s">
        <v>870</v>
      </c>
      <c r="H246" s="255">
        <v>18051</v>
      </c>
      <c r="I246" s="254" t="s">
        <v>270</v>
      </c>
      <c r="J246" s="254" t="s">
        <v>286</v>
      </c>
      <c r="K246" s="246">
        <f t="shared" si="21"/>
        <v>44761</v>
      </c>
      <c r="L246" s="246">
        <f t="shared" si="22"/>
        <v>44761</v>
      </c>
      <c r="M246" s="247">
        <f t="shared" si="23"/>
        <v>0.66613425925925929</v>
      </c>
      <c r="N246" s="246">
        <f t="shared" si="24"/>
        <v>44761</v>
      </c>
      <c r="O246" s="247">
        <f t="shared" si="25"/>
        <v>0.87505787037037042</v>
      </c>
      <c r="P246" s="247">
        <f t="shared" si="26"/>
        <v>0</v>
      </c>
      <c r="Q246" s="247">
        <f t="shared" si="27"/>
        <v>-0.87505787037037042</v>
      </c>
    </row>
    <row r="247" spans="1:17" ht="15" customHeight="1" x14ac:dyDescent="0.25">
      <c r="A247" s="254" t="s">
        <v>670</v>
      </c>
      <c r="B247" s="254" t="s">
        <v>273</v>
      </c>
      <c r="C247" s="254" t="s">
        <v>271</v>
      </c>
      <c r="D247" s="254" t="s">
        <v>370</v>
      </c>
      <c r="E247" s="254" t="s">
        <v>371</v>
      </c>
      <c r="F247" s="254" t="s">
        <v>871</v>
      </c>
      <c r="G247" s="254" t="s">
        <v>798</v>
      </c>
      <c r="H247" s="255">
        <v>15158</v>
      </c>
      <c r="I247" s="254" t="s">
        <v>270</v>
      </c>
      <c r="J247" s="254" t="s">
        <v>391</v>
      </c>
      <c r="K247" s="246">
        <f t="shared" si="21"/>
        <v>44761</v>
      </c>
      <c r="L247" s="246">
        <f t="shared" si="22"/>
        <v>44761</v>
      </c>
      <c r="M247" s="247">
        <f t="shared" si="23"/>
        <v>0.40844907407407405</v>
      </c>
      <c r="N247" s="246">
        <f t="shared" si="24"/>
        <v>44761</v>
      </c>
      <c r="O247" s="247">
        <f t="shared" si="25"/>
        <v>0.5838888888888889</v>
      </c>
      <c r="P247" s="247">
        <f t="shared" si="26"/>
        <v>0.62124999999999997</v>
      </c>
      <c r="Q247" s="247">
        <f t="shared" si="27"/>
        <v>3.7361111111111067E-2</v>
      </c>
    </row>
    <row r="248" spans="1:17" ht="15" customHeight="1" x14ac:dyDescent="0.25">
      <c r="A248" s="254" t="s">
        <v>670</v>
      </c>
      <c r="B248" s="254" t="s">
        <v>273</v>
      </c>
      <c r="C248" s="254" t="s">
        <v>271</v>
      </c>
      <c r="D248" s="254" t="s">
        <v>370</v>
      </c>
      <c r="E248" s="254" t="s">
        <v>371</v>
      </c>
      <c r="F248" s="254" t="s">
        <v>872</v>
      </c>
      <c r="G248" s="254" t="s">
        <v>873</v>
      </c>
      <c r="H248" s="255">
        <v>4787</v>
      </c>
      <c r="I248" s="254" t="s">
        <v>270</v>
      </c>
      <c r="J248" s="254" t="s">
        <v>391</v>
      </c>
      <c r="K248" s="246">
        <f t="shared" si="21"/>
        <v>44761</v>
      </c>
      <c r="L248" s="246">
        <f t="shared" si="22"/>
        <v>44761</v>
      </c>
      <c r="M248" s="247">
        <f t="shared" si="23"/>
        <v>0.62124999999999997</v>
      </c>
      <c r="N248" s="246">
        <f t="shared" si="24"/>
        <v>44761</v>
      </c>
      <c r="O248" s="247">
        <f t="shared" si="25"/>
        <v>0.6766550925925926</v>
      </c>
      <c r="P248" s="247">
        <f t="shared" si="26"/>
        <v>0.68354166666666671</v>
      </c>
      <c r="Q248" s="247">
        <f t="shared" si="27"/>
        <v>6.8865740740741144E-3</v>
      </c>
    </row>
    <row r="249" spans="1:17" ht="15" customHeight="1" x14ac:dyDescent="0.25">
      <c r="A249" s="254" t="s">
        <v>670</v>
      </c>
      <c r="B249" s="254" t="s">
        <v>273</v>
      </c>
      <c r="C249" s="254" t="s">
        <v>271</v>
      </c>
      <c r="D249" s="254" t="s">
        <v>370</v>
      </c>
      <c r="E249" s="254" t="s">
        <v>371</v>
      </c>
      <c r="F249" s="254" t="s">
        <v>874</v>
      </c>
      <c r="G249" s="254" t="s">
        <v>678</v>
      </c>
      <c r="H249" s="255">
        <v>12943</v>
      </c>
      <c r="I249" s="254" t="s">
        <v>270</v>
      </c>
      <c r="J249" s="254" t="s">
        <v>391</v>
      </c>
      <c r="K249" s="246">
        <f t="shared" si="21"/>
        <v>44761</v>
      </c>
      <c r="L249" s="246">
        <f t="shared" si="22"/>
        <v>44761</v>
      </c>
      <c r="M249" s="247">
        <f t="shared" si="23"/>
        <v>0.68354166666666671</v>
      </c>
      <c r="N249" s="246">
        <f t="shared" si="24"/>
        <v>44761</v>
      </c>
      <c r="O249" s="247">
        <f t="shared" si="25"/>
        <v>0.83334490740740741</v>
      </c>
      <c r="P249" s="247">
        <f t="shared" si="26"/>
        <v>0</v>
      </c>
      <c r="Q249" s="247">
        <f t="shared" si="27"/>
        <v>-0.83334490740740741</v>
      </c>
    </row>
    <row r="250" spans="1:17" ht="15" customHeight="1" x14ac:dyDescent="0.25">
      <c r="A250" s="254" t="s">
        <v>670</v>
      </c>
      <c r="B250" s="254" t="s">
        <v>273</v>
      </c>
      <c r="C250" s="254" t="s">
        <v>271</v>
      </c>
      <c r="D250" s="254" t="s">
        <v>323</v>
      </c>
      <c r="E250" s="254" t="s">
        <v>324</v>
      </c>
      <c r="F250" s="254" t="s">
        <v>797</v>
      </c>
      <c r="G250" s="254" t="s">
        <v>875</v>
      </c>
      <c r="H250" s="255">
        <v>407</v>
      </c>
      <c r="I250" s="254" t="s">
        <v>270</v>
      </c>
      <c r="J250" s="254" t="s">
        <v>278</v>
      </c>
      <c r="K250" s="246">
        <f t="shared" si="21"/>
        <v>44761</v>
      </c>
      <c r="L250" s="246">
        <f t="shared" si="22"/>
        <v>44761</v>
      </c>
      <c r="M250" s="247">
        <f t="shared" si="23"/>
        <v>0.33456018518518521</v>
      </c>
      <c r="N250" s="246">
        <f t="shared" si="24"/>
        <v>44761</v>
      </c>
      <c r="O250" s="247">
        <f t="shared" si="25"/>
        <v>0.33927083333333335</v>
      </c>
      <c r="P250" s="247">
        <f t="shared" si="26"/>
        <v>0.34023148148148147</v>
      </c>
      <c r="Q250" s="247">
        <f t="shared" si="27"/>
        <v>9.6064814814811328E-4</v>
      </c>
    </row>
    <row r="251" spans="1:17" ht="15" customHeight="1" x14ac:dyDescent="0.25">
      <c r="A251" s="254" t="s">
        <v>670</v>
      </c>
      <c r="B251" s="254" t="s">
        <v>273</v>
      </c>
      <c r="C251" s="254" t="s">
        <v>271</v>
      </c>
      <c r="D251" s="254" t="s">
        <v>323</v>
      </c>
      <c r="E251" s="254" t="s">
        <v>324</v>
      </c>
      <c r="F251" s="254" t="s">
        <v>876</v>
      </c>
      <c r="G251" s="254" t="s">
        <v>854</v>
      </c>
      <c r="H251" s="255">
        <v>17408</v>
      </c>
      <c r="I251" s="254" t="s">
        <v>270</v>
      </c>
      <c r="J251" s="254" t="s">
        <v>278</v>
      </c>
      <c r="K251" s="246">
        <f t="shared" si="21"/>
        <v>44761</v>
      </c>
      <c r="L251" s="246">
        <f t="shared" si="22"/>
        <v>44761</v>
      </c>
      <c r="M251" s="247">
        <f t="shared" si="23"/>
        <v>0.34023148148148147</v>
      </c>
      <c r="N251" s="246">
        <f t="shared" si="24"/>
        <v>44761</v>
      </c>
      <c r="O251" s="247">
        <f t="shared" si="25"/>
        <v>0.54171296296296301</v>
      </c>
      <c r="P251" s="247">
        <f t="shared" si="26"/>
        <v>0.58386574074074071</v>
      </c>
      <c r="Q251" s="247">
        <f t="shared" si="27"/>
        <v>4.2152777777777706E-2</v>
      </c>
    </row>
    <row r="252" spans="1:17" ht="15" customHeight="1" x14ac:dyDescent="0.25">
      <c r="A252" s="254" t="s">
        <v>670</v>
      </c>
      <c r="B252" s="254" t="s">
        <v>273</v>
      </c>
      <c r="C252" s="254" t="s">
        <v>271</v>
      </c>
      <c r="D252" s="254" t="s">
        <v>323</v>
      </c>
      <c r="E252" s="254" t="s">
        <v>324</v>
      </c>
      <c r="F252" s="254" t="s">
        <v>877</v>
      </c>
      <c r="G252" s="254" t="s">
        <v>878</v>
      </c>
      <c r="H252" s="255">
        <v>8031</v>
      </c>
      <c r="I252" s="254" t="s">
        <v>270</v>
      </c>
      <c r="J252" s="254" t="s">
        <v>278</v>
      </c>
      <c r="K252" s="246">
        <f t="shared" si="21"/>
        <v>44761</v>
      </c>
      <c r="L252" s="246">
        <f t="shared" si="22"/>
        <v>44761</v>
      </c>
      <c r="M252" s="247">
        <f t="shared" si="23"/>
        <v>0.58386574074074071</v>
      </c>
      <c r="N252" s="246">
        <f t="shared" si="24"/>
        <v>44761</v>
      </c>
      <c r="O252" s="247">
        <f t="shared" si="25"/>
        <v>0.67681712962962959</v>
      </c>
      <c r="P252" s="247">
        <f t="shared" si="26"/>
        <v>0.67795138888888884</v>
      </c>
      <c r="Q252" s="247">
        <f t="shared" si="27"/>
        <v>1.1342592592592515E-3</v>
      </c>
    </row>
    <row r="253" spans="1:17" ht="15" customHeight="1" x14ac:dyDescent="0.25">
      <c r="A253" s="254" t="s">
        <v>670</v>
      </c>
      <c r="B253" s="254" t="s">
        <v>273</v>
      </c>
      <c r="C253" s="254" t="s">
        <v>271</v>
      </c>
      <c r="D253" s="254" t="s">
        <v>323</v>
      </c>
      <c r="E253" s="254" t="s">
        <v>324</v>
      </c>
      <c r="F253" s="254" t="s">
        <v>879</v>
      </c>
      <c r="G253" s="254" t="s">
        <v>745</v>
      </c>
      <c r="H253" s="255">
        <v>6227</v>
      </c>
      <c r="I253" s="254" t="s">
        <v>270</v>
      </c>
      <c r="J253" s="254" t="s">
        <v>278</v>
      </c>
      <c r="K253" s="246">
        <f t="shared" si="21"/>
        <v>44761</v>
      </c>
      <c r="L253" s="246">
        <f t="shared" si="22"/>
        <v>44761</v>
      </c>
      <c r="M253" s="247">
        <f t="shared" si="23"/>
        <v>0.67795138888888884</v>
      </c>
      <c r="N253" s="246">
        <f t="shared" si="24"/>
        <v>44761</v>
      </c>
      <c r="O253" s="247">
        <f t="shared" si="25"/>
        <v>0.75002314814814819</v>
      </c>
      <c r="P253" s="247">
        <f t="shared" si="26"/>
        <v>0</v>
      </c>
      <c r="Q253" s="247">
        <f t="shared" si="27"/>
        <v>-0.75002314814814819</v>
      </c>
    </row>
    <row r="254" spans="1:17" ht="15" customHeight="1" x14ac:dyDescent="0.25">
      <c r="A254" s="254" t="s">
        <v>670</v>
      </c>
      <c r="B254" s="254" t="s">
        <v>273</v>
      </c>
      <c r="C254" s="254" t="s">
        <v>271</v>
      </c>
      <c r="D254" s="254" t="s">
        <v>372</v>
      </c>
      <c r="E254" s="254" t="s">
        <v>373</v>
      </c>
      <c r="F254" s="254" t="s">
        <v>881</v>
      </c>
      <c r="G254" s="254" t="s">
        <v>882</v>
      </c>
      <c r="H254" s="255">
        <v>761</v>
      </c>
      <c r="I254" s="254" t="s">
        <v>270</v>
      </c>
      <c r="J254" s="254" t="s">
        <v>391</v>
      </c>
      <c r="K254" s="246">
        <f t="shared" si="21"/>
        <v>44761</v>
      </c>
      <c r="L254" s="246">
        <f t="shared" si="22"/>
        <v>44761</v>
      </c>
      <c r="M254" s="247">
        <f t="shared" si="23"/>
        <v>0.4165740740740741</v>
      </c>
      <c r="N254" s="246">
        <f t="shared" si="24"/>
        <v>44761</v>
      </c>
      <c r="O254" s="247">
        <f t="shared" si="25"/>
        <v>0.42538194444444444</v>
      </c>
      <c r="P254" s="247">
        <f t="shared" si="26"/>
        <v>0.42578703703703702</v>
      </c>
      <c r="Q254" s="247">
        <f t="shared" si="27"/>
        <v>4.050925925925819E-4</v>
      </c>
    </row>
    <row r="255" spans="1:17" ht="15" customHeight="1" x14ac:dyDescent="0.25">
      <c r="A255" s="254" t="s">
        <v>670</v>
      </c>
      <c r="B255" s="254" t="s">
        <v>273</v>
      </c>
      <c r="C255" s="254" t="s">
        <v>271</v>
      </c>
      <c r="D255" s="254" t="s">
        <v>372</v>
      </c>
      <c r="E255" s="254" t="s">
        <v>373</v>
      </c>
      <c r="F255" s="254" t="s">
        <v>883</v>
      </c>
      <c r="G255" s="254" t="s">
        <v>854</v>
      </c>
      <c r="H255" s="255">
        <v>10016</v>
      </c>
      <c r="I255" s="254" t="s">
        <v>270</v>
      </c>
      <c r="J255" s="254" t="s">
        <v>391</v>
      </c>
      <c r="K255" s="246">
        <f t="shared" si="21"/>
        <v>44761</v>
      </c>
      <c r="L255" s="246">
        <f t="shared" si="22"/>
        <v>44761</v>
      </c>
      <c r="M255" s="247">
        <f t="shared" si="23"/>
        <v>0.42578703703703702</v>
      </c>
      <c r="N255" s="246">
        <f t="shared" si="24"/>
        <v>44761</v>
      </c>
      <c r="O255" s="247">
        <f t="shared" si="25"/>
        <v>0.54171296296296301</v>
      </c>
      <c r="P255" s="247">
        <f t="shared" si="26"/>
        <v>0.58293981481481483</v>
      </c>
      <c r="Q255" s="247">
        <f t="shared" si="27"/>
        <v>4.122685185185182E-2</v>
      </c>
    </row>
    <row r="256" spans="1:17" ht="15" customHeight="1" x14ac:dyDescent="0.25">
      <c r="A256" s="254" t="s">
        <v>670</v>
      </c>
      <c r="B256" s="254" t="s">
        <v>273</v>
      </c>
      <c r="C256" s="254" t="s">
        <v>271</v>
      </c>
      <c r="D256" s="254" t="s">
        <v>372</v>
      </c>
      <c r="E256" s="254" t="s">
        <v>373</v>
      </c>
      <c r="F256" s="254" t="s">
        <v>884</v>
      </c>
      <c r="G256" s="254" t="s">
        <v>885</v>
      </c>
      <c r="H256" s="255">
        <v>5781</v>
      </c>
      <c r="I256" s="254" t="s">
        <v>270</v>
      </c>
      <c r="J256" s="254" t="s">
        <v>391</v>
      </c>
      <c r="K256" s="246">
        <f t="shared" si="21"/>
        <v>44761</v>
      </c>
      <c r="L256" s="246">
        <f t="shared" si="22"/>
        <v>44761</v>
      </c>
      <c r="M256" s="247">
        <f t="shared" si="23"/>
        <v>0.58293981481481483</v>
      </c>
      <c r="N256" s="246">
        <f t="shared" si="24"/>
        <v>44761</v>
      </c>
      <c r="O256" s="247">
        <f t="shared" si="25"/>
        <v>0.64984953703703707</v>
      </c>
      <c r="P256" s="247">
        <f t="shared" si="26"/>
        <v>0.65533564814814815</v>
      </c>
      <c r="Q256" s="247">
        <f t="shared" si="27"/>
        <v>5.4861111111110805E-3</v>
      </c>
    </row>
    <row r="257" spans="1:17" ht="15" customHeight="1" x14ac:dyDescent="0.25">
      <c r="A257" s="254" t="s">
        <v>670</v>
      </c>
      <c r="B257" s="254" t="s">
        <v>273</v>
      </c>
      <c r="C257" s="254" t="s">
        <v>271</v>
      </c>
      <c r="D257" s="254" t="s">
        <v>372</v>
      </c>
      <c r="E257" s="254" t="s">
        <v>373</v>
      </c>
      <c r="F257" s="254" t="s">
        <v>886</v>
      </c>
      <c r="G257" s="254" t="s">
        <v>887</v>
      </c>
      <c r="H257" s="255">
        <v>6</v>
      </c>
      <c r="I257" s="254" t="s">
        <v>270</v>
      </c>
      <c r="J257" s="254" t="s">
        <v>391</v>
      </c>
      <c r="K257" s="246">
        <f t="shared" si="21"/>
        <v>44761</v>
      </c>
      <c r="L257" s="246">
        <f t="shared" si="22"/>
        <v>44761</v>
      </c>
      <c r="M257" s="247">
        <f t="shared" si="23"/>
        <v>0.65533564814814815</v>
      </c>
      <c r="N257" s="246">
        <f t="shared" si="24"/>
        <v>44761</v>
      </c>
      <c r="O257" s="247">
        <f t="shared" si="25"/>
        <v>0.65540509259259261</v>
      </c>
      <c r="P257" s="247">
        <f t="shared" si="26"/>
        <v>0.67341435185185183</v>
      </c>
      <c r="Q257" s="247">
        <f t="shared" si="27"/>
        <v>1.8009259259259225E-2</v>
      </c>
    </row>
    <row r="258" spans="1:17" ht="15" customHeight="1" x14ac:dyDescent="0.25">
      <c r="A258" s="254" t="s">
        <v>670</v>
      </c>
      <c r="B258" s="254" t="s">
        <v>273</v>
      </c>
      <c r="C258" s="254" t="s">
        <v>271</v>
      </c>
      <c r="D258" s="254" t="s">
        <v>372</v>
      </c>
      <c r="E258" s="254" t="s">
        <v>373</v>
      </c>
      <c r="F258" s="254" t="s">
        <v>888</v>
      </c>
      <c r="G258" s="254" t="s">
        <v>754</v>
      </c>
      <c r="H258" s="255">
        <v>13820</v>
      </c>
      <c r="I258" s="254" t="s">
        <v>270</v>
      </c>
      <c r="J258" s="254" t="s">
        <v>391</v>
      </c>
      <c r="K258" s="246">
        <f t="shared" ref="K258:K321" si="28">DATE(VALUE(LEFT(A258,4)),VALUE(MID(A258,5,2)),VALUE(RIGHT(A258,2)))</f>
        <v>44761</v>
      </c>
      <c r="L258" s="246">
        <f t="shared" ref="L258:L321" si="29">DATEVALUE(LEFT(F258,10))</f>
        <v>44761</v>
      </c>
      <c r="M258" s="247">
        <f t="shared" ref="M258:M321" si="30">TIMEVALUE(MID(F258,12,8))</f>
        <v>0.67341435185185183</v>
      </c>
      <c r="N258" s="246">
        <f t="shared" ref="N258:N321" si="31">DATEVALUE(LEFT(G258,10))</f>
        <v>44761</v>
      </c>
      <c r="O258" s="247">
        <f t="shared" ref="O258:O321" si="32">TIMEVALUE(MID(G258,12,8))</f>
        <v>0.8333680555555556</v>
      </c>
      <c r="P258" s="247">
        <f t="shared" ref="P258:P321" si="33">IFERROR(_xlfn.MINIFS($M:$M,$E:$E,$E258,$K:$K,$K258,$M:$M,"&gt;"&amp;$O258),"")</f>
        <v>0</v>
      </c>
      <c r="Q258" s="247">
        <f t="shared" ref="Q258:Q321" si="34">IF($P258="","",$P258-$O258)</f>
        <v>-0.8333680555555556</v>
      </c>
    </row>
    <row r="259" spans="1:17" ht="15" customHeight="1" x14ac:dyDescent="0.25">
      <c r="A259" s="254" t="s">
        <v>670</v>
      </c>
      <c r="B259" s="254" t="s">
        <v>273</v>
      </c>
      <c r="C259" s="254" t="s">
        <v>271</v>
      </c>
      <c r="D259" s="254" t="s">
        <v>374</v>
      </c>
      <c r="E259" s="254" t="s">
        <v>375</v>
      </c>
      <c r="F259" s="254" t="s">
        <v>889</v>
      </c>
      <c r="G259" s="254" t="s">
        <v>890</v>
      </c>
      <c r="H259" s="255">
        <v>6</v>
      </c>
      <c r="I259" s="254" t="s">
        <v>270</v>
      </c>
      <c r="J259" s="254" t="s">
        <v>286</v>
      </c>
      <c r="K259" s="246">
        <f t="shared" si="28"/>
        <v>44761</v>
      </c>
      <c r="L259" s="246">
        <f t="shared" si="29"/>
        <v>44761</v>
      </c>
      <c r="M259" s="247">
        <f t="shared" si="30"/>
        <v>0.45449074074074075</v>
      </c>
      <c r="N259" s="246">
        <f t="shared" si="31"/>
        <v>44761</v>
      </c>
      <c r="O259" s="247">
        <f t="shared" si="32"/>
        <v>0.45456018518518521</v>
      </c>
      <c r="P259" s="247">
        <f t="shared" si="33"/>
        <v>0.45686342592592594</v>
      </c>
      <c r="Q259" s="247">
        <f t="shared" si="34"/>
        <v>2.3032407407407307E-3</v>
      </c>
    </row>
    <row r="260" spans="1:17" ht="15" customHeight="1" x14ac:dyDescent="0.25">
      <c r="A260" s="254" t="s">
        <v>670</v>
      </c>
      <c r="B260" s="254" t="s">
        <v>273</v>
      </c>
      <c r="C260" s="254" t="s">
        <v>271</v>
      </c>
      <c r="D260" s="254" t="s">
        <v>374</v>
      </c>
      <c r="E260" s="254" t="s">
        <v>375</v>
      </c>
      <c r="F260" s="254" t="s">
        <v>891</v>
      </c>
      <c r="G260" s="254" t="s">
        <v>892</v>
      </c>
      <c r="H260" s="255">
        <v>14980</v>
      </c>
      <c r="I260" s="254" t="s">
        <v>270</v>
      </c>
      <c r="J260" s="254" t="s">
        <v>286</v>
      </c>
      <c r="K260" s="246">
        <f t="shared" si="28"/>
        <v>44761</v>
      </c>
      <c r="L260" s="246">
        <f t="shared" si="29"/>
        <v>44761</v>
      </c>
      <c r="M260" s="247">
        <f t="shared" si="30"/>
        <v>0.45686342592592594</v>
      </c>
      <c r="N260" s="246">
        <f t="shared" si="31"/>
        <v>44761</v>
      </c>
      <c r="O260" s="247">
        <f t="shared" si="32"/>
        <v>0.6302430555555556</v>
      </c>
      <c r="P260" s="247">
        <f t="shared" si="33"/>
        <v>0.67026620370370371</v>
      </c>
      <c r="Q260" s="247">
        <f t="shared" si="34"/>
        <v>4.0023148148148113E-2</v>
      </c>
    </row>
    <row r="261" spans="1:17" ht="15" customHeight="1" x14ac:dyDescent="0.25">
      <c r="A261" s="254" t="s">
        <v>670</v>
      </c>
      <c r="B261" s="254" t="s">
        <v>273</v>
      </c>
      <c r="C261" s="254" t="s">
        <v>271</v>
      </c>
      <c r="D261" s="254" t="s">
        <v>374</v>
      </c>
      <c r="E261" s="254" t="s">
        <v>375</v>
      </c>
      <c r="F261" s="254" t="s">
        <v>893</v>
      </c>
      <c r="G261" s="254" t="s">
        <v>729</v>
      </c>
      <c r="H261" s="255">
        <v>17690</v>
      </c>
      <c r="I261" s="254" t="s">
        <v>270</v>
      </c>
      <c r="J261" s="254" t="s">
        <v>286</v>
      </c>
      <c r="K261" s="246">
        <f t="shared" si="28"/>
        <v>44761</v>
      </c>
      <c r="L261" s="246">
        <f t="shared" si="29"/>
        <v>44761</v>
      </c>
      <c r="M261" s="247">
        <f t="shared" si="30"/>
        <v>0.67026620370370371</v>
      </c>
      <c r="N261" s="246">
        <f t="shared" si="31"/>
        <v>44761</v>
      </c>
      <c r="O261" s="247">
        <f t="shared" si="32"/>
        <v>0.87501157407407404</v>
      </c>
      <c r="P261" s="247">
        <f t="shared" si="33"/>
        <v>0</v>
      </c>
      <c r="Q261" s="247">
        <f t="shared" si="34"/>
        <v>-0.87501157407407404</v>
      </c>
    </row>
    <row r="262" spans="1:17" ht="15" customHeight="1" x14ac:dyDescent="0.25">
      <c r="A262" s="254" t="s">
        <v>670</v>
      </c>
      <c r="B262" s="254" t="s">
        <v>273</v>
      </c>
      <c r="C262" s="254" t="s">
        <v>271</v>
      </c>
      <c r="D262" s="254" t="s">
        <v>327</v>
      </c>
      <c r="E262" s="254" t="s">
        <v>328</v>
      </c>
      <c r="F262" s="254" t="s">
        <v>894</v>
      </c>
      <c r="G262" s="254" t="s">
        <v>895</v>
      </c>
      <c r="H262" s="255">
        <v>18403</v>
      </c>
      <c r="I262" s="254" t="s">
        <v>270</v>
      </c>
      <c r="J262" s="254" t="s">
        <v>286</v>
      </c>
      <c r="K262" s="246">
        <f t="shared" si="28"/>
        <v>44761</v>
      </c>
      <c r="L262" s="246">
        <f t="shared" si="29"/>
        <v>44761</v>
      </c>
      <c r="M262" s="247">
        <f t="shared" si="30"/>
        <v>0.33238425925925924</v>
      </c>
      <c r="N262" s="246">
        <f t="shared" si="31"/>
        <v>44761</v>
      </c>
      <c r="O262" s="247">
        <f t="shared" si="32"/>
        <v>0.54538194444444443</v>
      </c>
      <c r="P262" s="247">
        <f t="shared" si="33"/>
        <v>0.54701388888888891</v>
      </c>
      <c r="Q262" s="247">
        <f t="shared" si="34"/>
        <v>1.6319444444444775E-3</v>
      </c>
    </row>
    <row r="263" spans="1:17" ht="15" customHeight="1" x14ac:dyDescent="0.25">
      <c r="A263" s="254" t="s">
        <v>670</v>
      </c>
      <c r="B263" s="254" t="s">
        <v>273</v>
      </c>
      <c r="C263" s="254" t="s">
        <v>271</v>
      </c>
      <c r="D263" s="254" t="s">
        <v>327</v>
      </c>
      <c r="E263" s="254" t="s">
        <v>328</v>
      </c>
      <c r="F263" s="254" t="s">
        <v>896</v>
      </c>
      <c r="G263" s="254" t="s">
        <v>897</v>
      </c>
      <c r="H263" s="255">
        <v>10</v>
      </c>
      <c r="I263" s="254" t="s">
        <v>270</v>
      </c>
      <c r="J263" s="254" t="s">
        <v>286</v>
      </c>
      <c r="K263" s="246">
        <f t="shared" si="28"/>
        <v>44761</v>
      </c>
      <c r="L263" s="246">
        <f t="shared" si="29"/>
        <v>44761</v>
      </c>
      <c r="M263" s="247">
        <f t="shared" si="30"/>
        <v>0.54701388888888891</v>
      </c>
      <c r="N263" s="246">
        <f t="shared" si="31"/>
        <v>44761</v>
      </c>
      <c r="O263" s="247">
        <f t="shared" si="32"/>
        <v>0.54712962962962963</v>
      </c>
      <c r="P263" s="247">
        <f t="shared" si="33"/>
        <v>0.58637731481481481</v>
      </c>
      <c r="Q263" s="247">
        <f t="shared" si="34"/>
        <v>3.9247685185185177E-2</v>
      </c>
    </row>
    <row r="264" spans="1:17" ht="15" customHeight="1" x14ac:dyDescent="0.25">
      <c r="A264" s="254" t="s">
        <v>670</v>
      </c>
      <c r="B264" s="254" t="s">
        <v>273</v>
      </c>
      <c r="C264" s="254" t="s">
        <v>271</v>
      </c>
      <c r="D264" s="254" t="s">
        <v>327</v>
      </c>
      <c r="E264" s="254" t="s">
        <v>328</v>
      </c>
      <c r="F264" s="254" t="s">
        <v>865</v>
      </c>
      <c r="G264" s="254" t="s">
        <v>898</v>
      </c>
      <c r="H264" s="255">
        <v>14196</v>
      </c>
      <c r="I264" s="254" t="s">
        <v>270</v>
      </c>
      <c r="J264" s="254" t="s">
        <v>286</v>
      </c>
      <c r="K264" s="246">
        <f t="shared" si="28"/>
        <v>44761</v>
      </c>
      <c r="L264" s="246">
        <f t="shared" si="29"/>
        <v>44761</v>
      </c>
      <c r="M264" s="247">
        <f t="shared" si="30"/>
        <v>0.58637731481481481</v>
      </c>
      <c r="N264" s="246">
        <f t="shared" si="31"/>
        <v>44761</v>
      </c>
      <c r="O264" s="247">
        <f t="shared" si="32"/>
        <v>0.7506828703703704</v>
      </c>
      <c r="P264" s="247">
        <f t="shared" si="33"/>
        <v>0</v>
      </c>
      <c r="Q264" s="247">
        <f t="shared" si="34"/>
        <v>-0.7506828703703704</v>
      </c>
    </row>
    <row r="265" spans="1:17" ht="15" customHeight="1" x14ac:dyDescent="0.25">
      <c r="A265" s="254" t="s">
        <v>670</v>
      </c>
      <c r="B265" s="254" t="s">
        <v>273</v>
      </c>
      <c r="C265" s="254" t="s">
        <v>271</v>
      </c>
      <c r="D265" s="254" t="s">
        <v>329</v>
      </c>
      <c r="E265" s="254" t="s">
        <v>330</v>
      </c>
      <c r="F265" s="254" t="s">
        <v>899</v>
      </c>
      <c r="G265" s="254" t="s">
        <v>900</v>
      </c>
      <c r="H265" s="255">
        <v>11217</v>
      </c>
      <c r="I265" s="254" t="s">
        <v>270</v>
      </c>
      <c r="J265" s="254" t="s">
        <v>286</v>
      </c>
      <c r="K265" s="246">
        <f t="shared" si="28"/>
        <v>44761</v>
      </c>
      <c r="L265" s="246">
        <f t="shared" si="29"/>
        <v>44761</v>
      </c>
      <c r="M265" s="247">
        <f t="shared" si="30"/>
        <v>0.3354050925925926</v>
      </c>
      <c r="N265" s="246">
        <f t="shared" si="31"/>
        <v>44761</v>
      </c>
      <c r="O265" s="247">
        <f t="shared" si="32"/>
        <v>0.46523148148148147</v>
      </c>
      <c r="P265" s="247">
        <f t="shared" si="33"/>
        <v>0.47131944444444446</v>
      </c>
      <c r="Q265" s="247">
        <f t="shared" si="34"/>
        <v>6.0879629629629894E-3</v>
      </c>
    </row>
    <row r="266" spans="1:17" ht="15" customHeight="1" x14ac:dyDescent="0.25">
      <c r="A266" s="254" t="s">
        <v>670</v>
      </c>
      <c r="B266" s="254" t="s">
        <v>273</v>
      </c>
      <c r="C266" s="254" t="s">
        <v>271</v>
      </c>
      <c r="D266" s="254" t="s">
        <v>329</v>
      </c>
      <c r="E266" s="254" t="s">
        <v>330</v>
      </c>
      <c r="F266" s="254" t="s">
        <v>901</v>
      </c>
      <c r="G266" s="254" t="s">
        <v>902</v>
      </c>
      <c r="H266" s="255">
        <v>1583</v>
      </c>
      <c r="I266" s="254" t="s">
        <v>270</v>
      </c>
      <c r="J266" s="254" t="s">
        <v>286</v>
      </c>
      <c r="K266" s="246">
        <f t="shared" si="28"/>
        <v>44761</v>
      </c>
      <c r="L266" s="246">
        <f t="shared" si="29"/>
        <v>44761</v>
      </c>
      <c r="M266" s="247">
        <f t="shared" si="30"/>
        <v>0.47131944444444446</v>
      </c>
      <c r="N266" s="246">
        <f t="shared" si="31"/>
        <v>44761</v>
      </c>
      <c r="O266" s="247">
        <f t="shared" si="32"/>
        <v>0.48964120370370373</v>
      </c>
      <c r="P266" s="247">
        <f t="shared" si="33"/>
        <v>0.49025462962962962</v>
      </c>
      <c r="Q266" s="247">
        <f t="shared" si="34"/>
        <v>6.1342592592589229E-4</v>
      </c>
    </row>
    <row r="267" spans="1:17" ht="15" customHeight="1" x14ac:dyDescent="0.25">
      <c r="A267" s="254" t="s">
        <v>670</v>
      </c>
      <c r="B267" s="254" t="s">
        <v>273</v>
      </c>
      <c r="C267" s="254" t="s">
        <v>271</v>
      </c>
      <c r="D267" s="254" t="s">
        <v>329</v>
      </c>
      <c r="E267" s="254" t="s">
        <v>330</v>
      </c>
      <c r="F267" s="254" t="s">
        <v>903</v>
      </c>
      <c r="G267" s="254" t="s">
        <v>904</v>
      </c>
      <c r="H267" s="255">
        <v>1008</v>
      </c>
      <c r="I267" s="254" t="s">
        <v>270</v>
      </c>
      <c r="J267" s="254" t="s">
        <v>286</v>
      </c>
      <c r="K267" s="246">
        <f t="shared" si="28"/>
        <v>44761</v>
      </c>
      <c r="L267" s="246">
        <f t="shared" si="29"/>
        <v>44761</v>
      </c>
      <c r="M267" s="247">
        <f t="shared" si="30"/>
        <v>0.49025462962962962</v>
      </c>
      <c r="N267" s="246">
        <f t="shared" si="31"/>
        <v>44761</v>
      </c>
      <c r="O267" s="247">
        <f t="shared" si="32"/>
        <v>0.50192129629629634</v>
      </c>
      <c r="P267" s="247">
        <f t="shared" si="33"/>
        <v>0.50258101851851855</v>
      </c>
      <c r="Q267" s="247">
        <f t="shared" si="34"/>
        <v>6.5972222222221433E-4</v>
      </c>
    </row>
    <row r="268" spans="1:17" ht="15" customHeight="1" x14ac:dyDescent="0.25">
      <c r="A268" s="254" t="s">
        <v>670</v>
      </c>
      <c r="B268" s="254" t="s">
        <v>273</v>
      </c>
      <c r="C268" s="254" t="s">
        <v>271</v>
      </c>
      <c r="D268" s="254" t="s">
        <v>329</v>
      </c>
      <c r="E268" s="254" t="s">
        <v>330</v>
      </c>
      <c r="F268" s="254" t="s">
        <v>905</v>
      </c>
      <c r="G268" s="254" t="s">
        <v>906</v>
      </c>
      <c r="H268" s="255">
        <v>1851</v>
      </c>
      <c r="I268" s="254" t="s">
        <v>270</v>
      </c>
      <c r="J268" s="254" t="s">
        <v>286</v>
      </c>
      <c r="K268" s="246">
        <f t="shared" si="28"/>
        <v>44761</v>
      </c>
      <c r="L268" s="246">
        <f t="shared" si="29"/>
        <v>44761</v>
      </c>
      <c r="M268" s="247">
        <f t="shared" si="30"/>
        <v>0.50258101851851855</v>
      </c>
      <c r="N268" s="246">
        <f t="shared" si="31"/>
        <v>44761</v>
      </c>
      <c r="O268" s="247">
        <f t="shared" si="32"/>
        <v>0.52400462962962968</v>
      </c>
      <c r="P268" s="247">
        <f t="shared" si="33"/>
        <v>0.53662037037037036</v>
      </c>
      <c r="Q268" s="247">
        <f t="shared" si="34"/>
        <v>1.2615740740740677E-2</v>
      </c>
    </row>
    <row r="269" spans="1:17" ht="15" customHeight="1" x14ac:dyDescent="0.25">
      <c r="A269" s="254" t="s">
        <v>670</v>
      </c>
      <c r="B269" s="254" t="s">
        <v>273</v>
      </c>
      <c r="C269" s="254" t="s">
        <v>271</v>
      </c>
      <c r="D269" s="254" t="s">
        <v>329</v>
      </c>
      <c r="E269" s="254" t="s">
        <v>330</v>
      </c>
      <c r="F269" s="254" t="s">
        <v>907</v>
      </c>
      <c r="G269" s="254" t="s">
        <v>908</v>
      </c>
      <c r="H269" s="255">
        <v>7</v>
      </c>
      <c r="I269" s="254" t="s">
        <v>270</v>
      </c>
      <c r="J269" s="254" t="s">
        <v>286</v>
      </c>
      <c r="K269" s="246">
        <f t="shared" si="28"/>
        <v>44761</v>
      </c>
      <c r="L269" s="246">
        <f t="shared" si="29"/>
        <v>44761</v>
      </c>
      <c r="M269" s="247">
        <f t="shared" si="30"/>
        <v>0.53662037037037036</v>
      </c>
      <c r="N269" s="246">
        <f t="shared" si="31"/>
        <v>44761</v>
      </c>
      <c r="O269" s="247">
        <f t="shared" si="32"/>
        <v>0.53670138888888885</v>
      </c>
      <c r="P269" s="247">
        <f t="shared" si="33"/>
        <v>0.53672453703703704</v>
      </c>
      <c r="Q269" s="247">
        <f t="shared" si="34"/>
        <v>2.3148148148188774E-5</v>
      </c>
    </row>
    <row r="270" spans="1:17" ht="15" customHeight="1" x14ac:dyDescent="0.25">
      <c r="A270" s="254" t="s">
        <v>670</v>
      </c>
      <c r="B270" s="254" t="s">
        <v>273</v>
      </c>
      <c r="C270" s="254" t="s">
        <v>271</v>
      </c>
      <c r="D270" s="254" t="s">
        <v>329</v>
      </c>
      <c r="E270" s="254" t="s">
        <v>330</v>
      </c>
      <c r="F270" s="254" t="s">
        <v>909</v>
      </c>
      <c r="G270" s="254" t="s">
        <v>910</v>
      </c>
      <c r="H270" s="255">
        <v>602</v>
      </c>
      <c r="I270" s="254" t="s">
        <v>270</v>
      </c>
      <c r="J270" s="254" t="s">
        <v>286</v>
      </c>
      <c r="K270" s="246">
        <f t="shared" si="28"/>
        <v>44761</v>
      </c>
      <c r="L270" s="246">
        <f t="shared" si="29"/>
        <v>44761</v>
      </c>
      <c r="M270" s="247">
        <f t="shared" si="30"/>
        <v>0.53672453703703704</v>
      </c>
      <c r="N270" s="246">
        <f t="shared" si="31"/>
        <v>44761</v>
      </c>
      <c r="O270" s="247">
        <f t="shared" si="32"/>
        <v>0.54369212962962965</v>
      </c>
      <c r="P270" s="247">
        <f t="shared" si="33"/>
        <v>0.58479166666666671</v>
      </c>
      <c r="Q270" s="247">
        <f t="shared" si="34"/>
        <v>4.1099537037037059E-2</v>
      </c>
    </row>
    <row r="271" spans="1:17" ht="15" customHeight="1" x14ac:dyDescent="0.25">
      <c r="A271" s="254" t="s">
        <v>670</v>
      </c>
      <c r="B271" s="254" t="s">
        <v>273</v>
      </c>
      <c r="C271" s="254" t="s">
        <v>271</v>
      </c>
      <c r="D271" s="254" t="s">
        <v>329</v>
      </c>
      <c r="E271" s="254" t="s">
        <v>330</v>
      </c>
      <c r="F271" s="254" t="s">
        <v>793</v>
      </c>
      <c r="G271" s="254" t="s">
        <v>911</v>
      </c>
      <c r="H271" s="255">
        <v>12259</v>
      </c>
      <c r="I271" s="254" t="s">
        <v>270</v>
      </c>
      <c r="J271" s="254" t="s">
        <v>286</v>
      </c>
      <c r="K271" s="246">
        <f t="shared" si="28"/>
        <v>44761</v>
      </c>
      <c r="L271" s="246">
        <f t="shared" si="29"/>
        <v>44761</v>
      </c>
      <c r="M271" s="247">
        <f t="shared" si="30"/>
        <v>0.58479166666666671</v>
      </c>
      <c r="N271" s="246">
        <f t="shared" si="31"/>
        <v>44761</v>
      </c>
      <c r="O271" s="247">
        <f t="shared" si="32"/>
        <v>0.72667824074074072</v>
      </c>
      <c r="P271" s="247">
        <f t="shared" si="33"/>
        <v>0.73703703703703705</v>
      </c>
      <c r="Q271" s="247">
        <f t="shared" si="34"/>
        <v>1.0358796296296324E-2</v>
      </c>
    </row>
    <row r="272" spans="1:17" ht="15" customHeight="1" x14ac:dyDescent="0.25">
      <c r="A272" s="254" t="s">
        <v>670</v>
      </c>
      <c r="B272" s="254" t="s">
        <v>273</v>
      </c>
      <c r="C272" s="254" t="s">
        <v>271</v>
      </c>
      <c r="D272" s="254" t="s">
        <v>329</v>
      </c>
      <c r="E272" s="254" t="s">
        <v>330</v>
      </c>
      <c r="F272" s="254" t="s">
        <v>912</v>
      </c>
      <c r="G272" s="254" t="s">
        <v>913</v>
      </c>
      <c r="H272" s="255">
        <v>1420</v>
      </c>
      <c r="I272" s="254" t="s">
        <v>270</v>
      </c>
      <c r="J272" s="254" t="s">
        <v>286</v>
      </c>
      <c r="K272" s="246">
        <f t="shared" si="28"/>
        <v>44761</v>
      </c>
      <c r="L272" s="246">
        <f t="shared" si="29"/>
        <v>44761</v>
      </c>
      <c r="M272" s="247">
        <f t="shared" si="30"/>
        <v>0.73703703703703705</v>
      </c>
      <c r="N272" s="246">
        <f t="shared" si="31"/>
        <v>44761</v>
      </c>
      <c r="O272" s="247">
        <f t="shared" si="32"/>
        <v>0.75347222222222221</v>
      </c>
      <c r="P272" s="247">
        <f t="shared" si="33"/>
        <v>0</v>
      </c>
      <c r="Q272" s="247">
        <f t="shared" si="34"/>
        <v>-0.75347222222222221</v>
      </c>
    </row>
    <row r="273" spans="1:17" ht="15" customHeight="1" x14ac:dyDescent="0.25">
      <c r="A273" s="254" t="s">
        <v>670</v>
      </c>
      <c r="B273" s="254" t="s">
        <v>273</v>
      </c>
      <c r="C273" s="254" t="s">
        <v>271</v>
      </c>
      <c r="D273" s="254" t="s">
        <v>331</v>
      </c>
      <c r="E273" s="254" t="s">
        <v>332</v>
      </c>
      <c r="F273" s="254" t="s">
        <v>855</v>
      </c>
      <c r="G273" s="254" t="s">
        <v>914</v>
      </c>
      <c r="H273" s="255">
        <v>127</v>
      </c>
      <c r="I273" s="254" t="s">
        <v>270</v>
      </c>
      <c r="J273" s="254" t="s">
        <v>286</v>
      </c>
      <c r="K273" s="246">
        <f t="shared" si="28"/>
        <v>44761</v>
      </c>
      <c r="L273" s="246">
        <f t="shared" si="29"/>
        <v>44761</v>
      </c>
      <c r="M273" s="247">
        <f t="shared" si="30"/>
        <v>0.45828703703703705</v>
      </c>
      <c r="N273" s="246">
        <f t="shared" si="31"/>
        <v>44761</v>
      </c>
      <c r="O273" s="247">
        <f t="shared" si="32"/>
        <v>0.45975694444444443</v>
      </c>
      <c r="P273" s="247">
        <f t="shared" si="33"/>
        <v>0.46281250000000002</v>
      </c>
      <c r="Q273" s="247">
        <f t="shared" si="34"/>
        <v>3.0555555555555891E-3</v>
      </c>
    </row>
    <row r="274" spans="1:17" ht="15" customHeight="1" x14ac:dyDescent="0.25">
      <c r="A274" s="254" t="s">
        <v>670</v>
      </c>
      <c r="B274" s="254" t="s">
        <v>273</v>
      </c>
      <c r="C274" s="254" t="s">
        <v>271</v>
      </c>
      <c r="D274" s="254" t="s">
        <v>331</v>
      </c>
      <c r="E274" s="254" t="s">
        <v>332</v>
      </c>
      <c r="F274" s="254" t="s">
        <v>915</v>
      </c>
      <c r="G274" s="254" t="s">
        <v>916</v>
      </c>
      <c r="H274" s="255">
        <v>14494</v>
      </c>
      <c r="I274" s="254" t="s">
        <v>270</v>
      </c>
      <c r="J274" s="254" t="s">
        <v>286</v>
      </c>
      <c r="K274" s="246">
        <f t="shared" si="28"/>
        <v>44761</v>
      </c>
      <c r="L274" s="246">
        <f t="shared" si="29"/>
        <v>44761</v>
      </c>
      <c r="M274" s="247">
        <f t="shared" si="30"/>
        <v>0.46281250000000002</v>
      </c>
      <c r="N274" s="246">
        <f t="shared" si="31"/>
        <v>44761</v>
      </c>
      <c r="O274" s="247">
        <f t="shared" si="32"/>
        <v>0.63056712962962957</v>
      </c>
      <c r="P274" s="247">
        <f t="shared" si="33"/>
        <v>0.67039351851851847</v>
      </c>
      <c r="Q274" s="247">
        <f t="shared" si="34"/>
        <v>3.9826388888888897E-2</v>
      </c>
    </row>
    <row r="275" spans="1:17" ht="15" customHeight="1" x14ac:dyDescent="0.25">
      <c r="A275" s="254" t="s">
        <v>670</v>
      </c>
      <c r="B275" s="254" t="s">
        <v>273</v>
      </c>
      <c r="C275" s="254" t="s">
        <v>271</v>
      </c>
      <c r="D275" s="254" t="s">
        <v>331</v>
      </c>
      <c r="E275" s="254" t="s">
        <v>332</v>
      </c>
      <c r="F275" s="254" t="s">
        <v>917</v>
      </c>
      <c r="G275" s="254" t="s">
        <v>918</v>
      </c>
      <c r="H275" s="255">
        <v>17682</v>
      </c>
      <c r="I275" s="254" t="s">
        <v>270</v>
      </c>
      <c r="J275" s="254" t="s">
        <v>286</v>
      </c>
      <c r="K275" s="246">
        <f t="shared" si="28"/>
        <v>44761</v>
      </c>
      <c r="L275" s="246">
        <f t="shared" si="29"/>
        <v>44761</v>
      </c>
      <c r="M275" s="247">
        <f t="shared" si="30"/>
        <v>0.67039351851851847</v>
      </c>
      <c r="N275" s="246">
        <f t="shared" si="31"/>
        <v>44761</v>
      </c>
      <c r="O275" s="247">
        <f t="shared" si="32"/>
        <v>0.87504629629629627</v>
      </c>
      <c r="P275" s="247">
        <f t="shared" si="33"/>
        <v>0</v>
      </c>
      <c r="Q275" s="247">
        <f t="shared" si="34"/>
        <v>-0.87504629629629627</v>
      </c>
    </row>
    <row r="276" spans="1:17" ht="15" customHeight="1" x14ac:dyDescent="0.25">
      <c r="A276" s="254" t="s">
        <v>670</v>
      </c>
      <c r="B276" s="254" t="s">
        <v>273</v>
      </c>
      <c r="C276" s="254" t="s">
        <v>271</v>
      </c>
      <c r="D276" s="254" t="s">
        <v>333</v>
      </c>
      <c r="E276" s="254" t="s">
        <v>334</v>
      </c>
      <c r="F276" s="254" t="s">
        <v>919</v>
      </c>
      <c r="G276" s="254" t="s">
        <v>920</v>
      </c>
      <c r="H276" s="255">
        <v>14649</v>
      </c>
      <c r="I276" s="254" t="s">
        <v>270</v>
      </c>
      <c r="J276" s="254" t="s">
        <v>278</v>
      </c>
      <c r="K276" s="246">
        <f t="shared" si="28"/>
        <v>44761</v>
      </c>
      <c r="L276" s="246">
        <f t="shared" si="29"/>
        <v>44761</v>
      </c>
      <c r="M276" s="247">
        <f t="shared" si="30"/>
        <v>0.45577546296296295</v>
      </c>
      <c r="N276" s="246">
        <f t="shared" si="31"/>
        <v>44761</v>
      </c>
      <c r="O276" s="247">
        <f t="shared" si="32"/>
        <v>0.62532407407407409</v>
      </c>
      <c r="P276" s="247">
        <f t="shared" si="33"/>
        <v>0.66733796296296299</v>
      </c>
      <c r="Q276" s="247">
        <f t="shared" si="34"/>
        <v>4.2013888888888906E-2</v>
      </c>
    </row>
    <row r="277" spans="1:17" ht="15" customHeight="1" x14ac:dyDescent="0.25">
      <c r="A277" s="254" t="s">
        <v>670</v>
      </c>
      <c r="B277" s="254" t="s">
        <v>273</v>
      </c>
      <c r="C277" s="254" t="s">
        <v>271</v>
      </c>
      <c r="D277" s="254" t="s">
        <v>333</v>
      </c>
      <c r="E277" s="254" t="s">
        <v>334</v>
      </c>
      <c r="F277" s="254" t="s">
        <v>852</v>
      </c>
      <c r="G277" s="254" t="s">
        <v>921</v>
      </c>
      <c r="H277" s="255">
        <v>17961</v>
      </c>
      <c r="I277" s="254" t="s">
        <v>270</v>
      </c>
      <c r="J277" s="254" t="s">
        <v>278</v>
      </c>
      <c r="K277" s="246">
        <f t="shared" si="28"/>
        <v>44761</v>
      </c>
      <c r="L277" s="246">
        <f t="shared" si="29"/>
        <v>44761</v>
      </c>
      <c r="M277" s="247">
        <f t="shared" si="30"/>
        <v>0.66733796296296299</v>
      </c>
      <c r="N277" s="246">
        <f t="shared" si="31"/>
        <v>44761</v>
      </c>
      <c r="O277" s="247">
        <f t="shared" si="32"/>
        <v>0.8752199074074074</v>
      </c>
      <c r="P277" s="247">
        <f t="shared" si="33"/>
        <v>0</v>
      </c>
      <c r="Q277" s="247">
        <f t="shared" si="34"/>
        <v>-0.8752199074074074</v>
      </c>
    </row>
    <row r="278" spans="1:17" ht="15" customHeight="1" x14ac:dyDescent="0.25">
      <c r="A278" s="254" t="s">
        <v>670</v>
      </c>
      <c r="B278" s="254" t="s">
        <v>273</v>
      </c>
      <c r="C278" s="254" t="s">
        <v>271</v>
      </c>
      <c r="D278" s="254" t="s">
        <v>337</v>
      </c>
      <c r="E278" s="254" t="s">
        <v>338</v>
      </c>
      <c r="F278" s="254" t="s">
        <v>922</v>
      </c>
      <c r="G278" s="254" t="s">
        <v>923</v>
      </c>
      <c r="H278" s="255">
        <v>1299</v>
      </c>
      <c r="I278" s="254" t="s">
        <v>270</v>
      </c>
      <c r="J278" s="254" t="s">
        <v>278</v>
      </c>
      <c r="K278" s="246">
        <f t="shared" si="28"/>
        <v>44761</v>
      </c>
      <c r="L278" s="246">
        <f t="shared" si="29"/>
        <v>44761</v>
      </c>
      <c r="M278" s="247">
        <f t="shared" si="30"/>
        <v>0.3311574074074074</v>
      </c>
      <c r="N278" s="246">
        <f t="shared" si="31"/>
        <v>44761</v>
      </c>
      <c r="O278" s="247">
        <f t="shared" si="32"/>
        <v>0.34619212962962964</v>
      </c>
      <c r="P278" s="247">
        <f t="shared" si="33"/>
        <v>0.34802083333333333</v>
      </c>
      <c r="Q278" s="247">
        <f t="shared" si="34"/>
        <v>1.8287037037036935E-3</v>
      </c>
    </row>
    <row r="279" spans="1:17" ht="15" customHeight="1" x14ac:dyDescent="0.25">
      <c r="A279" s="254" t="s">
        <v>670</v>
      </c>
      <c r="B279" s="254" t="s">
        <v>273</v>
      </c>
      <c r="C279" s="254" t="s">
        <v>271</v>
      </c>
      <c r="D279" s="254" t="s">
        <v>337</v>
      </c>
      <c r="E279" s="254" t="s">
        <v>338</v>
      </c>
      <c r="F279" s="254" t="s">
        <v>924</v>
      </c>
      <c r="G279" s="254" t="s">
        <v>925</v>
      </c>
      <c r="H279" s="255">
        <v>2</v>
      </c>
      <c r="I279" s="254" t="s">
        <v>270</v>
      </c>
      <c r="J279" s="254" t="s">
        <v>278</v>
      </c>
      <c r="K279" s="246">
        <f t="shared" si="28"/>
        <v>44761</v>
      </c>
      <c r="L279" s="246">
        <f t="shared" si="29"/>
        <v>44761</v>
      </c>
      <c r="M279" s="247">
        <f t="shared" si="30"/>
        <v>0.34802083333333333</v>
      </c>
      <c r="N279" s="246">
        <f t="shared" si="31"/>
        <v>44761</v>
      </c>
      <c r="O279" s="247">
        <f t="shared" si="32"/>
        <v>0.34804398148148147</v>
      </c>
      <c r="P279" s="247">
        <f t="shared" si="33"/>
        <v>0.34835648148148146</v>
      </c>
      <c r="Q279" s="247">
        <f t="shared" si="34"/>
        <v>3.1249999999999334E-4</v>
      </c>
    </row>
    <row r="280" spans="1:17" ht="15" customHeight="1" x14ac:dyDescent="0.25">
      <c r="A280" s="254" t="s">
        <v>670</v>
      </c>
      <c r="B280" s="254" t="s">
        <v>273</v>
      </c>
      <c r="C280" s="254" t="s">
        <v>271</v>
      </c>
      <c r="D280" s="254" t="s">
        <v>337</v>
      </c>
      <c r="E280" s="254" t="s">
        <v>338</v>
      </c>
      <c r="F280" s="254" t="s">
        <v>926</v>
      </c>
      <c r="G280" s="254" t="s">
        <v>787</v>
      </c>
      <c r="H280" s="255">
        <v>16720</v>
      </c>
      <c r="I280" s="254" t="s">
        <v>270</v>
      </c>
      <c r="J280" s="254" t="s">
        <v>278</v>
      </c>
      <c r="K280" s="246">
        <f t="shared" si="28"/>
        <v>44761</v>
      </c>
      <c r="L280" s="246">
        <f t="shared" si="29"/>
        <v>44761</v>
      </c>
      <c r="M280" s="247">
        <f t="shared" si="30"/>
        <v>0.34835648148148146</v>
      </c>
      <c r="N280" s="246">
        <f t="shared" si="31"/>
        <v>44761</v>
      </c>
      <c r="O280" s="247">
        <f t="shared" si="32"/>
        <v>0.541875</v>
      </c>
      <c r="P280" s="247">
        <f t="shared" si="33"/>
        <v>0.58133101851851854</v>
      </c>
      <c r="Q280" s="247">
        <f t="shared" si="34"/>
        <v>3.9456018518518543E-2</v>
      </c>
    </row>
    <row r="281" spans="1:17" ht="15" customHeight="1" x14ac:dyDescent="0.25">
      <c r="A281" s="254" t="s">
        <v>670</v>
      </c>
      <c r="B281" s="254" t="s">
        <v>273</v>
      </c>
      <c r="C281" s="254" t="s">
        <v>271</v>
      </c>
      <c r="D281" s="254" t="s">
        <v>337</v>
      </c>
      <c r="E281" s="254" t="s">
        <v>338</v>
      </c>
      <c r="F281" s="254" t="s">
        <v>927</v>
      </c>
      <c r="G281" s="254" t="s">
        <v>928</v>
      </c>
      <c r="H281" s="255">
        <v>14786</v>
      </c>
      <c r="I281" s="254" t="s">
        <v>270</v>
      </c>
      <c r="J281" s="254" t="s">
        <v>278</v>
      </c>
      <c r="K281" s="246">
        <f t="shared" si="28"/>
        <v>44761</v>
      </c>
      <c r="L281" s="246">
        <f t="shared" si="29"/>
        <v>44761</v>
      </c>
      <c r="M281" s="247">
        <f t="shared" si="30"/>
        <v>0.58133101851851854</v>
      </c>
      <c r="N281" s="246">
        <f t="shared" si="31"/>
        <v>44761</v>
      </c>
      <c r="O281" s="247">
        <f t="shared" si="32"/>
        <v>0.75246527777777783</v>
      </c>
      <c r="P281" s="247">
        <f t="shared" si="33"/>
        <v>0</v>
      </c>
      <c r="Q281" s="247">
        <f t="shared" si="34"/>
        <v>-0.75246527777777783</v>
      </c>
    </row>
    <row r="282" spans="1:17" ht="15" customHeight="1" x14ac:dyDescent="0.25">
      <c r="A282" s="254" t="s">
        <v>670</v>
      </c>
      <c r="B282" s="254" t="s">
        <v>273</v>
      </c>
      <c r="C282" s="254" t="s">
        <v>271</v>
      </c>
      <c r="D282" s="254" t="s">
        <v>339</v>
      </c>
      <c r="E282" s="254" t="s">
        <v>340</v>
      </c>
      <c r="F282" s="254" t="s">
        <v>929</v>
      </c>
      <c r="G282" s="254" t="s">
        <v>930</v>
      </c>
      <c r="H282" s="255">
        <v>13129</v>
      </c>
      <c r="I282" s="254" t="s">
        <v>270</v>
      </c>
      <c r="J282" s="254" t="s">
        <v>278</v>
      </c>
      <c r="K282" s="246">
        <f t="shared" si="28"/>
        <v>44761</v>
      </c>
      <c r="L282" s="246">
        <f t="shared" si="29"/>
        <v>44761</v>
      </c>
      <c r="M282" s="247">
        <f t="shared" si="30"/>
        <v>0.33031250000000001</v>
      </c>
      <c r="N282" s="246">
        <f t="shared" si="31"/>
        <v>44761</v>
      </c>
      <c r="O282" s="247">
        <f t="shared" si="32"/>
        <v>0.48226851851851854</v>
      </c>
      <c r="P282" s="247">
        <f t="shared" si="33"/>
        <v>0.48596064814814816</v>
      </c>
      <c r="Q282" s="247">
        <f t="shared" si="34"/>
        <v>3.6921296296296147E-3</v>
      </c>
    </row>
    <row r="283" spans="1:17" ht="15" customHeight="1" x14ac:dyDescent="0.25">
      <c r="A283" s="254" t="s">
        <v>670</v>
      </c>
      <c r="B283" s="254" t="s">
        <v>273</v>
      </c>
      <c r="C283" s="254" t="s">
        <v>271</v>
      </c>
      <c r="D283" s="254" t="s">
        <v>339</v>
      </c>
      <c r="E283" s="254" t="s">
        <v>340</v>
      </c>
      <c r="F283" s="254" t="s">
        <v>931</v>
      </c>
      <c r="G283" s="254" t="s">
        <v>932</v>
      </c>
      <c r="H283" s="255">
        <v>5063</v>
      </c>
      <c r="I283" s="254" t="s">
        <v>270</v>
      </c>
      <c r="J283" s="254" t="s">
        <v>278</v>
      </c>
      <c r="K283" s="246">
        <f t="shared" si="28"/>
        <v>44761</v>
      </c>
      <c r="L283" s="246">
        <f t="shared" si="29"/>
        <v>44761</v>
      </c>
      <c r="M283" s="247">
        <f t="shared" si="30"/>
        <v>0.48596064814814816</v>
      </c>
      <c r="N283" s="246">
        <f t="shared" si="31"/>
        <v>44761</v>
      </c>
      <c r="O283" s="247">
        <f t="shared" si="32"/>
        <v>0.54456018518518523</v>
      </c>
      <c r="P283" s="247">
        <f t="shared" si="33"/>
        <v>0.58475694444444448</v>
      </c>
      <c r="Q283" s="247">
        <f t="shared" si="34"/>
        <v>4.0196759259259252E-2</v>
      </c>
    </row>
    <row r="284" spans="1:17" ht="15" customHeight="1" x14ac:dyDescent="0.25">
      <c r="A284" s="254" t="s">
        <v>670</v>
      </c>
      <c r="B284" s="254" t="s">
        <v>273</v>
      </c>
      <c r="C284" s="254" t="s">
        <v>271</v>
      </c>
      <c r="D284" s="254" t="s">
        <v>339</v>
      </c>
      <c r="E284" s="254" t="s">
        <v>340</v>
      </c>
      <c r="F284" s="254" t="s">
        <v>880</v>
      </c>
      <c r="G284" s="254" t="s">
        <v>933</v>
      </c>
      <c r="H284" s="255">
        <v>3659</v>
      </c>
      <c r="I284" s="254" t="s">
        <v>270</v>
      </c>
      <c r="J284" s="254" t="s">
        <v>278</v>
      </c>
      <c r="K284" s="246">
        <f t="shared" si="28"/>
        <v>44761</v>
      </c>
      <c r="L284" s="246">
        <f t="shared" si="29"/>
        <v>44761</v>
      </c>
      <c r="M284" s="247">
        <f t="shared" si="30"/>
        <v>0.58475694444444448</v>
      </c>
      <c r="N284" s="246">
        <f t="shared" si="31"/>
        <v>44761</v>
      </c>
      <c r="O284" s="247">
        <f t="shared" si="32"/>
        <v>0.62710648148148151</v>
      </c>
      <c r="P284" s="247">
        <f t="shared" si="33"/>
        <v>0.62744212962962964</v>
      </c>
      <c r="Q284" s="247">
        <f t="shared" si="34"/>
        <v>3.356481481481266E-4</v>
      </c>
    </row>
    <row r="285" spans="1:17" ht="15" customHeight="1" x14ac:dyDescent="0.25">
      <c r="A285" s="254" t="s">
        <v>670</v>
      </c>
      <c r="B285" s="254" t="s">
        <v>273</v>
      </c>
      <c r="C285" s="254" t="s">
        <v>271</v>
      </c>
      <c r="D285" s="254" t="s">
        <v>339</v>
      </c>
      <c r="E285" s="254" t="s">
        <v>340</v>
      </c>
      <c r="F285" s="254" t="s">
        <v>934</v>
      </c>
      <c r="G285" s="254" t="s">
        <v>935</v>
      </c>
      <c r="H285" s="255">
        <v>10861</v>
      </c>
      <c r="I285" s="254" t="s">
        <v>270</v>
      </c>
      <c r="J285" s="254" t="s">
        <v>278</v>
      </c>
      <c r="K285" s="246">
        <f t="shared" si="28"/>
        <v>44761</v>
      </c>
      <c r="L285" s="246">
        <f t="shared" si="29"/>
        <v>44761</v>
      </c>
      <c r="M285" s="247">
        <f t="shared" si="30"/>
        <v>0.62744212962962964</v>
      </c>
      <c r="N285" s="246">
        <f t="shared" si="31"/>
        <v>44761</v>
      </c>
      <c r="O285" s="247">
        <f t="shared" si="32"/>
        <v>0.75314814814814812</v>
      </c>
      <c r="P285" s="247">
        <f t="shared" si="33"/>
        <v>0</v>
      </c>
      <c r="Q285" s="247">
        <f t="shared" si="34"/>
        <v>-0.75314814814814812</v>
      </c>
    </row>
    <row r="286" spans="1:17" ht="15" customHeight="1" x14ac:dyDescent="0.25">
      <c r="A286" s="254" t="s">
        <v>670</v>
      </c>
      <c r="B286" s="254" t="s">
        <v>273</v>
      </c>
      <c r="C286" s="254" t="s">
        <v>271</v>
      </c>
      <c r="D286" s="254" t="s">
        <v>341</v>
      </c>
      <c r="E286" s="254" t="s">
        <v>342</v>
      </c>
      <c r="F286" s="254" t="s">
        <v>814</v>
      </c>
      <c r="G286" s="254" t="s">
        <v>806</v>
      </c>
      <c r="H286" s="255">
        <v>18137</v>
      </c>
      <c r="I286" s="254" t="s">
        <v>270</v>
      </c>
      <c r="J286" s="254" t="s">
        <v>286</v>
      </c>
      <c r="K286" s="246">
        <f t="shared" si="28"/>
        <v>44761</v>
      </c>
      <c r="L286" s="246">
        <f t="shared" si="29"/>
        <v>44761</v>
      </c>
      <c r="M286" s="247">
        <f t="shared" si="30"/>
        <v>0.41510416666666666</v>
      </c>
      <c r="N286" s="246">
        <f t="shared" si="31"/>
        <v>44761</v>
      </c>
      <c r="O286" s="247">
        <f t="shared" si="32"/>
        <v>0.62502314814814819</v>
      </c>
      <c r="P286" s="247">
        <f t="shared" si="33"/>
        <v>0.66682870370370373</v>
      </c>
      <c r="Q286" s="247">
        <f t="shared" si="34"/>
        <v>4.180555555555554E-2</v>
      </c>
    </row>
    <row r="287" spans="1:17" ht="15" customHeight="1" x14ac:dyDescent="0.25">
      <c r="A287" s="254" t="s">
        <v>670</v>
      </c>
      <c r="B287" s="254" t="s">
        <v>273</v>
      </c>
      <c r="C287" s="254" t="s">
        <v>271</v>
      </c>
      <c r="D287" s="254" t="s">
        <v>341</v>
      </c>
      <c r="E287" s="254" t="s">
        <v>342</v>
      </c>
      <c r="F287" s="254" t="s">
        <v>727</v>
      </c>
      <c r="G287" s="254" t="s">
        <v>853</v>
      </c>
      <c r="H287" s="255">
        <v>14397</v>
      </c>
      <c r="I287" s="254" t="s">
        <v>270</v>
      </c>
      <c r="J287" s="254" t="s">
        <v>286</v>
      </c>
      <c r="K287" s="246">
        <f t="shared" si="28"/>
        <v>44761</v>
      </c>
      <c r="L287" s="246">
        <f t="shared" si="29"/>
        <v>44761</v>
      </c>
      <c r="M287" s="247">
        <f t="shared" si="30"/>
        <v>0.66682870370370373</v>
      </c>
      <c r="N287" s="246">
        <f t="shared" si="31"/>
        <v>44761</v>
      </c>
      <c r="O287" s="247">
        <f t="shared" si="32"/>
        <v>0.83346064814814813</v>
      </c>
      <c r="P287" s="247">
        <f t="shared" si="33"/>
        <v>0</v>
      </c>
      <c r="Q287" s="247">
        <f t="shared" si="34"/>
        <v>-0.83346064814814813</v>
      </c>
    </row>
    <row r="288" spans="1:17" ht="15" customHeight="1" x14ac:dyDescent="0.25">
      <c r="A288" s="254" t="s">
        <v>670</v>
      </c>
      <c r="B288" s="254" t="s">
        <v>273</v>
      </c>
      <c r="C288" s="254" t="s">
        <v>271</v>
      </c>
      <c r="D288" s="254" t="s">
        <v>343</v>
      </c>
      <c r="E288" s="254" t="s">
        <v>344</v>
      </c>
      <c r="F288" s="254" t="s">
        <v>936</v>
      </c>
      <c r="G288" s="254" t="s">
        <v>937</v>
      </c>
      <c r="H288" s="255">
        <v>14507</v>
      </c>
      <c r="I288" s="254" t="s">
        <v>270</v>
      </c>
      <c r="J288" s="254" t="s">
        <v>391</v>
      </c>
      <c r="K288" s="246">
        <f t="shared" si="28"/>
        <v>44761</v>
      </c>
      <c r="L288" s="246">
        <f t="shared" si="29"/>
        <v>44761</v>
      </c>
      <c r="M288" s="247">
        <f t="shared" si="30"/>
        <v>0.41552083333333334</v>
      </c>
      <c r="N288" s="246">
        <f t="shared" si="31"/>
        <v>44761</v>
      </c>
      <c r="O288" s="247">
        <f t="shared" si="32"/>
        <v>0.5834259259259259</v>
      </c>
      <c r="P288" s="247">
        <f t="shared" si="33"/>
        <v>0.62458333333333338</v>
      </c>
      <c r="Q288" s="247">
        <f t="shared" si="34"/>
        <v>4.1157407407407476E-2</v>
      </c>
    </row>
    <row r="289" spans="1:17" ht="15" customHeight="1" x14ac:dyDescent="0.25">
      <c r="A289" s="254" t="s">
        <v>670</v>
      </c>
      <c r="B289" s="254" t="s">
        <v>273</v>
      </c>
      <c r="C289" s="254" t="s">
        <v>271</v>
      </c>
      <c r="D289" s="254" t="s">
        <v>343</v>
      </c>
      <c r="E289" s="254" t="s">
        <v>344</v>
      </c>
      <c r="F289" s="254" t="s">
        <v>838</v>
      </c>
      <c r="G289" s="254" t="s">
        <v>724</v>
      </c>
      <c r="H289" s="255">
        <v>18044</v>
      </c>
      <c r="I289" s="254" t="s">
        <v>270</v>
      </c>
      <c r="J289" s="254" t="s">
        <v>391</v>
      </c>
      <c r="K289" s="246">
        <f t="shared" si="28"/>
        <v>44761</v>
      </c>
      <c r="L289" s="246">
        <f t="shared" si="29"/>
        <v>44761</v>
      </c>
      <c r="M289" s="247">
        <f t="shared" si="30"/>
        <v>0.62458333333333338</v>
      </c>
      <c r="N289" s="246">
        <f t="shared" si="31"/>
        <v>44761</v>
      </c>
      <c r="O289" s="247">
        <f t="shared" si="32"/>
        <v>0.8334259259259259</v>
      </c>
      <c r="P289" s="247">
        <f t="shared" si="33"/>
        <v>0</v>
      </c>
      <c r="Q289" s="247">
        <f t="shared" si="34"/>
        <v>-0.8334259259259259</v>
      </c>
    </row>
    <row r="290" spans="1:17" ht="15" customHeight="1" x14ac:dyDescent="0.25">
      <c r="A290" s="254" t="s">
        <v>670</v>
      </c>
      <c r="B290" s="254" t="s">
        <v>273</v>
      </c>
      <c r="C290" s="254" t="s">
        <v>271</v>
      </c>
      <c r="D290" s="254" t="s">
        <v>345</v>
      </c>
      <c r="E290" s="254" t="s">
        <v>346</v>
      </c>
      <c r="F290" s="254" t="s">
        <v>747</v>
      </c>
      <c r="G290" s="254" t="s">
        <v>938</v>
      </c>
      <c r="H290" s="255">
        <v>18142</v>
      </c>
      <c r="I290" s="254" t="s">
        <v>270</v>
      </c>
      <c r="J290" s="254" t="s">
        <v>278</v>
      </c>
      <c r="K290" s="246">
        <f t="shared" si="28"/>
        <v>44761</v>
      </c>
      <c r="L290" s="246">
        <f t="shared" si="29"/>
        <v>44761</v>
      </c>
      <c r="M290" s="247">
        <f t="shared" si="30"/>
        <v>0.33339120370370373</v>
      </c>
      <c r="N290" s="246">
        <f t="shared" si="31"/>
        <v>44761</v>
      </c>
      <c r="O290" s="247">
        <f t="shared" si="32"/>
        <v>0.54336805555555556</v>
      </c>
      <c r="P290" s="247">
        <f t="shared" si="33"/>
        <v>0.58475694444444448</v>
      </c>
      <c r="Q290" s="247">
        <f t="shared" si="34"/>
        <v>4.1388888888888919E-2</v>
      </c>
    </row>
    <row r="291" spans="1:17" ht="15" customHeight="1" x14ac:dyDescent="0.25">
      <c r="A291" s="254" t="s">
        <v>670</v>
      </c>
      <c r="B291" s="254" t="s">
        <v>273</v>
      </c>
      <c r="C291" s="254" t="s">
        <v>271</v>
      </c>
      <c r="D291" s="254" t="s">
        <v>345</v>
      </c>
      <c r="E291" s="254" t="s">
        <v>346</v>
      </c>
      <c r="F291" s="254" t="s">
        <v>880</v>
      </c>
      <c r="G291" s="254" t="s">
        <v>695</v>
      </c>
      <c r="H291" s="255">
        <v>10679</v>
      </c>
      <c r="I291" s="254" t="s">
        <v>270</v>
      </c>
      <c r="J291" s="254" t="s">
        <v>278</v>
      </c>
      <c r="K291" s="246">
        <f t="shared" si="28"/>
        <v>44761</v>
      </c>
      <c r="L291" s="246">
        <f t="shared" si="29"/>
        <v>44761</v>
      </c>
      <c r="M291" s="247">
        <f t="shared" si="30"/>
        <v>0.58475694444444448</v>
      </c>
      <c r="N291" s="246">
        <f t="shared" si="31"/>
        <v>44761</v>
      </c>
      <c r="O291" s="247">
        <f t="shared" si="32"/>
        <v>0.70835648148148145</v>
      </c>
      <c r="P291" s="247">
        <f t="shared" si="33"/>
        <v>0</v>
      </c>
      <c r="Q291" s="247">
        <f t="shared" si="34"/>
        <v>-0.70835648148148145</v>
      </c>
    </row>
    <row r="292" spans="1:17" ht="15" customHeight="1" x14ac:dyDescent="0.25">
      <c r="A292" s="254" t="s">
        <v>670</v>
      </c>
      <c r="B292" s="254" t="s">
        <v>273</v>
      </c>
      <c r="C292" s="254" t="s">
        <v>271</v>
      </c>
      <c r="D292" s="254" t="s">
        <v>348</v>
      </c>
      <c r="E292" s="254" t="s">
        <v>349</v>
      </c>
      <c r="F292" s="254" t="s">
        <v>939</v>
      </c>
      <c r="G292" s="254" t="s">
        <v>840</v>
      </c>
      <c r="H292" s="255">
        <v>10832</v>
      </c>
      <c r="I292" s="254" t="s">
        <v>270</v>
      </c>
      <c r="J292" s="254" t="s">
        <v>391</v>
      </c>
      <c r="K292" s="246">
        <f t="shared" si="28"/>
        <v>44761</v>
      </c>
      <c r="L292" s="246">
        <f t="shared" si="29"/>
        <v>44761</v>
      </c>
      <c r="M292" s="247">
        <f t="shared" si="30"/>
        <v>0.41646990740740741</v>
      </c>
      <c r="N292" s="246">
        <f t="shared" si="31"/>
        <v>44761</v>
      </c>
      <c r="O292" s="247">
        <f t="shared" si="32"/>
        <v>0.54184027777777777</v>
      </c>
      <c r="P292" s="247">
        <f t="shared" si="33"/>
        <v>0.58346064814814813</v>
      </c>
      <c r="Q292" s="247">
        <f t="shared" si="34"/>
        <v>4.1620370370370363E-2</v>
      </c>
    </row>
    <row r="293" spans="1:17" ht="15" customHeight="1" x14ac:dyDescent="0.25">
      <c r="A293" s="254" t="s">
        <v>670</v>
      </c>
      <c r="B293" s="254" t="s">
        <v>273</v>
      </c>
      <c r="C293" s="254" t="s">
        <v>271</v>
      </c>
      <c r="D293" s="254" t="s">
        <v>348</v>
      </c>
      <c r="E293" s="254" t="s">
        <v>349</v>
      </c>
      <c r="F293" s="254" t="s">
        <v>789</v>
      </c>
      <c r="G293" s="254" t="s">
        <v>940</v>
      </c>
      <c r="H293" s="255">
        <v>7701</v>
      </c>
      <c r="I293" s="254" t="s">
        <v>270</v>
      </c>
      <c r="J293" s="254" t="s">
        <v>391</v>
      </c>
      <c r="K293" s="246">
        <f t="shared" si="28"/>
        <v>44761</v>
      </c>
      <c r="L293" s="246">
        <f t="shared" si="29"/>
        <v>44761</v>
      </c>
      <c r="M293" s="247">
        <f t="shared" si="30"/>
        <v>0.58346064814814813</v>
      </c>
      <c r="N293" s="246">
        <f t="shared" si="31"/>
        <v>44761</v>
      </c>
      <c r="O293" s="247">
        <f t="shared" si="32"/>
        <v>0.67259259259259263</v>
      </c>
      <c r="P293" s="247">
        <f t="shared" si="33"/>
        <v>0.69212962962962965</v>
      </c>
      <c r="Q293" s="247">
        <f t="shared" si="34"/>
        <v>1.9537037037037019E-2</v>
      </c>
    </row>
    <row r="294" spans="1:17" ht="15" customHeight="1" x14ac:dyDescent="0.25">
      <c r="A294" s="254" t="s">
        <v>670</v>
      </c>
      <c r="B294" s="254" t="s">
        <v>273</v>
      </c>
      <c r="C294" s="254" t="s">
        <v>271</v>
      </c>
      <c r="D294" s="254" t="s">
        <v>348</v>
      </c>
      <c r="E294" s="254" t="s">
        <v>349</v>
      </c>
      <c r="F294" s="254" t="s">
        <v>941</v>
      </c>
      <c r="G294" s="254" t="s">
        <v>942</v>
      </c>
      <c r="H294" s="255">
        <v>8907</v>
      </c>
      <c r="I294" s="254" t="s">
        <v>270</v>
      </c>
      <c r="J294" s="254" t="s">
        <v>391</v>
      </c>
      <c r="K294" s="246">
        <f t="shared" si="28"/>
        <v>44761</v>
      </c>
      <c r="L294" s="246">
        <f t="shared" si="29"/>
        <v>44761</v>
      </c>
      <c r="M294" s="247">
        <f t="shared" si="30"/>
        <v>0.69212962962962965</v>
      </c>
      <c r="N294" s="246">
        <f t="shared" si="31"/>
        <v>44761</v>
      </c>
      <c r="O294" s="247">
        <f t="shared" si="32"/>
        <v>0.79521990740740744</v>
      </c>
      <c r="P294" s="247">
        <f t="shared" si="33"/>
        <v>0.80554398148148143</v>
      </c>
      <c r="Q294" s="247">
        <f t="shared" si="34"/>
        <v>1.0324074074073986E-2</v>
      </c>
    </row>
    <row r="295" spans="1:17" ht="15" customHeight="1" x14ac:dyDescent="0.25">
      <c r="A295" s="254" t="s">
        <v>670</v>
      </c>
      <c r="B295" s="254" t="s">
        <v>273</v>
      </c>
      <c r="C295" s="254" t="s">
        <v>271</v>
      </c>
      <c r="D295" s="254" t="s">
        <v>348</v>
      </c>
      <c r="E295" s="254" t="s">
        <v>349</v>
      </c>
      <c r="F295" s="254" t="s">
        <v>943</v>
      </c>
      <c r="G295" s="254" t="s">
        <v>754</v>
      </c>
      <c r="H295" s="255">
        <v>2404</v>
      </c>
      <c r="I295" s="254" t="s">
        <v>270</v>
      </c>
      <c r="J295" s="254" t="s">
        <v>391</v>
      </c>
      <c r="K295" s="246">
        <f t="shared" si="28"/>
        <v>44761</v>
      </c>
      <c r="L295" s="246">
        <f t="shared" si="29"/>
        <v>44761</v>
      </c>
      <c r="M295" s="247">
        <f t="shared" si="30"/>
        <v>0.80554398148148143</v>
      </c>
      <c r="N295" s="246">
        <f t="shared" si="31"/>
        <v>44761</v>
      </c>
      <c r="O295" s="247">
        <f t="shared" si="32"/>
        <v>0.8333680555555556</v>
      </c>
      <c r="P295" s="247">
        <f t="shared" si="33"/>
        <v>0</v>
      </c>
      <c r="Q295" s="247">
        <f t="shared" si="34"/>
        <v>-0.8333680555555556</v>
      </c>
    </row>
    <row r="296" spans="1:17" ht="15" customHeight="1" x14ac:dyDescent="0.25">
      <c r="A296" s="244"/>
      <c r="B296" s="244"/>
      <c r="C296" s="244"/>
      <c r="D296" s="244"/>
      <c r="E296" s="244"/>
      <c r="F296" s="244"/>
      <c r="G296" s="244"/>
      <c r="I296" s="244"/>
      <c r="J296" s="244"/>
      <c r="K296" s="246" t="e">
        <f t="shared" si="28"/>
        <v>#VALUE!</v>
      </c>
      <c r="L296" s="246" t="e">
        <f t="shared" si="29"/>
        <v>#VALUE!</v>
      </c>
      <c r="M296" s="247" t="e">
        <f t="shared" si="30"/>
        <v>#VALUE!</v>
      </c>
      <c r="N296" s="246" t="e">
        <f t="shared" si="31"/>
        <v>#VALUE!</v>
      </c>
      <c r="O296" s="247" t="e">
        <f t="shared" si="32"/>
        <v>#VALUE!</v>
      </c>
      <c r="P296" s="247">
        <f t="shared" si="33"/>
        <v>0</v>
      </c>
      <c r="Q296" s="247" t="e">
        <f t="shared" si="34"/>
        <v>#VALUE!</v>
      </c>
    </row>
    <row r="297" spans="1:17" ht="15" customHeight="1" x14ac:dyDescent="0.25">
      <c r="A297" s="244"/>
      <c r="B297" s="244"/>
      <c r="C297" s="244"/>
      <c r="D297" s="244"/>
      <c r="E297" s="244"/>
      <c r="F297" s="244"/>
      <c r="G297" s="244"/>
      <c r="I297" s="244"/>
      <c r="J297" s="244"/>
      <c r="K297" s="246" t="e">
        <f t="shared" si="28"/>
        <v>#VALUE!</v>
      </c>
      <c r="L297" s="246" t="e">
        <f t="shared" si="29"/>
        <v>#VALUE!</v>
      </c>
      <c r="M297" s="247" t="e">
        <f t="shared" si="30"/>
        <v>#VALUE!</v>
      </c>
      <c r="N297" s="246" t="e">
        <f t="shared" si="31"/>
        <v>#VALUE!</v>
      </c>
      <c r="O297" s="247" t="e">
        <f t="shared" si="32"/>
        <v>#VALUE!</v>
      </c>
      <c r="P297" s="247">
        <f t="shared" si="33"/>
        <v>0</v>
      </c>
      <c r="Q297" s="247" t="e">
        <f t="shared" si="34"/>
        <v>#VALUE!</v>
      </c>
    </row>
    <row r="298" spans="1:17" ht="15" customHeight="1" x14ac:dyDescent="0.25">
      <c r="A298" s="244"/>
      <c r="B298" s="244"/>
      <c r="C298" s="244"/>
      <c r="D298" s="244"/>
      <c r="E298" s="244"/>
      <c r="F298" s="244"/>
      <c r="G298" s="244"/>
      <c r="I298" s="244"/>
      <c r="J298" s="244"/>
      <c r="K298" s="246" t="e">
        <f t="shared" si="28"/>
        <v>#VALUE!</v>
      </c>
      <c r="L298" s="246" t="e">
        <f t="shared" si="29"/>
        <v>#VALUE!</v>
      </c>
      <c r="M298" s="247" t="e">
        <f t="shared" si="30"/>
        <v>#VALUE!</v>
      </c>
      <c r="N298" s="246" t="e">
        <f t="shared" si="31"/>
        <v>#VALUE!</v>
      </c>
      <c r="O298" s="247" t="e">
        <f t="shared" si="32"/>
        <v>#VALUE!</v>
      </c>
      <c r="P298" s="247">
        <f t="shared" si="33"/>
        <v>0</v>
      </c>
      <c r="Q298" s="247" t="e">
        <f t="shared" si="34"/>
        <v>#VALUE!</v>
      </c>
    </row>
    <row r="299" spans="1:17" ht="15" customHeight="1" x14ac:dyDescent="0.25">
      <c r="A299" s="244"/>
      <c r="B299" s="244"/>
      <c r="C299" s="244"/>
      <c r="D299" s="244"/>
      <c r="E299" s="244"/>
      <c r="F299" s="244"/>
      <c r="G299" s="244"/>
      <c r="I299" s="244"/>
      <c r="J299" s="244"/>
      <c r="K299" s="246" t="e">
        <f t="shared" si="28"/>
        <v>#VALUE!</v>
      </c>
      <c r="L299" s="246" t="e">
        <f t="shared" si="29"/>
        <v>#VALUE!</v>
      </c>
      <c r="M299" s="247" t="e">
        <f t="shared" si="30"/>
        <v>#VALUE!</v>
      </c>
      <c r="N299" s="246" t="e">
        <f t="shared" si="31"/>
        <v>#VALUE!</v>
      </c>
      <c r="O299" s="247" t="e">
        <f t="shared" si="32"/>
        <v>#VALUE!</v>
      </c>
      <c r="P299" s="247">
        <f t="shared" si="33"/>
        <v>0</v>
      </c>
      <c r="Q299" s="247" t="e">
        <f t="shared" si="34"/>
        <v>#VALUE!</v>
      </c>
    </row>
    <row r="300" spans="1:17" ht="15" customHeight="1" x14ac:dyDescent="0.25">
      <c r="A300" s="244"/>
      <c r="B300" s="244"/>
      <c r="C300" s="244"/>
      <c r="D300" s="244"/>
      <c r="E300" s="244"/>
      <c r="F300" s="244"/>
      <c r="G300" s="244"/>
      <c r="I300" s="244"/>
      <c r="J300" s="244"/>
      <c r="K300" s="246" t="e">
        <f t="shared" si="28"/>
        <v>#VALUE!</v>
      </c>
      <c r="L300" s="246" t="e">
        <f t="shared" si="29"/>
        <v>#VALUE!</v>
      </c>
      <c r="M300" s="247" t="e">
        <f t="shared" si="30"/>
        <v>#VALUE!</v>
      </c>
      <c r="N300" s="246" t="e">
        <f t="shared" si="31"/>
        <v>#VALUE!</v>
      </c>
      <c r="O300" s="247" t="e">
        <f t="shared" si="32"/>
        <v>#VALUE!</v>
      </c>
      <c r="P300" s="247">
        <f t="shared" si="33"/>
        <v>0</v>
      </c>
      <c r="Q300" s="247" t="e">
        <f t="shared" si="34"/>
        <v>#VALUE!</v>
      </c>
    </row>
    <row r="301" spans="1:17" ht="15" customHeight="1" x14ac:dyDescent="0.25">
      <c r="A301" s="244"/>
      <c r="B301" s="244"/>
      <c r="C301" s="244"/>
      <c r="D301" s="244"/>
      <c r="E301" s="244"/>
      <c r="F301" s="244"/>
      <c r="G301" s="244"/>
      <c r="I301" s="244"/>
      <c r="J301" s="244"/>
      <c r="K301" s="246" t="e">
        <f t="shared" si="28"/>
        <v>#VALUE!</v>
      </c>
      <c r="L301" s="246" t="e">
        <f t="shared" si="29"/>
        <v>#VALUE!</v>
      </c>
      <c r="M301" s="247" t="e">
        <f t="shared" si="30"/>
        <v>#VALUE!</v>
      </c>
      <c r="N301" s="246" t="e">
        <f t="shared" si="31"/>
        <v>#VALUE!</v>
      </c>
      <c r="O301" s="247" t="e">
        <f t="shared" si="32"/>
        <v>#VALUE!</v>
      </c>
      <c r="P301" s="247">
        <f t="shared" si="33"/>
        <v>0</v>
      </c>
      <c r="Q301" s="247" t="e">
        <f t="shared" si="34"/>
        <v>#VALUE!</v>
      </c>
    </row>
    <row r="302" spans="1:17" ht="15" customHeight="1" x14ac:dyDescent="0.25">
      <c r="A302" s="244"/>
      <c r="B302" s="244"/>
      <c r="C302" s="244"/>
      <c r="D302" s="244"/>
      <c r="E302" s="244"/>
      <c r="F302" s="244"/>
      <c r="G302" s="244"/>
      <c r="I302" s="244"/>
      <c r="J302" s="244"/>
      <c r="K302" s="246" t="e">
        <f t="shared" si="28"/>
        <v>#VALUE!</v>
      </c>
      <c r="L302" s="246" t="e">
        <f t="shared" si="29"/>
        <v>#VALUE!</v>
      </c>
      <c r="M302" s="247" t="e">
        <f t="shared" si="30"/>
        <v>#VALUE!</v>
      </c>
      <c r="N302" s="246" t="e">
        <f t="shared" si="31"/>
        <v>#VALUE!</v>
      </c>
      <c r="O302" s="247" t="e">
        <f t="shared" si="32"/>
        <v>#VALUE!</v>
      </c>
      <c r="P302" s="247">
        <f t="shared" si="33"/>
        <v>0</v>
      </c>
      <c r="Q302" s="247" t="e">
        <f t="shared" si="34"/>
        <v>#VALUE!</v>
      </c>
    </row>
    <row r="303" spans="1:17" ht="15" customHeight="1" x14ac:dyDescent="0.25">
      <c r="A303" s="244"/>
      <c r="B303" s="244"/>
      <c r="C303" s="244"/>
      <c r="D303" s="244"/>
      <c r="E303" s="244"/>
      <c r="F303" s="244"/>
      <c r="G303" s="244"/>
      <c r="I303" s="244"/>
      <c r="J303" s="244"/>
      <c r="K303" s="246" t="e">
        <f t="shared" si="28"/>
        <v>#VALUE!</v>
      </c>
      <c r="L303" s="246" t="e">
        <f t="shared" si="29"/>
        <v>#VALUE!</v>
      </c>
      <c r="M303" s="247" t="e">
        <f t="shared" si="30"/>
        <v>#VALUE!</v>
      </c>
      <c r="N303" s="246" t="e">
        <f t="shared" si="31"/>
        <v>#VALUE!</v>
      </c>
      <c r="O303" s="247" t="e">
        <f t="shared" si="32"/>
        <v>#VALUE!</v>
      </c>
      <c r="P303" s="247">
        <f t="shared" si="33"/>
        <v>0</v>
      </c>
      <c r="Q303" s="247" t="e">
        <f t="shared" si="34"/>
        <v>#VALUE!</v>
      </c>
    </row>
    <row r="304" spans="1:17" ht="15" customHeight="1" x14ac:dyDescent="0.25">
      <c r="A304" s="244"/>
      <c r="B304" s="244"/>
      <c r="C304" s="244"/>
      <c r="D304" s="244"/>
      <c r="E304" s="244"/>
      <c r="F304" s="244"/>
      <c r="G304" s="244"/>
      <c r="I304" s="244"/>
      <c r="J304" s="244"/>
      <c r="K304" s="246" t="e">
        <f t="shared" si="28"/>
        <v>#VALUE!</v>
      </c>
      <c r="L304" s="246" t="e">
        <f t="shared" si="29"/>
        <v>#VALUE!</v>
      </c>
      <c r="M304" s="247" t="e">
        <f t="shared" si="30"/>
        <v>#VALUE!</v>
      </c>
      <c r="N304" s="246" t="e">
        <f t="shared" si="31"/>
        <v>#VALUE!</v>
      </c>
      <c r="O304" s="247" t="e">
        <f t="shared" si="32"/>
        <v>#VALUE!</v>
      </c>
      <c r="P304" s="247">
        <f t="shared" si="33"/>
        <v>0</v>
      </c>
      <c r="Q304" s="247" t="e">
        <f t="shared" si="34"/>
        <v>#VALUE!</v>
      </c>
    </row>
    <row r="305" spans="1:17" ht="15" customHeight="1" x14ac:dyDescent="0.25">
      <c r="A305" s="244"/>
      <c r="B305" s="244"/>
      <c r="C305" s="244"/>
      <c r="D305" s="244"/>
      <c r="E305" s="244"/>
      <c r="F305" s="244"/>
      <c r="G305" s="244"/>
      <c r="I305" s="244"/>
      <c r="J305" s="244"/>
      <c r="K305" s="246" t="e">
        <f t="shared" si="28"/>
        <v>#VALUE!</v>
      </c>
      <c r="L305" s="246" t="e">
        <f t="shared" si="29"/>
        <v>#VALUE!</v>
      </c>
      <c r="M305" s="247" t="e">
        <f t="shared" si="30"/>
        <v>#VALUE!</v>
      </c>
      <c r="N305" s="246" t="e">
        <f t="shared" si="31"/>
        <v>#VALUE!</v>
      </c>
      <c r="O305" s="247" t="e">
        <f t="shared" si="32"/>
        <v>#VALUE!</v>
      </c>
      <c r="P305" s="247">
        <f t="shared" si="33"/>
        <v>0</v>
      </c>
      <c r="Q305" s="247" t="e">
        <f t="shared" si="34"/>
        <v>#VALUE!</v>
      </c>
    </row>
    <row r="306" spans="1:17" ht="15" customHeight="1" x14ac:dyDescent="0.25">
      <c r="A306" s="244"/>
      <c r="B306" s="244"/>
      <c r="C306" s="244"/>
      <c r="D306" s="244"/>
      <c r="E306" s="244"/>
      <c r="F306" s="244"/>
      <c r="G306" s="244"/>
      <c r="I306" s="244"/>
      <c r="J306" s="244"/>
      <c r="K306" s="246" t="e">
        <f t="shared" si="28"/>
        <v>#VALUE!</v>
      </c>
      <c r="L306" s="246" t="e">
        <f t="shared" si="29"/>
        <v>#VALUE!</v>
      </c>
      <c r="M306" s="247" t="e">
        <f t="shared" si="30"/>
        <v>#VALUE!</v>
      </c>
      <c r="N306" s="246" t="e">
        <f t="shared" si="31"/>
        <v>#VALUE!</v>
      </c>
      <c r="O306" s="247" t="e">
        <f t="shared" si="32"/>
        <v>#VALUE!</v>
      </c>
      <c r="P306" s="247">
        <f t="shared" si="33"/>
        <v>0</v>
      </c>
      <c r="Q306" s="247" t="e">
        <f t="shared" si="34"/>
        <v>#VALUE!</v>
      </c>
    </row>
    <row r="307" spans="1:17" ht="15" customHeight="1" x14ac:dyDescent="0.25">
      <c r="A307" s="244"/>
      <c r="B307" s="244"/>
      <c r="C307" s="244"/>
      <c r="D307" s="244"/>
      <c r="E307" s="244"/>
      <c r="F307" s="244"/>
      <c r="G307" s="244"/>
      <c r="I307" s="244"/>
      <c r="J307" s="244"/>
      <c r="K307" s="246" t="e">
        <f t="shared" si="28"/>
        <v>#VALUE!</v>
      </c>
      <c r="L307" s="246" t="e">
        <f t="shared" si="29"/>
        <v>#VALUE!</v>
      </c>
      <c r="M307" s="247" t="e">
        <f t="shared" si="30"/>
        <v>#VALUE!</v>
      </c>
      <c r="N307" s="246" t="e">
        <f t="shared" si="31"/>
        <v>#VALUE!</v>
      </c>
      <c r="O307" s="247" t="e">
        <f t="shared" si="32"/>
        <v>#VALUE!</v>
      </c>
      <c r="P307" s="247">
        <f t="shared" si="33"/>
        <v>0</v>
      </c>
      <c r="Q307" s="247" t="e">
        <f t="shared" si="34"/>
        <v>#VALUE!</v>
      </c>
    </row>
    <row r="308" spans="1:17" ht="15" customHeight="1" x14ac:dyDescent="0.25">
      <c r="A308" s="244"/>
      <c r="B308" s="244"/>
      <c r="C308" s="244"/>
      <c r="D308" s="244"/>
      <c r="E308" s="244"/>
      <c r="F308" s="244"/>
      <c r="G308" s="244"/>
      <c r="I308" s="244"/>
      <c r="J308" s="244"/>
      <c r="K308" s="246" t="e">
        <f t="shared" si="28"/>
        <v>#VALUE!</v>
      </c>
      <c r="L308" s="246" t="e">
        <f t="shared" si="29"/>
        <v>#VALUE!</v>
      </c>
      <c r="M308" s="247" t="e">
        <f t="shared" si="30"/>
        <v>#VALUE!</v>
      </c>
      <c r="N308" s="246" t="e">
        <f t="shared" si="31"/>
        <v>#VALUE!</v>
      </c>
      <c r="O308" s="247" t="e">
        <f t="shared" si="32"/>
        <v>#VALUE!</v>
      </c>
      <c r="P308" s="247">
        <f t="shared" si="33"/>
        <v>0</v>
      </c>
      <c r="Q308" s="247" t="e">
        <f t="shared" si="34"/>
        <v>#VALUE!</v>
      </c>
    </row>
    <row r="309" spans="1:17" ht="15" customHeight="1" x14ac:dyDescent="0.25">
      <c r="A309" s="244"/>
      <c r="B309" s="244"/>
      <c r="C309" s="244"/>
      <c r="D309" s="244"/>
      <c r="E309" s="244"/>
      <c r="F309" s="244"/>
      <c r="G309" s="244"/>
      <c r="I309" s="244"/>
      <c r="J309" s="244"/>
      <c r="K309" s="246" t="e">
        <f t="shared" si="28"/>
        <v>#VALUE!</v>
      </c>
      <c r="L309" s="246" t="e">
        <f t="shared" si="29"/>
        <v>#VALUE!</v>
      </c>
      <c r="M309" s="247" t="e">
        <f t="shared" si="30"/>
        <v>#VALUE!</v>
      </c>
      <c r="N309" s="246" t="e">
        <f t="shared" si="31"/>
        <v>#VALUE!</v>
      </c>
      <c r="O309" s="247" t="e">
        <f t="shared" si="32"/>
        <v>#VALUE!</v>
      </c>
      <c r="P309" s="247">
        <f t="shared" si="33"/>
        <v>0</v>
      </c>
      <c r="Q309" s="247" t="e">
        <f t="shared" si="34"/>
        <v>#VALUE!</v>
      </c>
    </row>
    <row r="310" spans="1:17" ht="15" customHeight="1" x14ac:dyDescent="0.25">
      <c r="A310" s="244"/>
      <c r="B310" s="244"/>
      <c r="C310" s="244"/>
      <c r="D310" s="244"/>
      <c r="E310" s="244"/>
      <c r="F310" s="244"/>
      <c r="G310" s="244"/>
      <c r="I310" s="244"/>
      <c r="J310" s="244"/>
      <c r="K310" s="246" t="e">
        <f t="shared" si="28"/>
        <v>#VALUE!</v>
      </c>
      <c r="L310" s="246" t="e">
        <f t="shared" si="29"/>
        <v>#VALUE!</v>
      </c>
      <c r="M310" s="247" t="e">
        <f t="shared" si="30"/>
        <v>#VALUE!</v>
      </c>
      <c r="N310" s="246" t="e">
        <f t="shared" si="31"/>
        <v>#VALUE!</v>
      </c>
      <c r="O310" s="247" t="e">
        <f t="shared" si="32"/>
        <v>#VALUE!</v>
      </c>
      <c r="P310" s="247">
        <f t="shared" si="33"/>
        <v>0</v>
      </c>
      <c r="Q310" s="247" t="e">
        <f t="shared" si="34"/>
        <v>#VALUE!</v>
      </c>
    </row>
    <row r="311" spans="1:17" ht="15" customHeight="1" x14ac:dyDescent="0.25">
      <c r="A311" s="244"/>
      <c r="B311" s="244"/>
      <c r="C311" s="244"/>
      <c r="D311" s="244"/>
      <c r="E311" s="244"/>
      <c r="F311" s="244"/>
      <c r="G311" s="244"/>
      <c r="I311" s="244"/>
      <c r="J311" s="244"/>
      <c r="K311" s="246" t="e">
        <f t="shared" si="28"/>
        <v>#VALUE!</v>
      </c>
      <c r="L311" s="246" t="e">
        <f t="shared" si="29"/>
        <v>#VALUE!</v>
      </c>
      <c r="M311" s="247" t="e">
        <f t="shared" si="30"/>
        <v>#VALUE!</v>
      </c>
      <c r="N311" s="246" t="e">
        <f t="shared" si="31"/>
        <v>#VALUE!</v>
      </c>
      <c r="O311" s="247" t="e">
        <f t="shared" si="32"/>
        <v>#VALUE!</v>
      </c>
      <c r="P311" s="247">
        <f t="shared" si="33"/>
        <v>0</v>
      </c>
      <c r="Q311" s="247" t="e">
        <f t="shared" si="34"/>
        <v>#VALUE!</v>
      </c>
    </row>
    <row r="312" spans="1:17" ht="15" customHeight="1" x14ac:dyDescent="0.25">
      <c r="A312" s="244"/>
      <c r="B312" s="244"/>
      <c r="C312" s="244"/>
      <c r="D312" s="244"/>
      <c r="E312" s="244"/>
      <c r="F312" s="244"/>
      <c r="G312" s="244"/>
      <c r="I312" s="244"/>
      <c r="J312" s="244"/>
      <c r="K312" s="246" t="e">
        <f t="shared" si="28"/>
        <v>#VALUE!</v>
      </c>
      <c r="L312" s="246" t="e">
        <f t="shared" si="29"/>
        <v>#VALUE!</v>
      </c>
      <c r="M312" s="247" t="e">
        <f t="shared" si="30"/>
        <v>#VALUE!</v>
      </c>
      <c r="N312" s="246" t="e">
        <f t="shared" si="31"/>
        <v>#VALUE!</v>
      </c>
      <c r="O312" s="247" t="e">
        <f t="shared" si="32"/>
        <v>#VALUE!</v>
      </c>
      <c r="P312" s="247">
        <f t="shared" si="33"/>
        <v>0</v>
      </c>
      <c r="Q312" s="247" t="e">
        <f t="shared" si="34"/>
        <v>#VALUE!</v>
      </c>
    </row>
    <row r="313" spans="1:17" ht="15" customHeight="1" x14ac:dyDescent="0.25">
      <c r="A313" s="244"/>
      <c r="B313" s="244"/>
      <c r="C313" s="244"/>
      <c r="D313" s="244"/>
      <c r="E313" s="244"/>
      <c r="F313" s="244"/>
      <c r="G313" s="244"/>
      <c r="I313" s="244"/>
      <c r="J313" s="244"/>
      <c r="K313" s="246" t="e">
        <f t="shared" si="28"/>
        <v>#VALUE!</v>
      </c>
      <c r="L313" s="246" t="e">
        <f t="shared" si="29"/>
        <v>#VALUE!</v>
      </c>
      <c r="M313" s="247" t="e">
        <f t="shared" si="30"/>
        <v>#VALUE!</v>
      </c>
      <c r="N313" s="246" t="e">
        <f t="shared" si="31"/>
        <v>#VALUE!</v>
      </c>
      <c r="O313" s="247" t="e">
        <f t="shared" si="32"/>
        <v>#VALUE!</v>
      </c>
      <c r="P313" s="247">
        <f t="shared" si="33"/>
        <v>0</v>
      </c>
      <c r="Q313" s="247" t="e">
        <f t="shared" si="34"/>
        <v>#VALUE!</v>
      </c>
    </row>
    <row r="314" spans="1:17" ht="15" customHeight="1" x14ac:dyDescent="0.25">
      <c r="A314" s="244"/>
      <c r="B314" s="244"/>
      <c r="C314" s="244"/>
      <c r="D314" s="244"/>
      <c r="E314" s="244"/>
      <c r="F314" s="244"/>
      <c r="G314" s="244"/>
      <c r="I314" s="244"/>
      <c r="J314" s="244"/>
      <c r="K314" s="246" t="e">
        <f t="shared" si="28"/>
        <v>#VALUE!</v>
      </c>
      <c r="L314" s="246" t="e">
        <f t="shared" si="29"/>
        <v>#VALUE!</v>
      </c>
      <c r="M314" s="247" t="e">
        <f t="shared" si="30"/>
        <v>#VALUE!</v>
      </c>
      <c r="N314" s="246" t="e">
        <f t="shared" si="31"/>
        <v>#VALUE!</v>
      </c>
      <c r="O314" s="247" t="e">
        <f t="shared" si="32"/>
        <v>#VALUE!</v>
      </c>
      <c r="P314" s="247">
        <f t="shared" si="33"/>
        <v>0</v>
      </c>
      <c r="Q314" s="247" t="e">
        <f t="shared" si="34"/>
        <v>#VALUE!</v>
      </c>
    </row>
    <row r="315" spans="1:17" ht="15" customHeight="1" x14ac:dyDescent="0.25">
      <c r="A315" s="244"/>
      <c r="B315" s="244"/>
      <c r="C315" s="244"/>
      <c r="D315" s="244"/>
      <c r="E315" s="244"/>
      <c r="F315" s="244"/>
      <c r="G315" s="244"/>
      <c r="I315" s="244"/>
      <c r="J315" s="244"/>
      <c r="K315" s="246" t="e">
        <f t="shared" si="28"/>
        <v>#VALUE!</v>
      </c>
      <c r="L315" s="246" t="e">
        <f t="shared" si="29"/>
        <v>#VALUE!</v>
      </c>
      <c r="M315" s="247" t="e">
        <f t="shared" si="30"/>
        <v>#VALUE!</v>
      </c>
      <c r="N315" s="246" t="e">
        <f t="shared" si="31"/>
        <v>#VALUE!</v>
      </c>
      <c r="O315" s="247" t="e">
        <f t="shared" si="32"/>
        <v>#VALUE!</v>
      </c>
      <c r="P315" s="247">
        <f t="shared" si="33"/>
        <v>0</v>
      </c>
      <c r="Q315" s="247" t="e">
        <f t="shared" si="34"/>
        <v>#VALUE!</v>
      </c>
    </row>
    <row r="316" spans="1:17" ht="15" customHeight="1" x14ac:dyDescent="0.25">
      <c r="A316" s="244"/>
      <c r="B316" s="244"/>
      <c r="C316" s="244"/>
      <c r="D316" s="244"/>
      <c r="E316" s="244"/>
      <c r="F316" s="244"/>
      <c r="G316" s="244"/>
      <c r="I316" s="244"/>
      <c r="J316" s="244"/>
      <c r="K316" s="246" t="e">
        <f t="shared" si="28"/>
        <v>#VALUE!</v>
      </c>
      <c r="L316" s="246" t="e">
        <f t="shared" si="29"/>
        <v>#VALUE!</v>
      </c>
      <c r="M316" s="247" t="e">
        <f t="shared" si="30"/>
        <v>#VALUE!</v>
      </c>
      <c r="N316" s="246" t="e">
        <f t="shared" si="31"/>
        <v>#VALUE!</v>
      </c>
      <c r="O316" s="247" t="e">
        <f t="shared" si="32"/>
        <v>#VALUE!</v>
      </c>
      <c r="P316" s="247">
        <f t="shared" si="33"/>
        <v>0</v>
      </c>
      <c r="Q316" s="247" t="e">
        <f t="shared" si="34"/>
        <v>#VALUE!</v>
      </c>
    </row>
    <row r="317" spans="1:17" ht="15" customHeight="1" x14ac:dyDescent="0.25">
      <c r="A317" s="244"/>
      <c r="B317" s="244"/>
      <c r="C317" s="244"/>
      <c r="D317" s="244"/>
      <c r="E317" s="244"/>
      <c r="F317" s="244"/>
      <c r="G317" s="244"/>
      <c r="I317" s="244"/>
      <c r="J317" s="244"/>
      <c r="K317" s="246" t="e">
        <f t="shared" si="28"/>
        <v>#VALUE!</v>
      </c>
      <c r="L317" s="246" t="e">
        <f t="shared" si="29"/>
        <v>#VALUE!</v>
      </c>
      <c r="M317" s="247" t="e">
        <f t="shared" si="30"/>
        <v>#VALUE!</v>
      </c>
      <c r="N317" s="246" t="e">
        <f t="shared" si="31"/>
        <v>#VALUE!</v>
      </c>
      <c r="O317" s="247" t="e">
        <f t="shared" si="32"/>
        <v>#VALUE!</v>
      </c>
      <c r="P317" s="247">
        <f t="shared" si="33"/>
        <v>0</v>
      </c>
      <c r="Q317" s="247" t="e">
        <f t="shared" si="34"/>
        <v>#VALUE!</v>
      </c>
    </row>
    <row r="318" spans="1:17" ht="15" customHeight="1" x14ac:dyDescent="0.25">
      <c r="A318" s="244"/>
      <c r="B318" s="244"/>
      <c r="C318" s="244"/>
      <c r="D318" s="244"/>
      <c r="E318" s="244"/>
      <c r="F318" s="244"/>
      <c r="G318" s="244"/>
      <c r="I318" s="244"/>
      <c r="J318" s="244"/>
      <c r="K318" s="246" t="e">
        <f t="shared" si="28"/>
        <v>#VALUE!</v>
      </c>
      <c r="L318" s="246" t="e">
        <f t="shared" si="29"/>
        <v>#VALUE!</v>
      </c>
      <c r="M318" s="247" t="e">
        <f t="shared" si="30"/>
        <v>#VALUE!</v>
      </c>
      <c r="N318" s="246" t="e">
        <f t="shared" si="31"/>
        <v>#VALUE!</v>
      </c>
      <c r="O318" s="247" t="e">
        <f t="shared" si="32"/>
        <v>#VALUE!</v>
      </c>
      <c r="P318" s="247">
        <f t="shared" si="33"/>
        <v>0</v>
      </c>
      <c r="Q318" s="247" t="e">
        <f t="shared" si="34"/>
        <v>#VALUE!</v>
      </c>
    </row>
    <row r="319" spans="1:17" ht="15" customHeight="1" x14ac:dyDescent="0.25">
      <c r="A319" s="244"/>
      <c r="B319" s="244"/>
      <c r="C319" s="244"/>
      <c r="D319" s="244"/>
      <c r="E319" s="244"/>
      <c r="F319" s="244"/>
      <c r="G319" s="244"/>
      <c r="I319" s="244"/>
      <c r="J319" s="244"/>
      <c r="K319" s="246" t="e">
        <f t="shared" si="28"/>
        <v>#VALUE!</v>
      </c>
      <c r="L319" s="246" t="e">
        <f t="shared" si="29"/>
        <v>#VALUE!</v>
      </c>
      <c r="M319" s="247" t="e">
        <f t="shared" si="30"/>
        <v>#VALUE!</v>
      </c>
      <c r="N319" s="246" t="e">
        <f t="shared" si="31"/>
        <v>#VALUE!</v>
      </c>
      <c r="O319" s="247" t="e">
        <f t="shared" si="32"/>
        <v>#VALUE!</v>
      </c>
      <c r="P319" s="247">
        <f t="shared" si="33"/>
        <v>0</v>
      </c>
      <c r="Q319" s="247" t="e">
        <f t="shared" si="34"/>
        <v>#VALUE!</v>
      </c>
    </row>
    <row r="320" spans="1:17" ht="15" customHeight="1" x14ac:dyDescent="0.25">
      <c r="A320" s="244"/>
      <c r="B320" s="244"/>
      <c r="C320" s="244"/>
      <c r="D320" s="244"/>
      <c r="E320" s="244"/>
      <c r="F320" s="244"/>
      <c r="G320" s="244"/>
      <c r="I320" s="244"/>
      <c r="J320" s="244"/>
      <c r="K320" s="246" t="e">
        <f t="shared" si="28"/>
        <v>#VALUE!</v>
      </c>
      <c r="L320" s="246" t="e">
        <f t="shared" si="29"/>
        <v>#VALUE!</v>
      </c>
      <c r="M320" s="247" t="e">
        <f t="shared" si="30"/>
        <v>#VALUE!</v>
      </c>
      <c r="N320" s="246" t="e">
        <f t="shared" si="31"/>
        <v>#VALUE!</v>
      </c>
      <c r="O320" s="247" t="e">
        <f t="shared" si="32"/>
        <v>#VALUE!</v>
      </c>
      <c r="P320" s="247">
        <f t="shared" si="33"/>
        <v>0</v>
      </c>
      <c r="Q320" s="247" t="e">
        <f t="shared" si="34"/>
        <v>#VALUE!</v>
      </c>
    </row>
    <row r="321" spans="1:17" ht="15" customHeight="1" x14ac:dyDescent="0.25">
      <c r="A321" s="244"/>
      <c r="B321" s="244"/>
      <c r="C321" s="244"/>
      <c r="D321" s="244"/>
      <c r="E321" s="244"/>
      <c r="F321" s="244"/>
      <c r="G321" s="244"/>
      <c r="I321" s="244"/>
      <c r="J321" s="244"/>
      <c r="K321" s="246" t="e">
        <f t="shared" si="28"/>
        <v>#VALUE!</v>
      </c>
      <c r="L321" s="246" t="e">
        <f t="shared" si="29"/>
        <v>#VALUE!</v>
      </c>
      <c r="M321" s="247" t="e">
        <f t="shared" si="30"/>
        <v>#VALUE!</v>
      </c>
      <c r="N321" s="246" t="e">
        <f t="shared" si="31"/>
        <v>#VALUE!</v>
      </c>
      <c r="O321" s="247" t="e">
        <f t="shared" si="32"/>
        <v>#VALUE!</v>
      </c>
      <c r="P321" s="247">
        <f t="shared" si="33"/>
        <v>0</v>
      </c>
      <c r="Q321" s="247" t="e">
        <f t="shared" si="34"/>
        <v>#VALUE!</v>
      </c>
    </row>
    <row r="322" spans="1:17" ht="15" customHeight="1" x14ac:dyDescent="0.25">
      <c r="A322" s="244"/>
      <c r="B322" s="244"/>
      <c r="C322" s="244"/>
      <c r="D322" s="244"/>
      <c r="E322" s="244"/>
      <c r="F322" s="244"/>
      <c r="G322" s="244"/>
      <c r="I322" s="244"/>
      <c r="J322" s="244"/>
      <c r="K322" s="246" t="e">
        <f t="shared" ref="K322:K385" si="35">DATE(VALUE(LEFT(A322,4)),VALUE(MID(A322,5,2)),VALUE(RIGHT(A322,2)))</f>
        <v>#VALUE!</v>
      </c>
      <c r="L322" s="246" t="e">
        <f t="shared" ref="L322:L385" si="36">DATEVALUE(LEFT(F322,10))</f>
        <v>#VALUE!</v>
      </c>
      <c r="M322" s="247" t="e">
        <f t="shared" ref="M322:M385" si="37">TIMEVALUE(MID(F322,12,8))</f>
        <v>#VALUE!</v>
      </c>
      <c r="N322" s="246" t="e">
        <f t="shared" ref="N322:N385" si="38">DATEVALUE(LEFT(G322,10))</f>
        <v>#VALUE!</v>
      </c>
      <c r="O322" s="247" t="e">
        <f t="shared" ref="O322:O385" si="39">TIMEVALUE(MID(G322,12,8))</f>
        <v>#VALUE!</v>
      </c>
      <c r="P322" s="247">
        <f t="shared" ref="P322:P385" si="40">IFERROR(_xlfn.MINIFS($M:$M,$E:$E,$E322,$K:$K,$K322,$M:$M,"&gt;"&amp;$O322),"")</f>
        <v>0</v>
      </c>
      <c r="Q322" s="247" t="e">
        <f t="shared" ref="Q322:Q385" si="41">IF($P322="","",$P322-$O322)</f>
        <v>#VALUE!</v>
      </c>
    </row>
    <row r="323" spans="1:17" ht="15" customHeight="1" x14ac:dyDescent="0.25">
      <c r="A323" s="244"/>
      <c r="B323" s="244"/>
      <c r="C323" s="244"/>
      <c r="D323" s="244"/>
      <c r="E323" s="244"/>
      <c r="F323" s="244"/>
      <c r="G323" s="244"/>
      <c r="I323" s="244"/>
      <c r="J323" s="244"/>
      <c r="K323" s="246" t="e">
        <f t="shared" si="35"/>
        <v>#VALUE!</v>
      </c>
      <c r="L323" s="246" t="e">
        <f t="shared" si="36"/>
        <v>#VALUE!</v>
      </c>
      <c r="M323" s="247" t="e">
        <f t="shared" si="37"/>
        <v>#VALUE!</v>
      </c>
      <c r="N323" s="246" t="e">
        <f t="shared" si="38"/>
        <v>#VALUE!</v>
      </c>
      <c r="O323" s="247" t="e">
        <f t="shared" si="39"/>
        <v>#VALUE!</v>
      </c>
      <c r="P323" s="247">
        <f t="shared" si="40"/>
        <v>0</v>
      </c>
      <c r="Q323" s="247" t="e">
        <f t="shared" si="41"/>
        <v>#VALUE!</v>
      </c>
    </row>
    <row r="324" spans="1:17" ht="15" customHeight="1" x14ac:dyDescent="0.25">
      <c r="A324" s="244"/>
      <c r="B324" s="244"/>
      <c r="C324" s="244"/>
      <c r="D324" s="244"/>
      <c r="E324" s="244"/>
      <c r="F324" s="244"/>
      <c r="G324" s="244"/>
      <c r="I324" s="244"/>
      <c r="J324" s="244"/>
      <c r="K324" s="246" t="e">
        <f t="shared" si="35"/>
        <v>#VALUE!</v>
      </c>
      <c r="L324" s="246" t="e">
        <f t="shared" si="36"/>
        <v>#VALUE!</v>
      </c>
      <c r="M324" s="247" t="e">
        <f t="shared" si="37"/>
        <v>#VALUE!</v>
      </c>
      <c r="N324" s="246" t="e">
        <f t="shared" si="38"/>
        <v>#VALUE!</v>
      </c>
      <c r="O324" s="247" t="e">
        <f t="shared" si="39"/>
        <v>#VALUE!</v>
      </c>
      <c r="P324" s="247">
        <f t="shared" si="40"/>
        <v>0</v>
      </c>
      <c r="Q324" s="247" t="e">
        <f t="shared" si="41"/>
        <v>#VALUE!</v>
      </c>
    </row>
    <row r="325" spans="1:17" ht="15" customHeight="1" x14ac:dyDescent="0.25">
      <c r="A325" s="244"/>
      <c r="B325" s="244"/>
      <c r="C325" s="244"/>
      <c r="D325" s="244"/>
      <c r="E325" s="244"/>
      <c r="F325" s="244"/>
      <c r="G325" s="244"/>
      <c r="I325" s="244"/>
      <c r="J325" s="244"/>
      <c r="K325" s="246" t="e">
        <f t="shared" si="35"/>
        <v>#VALUE!</v>
      </c>
      <c r="L325" s="246" t="e">
        <f t="shared" si="36"/>
        <v>#VALUE!</v>
      </c>
      <c r="M325" s="247" t="e">
        <f t="shared" si="37"/>
        <v>#VALUE!</v>
      </c>
      <c r="N325" s="246" t="e">
        <f t="shared" si="38"/>
        <v>#VALUE!</v>
      </c>
      <c r="O325" s="247" t="e">
        <f t="shared" si="39"/>
        <v>#VALUE!</v>
      </c>
      <c r="P325" s="247">
        <f t="shared" si="40"/>
        <v>0</v>
      </c>
      <c r="Q325" s="247" t="e">
        <f t="shared" si="41"/>
        <v>#VALUE!</v>
      </c>
    </row>
    <row r="326" spans="1:17" ht="15" customHeight="1" x14ac:dyDescent="0.25">
      <c r="A326" s="244"/>
      <c r="B326" s="244"/>
      <c r="C326" s="244"/>
      <c r="D326" s="244"/>
      <c r="E326" s="244"/>
      <c r="F326" s="244"/>
      <c r="G326" s="244"/>
      <c r="I326" s="244"/>
      <c r="J326" s="244"/>
      <c r="K326" s="246" t="e">
        <f t="shared" si="35"/>
        <v>#VALUE!</v>
      </c>
      <c r="L326" s="246" t="e">
        <f t="shared" si="36"/>
        <v>#VALUE!</v>
      </c>
      <c r="M326" s="247" t="e">
        <f t="shared" si="37"/>
        <v>#VALUE!</v>
      </c>
      <c r="N326" s="246" t="e">
        <f t="shared" si="38"/>
        <v>#VALUE!</v>
      </c>
      <c r="O326" s="247" t="e">
        <f t="shared" si="39"/>
        <v>#VALUE!</v>
      </c>
      <c r="P326" s="247">
        <f t="shared" si="40"/>
        <v>0</v>
      </c>
      <c r="Q326" s="247" t="e">
        <f t="shared" si="41"/>
        <v>#VALUE!</v>
      </c>
    </row>
    <row r="327" spans="1:17" ht="15" customHeight="1" x14ac:dyDescent="0.25">
      <c r="A327" s="244"/>
      <c r="B327" s="244"/>
      <c r="C327" s="244"/>
      <c r="D327" s="244"/>
      <c r="E327" s="244"/>
      <c r="F327" s="244"/>
      <c r="G327" s="244"/>
      <c r="I327" s="244"/>
      <c r="J327" s="244"/>
      <c r="K327" s="246" t="e">
        <f t="shared" si="35"/>
        <v>#VALUE!</v>
      </c>
      <c r="L327" s="246" t="e">
        <f t="shared" si="36"/>
        <v>#VALUE!</v>
      </c>
      <c r="M327" s="247" t="e">
        <f t="shared" si="37"/>
        <v>#VALUE!</v>
      </c>
      <c r="N327" s="246" t="e">
        <f t="shared" si="38"/>
        <v>#VALUE!</v>
      </c>
      <c r="O327" s="247" t="e">
        <f t="shared" si="39"/>
        <v>#VALUE!</v>
      </c>
      <c r="P327" s="247">
        <f t="shared" si="40"/>
        <v>0</v>
      </c>
      <c r="Q327" s="247" t="e">
        <f t="shared" si="41"/>
        <v>#VALUE!</v>
      </c>
    </row>
    <row r="328" spans="1:17" ht="15" customHeight="1" x14ac:dyDescent="0.25">
      <c r="A328" s="244"/>
      <c r="B328" s="244"/>
      <c r="C328" s="244"/>
      <c r="D328" s="244"/>
      <c r="E328" s="244"/>
      <c r="F328" s="244"/>
      <c r="G328" s="244"/>
      <c r="I328" s="244"/>
      <c r="J328" s="244"/>
      <c r="K328" s="246" t="e">
        <f t="shared" si="35"/>
        <v>#VALUE!</v>
      </c>
      <c r="L328" s="246" t="e">
        <f t="shared" si="36"/>
        <v>#VALUE!</v>
      </c>
      <c r="M328" s="247" t="e">
        <f t="shared" si="37"/>
        <v>#VALUE!</v>
      </c>
      <c r="N328" s="246" t="e">
        <f t="shared" si="38"/>
        <v>#VALUE!</v>
      </c>
      <c r="O328" s="247" t="e">
        <f t="shared" si="39"/>
        <v>#VALUE!</v>
      </c>
      <c r="P328" s="247">
        <f t="shared" si="40"/>
        <v>0</v>
      </c>
      <c r="Q328" s="247" t="e">
        <f t="shared" si="41"/>
        <v>#VALUE!</v>
      </c>
    </row>
    <row r="329" spans="1:17" ht="15" customHeight="1" x14ac:dyDescent="0.25">
      <c r="A329" s="244"/>
      <c r="B329" s="244"/>
      <c r="C329" s="244"/>
      <c r="D329" s="244"/>
      <c r="E329" s="244"/>
      <c r="F329" s="244"/>
      <c r="G329" s="244"/>
      <c r="I329" s="244"/>
      <c r="J329" s="244"/>
      <c r="K329" s="246" t="e">
        <f t="shared" si="35"/>
        <v>#VALUE!</v>
      </c>
      <c r="L329" s="246" t="e">
        <f t="shared" si="36"/>
        <v>#VALUE!</v>
      </c>
      <c r="M329" s="247" t="e">
        <f t="shared" si="37"/>
        <v>#VALUE!</v>
      </c>
      <c r="N329" s="246" t="e">
        <f t="shared" si="38"/>
        <v>#VALUE!</v>
      </c>
      <c r="O329" s="247" t="e">
        <f t="shared" si="39"/>
        <v>#VALUE!</v>
      </c>
      <c r="P329" s="247">
        <f t="shared" si="40"/>
        <v>0</v>
      </c>
      <c r="Q329" s="247" t="e">
        <f t="shared" si="41"/>
        <v>#VALUE!</v>
      </c>
    </row>
    <row r="330" spans="1:17" ht="15" customHeight="1" x14ac:dyDescent="0.25">
      <c r="A330" s="244"/>
      <c r="B330" s="244"/>
      <c r="C330" s="244"/>
      <c r="D330" s="244"/>
      <c r="E330" s="244"/>
      <c r="F330" s="244"/>
      <c r="G330" s="244"/>
      <c r="I330" s="244"/>
      <c r="J330" s="244"/>
      <c r="K330" s="246" t="e">
        <f t="shared" si="35"/>
        <v>#VALUE!</v>
      </c>
      <c r="L330" s="246" t="e">
        <f t="shared" si="36"/>
        <v>#VALUE!</v>
      </c>
      <c r="M330" s="247" t="e">
        <f t="shared" si="37"/>
        <v>#VALUE!</v>
      </c>
      <c r="N330" s="246" t="e">
        <f t="shared" si="38"/>
        <v>#VALUE!</v>
      </c>
      <c r="O330" s="247" t="e">
        <f t="shared" si="39"/>
        <v>#VALUE!</v>
      </c>
      <c r="P330" s="247">
        <f t="shared" si="40"/>
        <v>0</v>
      </c>
      <c r="Q330" s="247" t="e">
        <f t="shared" si="41"/>
        <v>#VALUE!</v>
      </c>
    </row>
    <row r="331" spans="1:17" ht="15" customHeight="1" x14ac:dyDescent="0.25">
      <c r="A331" s="244"/>
      <c r="B331" s="244"/>
      <c r="C331" s="244"/>
      <c r="D331" s="244"/>
      <c r="E331" s="244"/>
      <c r="F331" s="244"/>
      <c r="G331" s="244"/>
      <c r="I331" s="244"/>
      <c r="J331" s="244"/>
      <c r="K331" s="246" t="e">
        <f t="shared" si="35"/>
        <v>#VALUE!</v>
      </c>
      <c r="L331" s="246" t="e">
        <f t="shared" si="36"/>
        <v>#VALUE!</v>
      </c>
      <c r="M331" s="247" t="e">
        <f t="shared" si="37"/>
        <v>#VALUE!</v>
      </c>
      <c r="N331" s="246" t="e">
        <f t="shared" si="38"/>
        <v>#VALUE!</v>
      </c>
      <c r="O331" s="247" t="e">
        <f t="shared" si="39"/>
        <v>#VALUE!</v>
      </c>
      <c r="P331" s="247">
        <f t="shared" si="40"/>
        <v>0</v>
      </c>
      <c r="Q331" s="247" t="e">
        <f t="shared" si="41"/>
        <v>#VALUE!</v>
      </c>
    </row>
    <row r="332" spans="1:17" ht="15" customHeight="1" x14ac:dyDescent="0.25">
      <c r="A332" s="244"/>
      <c r="B332" s="244"/>
      <c r="C332" s="244"/>
      <c r="D332" s="244"/>
      <c r="E332" s="244"/>
      <c r="F332" s="244"/>
      <c r="G332" s="244"/>
      <c r="I332" s="244"/>
      <c r="J332" s="244"/>
      <c r="K332" s="246" t="e">
        <f t="shared" si="35"/>
        <v>#VALUE!</v>
      </c>
      <c r="L332" s="246" t="e">
        <f t="shared" si="36"/>
        <v>#VALUE!</v>
      </c>
      <c r="M332" s="247" t="e">
        <f t="shared" si="37"/>
        <v>#VALUE!</v>
      </c>
      <c r="N332" s="246" t="e">
        <f t="shared" si="38"/>
        <v>#VALUE!</v>
      </c>
      <c r="O332" s="247" t="e">
        <f t="shared" si="39"/>
        <v>#VALUE!</v>
      </c>
      <c r="P332" s="247">
        <f t="shared" si="40"/>
        <v>0</v>
      </c>
      <c r="Q332" s="247" t="e">
        <f t="shared" si="41"/>
        <v>#VALUE!</v>
      </c>
    </row>
    <row r="333" spans="1:17" ht="15" customHeight="1" x14ac:dyDescent="0.25">
      <c r="A333" s="244"/>
      <c r="B333" s="244"/>
      <c r="C333" s="244"/>
      <c r="D333" s="244"/>
      <c r="E333" s="244"/>
      <c r="F333" s="244"/>
      <c r="G333" s="244"/>
      <c r="I333" s="244"/>
      <c r="J333" s="244"/>
      <c r="K333" s="246" t="e">
        <f t="shared" si="35"/>
        <v>#VALUE!</v>
      </c>
      <c r="L333" s="246" t="e">
        <f t="shared" si="36"/>
        <v>#VALUE!</v>
      </c>
      <c r="M333" s="247" t="e">
        <f t="shared" si="37"/>
        <v>#VALUE!</v>
      </c>
      <c r="N333" s="246" t="e">
        <f t="shared" si="38"/>
        <v>#VALUE!</v>
      </c>
      <c r="O333" s="247" t="e">
        <f t="shared" si="39"/>
        <v>#VALUE!</v>
      </c>
      <c r="P333" s="247">
        <f t="shared" si="40"/>
        <v>0</v>
      </c>
      <c r="Q333" s="247" t="e">
        <f t="shared" si="41"/>
        <v>#VALUE!</v>
      </c>
    </row>
    <row r="334" spans="1:17" ht="15" customHeight="1" x14ac:dyDescent="0.25">
      <c r="A334" s="244"/>
      <c r="B334" s="244"/>
      <c r="C334" s="244"/>
      <c r="D334" s="244"/>
      <c r="E334" s="244"/>
      <c r="F334" s="244"/>
      <c r="G334" s="244"/>
      <c r="I334" s="244"/>
      <c r="J334" s="244"/>
      <c r="K334" s="246" t="e">
        <f t="shared" si="35"/>
        <v>#VALUE!</v>
      </c>
      <c r="L334" s="246" t="e">
        <f t="shared" si="36"/>
        <v>#VALUE!</v>
      </c>
      <c r="M334" s="247" t="e">
        <f t="shared" si="37"/>
        <v>#VALUE!</v>
      </c>
      <c r="N334" s="246" t="e">
        <f t="shared" si="38"/>
        <v>#VALUE!</v>
      </c>
      <c r="O334" s="247" t="e">
        <f t="shared" si="39"/>
        <v>#VALUE!</v>
      </c>
      <c r="P334" s="247">
        <f t="shared" si="40"/>
        <v>0</v>
      </c>
      <c r="Q334" s="247" t="e">
        <f t="shared" si="41"/>
        <v>#VALUE!</v>
      </c>
    </row>
    <row r="335" spans="1:17" ht="15" customHeight="1" x14ac:dyDescent="0.25">
      <c r="A335" s="244"/>
      <c r="B335" s="244"/>
      <c r="C335" s="244"/>
      <c r="D335" s="244"/>
      <c r="E335" s="244"/>
      <c r="F335" s="244"/>
      <c r="G335" s="244"/>
      <c r="I335" s="244"/>
      <c r="J335" s="244"/>
      <c r="K335" s="246" t="e">
        <f t="shared" si="35"/>
        <v>#VALUE!</v>
      </c>
      <c r="L335" s="246" t="e">
        <f t="shared" si="36"/>
        <v>#VALUE!</v>
      </c>
      <c r="M335" s="247" t="e">
        <f t="shared" si="37"/>
        <v>#VALUE!</v>
      </c>
      <c r="N335" s="246" t="e">
        <f t="shared" si="38"/>
        <v>#VALUE!</v>
      </c>
      <c r="O335" s="247" t="e">
        <f t="shared" si="39"/>
        <v>#VALUE!</v>
      </c>
      <c r="P335" s="247">
        <f t="shared" si="40"/>
        <v>0</v>
      </c>
      <c r="Q335" s="247" t="e">
        <f t="shared" si="41"/>
        <v>#VALUE!</v>
      </c>
    </row>
    <row r="336" spans="1:17" ht="15" customHeight="1" x14ac:dyDescent="0.25">
      <c r="A336" s="244"/>
      <c r="B336" s="244"/>
      <c r="C336" s="244"/>
      <c r="D336" s="244"/>
      <c r="E336" s="244"/>
      <c r="F336" s="244"/>
      <c r="G336" s="244"/>
      <c r="I336" s="244"/>
      <c r="J336" s="244"/>
      <c r="K336" s="246" t="e">
        <f t="shared" si="35"/>
        <v>#VALUE!</v>
      </c>
      <c r="L336" s="246" t="e">
        <f t="shared" si="36"/>
        <v>#VALUE!</v>
      </c>
      <c r="M336" s="247" t="e">
        <f t="shared" si="37"/>
        <v>#VALUE!</v>
      </c>
      <c r="N336" s="246" t="e">
        <f t="shared" si="38"/>
        <v>#VALUE!</v>
      </c>
      <c r="O336" s="247" t="e">
        <f t="shared" si="39"/>
        <v>#VALUE!</v>
      </c>
      <c r="P336" s="247">
        <f t="shared" si="40"/>
        <v>0</v>
      </c>
      <c r="Q336" s="247" t="e">
        <f t="shared" si="41"/>
        <v>#VALUE!</v>
      </c>
    </row>
    <row r="337" spans="1:17" ht="15" customHeight="1" x14ac:dyDescent="0.25">
      <c r="A337" s="244"/>
      <c r="B337" s="244"/>
      <c r="C337" s="244"/>
      <c r="D337" s="244"/>
      <c r="E337" s="244"/>
      <c r="F337" s="244"/>
      <c r="G337" s="244"/>
      <c r="I337" s="244"/>
      <c r="J337" s="244"/>
      <c r="K337" s="246" t="e">
        <f t="shared" si="35"/>
        <v>#VALUE!</v>
      </c>
      <c r="L337" s="246" t="e">
        <f t="shared" si="36"/>
        <v>#VALUE!</v>
      </c>
      <c r="M337" s="247" t="e">
        <f t="shared" si="37"/>
        <v>#VALUE!</v>
      </c>
      <c r="N337" s="246" t="e">
        <f t="shared" si="38"/>
        <v>#VALUE!</v>
      </c>
      <c r="O337" s="247" t="e">
        <f t="shared" si="39"/>
        <v>#VALUE!</v>
      </c>
      <c r="P337" s="247">
        <f t="shared" si="40"/>
        <v>0</v>
      </c>
      <c r="Q337" s="247" t="e">
        <f t="shared" si="41"/>
        <v>#VALUE!</v>
      </c>
    </row>
    <row r="338" spans="1:17" ht="15" customHeight="1" x14ac:dyDescent="0.25">
      <c r="A338" s="244"/>
      <c r="B338" s="244"/>
      <c r="C338" s="244"/>
      <c r="D338" s="244"/>
      <c r="E338" s="244"/>
      <c r="F338" s="244"/>
      <c r="G338" s="244"/>
      <c r="I338" s="244"/>
      <c r="J338" s="244"/>
      <c r="K338" s="246" t="e">
        <f t="shared" si="35"/>
        <v>#VALUE!</v>
      </c>
      <c r="L338" s="246" t="e">
        <f t="shared" si="36"/>
        <v>#VALUE!</v>
      </c>
      <c r="M338" s="247" t="e">
        <f t="shared" si="37"/>
        <v>#VALUE!</v>
      </c>
      <c r="N338" s="246" t="e">
        <f t="shared" si="38"/>
        <v>#VALUE!</v>
      </c>
      <c r="O338" s="247" t="e">
        <f t="shared" si="39"/>
        <v>#VALUE!</v>
      </c>
      <c r="P338" s="247">
        <f t="shared" si="40"/>
        <v>0</v>
      </c>
      <c r="Q338" s="247" t="e">
        <f t="shared" si="41"/>
        <v>#VALUE!</v>
      </c>
    </row>
    <row r="339" spans="1:17" ht="15" customHeight="1" x14ac:dyDescent="0.25">
      <c r="A339" s="244"/>
      <c r="B339" s="244"/>
      <c r="C339" s="244"/>
      <c r="D339" s="244"/>
      <c r="E339" s="244"/>
      <c r="F339" s="244"/>
      <c r="G339" s="244"/>
      <c r="I339" s="244"/>
      <c r="J339" s="244"/>
      <c r="K339" s="246" t="e">
        <f t="shared" si="35"/>
        <v>#VALUE!</v>
      </c>
      <c r="L339" s="246" t="e">
        <f t="shared" si="36"/>
        <v>#VALUE!</v>
      </c>
      <c r="M339" s="247" t="e">
        <f t="shared" si="37"/>
        <v>#VALUE!</v>
      </c>
      <c r="N339" s="246" t="e">
        <f t="shared" si="38"/>
        <v>#VALUE!</v>
      </c>
      <c r="O339" s="247" t="e">
        <f t="shared" si="39"/>
        <v>#VALUE!</v>
      </c>
      <c r="P339" s="247">
        <f t="shared" si="40"/>
        <v>0</v>
      </c>
      <c r="Q339" s="247" t="e">
        <f t="shared" si="41"/>
        <v>#VALUE!</v>
      </c>
    </row>
    <row r="340" spans="1:17" ht="15" customHeight="1" x14ac:dyDescent="0.25">
      <c r="A340" s="244"/>
      <c r="B340" s="244"/>
      <c r="C340" s="244"/>
      <c r="D340" s="244"/>
      <c r="E340" s="244"/>
      <c r="F340" s="244"/>
      <c r="G340" s="244"/>
      <c r="I340" s="244"/>
      <c r="J340" s="244"/>
      <c r="K340" s="246" t="e">
        <f t="shared" si="35"/>
        <v>#VALUE!</v>
      </c>
      <c r="L340" s="246" t="e">
        <f t="shared" si="36"/>
        <v>#VALUE!</v>
      </c>
      <c r="M340" s="247" t="e">
        <f t="shared" si="37"/>
        <v>#VALUE!</v>
      </c>
      <c r="N340" s="246" t="e">
        <f t="shared" si="38"/>
        <v>#VALUE!</v>
      </c>
      <c r="O340" s="247" t="e">
        <f t="shared" si="39"/>
        <v>#VALUE!</v>
      </c>
      <c r="P340" s="247">
        <f t="shared" si="40"/>
        <v>0</v>
      </c>
      <c r="Q340" s="247" t="e">
        <f t="shared" si="41"/>
        <v>#VALUE!</v>
      </c>
    </row>
    <row r="341" spans="1:17" ht="15" customHeight="1" x14ac:dyDescent="0.25">
      <c r="A341" s="244"/>
      <c r="B341" s="244"/>
      <c r="C341" s="244"/>
      <c r="D341" s="244"/>
      <c r="E341" s="244"/>
      <c r="F341" s="244"/>
      <c r="G341" s="244"/>
      <c r="I341" s="244"/>
      <c r="J341" s="244"/>
      <c r="K341" s="246" t="e">
        <f t="shared" si="35"/>
        <v>#VALUE!</v>
      </c>
      <c r="L341" s="246" t="e">
        <f t="shared" si="36"/>
        <v>#VALUE!</v>
      </c>
      <c r="M341" s="247" t="e">
        <f t="shared" si="37"/>
        <v>#VALUE!</v>
      </c>
      <c r="N341" s="246" t="e">
        <f t="shared" si="38"/>
        <v>#VALUE!</v>
      </c>
      <c r="O341" s="247" t="e">
        <f t="shared" si="39"/>
        <v>#VALUE!</v>
      </c>
      <c r="P341" s="247">
        <f t="shared" si="40"/>
        <v>0</v>
      </c>
      <c r="Q341" s="247" t="e">
        <f t="shared" si="41"/>
        <v>#VALUE!</v>
      </c>
    </row>
    <row r="342" spans="1:17" ht="15" customHeight="1" x14ac:dyDescent="0.25">
      <c r="A342" s="244"/>
      <c r="B342" s="244"/>
      <c r="C342" s="244"/>
      <c r="D342" s="244"/>
      <c r="E342" s="244"/>
      <c r="F342" s="244"/>
      <c r="G342" s="244"/>
      <c r="I342" s="244"/>
      <c r="J342" s="244"/>
      <c r="K342" s="246" t="e">
        <f t="shared" si="35"/>
        <v>#VALUE!</v>
      </c>
      <c r="L342" s="246" t="e">
        <f t="shared" si="36"/>
        <v>#VALUE!</v>
      </c>
      <c r="M342" s="247" t="e">
        <f t="shared" si="37"/>
        <v>#VALUE!</v>
      </c>
      <c r="N342" s="246" t="e">
        <f t="shared" si="38"/>
        <v>#VALUE!</v>
      </c>
      <c r="O342" s="247" t="e">
        <f t="shared" si="39"/>
        <v>#VALUE!</v>
      </c>
      <c r="P342" s="247">
        <f t="shared" si="40"/>
        <v>0</v>
      </c>
      <c r="Q342" s="247" t="e">
        <f t="shared" si="41"/>
        <v>#VALUE!</v>
      </c>
    </row>
    <row r="343" spans="1:17" ht="15" customHeight="1" x14ac:dyDescent="0.25">
      <c r="A343" s="244"/>
      <c r="B343" s="244"/>
      <c r="C343" s="244"/>
      <c r="D343" s="244"/>
      <c r="E343" s="244"/>
      <c r="F343" s="244"/>
      <c r="G343" s="244"/>
      <c r="I343" s="244"/>
      <c r="J343" s="244"/>
      <c r="K343" s="246" t="e">
        <f t="shared" si="35"/>
        <v>#VALUE!</v>
      </c>
      <c r="L343" s="246" t="e">
        <f t="shared" si="36"/>
        <v>#VALUE!</v>
      </c>
      <c r="M343" s="247" t="e">
        <f t="shared" si="37"/>
        <v>#VALUE!</v>
      </c>
      <c r="N343" s="246" t="e">
        <f t="shared" si="38"/>
        <v>#VALUE!</v>
      </c>
      <c r="O343" s="247" t="e">
        <f t="shared" si="39"/>
        <v>#VALUE!</v>
      </c>
      <c r="P343" s="247">
        <f t="shared" si="40"/>
        <v>0</v>
      </c>
      <c r="Q343" s="247" t="e">
        <f t="shared" si="41"/>
        <v>#VALUE!</v>
      </c>
    </row>
    <row r="344" spans="1:17" ht="15" customHeight="1" x14ac:dyDescent="0.25">
      <c r="A344" s="244"/>
      <c r="B344" s="244"/>
      <c r="C344" s="244"/>
      <c r="D344" s="244"/>
      <c r="E344" s="244"/>
      <c r="F344" s="244"/>
      <c r="G344" s="244"/>
      <c r="I344" s="244"/>
      <c r="J344" s="244"/>
      <c r="K344" s="246" t="e">
        <f t="shared" si="35"/>
        <v>#VALUE!</v>
      </c>
      <c r="L344" s="246" t="e">
        <f t="shared" si="36"/>
        <v>#VALUE!</v>
      </c>
      <c r="M344" s="247" t="e">
        <f t="shared" si="37"/>
        <v>#VALUE!</v>
      </c>
      <c r="N344" s="246" t="e">
        <f t="shared" si="38"/>
        <v>#VALUE!</v>
      </c>
      <c r="O344" s="247" t="e">
        <f t="shared" si="39"/>
        <v>#VALUE!</v>
      </c>
      <c r="P344" s="247">
        <f t="shared" si="40"/>
        <v>0</v>
      </c>
      <c r="Q344" s="247" t="e">
        <f t="shared" si="41"/>
        <v>#VALUE!</v>
      </c>
    </row>
    <row r="345" spans="1:17" ht="15" customHeight="1" x14ac:dyDescent="0.25">
      <c r="A345" s="244"/>
      <c r="B345" s="244"/>
      <c r="C345" s="244"/>
      <c r="D345" s="244"/>
      <c r="E345" s="244"/>
      <c r="F345" s="244"/>
      <c r="G345" s="244"/>
      <c r="I345" s="244"/>
      <c r="J345" s="244"/>
      <c r="K345" s="246" t="e">
        <f t="shared" si="35"/>
        <v>#VALUE!</v>
      </c>
      <c r="L345" s="246" t="e">
        <f t="shared" si="36"/>
        <v>#VALUE!</v>
      </c>
      <c r="M345" s="247" t="e">
        <f t="shared" si="37"/>
        <v>#VALUE!</v>
      </c>
      <c r="N345" s="246" t="e">
        <f t="shared" si="38"/>
        <v>#VALUE!</v>
      </c>
      <c r="O345" s="247" t="e">
        <f t="shared" si="39"/>
        <v>#VALUE!</v>
      </c>
      <c r="P345" s="247">
        <f t="shared" si="40"/>
        <v>0</v>
      </c>
      <c r="Q345" s="247" t="e">
        <f t="shared" si="41"/>
        <v>#VALUE!</v>
      </c>
    </row>
    <row r="346" spans="1:17" ht="15" customHeight="1" x14ac:dyDescent="0.25">
      <c r="A346" s="244"/>
      <c r="B346" s="244"/>
      <c r="C346" s="244"/>
      <c r="D346" s="244"/>
      <c r="E346" s="244"/>
      <c r="F346" s="244"/>
      <c r="G346" s="244"/>
      <c r="I346" s="244"/>
      <c r="J346" s="244"/>
      <c r="K346" s="246" t="e">
        <f t="shared" si="35"/>
        <v>#VALUE!</v>
      </c>
      <c r="L346" s="246" t="e">
        <f t="shared" si="36"/>
        <v>#VALUE!</v>
      </c>
      <c r="M346" s="247" t="e">
        <f t="shared" si="37"/>
        <v>#VALUE!</v>
      </c>
      <c r="N346" s="246" t="e">
        <f t="shared" si="38"/>
        <v>#VALUE!</v>
      </c>
      <c r="O346" s="247" t="e">
        <f t="shared" si="39"/>
        <v>#VALUE!</v>
      </c>
      <c r="P346" s="247">
        <f t="shared" si="40"/>
        <v>0</v>
      </c>
      <c r="Q346" s="247" t="e">
        <f t="shared" si="41"/>
        <v>#VALUE!</v>
      </c>
    </row>
    <row r="347" spans="1:17" ht="15" customHeight="1" x14ac:dyDescent="0.25">
      <c r="A347" s="244"/>
      <c r="B347" s="244"/>
      <c r="C347" s="244"/>
      <c r="D347" s="244"/>
      <c r="E347" s="244"/>
      <c r="F347" s="244"/>
      <c r="G347" s="244"/>
      <c r="I347" s="244"/>
      <c r="J347" s="244"/>
      <c r="K347" s="246" t="e">
        <f t="shared" si="35"/>
        <v>#VALUE!</v>
      </c>
      <c r="L347" s="246" t="e">
        <f t="shared" si="36"/>
        <v>#VALUE!</v>
      </c>
      <c r="M347" s="247" t="e">
        <f t="shared" si="37"/>
        <v>#VALUE!</v>
      </c>
      <c r="N347" s="246" t="e">
        <f t="shared" si="38"/>
        <v>#VALUE!</v>
      </c>
      <c r="O347" s="247" t="e">
        <f t="shared" si="39"/>
        <v>#VALUE!</v>
      </c>
      <c r="P347" s="247">
        <f t="shared" si="40"/>
        <v>0</v>
      </c>
      <c r="Q347" s="247" t="e">
        <f t="shared" si="41"/>
        <v>#VALUE!</v>
      </c>
    </row>
    <row r="348" spans="1:17" ht="15" customHeight="1" x14ac:dyDescent="0.25">
      <c r="A348" s="244"/>
      <c r="B348" s="244"/>
      <c r="C348" s="244"/>
      <c r="D348" s="244"/>
      <c r="E348" s="244"/>
      <c r="F348" s="244"/>
      <c r="G348" s="244"/>
      <c r="I348" s="244"/>
      <c r="J348" s="244"/>
      <c r="K348" s="246" t="e">
        <f t="shared" si="35"/>
        <v>#VALUE!</v>
      </c>
      <c r="L348" s="246" t="e">
        <f t="shared" si="36"/>
        <v>#VALUE!</v>
      </c>
      <c r="M348" s="247" t="e">
        <f t="shared" si="37"/>
        <v>#VALUE!</v>
      </c>
      <c r="N348" s="246" t="e">
        <f t="shared" si="38"/>
        <v>#VALUE!</v>
      </c>
      <c r="O348" s="247" t="e">
        <f t="shared" si="39"/>
        <v>#VALUE!</v>
      </c>
      <c r="P348" s="247">
        <f t="shared" si="40"/>
        <v>0</v>
      </c>
      <c r="Q348" s="247" t="e">
        <f t="shared" si="41"/>
        <v>#VALUE!</v>
      </c>
    </row>
    <row r="349" spans="1:17" ht="15" customHeight="1" x14ac:dyDescent="0.25">
      <c r="A349" s="244"/>
      <c r="B349" s="244"/>
      <c r="C349" s="244"/>
      <c r="D349" s="244"/>
      <c r="E349" s="244"/>
      <c r="F349" s="244"/>
      <c r="G349" s="244"/>
      <c r="I349" s="244"/>
      <c r="J349" s="244"/>
      <c r="K349" s="246" t="e">
        <f t="shared" si="35"/>
        <v>#VALUE!</v>
      </c>
      <c r="L349" s="246" t="e">
        <f t="shared" si="36"/>
        <v>#VALUE!</v>
      </c>
      <c r="M349" s="247" t="e">
        <f t="shared" si="37"/>
        <v>#VALUE!</v>
      </c>
      <c r="N349" s="246" t="e">
        <f t="shared" si="38"/>
        <v>#VALUE!</v>
      </c>
      <c r="O349" s="247" t="e">
        <f t="shared" si="39"/>
        <v>#VALUE!</v>
      </c>
      <c r="P349" s="247">
        <f t="shared" si="40"/>
        <v>0</v>
      </c>
      <c r="Q349" s="247" t="e">
        <f t="shared" si="41"/>
        <v>#VALUE!</v>
      </c>
    </row>
    <row r="350" spans="1:17" ht="15" customHeight="1" x14ac:dyDescent="0.25">
      <c r="A350" s="244"/>
      <c r="B350" s="244"/>
      <c r="C350" s="244"/>
      <c r="D350" s="244"/>
      <c r="E350" s="244"/>
      <c r="F350" s="244"/>
      <c r="G350" s="244"/>
      <c r="I350" s="244"/>
      <c r="J350" s="244"/>
      <c r="K350" s="246" t="e">
        <f t="shared" si="35"/>
        <v>#VALUE!</v>
      </c>
      <c r="L350" s="246" t="e">
        <f t="shared" si="36"/>
        <v>#VALUE!</v>
      </c>
      <c r="M350" s="247" t="e">
        <f t="shared" si="37"/>
        <v>#VALUE!</v>
      </c>
      <c r="N350" s="246" t="e">
        <f t="shared" si="38"/>
        <v>#VALUE!</v>
      </c>
      <c r="O350" s="247" t="e">
        <f t="shared" si="39"/>
        <v>#VALUE!</v>
      </c>
      <c r="P350" s="247">
        <f t="shared" si="40"/>
        <v>0</v>
      </c>
      <c r="Q350" s="247" t="e">
        <f t="shared" si="41"/>
        <v>#VALUE!</v>
      </c>
    </row>
    <row r="351" spans="1:17" ht="15" customHeight="1" x14ac:dyDescent="0.25">
      <c r="A351" s="244"/>
      <c r="B351" s="244"/>
      <c r="C351" s="244"/>
      <c r="D351" s="244"/>
      <c r="E351" s="244"/>
      <c r="F351" s="244"/>
      <c r="G351" s="244"/>
      <c r="I351" s="244"/>
      <c r="J351" s="244"/>
      <c r="K351" s="246" t="e">
        <f t="shared" si="35"/>
        <v>#VALUE!</v>
      </c>
      <c r="L351" s="246" t="e">
        <f t="shared" si="36"/>
        <v>#VALUE!</v>
      </c>
      <c r="M351" s="247" t="e">
        <f t="shared" si="37"/>
        <v>#VALUE!</v>
      </c>
      <c r="N351" s="246" t="e">
        <f t="shared" si="38"/>
        <v>#VALUE!</v>
      </c>
      <c r="O351" s="247" t="e">
        <f t="shared" si="39"/>
        <v>#VALUE!</v>
      </c>
      <c r="P351" s="247">
        <f t="shared" si="40"/>
        <v>0</v>
      </c>
      <c r="Q351" s="247" t="e">
        <f t="shared" si="41"/>
        <v>#VALUE!</v>
      </c>
    </row>
    <row r="352" spans="1:17" ht="15" customHeight="1" x14ac:dyDescent="0.25">
      <c r="A352" s="244"/>
      <c r="B352" s="244"/>
      <c r="C352" s="244"/>
      <c r="D352" s="244"/>
      <c r="E352" s="244"/>
      <c r="F352" s="244"/>
      <c r="G352" s="244"/>
      <c r="I352" s="244"/>
      <c r="J352" s="244"/>
      <c r="K352" s="246" t="e">
        <f t="shared" si="35"/>
        <v>#VALUE!</v>
      </c>
      <c r="L352" s="246" t="e">
        <f t="shared" si="36"/>
        <v>#VALUE!</v>
      </c>
      <c r="M352" s="247" t="e">
        <f t="shared" si="37"/>
        <v>#VALUE!</v>
      </c>
      <c r="N352" s="246" t="e">
        <f t="shared" si="38"/>
        <v>#VALUE!</v>
      </c>
      <c r="O352" s="247" t="e">
        <f t="shared" si="39"/>
        <v>#VALUE!</v>
      </c>
      <c r="P352" s="247">
        <f t="shared" si="40"/>
        <v>0</v>
      </c>
      <c r="Q352" s="247" t="e">
        <f t="shared" si="41"/>
        <v>#VALUE!</v>
      </c>
    </row>
    <row r="353" spans="1:17" ht="15" customHeight="1" x14ac:dyDescent="0.25">
      <c r="A353" s="244"/>
      <c r="B353" s="244"/>
      <c r="C353" s="244"/>
      <c r="D353" s="244"/>
      <c r="E353" s="244"/>
      <c r="F353" s="244"/>
      <c r="G353" s="244"/>
      <c r="I353" s="244"/>
      <c r="J353" s="244"/>
      <c r="K353" s="246" t="e">
        <f t="shared" si="35"/>
        <v>#VALUE!</v>
      </c>
      <c r="L353" s="246" t="e">
        <f t="shared" si="36"/>
        <v>#VALUE!</v>
      </c>
      <c r="M353" s="247" t="e">
        <f t="shared" si="37"/>
        <v>#VALUE!</v>
      </c>
      <c r="N353" s="246" t="e">
        <f t="shared" si="38"/>
        <v>#VALUE!</v>
      </c>
      <c r="O353" s="247" t="e">
        <f t="shared" si="39"/>
        <v>#VALUE!</v>
      </c>
      <c r="P353" s="247">
        <f t="shared" si="40"/>
        <v>0</v>
      </c>
      <c r="Q353" s="247" t="e">
        <f t="shared" si="41"/>
        <v>#VALUE!</v>
      </c>
    </row>
    <row r="354" spans="1:17" ht="15" customHeight="1" x14ac:dyDescent="0.25">
      <c r="A354" s="244"/>
      <c r="B354" s="244"/>
      <c r="C354" s="244"/>
      <c r="D354" s="244"/>
      <c r="E354" s="244"/>
      <c r="F354" s="244"/>
      <c r="G354" s="244"/>
      <c r="I354" s="244"/>
      <c r="J354" s="244"/>
      <c r="K354" s="246" t="e">
        <f t="shared" si="35"/>
        <v>#VALUE!</v>
      </c>
      <c r="L354" s="246" t="e">
        <f t="shared" si="36"/>
        <v>#VALUE!</v>
      </c>
      <c r="M354" s="247" t="e">
        <f t="shared" si="37"/>
        <v>#VALUE!</v>
      </c>
      <c r="N354" s="246" t="e">
        <f t="shared" si="38"/>
        <v>#VALUE!</v>
      </c>
      <c r="O354" s="247" t="e">
        <f t="shared" si="39"/>
        <v>#VALUE!</v>
      </c>
      <c r="P354" s="247">
        <f t="shared" si="40"/>
        <v>0</v>
      </c>
      <c r="Q354" s="247" t="e">
        <f t="shared" si="41"/>
        <v>#VALUE!</v>
      </c>
    </row>
    <row r="355" spans="1:17" ht="15" customHeight="1" x14ac:dyDescent="0.25">
      <c r="A355" s="244"/>
      <c r="B355" s="244"/>
      <c r="C355" s="244"/>
      <c r="D355" s="244"/>
      <c r="E355" s="244"/>
      <c r="F355" s="244"/>
      <c r="G355" s="244"/>
      <c r="I355" s="244"/>
      <c r="J355" s="244"/>
      <c r="K355" s="246" t="e">
        <f t="shared" si="35"/>
        <v>#VALUE!</v>
      </c>
      <c r="L355" s="246" t="e">
        <f t="shared" si="36"/>
        <v>#VALUE!</v>
      </c>
      <c r="M355" s="247" t="e">
        <f t="shared" si="37"/>
        <v>#VALUE!</v>
      </c>
      <c r="N355" s="246" t="e">
        <f t="shared" si="38"/>
        <v>#VALUE!</v>
      </c>
      <c r="O355" s="247" t="e">
        <f t="shared" si="39"/>
        <v>#VALUE!</v>
      </c>
      <c r="P355" s="247">
        <f t="shared" si="40"/>
        <v>0</v>
      </c>
      <c r="Q355" s="247" t="e">
        <f t="shared" si="41"/>
        <v>#VALUE!</v>
      </c>
    </row>
    <row r="356" spans="1:17" ht="15" customHeight="1" x14ac:dyDescent="0.25">
      <c r="A356" s="244"/>
      <c r="B356" s="244"/>
      <c r="C356" s="244"/>
      <c r="D356" s="244"/>
      <c r="E356" s="244"/>
      <c r="F356" s="244"/>
      <c r="G356" s="244"/>
      <c r="I356" s="244"/>
      <c r="J356" s="244"/>
      <c r="K356" s="246" t="e">
        <f t="shared" si="35"/>
        <v>#VALUE!</v>
      </c>
      <c r="L356" s="246" t="e">
        <f t="shared" si="36"/>
        <v>#VALUE!</v>
      </c>
      <c r="M356" s="247" t="e">
        <f t="shared" si="37"/>
        <v>#VALUE!</v>
      </c>
      <c r="N356" s="246" t="e">
        <f t="shared" si="38"/>
        <v>#VALUE!</v>
      </c>
      <c r="O356" s="247" t="e">
        <f t="shared" si="39"/>
        <v>#VALUE!</v>
      </c>
      <c r="P356" s="247">
        <f t="shared" si="40"/>
        <v>0</v>
      </c>
      <c r="Q356" s="247" t="e">
        <f t="shared" si="41"/>
        <v>#VALUE!</v>
      </c>
    </row>
    <row r="357" spans="1:17" ht="15" customHeight="1" x14ac:dyDescent="0.25">
      <c r="A357" s="244"/>
      <c r="B357" s="244"/>
      <c r="C357" s="244"/>
      <c r="D357" s="244"/>
      <c r="E357" s="244"/>
      <c r="F357" s="244"/>
      <c r="G357" s="244"/>
      <c r="I357" s="244"/>
      <c r="J357" s="244"/>
      <c r="K357" s="246" t="e">
        <f t="shared" si="35"/>
        <v>#VALUE!</v>
      </c>
      <c r="L357" s="246" t="e">
        <f t="shared" si="36"/>
        <v>#VALUE!</v>
      </c>
      <c r="M357" s="247" t="e">
        <f t="shared" si="37"/>
        <v>#VALUE!</v>
      </c>
      <c r="N357" s="246" t="e">
        <f t="shared" si="38"/>
        <v>#VALUE!</v>
      </c>
      <c r="O357" s="247" t="e">
        <f t="shared" si="39"/>
        <v>#VALUE!</v>
      </c>
      <c r="P357" s="247">
        <f t="shared" si="40"/>
        <v>0</v>
      </c>
      <c r="Q357" s="247" t="e">
        <f t="shared" si="41"/>
        <v>#VALUE!</v>
      </c>
    </row>
    <row r="358" spans="1:17" ht="15" customHeight="1" x14ac:dyDescent="0.25">
      <c r="A358" s="244"/>
      <c r="B358" s="244"/>
      <c r="C358" s="244"/>
      <c r="D358" s="244"/>
      <c r="E358" s="244"/>
      <c r="F358" s="244"/>
      <c r="G358" s="244"/>
      <c r="I358" s="244"/>
      <c r="J358" s="244"/>
      <c r="K358" s="246" t="e">
        <f t="shared" si="35"/>
        <v>#VALUE!</v>
      </c>
      <c r="L358" s="246" t="e">
        <f t="shared" si="36"/>
        <v>#VALUE!</v>
      </c>
      <c r="M358" s="247" t="e">
        <f t="shared" si="37"/>
        <v>#VALUE!</v>
      </c>
      <c r="N358" s="246" t="e">
        <f t="shared" si="38"/>
        <v>#VALUE!</v>
      </c>
      <c r="O358" s="247" t="e">
        <f t="shared" si="39"/>
        <v>#VALUE!</v>
      </c>
      <c r="P358" s="247">
        <f t="shared" si="40"/>
        <v>0</v>
      </c>
      <c r="Q358" s="247" t="e">
        <f t="shared" si="41"/>
        <v>#VALUE!</v>
      </c>
    </row>
    <row r="359" spans="1:17" ht="15" customHeight="1" x14ac:dyDescent="0.25">
      <c r="A359" s="244"/>
      <c r="B359" s="244"/>
      <c r="C359" s="244"/>
      <c r="D359" s="244"/>
      <c r="E359" s="244"/>
      <c r="F359" s="244"/>
      <c r="G359" s="244"/>
      <c r="I359" s="244"/>
      <c r="J359" s="244"/>
      <c r="K359" s="246" t="e">
        <f t="shared" si="35"/>
        <v>#VALUE!</v>
      </c>
      <c r="L359" s="246" t="e">
        <f t="shared" si="36"/>
        <v>#VALUE!</v>
      </c>
      <c r="M359" s="247" t="e">
        <f t="shared" si="37"/>
        <v>#VALUE!</v>
      </c>
      <c r="N359" s="246" t="e">
        <f t="shared" si="38"/>
        <v>#VALUE!</v>
      </c>
      <c r="O359" s="247" t="e">
        <f t="shared" si="39"/>
        <v>#VALUE!</v>
      </c>
      <c r="P359" s="247">
        <f t="shared" si="40"/>
        <v>0</v>
      </c>
      <c r="Q359" s="247" t="e">
        <f t="shared" si="41"/>
        <v>#VALUE!</v>
      </c>
    </row>
    <row r="360" spans="1:17" ht="15" customHeight="1" x14ac:dyDescent="0.25">
      <c r="A360" s="244"/>
      <c r="B360" s="244"/>
      <c r="C360" s="244"/>
      <c r="D360" s="244"/>
      <c r="E360" s="244"/>
      <c r="F360" s="244"/>
      <c r="G360" s="244"/>
      <c r="I360" s="244"/>
      <c r="J360" s="244"/>
      <c r="K360" s="246" t="e">
        <f t="shared" si="35"/>
        <v>#VALUE!</v>
      </c>
      <c r="L360" s="246" t="e">
        <f t="shared" si="36"/>
        <v>#VALUE!</v>
      </c>
      <c r="M360" s="247" t="e">
        <f t="shared" si="37"/>
        <v>#VALUE!</v>
      </c>
      <c r="N360" s="246" t="e">
        <f t="shared" si="38"/>
        <v>#VALUE!</v>
      </c>
      <c r="O360" s="247" t="e">
        <f t="shared" si="39"/>
        <v>#VALUE!</v>
      </c>
      <c r="P360" s="247">
        <f t="shared" si="40"/>
        <v>0</v>
      </c>
      <c r="Q360" s="247" t="e">
        <f t="shared" si="41"/>
        <v>#VALUE!</v>
      </c>
    </row>
    <row r="361" spans="1:17" ht="15" customHeight="1" x14ac:dyDescent="0.25">
      <c r="A361" s="244"/>
      <c r="B361" s="244"/>
      <c r="C361" s="244"/>
      <c r="D361" s="244"/>
      <c r="E361" s="244"/>
      <c r="F361" s="244"/>
      <c r="G361" s="244"/>
      <c r="I361" s="244"/>
      <c r="J361" s="244"/>
      <c r="K361" s="246" t="e">
        <f t="shared" si="35"/>
        <v>#VALUE!</v>
      </c>
      <c r="L361" s="246" t="e">
        <f t="shared" si="36"/>
        <v>#VALUE!</v>
      </c>
      <c r="M361" s="247" t="e">
        <f t="shared" si="37"/>
        <v>#VALUE!</v>
      </c>
      <c r="N361" s="246" t="e">
        <f t="shared" si="38"/>
        <v>#VALUE!</v>
      </c>
      <c r="O361" s="247" t="e">
        <f t="shared" si="39"/>
        <v>#VALUE!</v>
      </c>
      <c r="P361" s="247">
        <f t="shared" si="40"/>
        <v>0</v>
      </c>
      <c r="Q361" s="247" t="e">
        <f t="shared" si="41"/>
        <v>#VALUE!</v>
      </c>
    </row>
    <row r="362" spans="1:17" ht="15" customHeight="1" x14ac:dyDescent="0.25">
      <c r="A362" s="244"/>
      <c r="B362" s="244"/>
      <c r="C362" s="244"/>
      <c r="D362" s="244"/>
      <c r="E362" s="244"/>
      <c r="F362" s="244"/>
      <c r="G362" s="244"/>
      <c r="I362" s="244"/>
      <c r="J362" s="244"/>
      <c r="K362" s="246" t="e">
        <f t="shared" si="35"/>
        <v>#VALUE!</v>
      </c>
      <c r="L362" s="246" t="e">
        <f t="shared" si="36"/>
        <v>#VALUE!</v>
      </c>
      <c r="M362" s="247" t="e">
        <f t="shared" si="37"/>
        <v>#VALUE!</v>
      </c>
      <c r="N362" s="246" t="e">
        <f t="shared" si="38"/>
        <v>#VALUE!</v>
      </c>
      <c r="O362" s="247" t="e">
        <f t="shared" si="39"/>
        <v>#VALUE!</v>
      </c>
      <c r="P362" s="247">
        <f t="shared" si="40"/>
        <v>0</v>
      </c>
      <c r="Q362" s="247" t="e">
        <f t="shared" si="41"/>
        <v>#VALUE!</v>
      </c>
    </row>
    <row r="363" spans="1:17" ht="15" customHeight="1" x14ac:dyDescent="0.25">
      <c r="A363" s="244"/>
      <c r="B363" s="244"/>
      <c r="C363" s="244"/>
      <c r="D363" s="244"/>
      <c r="E363" s="244"/>
      <c r="F363" s="244"/>
      <c r="G363" s="244"/>
      <c r="I363" s="244"/>
      <c r="J363" s="244"/>
      <c r="K363" s="246" t="e">
        <f t="shared" si="35"/>
        <v>#VALUE!</v>
      </c>
      <c r="L363" s="246" t="e">
        <f t="shared" si="36"/>
        <v>#VALUE!</v>
      </c>
      <c r="M363" s="247" t="e">
        <f t="shared" si="37"/>
        <v>#VALUE!</v>
      </c>
      <c r="N363" s="246" t="e">
        <f t="shared" si="38"/>
        <v>#VALUE!</v>
      </c>
      <c r="O363" s="247" t="e">
        <f t="shared" si="39"/>
        <v>#VALUE!</v>
      </c>
      <c r="P363" s="247">
        <f t="shared" si="40"/>
        <v>0</v>
      </c>
      <c r="Q363" s="247" t="e">
        <f t="shared" si="41"/>
        <v>#VALUE!</v>
      </c>
    </row>
    <row r="364" spans="1:17" ht="15" customHeight="1" x14ac:dyDescent="0.25">
      <c r="A364" s="244"/>
      <c r="B364" s="244"/>
      <c r="C364" s="244"/>
      <c r="D364" s="244"/>
      <c r="E364" s="244"/>
      <c r="F364" s="244"/>
      <c r="G364" s="244"/>
      <c r="I364" s="244"/>
      <c r="J364" s="244"/>
      <c r="K364" s="246" t="e">
        <f t="shared" si="35"/>
        <v>#VALUE!</v>
      </c>
      <c r="L364" s="246" t="e">
        <f t="shared" si="36"/>
        <v>#VALUE!</v>
      </c>
      <c r="M364" s="247" t="e">
        <f t="shared" si="37"/>
        <v>#VALUE!</v>
      </c>
      <c r="N364" s="246" t="e">
        <f t="shared" si="38"/>
        <v>#VALUE!</v>
      </c>
      <c r="O364" s="247" t="e">
        <f t="shared" si="39"/>
        <v>#VALUE!</v>
      </c>
      <c r="P364" s="247">
        <f t="shared" si="40"/>
        <v>0</v>
      </c>
      <c r="Q364" s="247" t="e">
        <f t="shared" si="41"/>
        <v>#VALUE!</v>
      </c>
    </row>
    <row r="365" spans="1:17" ht="15" customHeight="1" x14ac:dyDescent="0.25">
      <c r="A365" s="244"/>
      <c r="B365" s="244"/>
      <c r="C365" s="244"/>
      <c r="D365" s="244"/>
      <c r="E365" s="244"/>
      <c r="F365" s="244"/>
      <c r="G365" s="244"/>
      <c r="I365" s="244"/>
      <c r="J365" s="244"/>
      <c r="K365" s="246" t="e">
        <f t="shared" si="35"/>
        <v>#VALUE!</v>
      </c>
      <c r="L365" s="246" t="e">
        <f t="shared" si="36"/>
        <v>#VALUE!</v>
      </c>
      <c r="M365" s="247" t="e">
        <f t="shared" si="37"/>
        <v>#VALUE!</v>
      </c>
      <c r="N365" s="246" t="e">
        <f t="shared" si="38"/>
        <v>#VALUE!</v>
      </c>
      <c r="O365" s="247" t="e">
        <f t="shared" si="39"/>
        <v>#VALUE!</v>
      </c>
      <c r="P365" s="247">
        <f t="shared" si="40"/>
        <v>0</v>
      </c>
      <c r="Q365" s="247" t="e">
        <f t="shared" si="41"/>
        <v>#VALUE!</v>
      </c>
    </row>
    <row r="366" spans="1:17" ht="15" customHeight="1" x14ac:dyDescent="0.25">
      <c r="A366" s="244"/>
      <c r="B366" s="244"/>
      <c r="C366" s="244"/>
      <c r="D366" s="244"/>
      <c r="E366" s="244"/>
      <c r="F366" s="244"/>
      <c r="G366" s="244"/>
      <c r="I366" s="244"/>
      <c r="J366" s="244"/>
      <c r="K366" s="246" t="e">
        <f t="shared" si="35"/>
        <v>#VALUE!</v>
      </c>
      <c r="L366" s="246" t="e">
        <f t="shared" si="36"/>
        <v>#VALUE!</v>
      </c>
      <c r="M366" s="247" t="e">
        <f t="shared" si="37"/>
        <v>#VALUE!</v>
      </c>
      <c r="N366" s="246" t="e">
        <f t="shared" si="38"/>
        <v>#VALUE!</v>
      </c>
      <c r="O366" s="247" t="e">
        <f t="shared" si="39"/>
        <v>#VALUE!</v>
      </c>
      <c r="P366" s="247">
        <f t="shared" si="40"/>
        <v>0</v>
      </c>
      <c r="Q366" s="247" t="e">
        <f t="shared" si="41"/>
        <v>#VALUE!</v>
      </c>
    </row>
    <row r="367" spans="1:17" ht="15" customHeight="1" x14ac:dyDescent="0.25">
      <c r="A367" s="244"/>
      <c r="B367" s="244"/>
      <c r="C367" s="244"/>
      <c r="D367" s="244"/>
      <c r="E367" s="244"/>
      <c r="F367" s="244"/>
      <c r="G367" s="244"/>
      <c r="I367" s="244"/>
      <c r="J367" s="244"/>
      <c r="K367" s="246" t="e">
        <f t="shared" si="35"/>
        <v>#VALUE!</v>
      </c>
      <c r="L367" s="246" t="e">
        <f t="shared" si="36"/>
        <v>#VALUE!</v>
      </c>
      <c r="M367" s="247" t="e">
        <f t="shared" si="37"/>
        <v>#VALUE!</v>
      </c>
      <c r="N367" s="246" t="e">
        <f t="shared" si="38"/>
        <v>#VALUE!</v>
      </c>
      <c r="O367" s="247" t="e">
        <f t="shared" si="39"/>
        <v>#VALUE!</v>
      </c>
      <c r="P367" s="247">
        <f t="shared" si="40"/>
        <v>0</v>
      </c>
      <c r="Q367" s="247" t="e">
        <f t="shared" si="41"/>
        <v>#VALUE!</v>
      </c>
    </row>
    <row r="368" spans="1:17" ht="15" customHeight="1" x14ac:dyDescent="0.25">
      <c r="A368" s="244"/>
      <c r="B368" s="244"/>
      <c r="C368" s="244"/>
      <c r="D368" s="244"/>
      <c r="E368" s="244"/>
      <c r="F368" s="244"/>
      <c r="G368" s="244"/>
      <c r="I368" s="244"/>
      <c r="J368" s="244"/>
      <c r="K368" s="246" t="e">
        <f t="shared" si="35"/>
        <v>#VALUE!</v>
      </c>
      <c r="L368" s="246" t="e">
        <f t="shared" si="36"/>
        <v>#VALUE!</v>
      </c>
      <c r="M368" s="247" t="e">
        <f t="shared" si="37"/>
        <v>#VALUE!</v>
      </c>
      <c r="N368" s="246" t="e">
        <f t="shared" si="38"/>
        <v>#VALUE!</v>
      </c>
      <c r="O368" s="247" t="e">
        <f t="shared" si="39"/>
        <v>#VALUE!</v>
      </c>
      <c r="P368" s="247">
        <f t="shared" si="40"/>
        <v>0</v>
      </c>
      <c r="Q368" s="247" t="e">
        <f t="shared" si="41"/>
        <v>#VALUE!</v>
      </c>
    </row>
    <row r="369" spans="1:17" ht="15" customHeight="1" x14ac:dyDescent="0.25">
      <c r="A369" s="244"/>
      <c r="B369" s="244"/>
      <c r="C369" s="244"/>
      <c r="D369" s="244"/>
      <c r="E369" s="244"/>
      <c r="F369" s="244"/>
      <c r="G369" s="244"/>
      <c r="I369" s="244"/>
      <c r="J369" s="244"/>
      <c r="K369" s="246" t="e">
        <f t="shared" si="35"/>
        <v>#VALUE!</v>
      </c>
      <c r="L369" s="246" t="e">
        <f t="shared" si="36"/>
        <v>#VALUE!</v>
      </c>
      <c r="M369" s="247" t="e">
        <f t="shared" si="37"/>
        <v>#VALUE!</v>
      </c>
      <c r="N369" s="246" t="e">
        <f t="shared" si="38"/>
        <v>#VALUE!</v>
      </c>
      <c r="O369" s="247" t="e">
        <f t="shared" si="39"/>
        <v>#VALUE!</v>
      </c>
      <c r="P369" s="247">
        <f t="shared" si="40"/>
        <v>0</v>
      </c>
      <c r="Q369" s="247" t="e">
        <f t="shared" si="41"/>
        <v>#VALUE!</v>
      </c>
    </row>
    <row r="370" spans="1:17" ht="15" customHeight="1" x14ac:dyDescent="0.25">
      <c r="A370" s="244"/>
      <c r="B370" s="244"/>
      <c r="C370" s="244"/>
      <c r="D370" s="244"/>
      <c r="E370" s="244"/>
      <c r="F370" s="244"/>
      <c r="G370" s="244"/>
      <c r="I370" s="244"/>
      <c r="J370" s="244"/>
      <c r="K370" s="246" t="e">
        <f t="shared" si="35"/>
        <v>#VALUE!</v>
      </c>
      <c r="L370" s="246" t="e">
        <f t="shared" si="36"/>
        <v>#VALUE!</v>
      </c>
      <c r="M370" s="247" t="e">
        <f t="shared" si="37"/>
        <v>#VALUE!</v>
      </c>
      <c r="N370" s="246" t="e">
        <f t="shared" si="38"/>
        <v>#VALUE!</v>
      </c>
      <c r="O370" s="247" t="e">
        <f t="shared" si="39"/>
        <v>#VALUE!</v>
      </c>
      <c r="P370" s="247">
        <f t="shared" si="40"/>
        <v>0</v>
      </c>
      <c r="Q370" s="247" t="e">
        <f t="shared" si="41"/>
        <v>#VALUE!</v>
      </c>
    </row>
    <row r="371" spans="1:17" ht="15" customHeight="1" x14ac:dyDescent="0.25">
      <c r="A371" s="244"/>
      <c r="B371" s="244"/>
      <c r="C371" s="244"/>
      <c r="D371" s="244"/>
      <c r="E371" s="244"/>
      <c r="F371" s="244"/>
      <c r="G371" s="244"/>
      <c r="I371" s="244"/>
      <c r="J371" s="244"/>
      <c r="K371" s="246" t="e">
        <f t="shared" si="35"/>
        <v>#VALUE!</v>
      </c>
      <c r="L371" s="246" t="e">
        <f t="shared" si="36"/>
        <v>#VALUE!</v>
      </c>
      <c r="M371" s="247" t="e">
        <f t="shared" si="37"/>
        <v>#VALUE!</v>
      </c>
      <c r="N371" s="246" t="e">
        <f t="shared" si="38"/>
        <v>#VALUE!</v>
      </c>
      <c r="O371" s="247" t="e">
        <f t="shared" si="39"/>
        <v>#VALUE!</v>
      </c>
      <c r="P371" s="247">
        <f t="shared" si="40"/>
        <v>0</v>
      </c>
      <c r="Q371" s="247" t="e">
        <f t="shared" si="41"/>
        <v>#VALUE!</v>
      </c>
    </row>
    <row r="372" spans="1:17" ht="15" customHeight="1" x14ac:dyDescent="0.25">
      <c r="A372" s="244"/>
      <c r="B372" s="244"/>
      <c r="C372" s="244"/>
      <c r="D372" s="244"/>
      <c r="E372" s="244"/>
      <c r="F372" s="244"/>
      <c r="G372" s="244"/>
      <c r="I372" s="244"/>
      <c r="J372" s="244"/>
      <c r="K372" s="246" t="e">
        <f t="shared" si="35"/>
        <v>#VALUE!</v>
      </c>
      <c r="L372" s="246" t="e">
        <f t="shared" si="36"/>
        <v>#VALUE!</v>
      </c>
      <c r="M372" s="247" t="e">
        <f t="shared" si="37"/>
        <v>#VALUE!</v>
      </c>
      <c r="N372" s="246" t="e">
        <f t="shared" si="38"/>
        <v>#VALUE!</v>
      </c>
      <c r="O372" s="247" t="e">
        <f t="shared" si="39"/>
        <v>#VALUE!</v>
      </c>
      <c r="P372" s="247">
        <f t="shared" si="40"/>
        <v>0</v>
      </c>
      <c r="Q372" s="247" t="e">
        <f t="shared" si="41"/>
        <v>#VALUE!</v>
      </c>
    </row>
    <row r="373" spans="1:17" ht="15" customHeight="1" x14ac:dyDescent="0.25">
      <c r="A373" s="244"/>
      <c r="B373" s="244"/>
      <c r="C373" s="244"/>
      <c r="D373" s="244"/>
      <c r="E373" s="244"/>
      <c r="F373" s="244"/>
      <c r="G373" s="244"/>
      <c r="I373" s="244"/>
      <c r="J373" s="244"/>
      <c r="K373" s="246" t="e">
        <f t="shared" si="35"/>
        <v>#VALUE!</v>
      </c>
      <c r="L373" s="246" t="e">
        <f t="shared" si="36"/>
        <v>#VALUE!</v>
      </c>
      <c r="M373" s="247" t="e">
        <f t="shared" si="37"/>
        <v>#VALUE!</v>
      </c>
      <c r="N373" s="246" t="e">
        <f t="shared" si="38"/>
        <v>#VALUE!</v>
      </c>
      <c r="O373" s="247" t="e">
        <f t="shared" si="39"/>
        <v>#VALUE!</v>
      </c>
      <c r="P373" s="247">
        <f t="shared" si="40"/>
        <v>0</v>
      </c>
      <c r="Q373" s="247" t="e">
        <f t="shared" si="41"/>
        <v>#VALUE!</v>
      </c>
    </row>
    <row r="374" spans="1:17" ht="15" customHeight="1" x14ac:dyDescent="0.25">
      <c r="A374" s="244"/>
      <c r="B374" s="244"/>
      <c r="C374" s="244"/>
      <c r="D374" s="244"/>
      <c r="E374" s="244"/>
      <c r="F374" s="244"/>
      <c r="G374" s="244"/>
      <c r="I374" s="244"/>
      <c r="J374" s="244"/>
      <c r="K374" s="246" t="e">
        <f t="shared" si="35"/>
        <v>#VALUE!</v>
      </c>
      <c r="L374" s="246" t="e">
        <f t="shared" si="36"/>
        <v>#VALUE!</v>
      </c>
      <c r="M374" s="247" t="e">
        <f t="shared" si="37"/>
        <v>#VALUE!</v>
      </c>
      <c r="N374" s="246" t="e">
        <f t="shared" si="38"/>
        <v>#VALUE!</v>
      </c>
      <c r="O374" s="247" t="e">
        <f t="shared" si="39"/>
        <v>#VALUE!</v>
      </c>
      <c r="P374" s="247">
        <f t="shared" si="40"/>
        <v>0</v>
      </c>
      <c r="Q374" s="247" t="e">
        <f t="shared" si="41"/>
        <v>#VALUE!</v>
      </c>
    </row>
    <row r="375" spans="1:17" ht="15" customHeight="1" x14ac:dyDescent="0.25">
      <c r="A375" s="244"/>
      <c r="B375" s="244"/>
      <c r="C375" s="244"/>
      <c r="D375" s="244"/>
      <c r="E375" s="244"/>
      <c r="F375" s="244"/>
      <c r="G375" s="244"/>
      <c r="I375" s="244"/>
      <c r="J375" s="244"/>
      <c r="K375" s="246" t="e">
        <f t="shared" si="35"/>
        <v>#VALUE!</v>
      </c>
      <c r="L375" s="246" t="e">
        <f t="shared" si="36"/>
        <v>#VALUE!</v>
      </c>
      <c r="M375" s="247" t="e">
        <f t="shared" si="37"/>
        <v>#VALUE!</v>
      </c>
      <c r="N375" s="246" t="e">
        <f t="shared" si="38"/>
        <v>#VALUE!</v>
      </c>
      <c r="O375" s="247" t="e">
        <f t="shared" si="39"/>
        <v>#VALUE!</v>
      </c>
      <c r="P375" s="247">
        <f t="shared" si="40"/>
        <v>0</v>
      </c>
      <c r="Q375" s="247" t="e">
        <f t="shared" si="41"/>
        <v>#VALUE!</v>
      </c>
    </row>
    <row r="376" spans="1:17" ht="15" customHeight="1" x14ac:dyDescent="0.25">
      <c r="A376" s="244"/>
      <c r="B376" s="244"/>
      <c r="C376" s="244"/>
      <c r="D376" s="244"/>
      <c r="E376" s="244"/>
      <c r="F376" s="244"/>
      <c r="G376" s="244"/>
      <c r="I376" s="244"/>
      <c r="J376" s="244"/>
      <c r="K376" s="246" t="e">
        <f t="shared" si="35"/>
        <v>#VALUE!</v>
      </c>
      <c r="L376" s="246" t="e">
        <f t="shared" si="36"/>
        <v>#VALUE!</v>
      </c>
      <c r="M376" s="247" t="e">
        <f t="shared" si="37"/>
        <v>#VALUE!</v>
      </c>
      <c r="N376" s="246" t="e">
        <f t="shared" si="38"/>
        <v>#VALUE!</v>
      </c>
      <c r="O376" s="247" t="e">
        <f t="shared" si="39"/>
        <v>#VALUE!</v>
      </c>
      <c r="P376" s="247">
        <f t="shared" si="40"/>
        <v>0</v>
      </c>
      <c r="Q376" s="247" t="e">
        <f t="shared" si="41"/>
        <v>#VALUE!</v>
      </c>
    </row>
    <row r="377" spans="1:17" ht="15" customHeight="1" x14ac:dyDescent="0.25">
      <c r="A377" s="244"/>
      <c r="B377" s="244"/>
      <c r="C377" s="244"/>
      <c r="D377" s="244"/>
      <c r="E377" s="244"/>
      <c r="F377" s="244"/>
      <c r="G377" s="244"/>
      <c r="I377" s="244"/>
      <c r="J377" s="244"/>
      <c r="K377" s="246" t="e">
        <f t="shared" si="35"/>
        <v>#VALUE!</v>
      </c>
      <c r="L377" s="246" t="e">
        <f t="shared" si="36"/>
        <v>#VALUE!</v>
      </c>
      <c r="M377" s="247" t="e">
        <f t="shared" si="37"/>
        <v>#VALUE!</v>
      </c>
      <c r="N377" s="246" t="e">
        <f t="shared" si="38"/>
        <v>#VALUE!</v>
      </c>
      <c r="O377" s="247" t="e">
        <f t="shared" si="39"/>
        <v>#VALUE!</v>
      </c>
      <c r="P377" s="247">
        <f t="shared" si="40"/>
        <v>0</v>
      </c>
      <c r="Q377" s="247" t="e">
        <f t="shared" si="41"/>
        <v>#VALUE!</v>
      </c>
    </row>
    <row r="378" spans="1:17" ht="15" customHeight="1" x14ac:dyDescent="0.25">
      <c r="A378" s="244"/>
      <c r="B378" s="244"/>
      <c r="C378" s="244"/>
      <c r="D378" s="244"/>
      <c r="E378" s="244"/>
      <c r="F378" s="244"/>
      <c r="G378" s="244"/>
      <c r="I378" s="244"/>
      <c r="J378" s="244"/>
      <c r="K378" s="246" t="e">
        <f t="shared" si="35"/>
        <v>#VALUE!</v>
      </c>
      <c r="L378" s="246" t="e">
        <f t="shared" si="36"/>
        <v>#VALUE!</v>
      </c>
      <c r="M378" s="247" t="e">
        <f t="shared" si="37"/>
        <v>#VALUE!</v>
      </c>
      <c r="N378" s="246" t="e">
        <f t="shared" si="38"/>
        <v>#VALUE!</v>
      </c>
      <c r="O378" s="247" t="e">
        <f t="shared" si="39"/>
        <v>#VALUE!</v>
      </c>
      <c r="P378" s="247">
        <f t="shared" si="40"/>
        <v>0</v>
      </c>
      <c r="Q378" s="247" t="e">
        <f t="shared" si="41"/>
        <v>#VALUE!</v>
      </c>
    </row>
    <row r="379" spans="1:17" ht="15" customHeight="1" x14ac:dyDescent="0.25">
      <c r="A379" s="244"/>
      <c r="B379" s="244"/>
      <c r="C379" s="244"/>
      <c r="D379" s="244"/>
      <c r="E379" s="244"/>
      <c r="F379" s="244"/>
      <c r="G379" s="244"/>
      <c r="I379" s="244"/>
      <c r="J379" s="244"/>
      <c r="K379" s="246" t="e">
        <f t="shared" si="35"/>
        <v>#VALUE!</v>
      </c>
      <c r="L379" s="246" t="e">
        <f t="shared" si="36"/>
        <v>#VALUE!</v>
      </c>
      <c r="M379" s="247" t="e">
        <f t="shared" si="37"/>
        <v>#VALUE!</v>
      </c>
      <c r="N379" s="246" t="e">
        <f t="shared" si="38"/>
        <v>#VALUE!</v>
      </c>
      <c r="O379" s="247" t="e">
        <f t="shared" si="39"/>
        <v>#VALUE!</v>
      </c>
      <c r="P379" s="247">
        <f t="shared" si="40"/>
        <v>0</v>
      </c>
      <c r="Q379" s="247" t="e">
        <f t="shared" si="41"/>
        <v>#VALUE!</v>
      </c>
    </row>
    <row r="380" spans="1:17" ht="15" customHeight="1" x14ac:dyDescent="0.25">
      <c r="A380" s="244"/>
      <c r="B380" s="244"/>
      <c r="C380" s="244"/>
      <c r="D380" s="244"/>
      <c r="E380" s="244"/>
      <c r="F380" s="244"/>
      <c r="G380" s="244"/>
      <c r="I380" s="244"/>
      <c r="J380" s="244"/>
      <c r="K380" s="246" t="e">
        <f t="shared" si="35"/>
        <v>#VALUE!</v>
      </c>
      <c r="L380" s="246" t="e">
        <f t="shared" si="36"/>
        <v>#VALUE!</v>
      </c>
      <c r="M380" s="247" t="e">
        <f t="shared" si="37"/>
        <v>#VALUE!</v>
      </c>
      <c r="N380" s="246" t="e">
        <f t="shared" si="38"/>
        <v>#VALUE!</v>
      </c>
      <c r="O380" s="247" t="e">
        <f t="shared" si="39"/>
        <v>#VALUE!</v>
      </c>
      <c r="P380" s="247">
        <f t="shared" si="40"/>
        <v>0</v>
      </c>
      <c r="Q380" s="247" t="e">
        <f t="shared" si="41"/>
        <v>#VALUE!</v>
      </c>
    </row>
    <row r="381" spans="1:17" ht="15" customHeight="1" x14ac:dyDescent="0.25">
      <c r="A381" s="244"/>
      <c r="B381" s="244"/>
      <c r="C381" s="244"/>
      <c r="D381" s="244"/>
      <c r="E381" s="244"/>
      <c r="F381" s="244"/>
      <c r="G381" s="244"/>
      <c r="I381" s="244"/>
      <c r="J381" s="244"/>
      <c r="K381" s="246" t="e">
        <f t="shared" si="35"/>
        <v>#VALUE!</v>
      </c>
      <c r="L381" s="246" t="e">
        <f t="shared" si="36"/>
        <v>#VALUE!</v>
      </c>
      <c r="M381" s="247" t="e">
        <f t="shared" si="37"/>
        <v>#VALUE!</v>
      </c>
      <c r="N381" s="246" t="e">
        <f t="shared" si="38"/>
        <v>#VALUE!</v>
      </c>
      <c r="O381" s="247" t="e">
        <f t="shared" si="39"/>
        <v>#VALUE!</v>
      </c>
      <c r="P381" s="247">
        <f t="shared" si="40"/>
        <v>0</v>
      </c>
      <c r="Q381" s="247" t="e">
        <f t="shared" si="41"/>
        <v>#VALUE!</v>
      </c>
    </row>
    <row r="382" spans="1:17" ht="15" customHeight="1" x14ac:dyDescent="0.25">
      <c r="A382" s="244"/>
      <c r="B382" s="244"/>
      <c r="C382" s="244"/>
      <c r="D382" s="244"/>
      <c r="E382" s="244"/>
      <c r="F382" s="244"/>
      <c r="G382" s="244"/>
      <c r="I382" s="244"/>
      <c r="J382" s="244"/>
      <c r="K382" s="246" t="e">
        <f t="shared" si="35"/>
        <v>#VALUE!</v>
      </c>
      <c r="L382" s="246" t="e">
        <f t="shared" si="36"/>
        <v>#VALUE!</v>
      </c>
      <c r="M382" s="247" t="e">
        <f t="shared" si="37"/>
        <v>#VALUE!</v>
      </c>
      <c r="N382" s="246" t="e">
        <f t="shared" si="38"/>
        <v>#VALUE!</v>
      </c>
      <c r="O382" s="247" t="e">
        <f t="shared" si="39"/>
        <v>#VALUE!</v>
      </c>
      <c r="P382" s="247">
        <f t="shared" si="40"/>
        <v>0</v>
      </c>
      <c r="Q382" s="247" t="e">
        <f t="shared" si="41"/>
        <v>#VALUE!</v>
      </c>
    </row>
    <row r="383" spans="1:17" ht="15" customHeight="1" x14ac:dyDescent="0.25">
      <c r="A383" s="244"/>
      <c r="B383" s="244"/>
      <c r="C383" s="244"/>
      <c r="D383" s="244"/>
      <c r="E383" s="244"/>
      <c r="F383" s="244"/>
      <c r="G383" s="244"/>
      <c r="I383" s="244"/>
      <c r="J383" s="244"/>
      <c r="K383" s="246" t="e">
        <f t="shared" si="35"/>
        <v>#VALUE!</v>
      </c>
      <c r="L383" s="246" t="e">
        <f t="shared" si="36"/>
        <v>#VALUE!</v>
      </c>
      <c r="M383" s="247" t="e">
        <f t="shared" si="37"/>
        <v>#VALUE!</v>
      </c>
      <c r="N383" s="246" t="e">
        <f t="shared" si="38"/>
        <v>#VALUE!</v>
      </c>
      <c r="O383" s="247" t="e">
        <f t="shared" si="39"/>
        <v>#VALUE!</v>
      </c>
      <c r="P383" s="247">
        <f t="shared" si="40"/>
        <v>0</v>
      </c>
      <c r="Q383" s="247" t="e">
        <f t="shared" si="41"/>
        <v>#VALUE!</v>
      </c>
    </row>
    <row r="384" spans="1:17" ht="15" customHeight="1" x14ac:dyDescent="0.25">
      <c r="A384" s="244"/>
      <c r="B384" s="244"/>
      <c r="C384" s="244"/>
      <c r="D384" s="244"/>
      <c r="E384" s="244"/>
      <c r="F384" s="244"/>
      <c r="G384" s="244"/>
      <c r="I384" s="244"/>
      <c r="J384" s="244"/>
      <c r="K384" s="246" t="e">
        <f t="shared" si="35"/>
        <v>#VALUE!</v>
      </c>
      <c r="L384" s="246" t="e">
        <f t="shared" si="36"/>
        <v>#VALUE!</v>
      </c>
      <c r="M384" s="247" t="e">
        <f t="shared" si="37"/>
        <v>#VALUE!</v>
      </c>
      <c r="N384" s="246" t="e">
        <f t="shared" si="38"/>
        <v>#VALUE!</v>
      </c>
      <c r="O384" s="247" t="e">
        <f t="shared" si="39"/>
        <v>#VALUE!</v>
      </c>
      <c r="P384" s="247">
        <f t="shared" si="40"/>
        <v>0</v>
      </c>
      <c r="Q384" s="247" t="e">
        <f t="shared" si="41"/>
        <v>#VALUE!</v>
      </c>
    </row>
    <row r="385" spans="1:17" ht="15" customHeight="1" x14ac:dyDescent="0.25">
      <c r="A385" s="244"/>
      <c r="B385" s="244"/>
      <c r="C385" s="244"/>
      <c r="D385" s="244"/>
      <c r="E385" s="244"/>
      <c r="F385" s="244"/>
      <c r="G385" s="244"/>
      <c r="I385" s="244"/>
      <c r="J385" s="244"/>
      <c r="K385" s="246" t="e">
        <f t="shared" si="35"/>
        <v>#VALUE!</v>
      </c>
      <c r="L385" s="246" t="e">
        <f t="shared" si="36"/>
        <v>#VALUE!</v>
      </c>
      <c r="M385" s="247" t="e">
        <f t="shared" si="37"/>
        <v>#VALUE!</v>
      </c>
      <c r="N385" s="246" t="e">
        <f t="shared" si="38"/>
        <v>#VALUE!</v>
      </c>
      <c r="O385" s="247" t="e">
        <f t="shared" si="39"/>
        <v>#VALUE!</v>
      </c>
      <c r="P385" s="247">
        <f t="shared" si="40"/>
        <v>0</v>
      </c>
      <c r="Q385" s="247" t="e">
        <f t="shared" si="41"/>
        <v>#VALUE!</v>
      </c>
    </row>
    <row r="386" spans="1:17" ht="15" customHeight="1" x14ac:dyDescent="0.25">
      <c r="A386" s="244"/>
      <c r="B386" s="244"/>
      <c r="C386" s="244"/>
      <c r="D386" s="244"/>
      <c r="E386" s="244"/>
      <c r="F386" s="244"/>
      <c r="G386" s="244"/>
      <c r="I386" s="244"/>
      <c r="J386" s="244"/>
      <c r="K386" s="246" t="e">
        <f t="shared" ref="K386:K449" si="42">DATE(VALUE(LEFT(A386,4)),VALUE(MID(A386,5,2)),VALUE(RIGHT(A386,2)))</f>
        <v>#VALUE!</v>
      </c>
      <c r="L386" s="246" t="e">
        <f t="shared" ref="L386:L449" si="43">DATEVALUE(LEFT(F386,10))</f>
        <v>#VALUE!</v>
      </c>
      <c r="M386" s="247" t="e">
        <f t="shared" ref="M386:M449" si="44">TIMEVALUE(MID(F386,12,8))</f>
        <v>#VALUE!</v>
      </c>
      <c r="N386" s="246" t="e">
        <f t="shared" ref="N386:N449" si="45">DATEVALUE(LEFT(G386,10))</f>
        <v>#VALUE!</v>
      </c>
      <c r="O386" s="247" t="e">
        <f t="shared" ref="O386:O449" si="46">TIMEVALUE(MID(G386,12,8))</f>
        <v>#VALUE!</v>
      </c>
      <c r="P386" s="247">
        <f t="shared" ref="P386:P449" si="47">IFERROR(_xlfn.MINIFS($M:$M,$E:$E,$E386,$K:$K,$K386,$M:$M,"&gt;"&amp;$O386),"")</f>
        <v>0</v>
      </c>
      <c r="Q386" s="247" t="e">
        <f t="shared" ref="Q386:Q449" si="48">IF($P386="","",$P386-$O386)</f>
        <v>#VALUE!</v>
      </c>
    </row>
    <row r="387" spans="1:17" ht="15" customHeight="1" x14ac:dyDescent="0.25">
      <c r="A387" s="244"/>
      <c r="B387" s="244"/>
      <c r="C387" s="244"/>
      <c r="D387" s="244"/>
      <c r="E387" s="244"/>
      <c r="F387" s="244"/>
      <c r="G387" s="244"/>
      <c r="I387" s="244"/>
      <c r="J387" s="244"/>
      <c r="K387" s="246" t="e">
        <f t="shared" si="42"/>
        <v>#VALUE!</v>
      </c>
      <c r="L387" s="246" t="e">
        <f t="shared" si="43"/>
        <v>#VALUE!</v>
      </c>
      <c r="M387" s="247" t="e">
        <f t="shared" si="44"/>
        <v>#VALUE!</v>
      </c>
      <c r="N387" s="246" t="e">
        <f t="shared" si="45"/>
        <v>#VALUE!</v>
      </c>
      <c r="O387" s="247" t="e">
        <f t="shared" si="46"/>
        <v>#VALUE!</v>
      </c>
      <c r="P387" s="247">
        <f t="shared" si="47"/>
        <v>0</v>
      </c>
      <c r="Q387" s="247" t="e">
        <f t="shared" si="48"/>
        <v>#VALUE!</v>
      </c>
    </row>
    <row r="388" spans="1:17" ht="15" customHeight="1" x14ac:dyDescent="0.25">
      <c r="A388" s="244"/>
      <c r="B388" s="244"/>
      <c r="C388" s="244"/>
      <c r="D388" s="244"/>
      <c r="E388" s="244"/>
      <c r="F388" s="244"/>
      <c r="G388" s="244"/>
      <c r="I388" s="244"/>
      <c r="J388" s="244"/>
      <c r="K388" s="246" t="e">
        <f t="shared" si="42"/>
        <v>#VALUE!</v>
      </c>
      <c r="L388" s="246" t="e">
        <f t="shared" si="43"/>
        <v>#VALUE!</v>
      </c>
      <c r="M388" s="247" t="e">
        <f t="shared" si="44"/>
        <v>#VALUE!</v>
      </c>
      <c r="N388" s="246" t="e">
        <f t="shared" si="45"/>
        <v>#VALUE!</v>
      </c>
      <c r="O388" s="247" t="e">
        <f t="shared" si="46"/>
        <v>#VALUE!</v>
      </c>
      <c r="P388" s="247">
        <f t="shared" si="47"/>
        <v>0</v>
      </c>
      <c r="Q388" s="247" t="e">
        <f t="shared" si="48"/>
        <v>#VALUE!</v>
      </c>
    </row>
    <row r="389" spans="1:17" ht="15" customHeight="1" x14ac:dyDescent="0.25">
      <c r="A389" s="244"/>
      <c r="B389" s="244"/>
      <c r="C389" s="244"/>
      <c r="D389" s="244"/>
      <c r="E389" s="244"/>
      <c r="F389" s="244"/>
      <c r="G389" s="244"/>
      <c r="I389" s="244"/>
      <c r="J389" s="244"/>
      <c r="K389" s="246" t="e">
        <f t="shared" si="42"/>
        <v>#VALUE!</v>
      </c>
      <c r="L389" s="246" t="e">
        <f t="shared" si="43"/>
        <v>#VALUE!</v>
      </c>
      <c r="M389" s="247" t="e">
        <f t="shared" si="44"/>
        <v>#VALUE!</v>
      </c>
      <c r="N389" s="246" t="e">
        <f t="shared" si="45"/>
        <v>#VALUE!</v>
      </c>
      <c r="O389" s="247" t="e">
        <f t="shared" si="46"/>
        <v>#VALUE!</v>
      </c>
      <c r="P389" s="247">
        <f t="shared" si="47"/>
        <v>0</v>
      </c>
      <c r="Q389" s="247" t="e">
        <f t="shared" si="48"/>
        <v>#VALUE!</v>
      </c>
    </row>
    <row r="390" spans="1:17" ht="15" customHeight="1" x14ac:dyDescent="0.25">
      <c r="A390" s="244"/>
      <c r="B390" s="244"/>
      <c r="C390" s="244"/>
      <c r="D390" s="244"/>
      <c r="E390" s="244"/>
      <c r="F390" s="244"/>
      <c r="G390" s="244"/>
      <c r="I390" s="244"/>
      <c r="J390" s="244"/>
      <c r="K390" s="246" t="e">
        <f t="shared" si="42"/>
        <v>#VALUE!</v>
      </c>
      <c r="L390" s="246" t="e">
        <f t="shared" si="43"/>
        <v>#VALUE!</v>
      </c>
      <c r="M390" s="247" t="e">
        <f t="shared" si="44"/>
        <v>#VALUE!</v>
      </c>
      <c r="N390" s="246" t="e">
        <f t="shared" si="45"/>
        <v>#VALUE!</v>
      </c>
      <c r="O390" s="247" t="e">
        <f t="shared" si="46"/>
        <v>#VALUE!</v>
      </c>
      <c r="P390" s="247">
        <f t="shared" si="47"/>
        <v>0</v>
      </c>
      <c r="Q390" s="247" t="e">
        <f t="shared" si="48"/>
        <v>#VALUE!</v>
      </c>
    </row>
    <row r="391" spans="1:17" ht="15" customHeight="1" x14ac:dyDescent="0.25">
      <c r="A391" s="244"/>
      <c r="B391" s="244"/>
      <c r="C391" s="244"/>
      <c r="D391" s="244"/>
      <c r="E391" s="244"/>
      <c r="F391" s="244"/>
      <c r="G391" s="244"/>
      <c r="I391" s="244"/>
      <c r="J391" s="244"/>
      <c r="K391" s="246" t="e">
        <f t="shared" si="42"/>
        <v>#VALUE!</v>
      </c>
      <c r="L391" s="246" t="e">
        <f t="shared" si="43"/>
        <v>#VALUE!</v>
      </c>
      <c r="M391" s="247" t="e">
        <f t="shared" si="44"/>
        <v>#VALUE!</v>
      </c>
      <c r="N391" s="246" t="e">
        <f t="shared" si="45"/>
        <v>#VALUE!</v>
      </c>
      <c r="O391" s="247" t="e">
        <f t="shared" si="46"/>
        <v>#VALUE!</v>
      </c>
      <c r="P391" s="247">
        <f t="shared" si="47"/>
        <v>0</v>
      </c>
      <c r="Q391" s="247" t="e">
        <f t="shared" si="48"/>
        <v>#VALUE!</v>
      </c>
    </row>
    <row r="392" spans="1:17" ht="15" customHeight="1" x14ac:dyDescent="0.25">
      <c r="A392" s="244"/>
      <c r="B392" s="244"/>
      <c r="C392" s="244"/>
      <c r="D392" s="244"/>
      <c r="E392" s="244"/>
      <c r="F392" s="244"/>
      <c r="G392" s="244"/>
      <c r="I392" s="244"/>
      <c r="J392" s="244"/>
      <c r="K392" s="246" t="e">
        <f t="shared" si="42"/>
        <v>#VALUE!</v>
      </c>
      <c r="L392" s="246" t="e">
        <f t="shared" si="43"/>
        <v>#VALUE!</v>
      </c>
      <c r="M392" s="247" t="e">
        <f t="shared" si="44"/>
        <v>#VALUE!</v>
      </c>
      <c r="N392" s="246" t="e">
        <f t="shared" si="45"/>
        <v>#VALUE!</v>
      </c>
      <c r="O392" s="247" t="e">
        <f t="shared" si="46"/>
        <v>#VALUE!</v>
      </c>
      <c r="P392" s="247">
        <f t="shared" si="47"/>
        <v>0</v>
      </c>
      <c r="Q392" s="247" t="e">
        <f t="shared" si="48"/>
        <v>#VALUE!</v>
      </c>
    </row>
    <row r="393" spans="1:17" ht="15" customHeight="1" x14ac:dyDescent="0.25">
      <c r="A393" s="244"/>
      <c r="B393" s="244"/>
      <c r="C393" s="244"/>
      <c r="D393" s="244"/>
      <c r="E393" s="244"/>
      <c r="F393" s="244"/>
      <c r="G393" s="244"/>
      <c r="I393" s="244"/>
      <c r="J393" s="244"/>
      <c r="K393" s="246" t="e">
        <f t="shared" si="42"/>
        <v>#VALUE!</v>
      </c>
      <c r="L393" s="246" t="e">
        <f t="shared" si="43"/>
        <v>#VALUE!</v>
      </c>
      <c r="M393" s="247" t="e">
        <f t="shared" si="44"/>
        <v>#VALUE!</v>
      </c>
      <c r="N393" s="246" t="e">
        <f t="shared" si="45"/>
        <v>#VALUE!</v>
      </c>
      <c r="O393" s="247" t="e">
        <f t="shared" si="46"/>
        <v>#VALUE!</v>
      </c>
      <c r="P393" s="247">
        <f t="shared" si="47"/>
        <v>0</v>
      </c>
      <c r="Q393" s="247" t="e">
        <f t="shared" si="48"/>
        <v>#VALUE!</v>
      </c>
    </row>
    <row r="394" spans="1:17" ht="15" customHeight="1" x14ac:dyDescent="0.25">
      <c r="A394" s="244"/>
      <c r="B394" s="244"/>
      <c r="C394" s="244"/>
      <c r="D394" s="244"/>
      <c r="E394" s="244"/>
      <c r="F394" s="244"/>
      <c r="G394" s="244"/>
      <c r="I394" s="244"/>
      <c r="J394" s="244"/>
      <c r="K394" s="246" t="e">
        <f t="shared" si="42"/>
        <v>#VALUE!</v>
      </c>
      <c r="L394" s="246" t="e">
        <f t="shared" si="43"/>
        <v>#VALUE!</v>
      </c>
      <c r="M394" s="247" t="e">
        <f t="shared" si="44"/>
        <v>#VALUE!</v>
      </c>
      <c r="N394" s="246" t="e">
        <f t="shared" si="45"/>
        <v>#VALUE!</v>
      </c>
      <c r="O394" s="247" t="e">
        <f t="shared" si="46"/>
        <v>#VALUE!</v>
      </c>
      <c r="P394" s="247">
        <f t="shared" si="47"/>
        <v>0</v>
      </c>
      <c r="Q394" s="247" t="e">
        <f t="shared" si="48"/>
        <v>#VALUE!</v>
      </c>
    </row>
    <row r="395" spans="1:17" ht="15" customHeight="1" x14ac:dyDescent="0.25">
      <c r="A395" s="244"/>
      <c r="B395" s="244"/>
      <c r="C395" s="244"/>
      <c r="D395" s="244"/>
      <c r="E395" s="244"/>
      <c r="F395" s="244"/>
      <c r="G395" s="244"/>
      <c r="I395" s="244"/>
      <c r="J395" s="244"/>
      <c r="K395" s="246" t="e">
        <f t="shared" si="42"/>
        <v>#VALUE!</v>
      </c>
      <c r="L395" s="246" t="e">
        <f t="shared" si="43"/>
        <v>#VALUE!</v>
      </c>
      <c r="M395" s="247" t="e">
        <f t="shared" si="44"/>
        <v>#VALUE!</v>
      </c>
      <c r="N395" s="246" t="e">
        <f t="shared" si="45"/>
        <v>#VALUE!</v>
      </c>
      <c r="O395" s="247" t="e">
        <f t="shared" si="46"/>
        <v>#VALUE!</v>
      </c>
      <c r="P395" s="247">
        <f t="shared" si="47"/>
        <v>0</v>
      </c>
      <c r="Q395" s="247" t="e">
        <f t="shared" si="48"/>
        <v>#VALUE!</v>
      </c>
    </row>
    <row r="396" spans="1:17" ht="15" customHeight="1" x14ac:dyDescent="0.25">
      <c r="A396" s="244"/>
      <c r="B396" s="244"/>
      <c r="C396" s="244"/>
      <c r="D396" s="244"/>
      <c r="E396" s="244"/>
      <c r="F396" s="244"/>
      <c r="G396" s="244"/>
      <c r="I396" s="244"/>
      <c r="J396" s="244"/>
      <c r="K396" s="246" t="e">
        <f t="shared" si="42"/>
        <v>#VALUE!</v>
      </c>
      <c r="L396" s="246" t="e">
        <f t="shared" si="43"/>
        <v>#VALUE!</v>
      </c>
      <c r="M396" s="247" t="e">
        <f t="shared" si="44"/>
        <v>#VALUE!</v>
      </c>
      <c r="N396" s="246" t="e">
        <f t="shared" si="45"/>
        <v>#VALUE!</v>
      </c>
      <c r="O396" s="247" t="e">
        <f t="shared" si="46"/>
        <v>#VALUE!</v>
      </c>
      <c r="P396" s="247">
        <f t="shared" si="47"/>
        <v>0</v>
      </c>
      <c r="Q396" s="247" t="e">
        <f t="shared" si="48"/>
        <v>#VALUE!</v>
      </c>
    </row>
    <row r="397" spans="1:17" ht="15" customHeight="1" x14ac:dyDescent="0.25">
      <c r="A397" s="244"/>
      <c r="B397" s="244"/>
      <c r="C397" s="244"/>
      <c r="D397" s="244"/>
      <c r="E397" s="244"/>
      <c r="F397" s="244"/>
      <c r="G397" s="244"/>
      <c r="I397" s="244"/>
      <c r="J397" s="244"/>
      <c r="K397" s="246" t="e">
        <f t="shared" si="42"/>
        <v>#VALUE!</v>
      </c>
      <c r="L397" s="246" t="e">
        <f t="shared" si="43"/>
        <v>#VALUE!</v>
      </c>
      <c r="M397" s="247" t="e">
        <f t="shared" si="44"/>
        <v>#VALUE!</v>
      </c>
      <c r="N397" s="246" t="e">
        <f t="shared" si="45"/>
        <v>#VALUE!</v>
      </c>
      <c r="O397" s="247" t="e">
        <f t="shared" si="46"/>
        <v>#VALUE!</v>
      </c>
      <c r="P397" s="247">
        <f t="shared" si="47"/>
        <v>0</v>
      </c>
      <c r="Q397" s="247" t="e">
        <f t="shared" si="48"/>
        <v>#VALUE!</v>
      </c>
    </row>
    <row r="398" spans="1:17" ht="15" customHeight="1" x14ac:dyDescent="0.25">
      <c r="A398" s="244"/>
      <c r="B398" s="244"/>
      <c r="C398" s="244"/>
      <c r="D398" s="244"/>
      <c r="E398" s="244"/>
      <c r="F398" s="244"/>
      <c r="G398" s="244"/>
      <c r="I398" s="244"/>
      <c r="J398" s="244"/>
      <c r="K398" s="246" t="e">
        <f t="shared" si="42"/>
        <v>#VALUE!</v>
      </c>
      <c r="L398" s="246" t="e">
        <f t="shared" si="43"/>
        <v>#VALUE!</v>
      </c>
      <c r="M398" s="247" t="e">
        <f t="shared" si="44"/>
        <v>#VALUE!</v>
      </c>
      <c r="N398" s="246" t="e">
        <f t="shared" si="45"/>
        <v>#VALUE!</v>
      </c>
      <c r="O398" s="247" t="e">
        <f t="shared" si="46"/>
        <v>#VALUE!</v>
      </c>
      <c r="P398" s="247">
        <f t="shared" si="47"/>
        <v>0</v>
      </c>
      <c r="Q398" s="247" t="e">
        <f t="shared" si="48"/>
        <v>#VALUE!</v>
      </c>
    </row>
    <row r="399" spans="1:17" ht="15" customHeight="1" x14ac:dyDescent="0.25">
      <c r="A399" s="244"/>
      <c r="B399" s="244"/>
      <c r="C399" s="244"/>
      <c r="D399" s="244"/>
      <c r="E399" s="244"/>
      <c r="F399" s="244"/>
      <c r="G399" s="244"/>
      <c r="I399" s="244"/>
      <c r="J399" s="244"/>
      <c r="K399" s="246" t="e">
        <f t="shared" si="42"/>
        <v>#VALUE!</v>
      </c>
      <c r="L399" s="246" t="e">
        <f t="shared" si="43"/>
        <v>#VALUE!</v>
      </c>
      <c r="M399" s="247" t="e">
        <f t="shared" si="44"/>
        <v>#VALUE!</v>
      </c>
      <c r="N399" s="246" t="e">
        <f t="shared" si="45"/>
        <v>#VALUE!</v>
      </c>
      <c r="O399" s="247" t="e">
        <f t="shared" si="46"/>
        <v>#VALUE!</v>
      </c>
      <c r="P399" s="247">
        <f t="shared" si="47"/>
        <v>0</v>
      </c>
      <c r="Q399" s="247" t="e">
        <f t="shared" si="48"/>
        <v>#VALUE!</v>
      </c>
    </row>
    <row r="400" spans="1:17" ht="15" customHeight="1" x14ac:dyDescent="0.25">
      <c r="A400" s="244"/>
      <c r="B400" s="244"/>
      <c r="C400" s="244"/>
      <c r="D400" s="244"/>
      <c r="E400" s="244"/>
      <c r="F400" s="244"/>
      <c r="G400" s="244"/>
      <c r="I400" s="244"/>
      <c r="J400" s="244"/>
      <c r="K400" s="246" t="e">
        <f t="shared" si="42"/>
        <v>#VALUE!</v>
      </c>
      <c r="L400" s="246" t="e">
        <f t="shared" si="43"/>
        <v>#VALUE!</v>
      </c>
      <c r="M400" s="247" t="e">
        <f t="shared" si="44"/>
        <v>#VALUE!</v>
      </c>
      <c r="N400" s="246" t="e">
        <f t="shared" si="45"/>
        <v>#VALUE!</v>
      </c>
      <c r="O400" s="247" t="e">
        <f t="shared" si="46"/>
        <v>#VALUE!</v>
      </c>
      <c r="P400" s="247">
        <f t="shared" si="47"/>
        <v>0</v>
      </c>
      <c r="Q400" s="247" t="e">
        <f t="shared" si="48"/>
        <v>#VALUE!</v>
      </c>
    </row>
    <row r="401" spans="1:17" ht="15" customHeight="1" x14ac:dyDescent="0.25">
      <c r="A401" s="244"/>
      <c r="B401" s="244"/>
      <c r="C401" s="244"/>
      <c r="D401" s="244"/>
      <c r="E401" s="244"/>
      <c r="F401" s="244"/>
      <c r="G401" s="244"/>
      <c r="I401" s="244"/>
      <c r="J401" s="244"/>
      <c r="K401" s="246" t="e">
        <f t="shared" si="42"/>
        <v>#VALUE!</v>
      </c>
      <c r="L401" s="246" t="e">
        <f t="shared" si="43"/>
        <v>#VALUE!</v>
      </c>
      <c r="M401" s="247" t="e">
        <f t="shared" si="44"/>
        <v>#VALUE!</v>
      </c>
      <c r="N401" s="246" t="e">
        <f t="shared" si="45"/>
        <v>#VALUE!</v>
      </c>
      <c r="O401" s="247" t="e">
        <f t="shared" si="46"/>
        <v>#VALUE!</v>
      </c>
      <c r="P401" s="247">
        <f t="shared" si="47"/>
        <v>0</v>
      </c>
      <c r="Q401" s="247" t="e">
        <f t="shared" si="48"/>
        <v>#VALUE!</v>
      </c>
    </row>
    <row r="402" spans="1:17" ht="15" customHeight="1" x14ac:dyDescent="0.25">
      <c r="A402" s="244"/>
      <c r="B402" s="244"/>
      <c r="C402" s="244"/>
      <c r="D402" s="244"/>
      <c r="E402" s="244"/>
      <c r="F402" s="244"/>
      <c r="G402" s="244"/>
      <c r="I402" s="244"/>
      <c r="J402" s="244"/>
      <c r="K402" s="246" t="e">
        <f t="shared" si="42"/>
        <v>#VALUE!</v>
      </c>
      <c r="L402" s="246" t="e">
        <f t="shared" si="43"/>
        <v>#VALUE!</v>
      </c>
      <c r="M402" s="247" t="e">
        <f t="shared" si="44"/>
        <v>#VALUE!</v>
      </c>
      <c r="N402" s="246" t="e">
        <f t="shared" si="45"/>
        <v>#VALUE!</v>
      </c>
      <c r="O402" s="247" t="e">
        <f t="shared" si="46"/>
        <v>#VALUE!</v>
      </c>
      <c r="P402" s="247">
        <f t="shared" si="47"/>
        <v>0</v>
      </c>
      <c r="Q402" s="247" t="e">
        <f t="shared" si="48"/>
        <v>#VALUE!</v>
      </c>
    </row>
    <row r="403" spans="1:17" ht="15" customHeight="1" x14ac:dyDescent="0.25">
      <c r="A403" s="244"/>
      <c r="B403" s="244"/>
      <c r="C403" s="244"/>
      <c r="D403" s="244"/>
      <c r="E403" s="244"/>
      <c r="F403" s="244"/>
      <c r="G403" s="244"/>
      <c r="I403" s="244"/>
      <c r="J403" s="244"/>
      <c r="K403" s="246" t="e">
        <f t="shared" si="42"/>
        <v>#VALUE!</v>
      </c>
      <c r="L403" s="246" t="e">
        <f t="shared" si="43"/>
        <v>#VALUE!</v>
      </c>
      <c r="M403" s="247" t="e">
        <f t="shared" si="44"/>
        <v>#VALUE!</v>
      </c>
      <c r="N403" s="246" t="e">
        <f t="shared" si="45"/>
        <v>#VALUE!</v>
      </c>
      <c r="O403" s="247" t="e">
        <f t="shared" si="46"/>
        <v>#VALUE!</v>
      </c>
      <c r="P403" s="247">
        <f t="shared" si="47"/>
        <v>0</v>
      </c>
      <c r="Q403" s="247" t="e">
        <f t="shared" si="48"/>
        <v>#VALUE!</v>
      </c>
    </row>
    <row r="404" spans="1:17" ht="15" customHeight="1" x14ac:dyDescent="0.25">
      <c r="A404" s="244"/>
      <c r="B404" s="244"/>
      <c r="C404" s="244"/>
      <c r="D404" s="244"/>
      <c r="E404" s="244"/>
      <c r="F404" s="244"/>
      <c r="G404" s="244"/>
      <c r="I404" s="244"/>
      <c r="J404" s="244"/>
      <c r="K404" s="246" t="e">
        <f t="shared" si="42"/>
        <v>#VALUE!</v>
      </c>
      <c r="L404" s="246" t="e">
        <f t="shared" si="43"/>
        <v>#VALUE!</v>
      </c>
      <c r="M404" s="247" t="e">
        <f t="shared" si="44"/>
        <v>#VALUE!</v>
      </c>
      <c r="N404" s="246" t="e">
        <f t="shared" si="45"/>
        <v>#VALUE!</v>
      </c>
      <c r="O404" s="247" t="e">
        <f t="shared" si="46"/>
        <v>#VALUE!</v>
      </c>
      <c r="P404" s="247">
        <f t="shared" si="47"/>
        <v>0</v>
      </c>
      <c r="Q404" s="247" t="e">
        <f t="shared" si="48"/>
        <v>#VALUE!</v>
      </c>
    </row>
    <row r="405" spans="1:17" ht="15" customHeight="1" x14ac:dyDescent="0.25">
      <c r="A405" s="244"/>
      <c r="B405" s="244"/>
      <c r="C405" s="244"/>
      <c r="D405" s="244"/>
      <c r="E405" s="244"/>
      <c r="F405" s="244"/>
      <c r="G405" s="244"/>
      <c r="I405" s="244"/>
      <c r="J405" s="244"/>
      <c r="K405" s="246" t="e">
        <f t="shared" si="42"/>
        <v>#VALUE!</v>
      </c>
      <c r="L405" s="246" t="e">
        <f t="shared" si="43"/>
        <v>#VALUE!</v>
      </c>
      <c r="M405" s="247" t="e">
        <f t="shared" si="44"/>
        <v>#VALUE!</v>
      </c>
      <c r="N405" s="246" t="e">
        <f t="shared" si="45"/>
        <v>#VALUE!</v>
      </c>
      <c r="O405" s="247" t="e">
        <f t="shared" si="46"/>
        <v>#VALUE!</v>
      </c>
      <c r="P405" s="247">
        <f t="shared" si="47"/>
        <v>0</v>
      </c>
      <c r="Q405" s="247" t="e">
        <f t="shared" si="48"/>
        <v>#VALUE!</v>
      </c>
    </row>
    <row r="406" spans="1:17" ht="15" customHeight="1" x14ac:dyDescent="0.25">
      <c r="A406" s="244"/>
      <c r="B406" s="244"/>
      <c r="C406" s="244"/>
      <c r="D406" s="244"/>
      <c r="E406" s="244"/>
      <c r="F406" s="244"/>
      <c r="G406" s="244"/>
      <c r="I406" s="244"/>
      <c r="J406" s="244"/>
      <c r="K406" s="246" t="e">
        <f t="shared" si="42"/>
        <v>#VALUE!</v>
      </c>
      <c r="L406" s="246" t="e">
        <f t="shared" si="43"/>
        <v>#VALUE!</v>
      </c>
      <c r="M406" s="247" t="e">
        <f t="shared" si="44"/>
        <v>#VALUE!</v>
      </c>
      <c r="N406" s="246" t="e">
        <f t="shared" si="45"/>
        <v>#VALUE!</v>
      </c>
      <c r="O406" s="247" t="e">
        <f t="shared" si="46"/>
        <v>#VALUE!</v>
      </c>
      <c r="P406" s="247">
        <f t="shared" si="47"/>
        <v>0</v>
      </c>
      <c r="Q406" s="247" t="e">
        <f t="shared" si="48"/>
        <v>#VALUE!</v>
      </c>
    </row>
    <row r="407" spans="1:17" ht="15" customHeight="1" x14ac:dyDescent="0.25">
      <c r="A407" s="244"/>
      <c r="B407" s="244"/>
      <c r="C407" s="244"/>
      <c r="D407" s="244"/>
      <c r="E407" s="244"/>
      <c r="F407" s="244"/>
      <c r="G407" s="244"/>
      <c r="I407" s="244"/>
      <c r="J407" s="244"/>
      <c r="K407" s="246" t="e">
        <f t="shared" si="42"/>
        <v>#VALUE!</v>
      </c>
      <c r="L407" s="246" t="e">
        <f t="shared" si="43"/>
        <v>#VALUE!</v>
      </c>
      <c r="M407" s="247" t="e">
        <f t="shared" si="44"/>
        <v>#VALUE!</v>
      </c>
      <c r="N407" s="246" t="e">
        <f t="shared" si="45"/>
        <v>#VALUE!</v>
      </c>
      <c r="O407" s="247" t="e">
        <f t="shared" si="46"/>
        <v>#VALUE!</v>
      </c>
      <c r="P407" s="247">
        <f t="shared" si="47"/>
        <v>0</v>
      </c>
      <c r="Q407" s="247" t="e">
        <f t="shared" si="48"/>
        <v>#VALUE!</v>
      </c>
    </row>
    <row r="408" spans="1:17" ht="15" customHeight="1" x14ac:dyDescent="0.25">
      <c r="A408" s="244"/>
      <c r="B408" s="244"/>
      <c r="C408" s="244"/>
      <c r="D408" s="244"/>
      <c r="E408" s="244"/>
      <c r="F408" s="244"/>
      <c r="G408" s="244"/>
      <c r="I408" s="244"/>
      <c r="J408" s="244"/>
      <c r="K408" s="246" t="e">
        <f t="shared" si="42"/>
        <v>#VALUE!</v>
      </c>
      <c r="L408" s="246" t="e">
        <f t="shared" si="43"/>
        <v>#VALUE!</v>
      </c>
      <c r="M408" s="247" t="e">
        <f t="shared" si="44"/>
        <v>#VALUE!</v>
      </c>
      <c r="N408" s="246" t="e">
        <f t="shared" si="45"/>
        <v>#VALUE!</v>
      </c>
      <c r="O408" s="247" t="e">
        <f t="shared" si="46"/>
        <v>#VALUE!</v>
      </c>
      <c r="P408" s="247">
        <f t="shared" si="47"/>
        <v>0</v>
      </c>
      <c r="Q408" s="247" t="e">
        <f t="shared" si="48"/>
        <v>#VALUE!</v>
      </c>
    </row>
    <row r="409" spans="1:17" ht="15" customHeight="1" x14ac:dyDescent="0.25">
      <c r="A409" s="244"/>
      <c r="B409" s="244"/>
      <c r="C409" s="244"/>
      <c r="D409" s="244"/>
      <c r="E409" s="244"/>
      <c r="F409" s="244"/>
      <c r="G409" s="244"/>
      <c r="I409" s="244"/>
      <c r="J409" s="244"/>
      <c r="K409" s="246" t="e">
        <f t="shared" si="42"/>
        <v>#VALUE!</v>
      </c>
      <c r="L409" s="246" t="e">
        <f t="shared" si="43"/>
        <v>#VALUE!</v>
      </c>
      <c r="M409" s="247" t="e">
        <f t="shared" si="44"/>
        <v>#VALUE!</v>
      </c>
      <c r="N409" s="246" t="e">
        <f t="shared" si="45"/>
        <v>#VALUE!</v>
      </c>
      <c r="O409" s="247" t="e">
        <f t="shared" si="46"/>
        <v>#VALUE!</v>
      </c>
      <c r="P409" s="247">
        <f t="shared" si="47"/>
        <v>0</v>
      </c>
      <c r="Q409" s="247" t="e">
        <f t="shared" si="48"/>
        <v>#VALUE!</v>
      </c>
    </row>
    <row r="410" spans="1:17" ht="15" customHeight="1" x14ac:dyDescent="0.25">
      <c r="A410" s="244"/>
      <c r="B410" s="244"/>
      <c r="C410" s="244"/>
      <c r="D410" s="244"/>
      <c r="E410" s="244"/>
      <c r="F410" s="244"/>
      <c r="G410" s="244"/>
      <c r="I410" s="244"/>
      <c r="J410" s="244"/>
      <c r="K410" s="246" t="e">
        <f t="shared" si="42"/>
        <v>#VALUE!</v>
      </c>
      <c r="L410" s="246" t="e">
        <f t="shared" si="43"/>
        <v>#VALUE!</v>
      </c>
      <c r="M410" s="247" t="e">
        <f t="shared" si="44"/>
        <v>#VALUE!</v>
      </c>
      <c r="N410" s="246" t="e">
        <f t="shared" si="45"/>
        <v>#VALUE!</v>
      </c>
      <c r="O410" s="247" t="e">
        <f t="shared" si="46"/>
        <v>#VALUE!</v>
      </c>
      <c r="P410" s="247">
        <f t="shared" si="47"/>
        <v>0</v>
      </c>
      <c r="Q410" s="247" t="e">
        <f t="shared" si="48"/>
        <v>#VALUE!</v>
      </c>
    </row>
    <row r="411" spans="1:17" ht="15" customHeight="1" x14ac:dyDescent="0.25">
      <c r="A411" s="244"/>
      <c r="B411" s="244"/>
      <c r="C411" s="244"/>
      <c r="D411" s="244"/>
      <c r="E411" s="244"/>
      <c r="F411" s="244"/>
      <c r="G411" s="244"/>
      <c r="I411" s="244"/>
      <c r="J411" s="244"/>
      <c r="K411" s="246" t="e">
        <f t="shared" si="42"/>
        <v>#VALUE!</v>
      </c>
      <c r="L411" s="246" t="e">
        <f t="shared" si="43"/>
        <v>#VALUE!</v>
      </c>
      <c r="M411" s="247" t="e">
        <f t="shared" si="44"/>
        <v>#VALUE!</v>
      </c>
      <c r="N411" s="246" t="e">
        <f t="shared" si="45"/>
        <v>#VALUE!</v>
      </c>
      <c r="O411" s="247" t="e">
        <f t="shared" si="46"/>
        <v>#VALUE!</v>
      </c>
      <c r="P411" s="247">
        <f t="shared" si="47"/>
        <v>0</v>
      </c>
      <c r="Q411" s="247" t="e">
        <f t="shared" si="48"/>
        <v>#VALUE!</v>
      </c>
    </row>
    <row r="412" spans="1:17" ht="15" customHeight="1" x14ac:dyDescent="0.25">
      <c r="A412" s="244"/>
      <c r="B412" s="244"/>
      <c r="C412" s="244"/>
      <c r="D412" s="244"/>
      <c r="E412" s="244"/>
      <c r="F412" s="244"/>
      <c r="G412" s="244"/>
      <c r="I412" s="244"/>
      <c r="J412" s="244"/>
      <c r="K412" s="246" t="e">
        <f t="shared" si="42"/>
        <v>#VALUE!</v>
      </c>
      <c r="L412" s="246" t="e">
        <f t="shared" si="43"/>
        <v>#VALUE!</v>
      </c>
      <c r="M412" s="247" t="e">
        <f t="shared" si="44"/>
        <v>#VALUE!</v>
      </c>
      <c r="N412" s="246" t="e">
        <f t="shared" si="45"/>
        <v>#VALUE!</v>
      </c>
      <c r="O412" s="247" t="e">
        <f t="shared" si="46"/>
        <v>#VALUE!</v>
      </c>
      <c r="P412" s="247">
        <f t="shared" si="47"/>
        <v>0</v>
      </c>
      <c r="Q412" s="247" t="e">
        <f t="shared" si="48"/>
        <v>#VALUE!</v>
      </c>
    </row>
    <row r="413" spans="1:17" ht="15" customHeight="1" x14ac:dyDescent="0.25">
      <c r="A413" s="244"/>
      <c r="B413" s="244"/>
      <c r="C413" s="244"/>
      <c r="D413" s="244"/>
      <c r="E413" s="244"/>
      <c r="F413" s="244"/>
      <c r="G413" s="244"/>
      <c r="I413" s="244"/>
      <c r="J413" s="244"/>
      <c r="K413" s="246" t="e">
        <f t="shared" si="42"/>
        <v>#VALUE!</v>
      </c>
      <c r="L413" s="246" t="e">
        <f t="shared" si="43"/>
        <v>#VALUE!</v>
      </c>
      <c r="M413" s="247" t="e">
        <f t="shared" si="44"/>
        <v>#VALUE!</v>
      </c>
      <c r="N413" s="246" t="e">
        <f t="shared" si="45"/>
        <v>#VALUE!</v>
      </c>
      <c r="O413" s="247" t="e">
        <f t="shared" si="46"/>
        <v>#VALUE!</v>
      </c>
      <c r="P413" s="247">
        <f t="shared" si="47"/>
        <v>0</v>
      </c>
      <c r="Q413" s="247" t="e">
        <f t="shared" si="48"/>
        <v>#VALUE!</v>
      </c>
    </row>
    <row r="414" spans="1:17" ht="15" customHeight="1" x14ac:dyDescent="0.25">
      <c r="A414" s="244"/>
      <c r="B414" s="244"/>
      <c r="C414" s="244"/>
      <c r="D414" s="244"/>
      <c r="E414" s="244"/>
      <c r="F414" s="244"/>
      <c r="G414" s="244"/>
      <c r="I414" s="244"/>
      <c r="J414" s="244"/>
      <c r="K414" s="246" t="e">
        <f t="shared" si="42"/>
        <v>#VALUE!</v>
      </c>
      <c r="L414" s="246" t="e">
        <f t="shared" si="43"/>
        <v>#VALUE!</v>
      </c>
      <c r="M414" s="247" t="e">
        <f t="shared" si="44"/>
        <v>#VALUE!</v>
      </c>
      <c r="N414" s="246" t="e">
        <f t="shared" si="45"/>
        <v>#VALUE!</v>
      </c>
      <c r="O414" s="247" t="e">
        <f t="shared" si="46"/>
        <v>#VALUE!</v>
      </c>
      <c r="P414" s="247">
        <f t="shared" si="47"/>
        <v>0</v>
      </c>
      <c r="Q414" s="247" t="e">
        <f t="shared" si="48"/>
        <v>#VALUE!</v>
      </c>
    </row>
    <row r="415" spans="1:17" ht="15" customHeight="1" x14ac:dyDescent="0.25">
      <c r="A415" s="244"/>
      <c r="B415" s="244"/>
      <c r="C415" s="244"/>
      <c r="D415" s="244"/>
      <c r="E415" s="244"/>
      <c r="F415" s="244"/>
      <c r="G415" s="244"/>
      <c r="I415" s="244"/>
      <c r="J415" s="244"/>
      <c r="K415" s="246" t="e">
        <f t="shared" si="42"/>
        <v>#VALUE!</v>
      </c>
      <c r="L415" s="246" t="e">
        <f t="shared" si="43"/>
        <v>#VALUE!</v>
      </c>
      <c r="M415" s="247" t="e">
        <f t="shared" si="44"/>
        <v>#VALUE!</v>
      </c>
      <c r="N415" s="246" t="e">
        <f t="shared" si="45"/>
        <v>#VALUE!</v>
      </c>
      <c r="O415" s="247" t="e">
        <f t="shared" si="46"/>
        <v>#VALUE!</v>
      </c>
      <c r="P415" s="247">
        <f t="shared" si="47"/>
        <v>0</v>
      </c>
      <c r="Q415" s="247" t="e">
        <f t="shared" si="48"/>
        <v>#VALUE!</v>
      </c>
    </row>
    <row r="416" spans="1:17" ht="15" customHeight="1" x14ac:dyDescent="0.25">
      <c r="A416" s="244"/>
      <c r="B416" s="244"/>
      <c r="C416" s="244"/>
      <c r="D416" s="244"/>
      <c r="E416" s="244"/>
      <c r="F416" s="244"/>
      <c r="G416" s="244"/>
      <c r="I416" s="244"/>
      <c r="J416" s="244"/>
      <c r="K416" s="246" t="e">
        <f t="shared" si="42"/>
        <v>#VALUE!</v>
      </c>
      <c r="L416" s="246" t="e">
        <f t="shared" si="43"/>
        <v>#VALUE!</v>
      </c>
      <c r="M416" s="247" t="e">
        <f t="shared" si="44"/>
        <v>#VALUE!</v>
      </c>
      <c r="N416" s="246" t="e">
        <f t="shared" si="45"/>
        <v>#VALUE!</v>
      </c>
      <c r="O416" s="247" t="e">
        <f t="shared" si="46"/>
        <v>#VALUE!</v>
      </c>
      <c r="P416" s="247">
        <f t="shared" si="47"/>
        <v>0</v>
      </c>
      <c r="Q416" s="247" t="e">
        <f t="shared" si="48"/>
        <v>#VALUE!</v>
      </c>
    </row>
    <row r="417" spans="1:17" ht="15" customHeight="1" x14ac:dyDescent="0.25">
      <c r="A417" s="244"/>
      <c r="B417" s="244"/>
      <c r="C417" s="244"/>
      <c r="D417" s="244"/>
      <c r="E417" s="244"/>
      <c r="F417" s="244"/>
      <c r="G417" s="244"/>
      <c r="I417" s="244"/>
      <c r="J417" s="244"/>
      <c r="K417" s="246" t="e">
        <f t="shared" si="42"/>
        <v>#VALUE!</v>
      </c>
      <c r="L417" s="246" t="e">
        <f t="shared" si="43"/>
        <v>#VALUE!</v>
      </c>
      <c r="M417" s="247" t="e">
        <f t="shared" si="44"/>
        <v>#VALUE!</v>
      </c>
      <c r="N417" s="246" t="e">
        <f t="shared" si="45"/>
        <v>#VALUE!</v>
      </c>
      <c r="O417" s="247" t="e">
        <f t="shared" si="46"/>
        <v>#VALUE!</v>
      </c>
      <c r="P417" s="247">
        <f t="shared" si="47"/>
        <v>0</v>
      </c>
      <c r="Q417" s="247" t="e">
        <f t="shared" si="48"/>
        <v>#VALUE!</v>
      </c>
    </row>
    <row r="418" spans="1:17" ht="15" customHeight="1" x14ac:dyDescent="0.25">
      <c r="A418" s="244"/>
      <c r="B418" s="244"/>
      <c r="C418" s="244"/>
      <c r="D418" s="244"/>
      <c r="E418" s="244"/>
      <c r="F418" s="244"/>
      <c r="G418" s="244"/>
      <c r="I418" s="244"/>
      <c r="J418" s="244"/>
      <c r="K418" s="246" t="e">
        <f t="shared" si="42"/>
        <v>#VALUE!</v>
      </c>
      <c r="L418" s="246" t="e">
        <f t="shared" si="43"/>
        <v>#VALUE!</v>
      </c>
      <c r="M418" s="247" t="e">
        <f t="shared" si="44"/>
        <v>#VALUE!</v>
      </c>
      <c r="N418" s="246" t="e">
        <f t="shared" si="45"/>
        <v>#VALUE!</v>
      </c>
      <c r="O418" s="247" t="e">
        <f t="shared" si="46"/>
        <v>#VALUE!</v>
      </c>
      <c r="P418" s="247">
        <f t="shared" si="47"/>
        <v>0</v>
      </c>
      <c r="Q418" s="247" t="e">
        <f t="shared" si="48"/>
        <v>#VALUE!</v>
      </c>
    </row>
    <row r="419" spans="1:17" ht="15" customHeight="1" x14ac:dyDescent="0.25">
      <c r="A419" s="244"/>
      <c r="B419" s="244"/>
      <c r="C419" s="244"/>
      <c r="D419" s="244"/>
      <c r="E419" s="244"/>
      <c r="F419" s="244"/>
      <c r="G419" s="244"/>
      <c r="I419" s="244"/>
      <c r="J419" s="244"/>
      <c r="K419" s="246" t="e">
        <f t="shared" si="42"/>
        <v>#VALUE!</v>
      </c>
      <c r="L419" s="246" t="e">
        <f t="shared" si="43"/>
        <v>#VALUE!</v>
      </c>
      <c r="M419" s="247" t="e">
        <f t="shared" si="44"/>
        <v>#VALUE!</v>
      </c>
      <c r="N419" s="246" t="e">
        <f t="shared" si="45"/>
        <v>#VALUE!</v>
      </c>
      <c r="O419" s="247" t="e">
        <f t="shared" si="46"/>
        <v>#VALUE!</v>
      </c>
      <c r="P419" s="247">
        <f t="shared" si="47"/>
        <v>0</v>
      </c>
      <c r="Q419" s="247" t="e">
        <f t="shared" si="48"/>
        <v>#VALUE!</v>
      </c>
    </row>
    <row r="420" spans="1:17" ht="15" customHeight="1" x14ac:dyDescent="0.25">
      <c r="A420" s="244"/>
      <c r="B420" s="244"/>
      <c r="C420" s="244"/>
      <c r="D420" s="244"/>
      <c r="E420" s="244"/>
      <c r="F420" s="244"/>
      <c r="G420" s="244"/>
      <c r="I420" s="244"/>
      <c r="J420" s="244"/>
      <c r="K420" s="246" t="e">
        <f t="shared" si="42"/>
        <v>#VALUE!</v>
      </c>
      <c r="L420" s="246" t="e">
        <f t="shared" si="43"/>
        <v>#VALUE!</v>
      </c>
      <c r="M420" s="247" t="e">
        <f t="shared" si="44"/>
        <v>#VALUE!</v>
      </c>
      <c r="N420" s="246" t="e">
        <f t="shared" si="45"/>
        <v>#VALUE!</v>
      </c>
      <c r="O420" s="247" t="e">
        <f t="shared" si="46"/>
        <v>#VALUE!</v>
      </c>
      <c r="P420" s="247">
        <f t="shared" si="47"/>
        <v>0</v>
      </c>
      <c r="Q420" s="247" t="e">
        <f t="shared" si="48"/>
        <v>#VALUE!</v>
      </c>
    </row>
    <row r="421" spans="1:17" ht="15" customHeight="1" x14ac:dyDescent="0.25">
      <c r="A421" s="244"/>
      <c r="B421" s="244"/>
      <c r="C421" s="244"/>
      <c r="D421" s="244"/>
      <c r="E421" s="244"/>
      <c r="F421" s="244"/>
      <c r="G421" s="244"/>
      <c r="I421" s="244"/>
      <c r="J421" s="244"/>
      <c r="K421" s="246" t="e">
        <f t="shared" si="42"/>
        <v>#VALUE!</v>
      </c>
      <c r="L421" s="246" t="e">
        <f t="shared" si="43"/>
        <v>#VALUE!</v>
      </c>
      <c r="M421" s="247" t="e">
        <f t="shared" si="44"/>
        <v>#VALUE!</v>
      </c>
      <c r="N421" s="246" t="e">
        <f t="shared" si="45"/>
        <v>#VALUE!</v>
      </c>
      <c r="O421" s="247" t="e">
        <f t="shared" si="46"/>
        <v>#VALUE!</v>
      </c>
      <c r="P421" s="247">
        <f t="shared" si="47"/>
        <v>0</v>
      </c>
      <c r="Q421" s="247" t="e">
        <f t="shared" si="48"/>
        <v>#VALUE!</v>
      </c>
    </row>
    <row r="422" spans="1:17" ht="15" customHeight="1" x14ac:dyDescent="0.25">
      <c r="A422" s="244"/>
      <c r="B422" s="244"/>
      <c r="C422" s="244"/>
      <c r="D422" s="244"/>
      <c r="E422" s="244"/>
      <c r="F422" s="244"/>
      <c r="G422" s="244"/>
      <c r="I422" s="244"/>
      <c r="J422" s="244"/>
      <c r="K422" s="246" t="e">
        <f t="shared" si="42"/>
        <v>#VALUE!</v>
      </c>
      <c r="L422" s="246" t="e">
        <f t="shared" si="43"/>
        <v>#VALUE!</v>
      </c>
      <c r="M422" s="247" t="e">
        <f t="shared" si="44"/>
        <v>#VALUE!</v>
      </c>
      <c r="N422" s="246" t="e">
        <f t="shared" si="45"/>
        <v>#VALUE!</v>
      </c>
      <c r="O422" s="247" t="e">
        <f t="shared" si="46"/>
        <v>#VALUE!</v>
      </c>
      <c r="P422" s="247">
        <f t="shared" si="47"/>
        <v>0</v>
      </c>
      <c r="Q422" s="247" t="e">
        <f t="shared" si="48"/>
        <v>#VALUE!</v>
      </c>
    </row>
    <row r="423" spans="1:17" ht="15" customHeight="1" x14ac:dyDescent="0.25">
      <c r="A423" s="244"/>
      <c r="B423" s="244"/>
      <c r="C423" s="244"/>
      <c r="D423" s="244"/>
      <c r="E423" s="244"/>
      <c r="F423" s="244"/>
      <c r="G423" s="244"/>
      <c r="I423" s="244"/>
      <c r="J423" s="244"/>
      <c r="K423" s="246" t="e">
        <f t="shared" si="42"/>
        <v>#VALUE!</v>
      </c>
      <c r="L423" s="246" t="e">
        <f t="shared" si="43"/>
        <v>#VALUE!</v>
      </c>
      <c r="M423" s="247" t="e">
        <f t="shared" si="44"/>
        <v>#VALUE!</v>
      </c>
      <c r="N423" s="246" t="e">
        <f t="shared" si="45"/>
        <v>#VALUE!</v>
      </c>
      <c r="O423" s="247" t="e">
        <f t="shared" si="46"/>
        <v>#VALUE!</v>
      </c>
      <c r="P423" s="247">
        <f t="shared" si="47"/>
        <v>0</v>
      </c>
      <c r="Q423" s="247" t="e">
        <f t="shared" si="48"/>
        <v>#VALUE!</v>
      </c>
    </row>
    <row r="424" spans="1:17" ht="15" customHeight="1" x14ac:dyDescent="0.25">
      <c r="A424" s="244"/>
      <c r="B424" s="244"/>
      <c r="C424" s="244"/>
      <c r="D424" s="244"/>
      <c r="E424" s="244"/>
      <c r="F424" s="244"/>
      <c r="G424" s="244"/>
      <c r="I424" s="244"/>
      <c r="J424" s="244"/>
      <c r="K424" s="246" t="e">
        <f t="shared" si="42"/>
        <v>#VALUE!</v>
      </c>
      <c r="L424" s="246" t="e">
        <f t="shared" si="43"/>
        <v>#VALUE!</v>
      </c>
      <c r="M424" s="247" t="e">
        <f t="shared" si="44"/>
        <v>#VALUE!</v>
      </c>
      <c r="N424" s="246" t="e">
        <f t="shared" si="45"/>
        <v>#VALUE!</v>
      </c>
      <c r="O424" s="247" t="e">
        <f t="shared" si="46"/>
        <v>#VALUE!</v>
      </c>
      <c r="P424" s="247">
        <f t="shared" si="47"/>
        <v>0</v>
      </c>
      <c r="Q424" s="247" t="e">
        <f t="shared" si="48"/>
        <v>#VALUE!</v>
      </c>
    </row>
    <row r="425" spans="1:17" ht="15" customHeight="1" x14ac:dyDescent="0.25">
      <c r="A425" s="244"/>
      <c r="B425" s="244"/>
      <c r="C425" s="244"/>
      <c r="D425" s="244"/>
      <c r="E425" s="244"/>
      <c r="F425" s="244"/>
      <c r="G425" s="244"/>
      <c r="I425" s="244"/>
      <c r="J425" s="244"/>
      <c r="K425" s="246" t="e">
        <f t="shared" si="42"/>
        <v>#VALUE!</v>
      </c>
      <c r="L425" s="246" t="e">
        <f t="shared" si="43"/>
        <v>#VALUE!</v>
      </c>
      <c r="M425" s="247" t="e">
        <f t="shared" si="44"/>
        <v>#VALUE!</v>
      </c>
      <c r="N425" s="246" t="e">
        <f t="shared" si="45"/>
        <v>#VALUE!</v>
      </c>
      <c r="O425" s="247" t="e">
        <f t="shared" si="46"/>
        <v>#VALUE!</v>
      </c>
      <c r="P425" s="247">
        <f t="shared" si="47"/>
        <v>0</v>
      </c>
      <c r="Q425" s="247" t="e">
        <f t="shared" si="48"/>
        <v>#VALUE!</v>
      </c>
    </row>
    <row r="426" spans="1:17" ht="15" customHeight="1" x14ac:dyDescent="0.25">
      <c r="A426" s="244"/>
      <c r="B426" s="244"/>
      <c r="C426" s="244"/>
      <c r="D426" s="244"/>
      <c r="E426" s="244"/>
      <c r="F426" s="244"/>
      <c r="G426" s="244"/>
      <c r="I426" s="244"/>
      <c r="J426" s="244"/>
      <c r="K426" s="246" t="e">
        <f t="shared" si="42"/>
        <v>#VALUE!</v>
      </c>
      <c r="L426" s="246" t="e">
        <f t="shared" si="43"/>
        <v>#VALUE!</v>
      </c>
      <c r="M426" s="247" t="e">
        <f t="shared" si="44"/>
        <v>#VALUE!</v>
      </c>
      <c r="N426" s="246" t="e">
        <f t="shared" si="45"/>
        <v>#VALUE!</v>
      </c>
      <c r="O426" s="247" t="e">
        <f t="shared" si="46"/>
        <v>#VALUE!</v>
      </c>
      <c r="P426" s="247">
        <f t="shared" si="47"/>
        <v>0</v>
      </c>
      <c r="Q426" s="247" t="e">
        <f t="shared" si="48"/>
        <v>#VALUE!</v>
      </c>
    </row>
    <row r="427" spans="1:17" ht="15" customHeight="1" x14ac:dyDescent="0.25">
      <c r="A427" s="244"/>
      <c r="B427" s="244"/>
      <c r="C427" s="244"/>
      <c r="D427" s="244"/>
      <c r="E427" s="244"/>
      <c r="F427" s="244"/>
      <c r="G427" s="244"/>
      <c r="I427" s="244"/>
      <c r="J427" s="244"/>
      <c r="K427" s="246" t="e">
        <f t="shared" si="42"/>
        <v>#VALUE!</v>
      </c>
      <c r="L427" s="246" t="e">
        <f t="shared" si="43"/>
        <v>#VALUE!</v>
      </c>
      <c r="M427" s="247" t="e">
        <f t="shared" si="44"/>
        <v>#VALUE!</v>
      </c>
      <c r="N427" s="246" t="e">
        <f t="shared" si="45"/>
        <v>#VALUE!</v>
      </c>
      <c r="O427" s="247" t="e">
        <f t="shared" si="46"/>
        <v>#VALUE!</v>
      </c>
      <c r="P427" s="247">
        <f t="shared" si="47"/>
        <v>0</v>
      </c>
      <c r="Q427" s="247" t="e">
        <f t="shared" si="48"/>
        <v>#VALUE!</v>
      </c>
    </row>
    <row r="428" spans="1:17" ht="15" customHeight="1" x14ac:dyDescent="0.25">
      <c r="A428" s="244"/>
      <c r="B428" s="244"/>
      <c r="C428" s="244"/>
      <c r="D428" s="244"/>
      <c r="E428" s="244"/>
      <c r="F428" s="244"/>
      <c r="G428" s="244"/>
      <c r="I428" s="244"/>
      <c r="J428" s="244"/>
      <c r="K428" s="246" t="e">
        <f t="shared" si="42"/>
        <v>#VALUE!</v>
      </c>
      <c r="L428" s="246" t="e">
        <f t="shared" si="43"/>
        <v>#VALUE!</v>
      </c>
      <c r="M428" s="247" t="e">
        <f t="shared" si="44"/>
        <v>#VALUE!</v>
      </c>
      <c r="N428" s="246" t="e">
        <f t="shared" si="45"/>
        <v>#VALUE!</v>
      </c>
      <c r="O428" s="247" t="e">
        <f t="shared" si="46"/>
        <v>#VALUE!</v>
      </c>
      <c r="P428" s="247">
        <f t="shared" si="47"/>
        <v>0</v>
      </c>
      <c r="Q428" s="247" t="e">
        <f t="shared" si="48"/>
        <v>#VALUE!</v>
      </c>
    </row>
    <row r="429" spans="1:17" ht="15" customHeight="1" x14ac:dyDescent="0.25">
      <c r="A429" s="244"/>
      <c r="B429" s="244"/>
      <c r="C429" s="244"/>
      <c r="D429" s="244"/>
      <c r="E429" s="244"/>
      <c r="F429" s="244"/>
      <c r="G429" s="244"/>
      <c r="I429" s="244"/>
      <c r="J429" s="244"/>
      <c r="K429" s="246" t="e">
        <f t="shared" si="42"/>
        <v>#VALUE!</v>
      </c>
      <c r="L429" s="246" t="e">
        <f t="shared" si="43"/>
        <v>#VALUE!</v>
      </c>
      <c r="M429" s="247" t="e">
        <f t="shared" si="44"/>
        <v>#VALUE!</v>
      </c>
      <c r="N429" s="246" t="e">
        <f t="shared" si="45"/>
        <v>#VALUE!</v>
      </c>
      <c r="O429" s="247" t="e">
        <f t="shared" si="46"/>
        <v>#VALUE!</v>
      </c>
      <c r="P429" s="247">
        <f t="shared" si="47"/>
        <v>0</v>
      </c>
      <c r="Q429" s="247" t="e">
        <f t="shared" si="48"/>
        <v>#VALUE!</v>
      </c>
    </row>
    <row r="430" spans="1:17" ht="15" customHeight="1" x14ac:dyDescent="0.25">
      <c r="A430" s="244"/>
      <c r="B430" s="244"/>
      <c r="C430" s="244"/>
      <c r="D430" s="244"/>
      <c r="E430" s="244"/>
      <c r="F430" s="244"/>
      <c r="G430" s="244"/>
      <c r="I430" s="244"/>
      <c r="J430" s="244"/>
      <c r="K430" s="246" t="e">
        <f t="shared" si="42"/>
        <v>#VALUE!</v>
      </c>
      <c r="L430" s="246" t="e">
        <f t="shared" si="43"/>
        <v>#VALUE!</v>
      </c>
      <c r="M430" s="247" t="e">
        <f t="shared" si="44"/>
        <v>#VALUE!</v>
      </c>
      <c r="N430" s="246" t="e">
        <f t="shared" si="45"/>
        <v>#VALUE!</v>
      </c>
      <c r="O430" s="247" t="e">
        <f t="shared" si="46"/>
        <v>#VALUE!</v>
      </c>
      <c r="P430" s="247">
        <f t="shared" si="47"/>
        <v>0</v>
      </c>
      <c r="Q430" s="247" t="e">
        <f t="shared" si="48"/>
        <v>#VALUE!</v>
      </c>
    </row>
    <row r="431" spans="1:17" ht="15" customHeight="1" x14ac:dyDescent="0.25">
      <c r="A431" s="244"/>
      <c r="B431" s="244"/>
      <c r="C431" s="244"/>
      <c r="D431" s="244"/>
      <c r="E431" s="244"/>
      <c r="F431" s="244"/>
      <c r="G431" s="244"/>
      <c r="I431" s="244"/>
      <c r="J431" s="244"/>
      <c r="K431" s="246" t="e">
        <f t="shared" si="42"/>
        <v>#VALUE!</v>
      </c>
      <c r="L431" s="246" t="e">
        <f t="shared" si="43"/>
        <v>#VALUE!</v>
      </c>
      <c r="M431" s="247" t="e">
        <f t="shared" si="44"/>
        <v>#VALUE!</v>
      </c>
      <c r="N431" s="246" t="e">
        <f t="shared" si="45"/>
        <v>#VALUE!</v>
      </c>
      <c r="O431" s="247" t="e">
        <f t="shared" si="46"/>
        <v>#VALUE!</v>
      </c>
      <c r="P431" s="247">
        <f t="shared" si="47"/>
        <v>0</v>
      </c>
      <c r="Q431" s="247" t="e">
        <f t="shared" si="48"/>
        <v>#VALUE!</v>
      </c>
    </row>
    <row r="432" spans="1:17" ht="15" customHeight="1" x14ac:dyDescent="0.25">
      <c r="A432" s="244"/>
      <c r="B432" s="244"/>
      <c r="C432" s="244"/>
      <c r="D432" s="244"/>
      <c r="E432" s="244"/>
      <c r="F432" s="244"/>
      <c r="G432" s="244"/>
      <c r="I432" s="244"/>
      <c r="J432" s="244"/>
      <c r="K432" s="246" t="e">
        <f t="shared" si="42"/>
        <v>#VALUE!</v>
      </c>
      <c r="L432" s="246" t="e">
        <f t="shared" si="43"/>
        <v>#VALUE!</v>
      </c>
      <c r="M432" s="247" t="e">
        <f t="shared" si="44"/>
        <v>#VALUE!</v>
      </c>
      <c r="N432" s="246" t="e">
        <f t="shared" si="45"/>
        <v>#VALUE!</v>
      </c>
      <c r="O432" s="247" t="e">
        <f t="shared" si="46"/>
        <v>#VALUE!</v>
      </c>
      <c r="P432" s="247">
        <f t="shared" si="47"/>
        <v>0</v>
      </c>
      <c r="Q432" s="247" t="e">
        <f t="shared" si="48"/>
        <v>#VALUE!</v>
      </c>
    </row>
    <row r="433" spans="1:17" ht="15" customHeight="1" x14ac:dyDescent="0.25">
      <c r="A433" s="244"/>
      <c r="B433" s="244"/>
      <c r="C433" s="244"/>
      <c r="D433" s="244"/>
      <c r="E433" s="244"/>
      <c r="F433" s="244"/>
      <c r="G433" s="244"/>
      <c r="I433" s="244"/>
      <c r="J433" s="244"/>
      <c r="K433" s="246" t="e">
        <f t="shared" si="42"/>
        <v>#VALUE!</v>
      </c>
      <c r="L433" s="246" t="e">
        <f t="shared" si="43"/>
        <v>#VALUE!</v>
      </c>
      <c r="M433" s="247" t="e">
        <f t="shared" si="44"/>
        <v>#VALUE!</v>
      </c>
      <c r="N433" s="246" t="e">
        <f t="shared" si="45"/>
        <v>#VALUE!</v>
      </c>
      <c r="O433" s="247" t="e">
        <f t="shared" si="46"/>
        <v>#VALUE!</v>
      </c>
      <c r="P433" s="247">
        <f t="shared" si="47"/>
        <v>0</v>
      </c>
      <c r="Q433" s="247" t="e">
        <f t="shared" si="48"/>
        <v>#VALUE!</v>
      </c>
    </row>
    <row r="434" spans="1:17" ht="15" customHeight="1" x14ac:dyDescent="0.25">
      <c r="A434" s="244"/>
      <c r="B434" s="244"/>
      <c r="C434" s="244"/>
      <c r="D434" s="244"/>
      <c r="E434" s="244"/>
      <c r="F434" s="244"/>
      <c r="G434" s="244"/>
      <c r="I434" s="244"/>
      <c r="J434" s="244"/>
      <c r="K434" s="246" t="e">
        <f t="shared" si="42"/>
        <v>#VALUE!</v>
      </c>
      <c r="L434" s="246" t="e">
        <f t="shared" si="43"/>
        <v>#VALUE!</v>
      </c>
      <c r="M434" s="247" t="e">
        <f t="shared" si="44"/>
        <v>#VALUE!</v>
      </c>
      <c r="N434" s="246" t="e">
        <f t="shared" si="45"/>
        <v>#VALUE!</v>
      </c>
      <c r="O434" s="247" t="e">
        <f t="shared" si="46"/>
        <v>#VALUE!</v>
      </c>
      <c r="P434" s="247">
        <f t="shared" si="47"/>
        <v>0</v>
      </c>
      <c r="Q434" s="247" t="e">
        <f t="shared" si="48"/>
        <v>#VALUE!</v>
      </c>
    </row>
    <row r="435" spans="1:17" ht="15" customHeight="1" x14ac:dyDescent="0.25">
      <c r="A435" s="244"/>
      <c r="B435" s="244"/>
      <c r="C435" s="244"/>
      <c r="D435" s="244"/>
      <c r="E435" s="244"/>
      <c r="F435" s="244"/>
      <c r="G435" s="244"/>
      <c r="I435" s="244"/>
      <c r="J435" s="244"/>
      <c r="K435" s="246" t="e">
        <f t="shared" si="42"/>
        <v>#VALUE!</v>
      </c>
      <c r="L435" s="246" t="e">
        <f t="shared" si="43"/>
        <v>#VALUE!</v>
      </c>
      <c r="M435" s="247" t="e">
        <f t="shared" si="44"/>
        <v>#VALUE!</v>
      </c>
      <c r="N435" s="246" t="e">
        <f t="shared" si="45"/>
        <v>#VALUE!</v>
      </c>
      <c r="O435" s="247" t="e">
        <f t="shared" si="46"/>
        <v>#VALUE!</v>
      </c>
      <c r="P435" s="247">
        <f t="shared" si="47"/>
        <v>0</v>
      </c>
      <c r="Q435" s="247" t="e">
        <f t="shared" si="48"/>
        <v>#VALUE!</v>
      </c>
    </row>
    <row r="436" spans="1:17" ht="15" customHeight="1" x14ac:dyDescent="0.25">
      <c r="A436" s="244"/>
      <c r="B436" s="244"/>
      <c r="C436" s="244"/>
      <c r="D436" s="244"/>
      <c r="E436" s="244"/>
      <c r="F436" s="244"/>
      <c r="G436" s="244"/>
      <c r="I436" s="244"/>
      <c r="J436" s="244"/>
      <c r="K436" s="246" t="e">
        <f t="shared" si="42"/>
        <v>#VALUE!</v>
      </c>
      <c r="L436" s="246" t="e">
        <f t="shared" si="43"/>
        <v>#VALUE!</v>
      </c>
      <c r="M436" s="247" t="e">
        <f t="shared" si="44"/>
        <v>#VALUE!</v>
      </c>
      <c r="N436" s="246" t="e">
        <f t="shared" si="45"/>
        <v>#VALUE!</v>
      </c>
      <c r="O436" s="247" t="e">
        <f t="shared" si="46"/>
        <v>#VALUE!</v>
      </c>
      <c r="P436" s="247">
        <f t="shared" si="47"/>
        <v>0</v>
      </c>
      <c r="Q436" s="247" t="e">
        <f t="shared" si="48"/>
        <v>#VALUE!</v>
      </c>
    </row>
    <row r="437" spans="1:17" ht="15" customHeight="1" x14ac:dyDescent="0.25">
      <c r="A437" s="244"/>
      <c r="B437" s="244"/>
      <c r="C437" s="244"/>
      <c r="D437" s="244"/>
      <c r="E437" s="244"/>
      <c r="F437" s="244"/>
      <c r="G437" s="244"/>
      <c r="I437" s="244"/>
      <c r="J437" s="244"/>
      <c r="K437" s="246" t="e">
        <f t="shared" si="42"/>
        <v>#VALUE!</v>
      </c>
      <c r="L437" s="246" t="e">
        <f t="shared" si="43"/>
        <v>#VALUE!</v>
      </c>
      <c r="M437" s="247" t="e">
        <f t="shared" si="44"/>
        <v>#VALUE!</v>
      </c>
      <c r="N437" s="246" t="e">
        <f t="shared" si="45"/>
        <v>#VALUE!</v>
      </c>
      <c r="O437" s="247" t="e">
        <f t="shared" si="46"/>
        <v>#VALUE!</v>
      </c>
      <c r="P437" s="247">
        <f t="shared" si="47"/>
        <v>0</v>
      </c>
      <c r="Q437" s="247" t="e">
        <f t="shared" si="48"/>
        <v>#VALUE!</v>
      </c>
    </row>
    <row r="438" spans="1:17" ht="15" customHeight="1" x14ac:dyDescent="0.25">
      <c r="A438" s="244"/>
      <c r="B438" s="244"/>
      <c r="C438" s="244"/>
      <c r="D438" s="244"/>
      <c r="E438" s="244"/>
      <c r="F438" s="244"/>
      <c r="G438" s="244"/>
      <c r="I438" s="244"/>
      <c r="J438" s="244"/>
      <c r="K438" s="246" t="e">
        <f t="shared" si="42"/>
        <v>#VALUE!</v>
      </c>
      <c r="L438" s="246" t="e">
        <f t="shared" si="43"/>
        <v>#VALUE!</v>
      </c>
      <c r="M438" s="247" t="e">
        <f t="shared" si="44"/>
        <v>#VALUE!</v>
      </c>
      <c r="N438" s="246" t="e">
        <f t="shared" si="45"/>
        <v>#VALUE!</v>
      </c>
      <c r="O438" s="247" t="e">
        <f t="shared" si="46"/>
        <v>#VALUE!</v>
      </c>
      <c r="P438" s="247">
        <f t="shared" si="47"/>
        <v>0</v>
      </c>
      <c r="Q438" s="247" t="e">
        <f t="shared" si="48"/>
        <v>#VALUE!</v>
      </c>
    </row>
    <row r="439" spans="1:17" ht="15" customHeight="1" x14ac:dyDescent="0.25">
      <c r="A439" s="244"/>
      <c r="B439" s="244"/>
      <c r="C439" s="244"/>
      <c r="D439" s="244"/>
      <c r="E439" s="244"/>
      <c r="F439" s="244"/>
      <c r="G439" s="244"/>
      <c r="I439" s="244"/>
      <c r="J439" s="244"/>
      <c r="K439" s="246" t="e">
        <f t="shared" si="42"/>
        <v>#VALUE!</v>
      </c>
      <c r="L439" s="246" t="e">
        <f t="shared" si="43"/>
        <v>#VALUE!</v>
      </c>
      <c r="M439" s="247" t="e">
        <f t="shared" si="44"/>
        <v>#VALUE!</v>
      </c>
      <c r="N439" s="246" t="e">
        <f t="shared" si="45"/>
        <v>#VALUE!</v>
      </c>
      <c r="O439" s="247" t="e">
        <f t="shared" si="46"/>
        <v>#VALUE!</v>
      </c>
      <c r="P439" s="247">
        <f t="shared" si="47"/>
        <v>0</v>
      </c>
      <c r="Q439" s="247" t="e">
        <f t="shared" si="48"/>
        <v>#VALUE!</v>
      </c>
    </row>
    <row r="440" spans="1:17" ht="15" customHeight="1" x14ac:dyDescent="0.25">
      <c r="A440" s="244"/>
      <c r="B440" s="244"/>
      <c r="C440" s="244"/>
      <c r="D440" s="244"/>
      <c r="E440" s="244"/>
      <c r="F440" s="244"/>
      <c r="G440" s="244"/>
      <c r="I440" s="244"/>
      <c r="J440" s="244"/>
      <c r="K440" s="246" t="e">
        <f t="shared" si="42"/>
        <v>#VALUE!</v>
      </c>
      <c r="L440" s="246" t="e">
        <f t="shared" si="43"/>
        <v>#VALUE!</v>
      </c>
      <c r="M440" s="247" t="e">
        <f t="shared" si="44"/>
        <v>#VALUE!</v>
      </c>
      <c r="N440" s="246" t="e">
        <f t="shared" si="45"/>
        <v>#VALUE!</v>
      </c>
      <c r="O440" s="247" t="e">
        <f t="shared" si="46"/>
        <v>#VALUE!</v>
      </c>
      <c r="P440" s="247">
        <f t="shared" si="47"/>
        <v>0</v>
      </c>
      <c r="Q440" s="247" t="e">
        <f t="shared" si="48"/>
        <v>#VALUE!</v>
      </c>
    </row>
    <row r="441" spans="1:17" ht="15" customHeight="1" x14ac:dyDescent="0.25">
      <c r="A441" s="244"/>
      <c r="B441" s="244"/>
      <c r="C441" s="244"/>
      <c r="D441" s="244"/>
      <c r="E441" s="244"/>
      <c r="F441" s="244"/>
      <c r="G441" s="244"/>
      <c r="I441" s="244"/>
      <c r="J441" s="244"/>
      <c r="K441" s="246" t="e">
        <f t="shared" si="42"/>
        <v>#VALUE!</v>
      </c>
      <c r="L441" s="246" t="e">
        <f t="shared" si="43"/>
        <v>#VALUE!</v>
      </c>
      <c r="M441" s="247" t="e">
        <f t="shared" si="44"/>
        <v>#VALUE!</v>
      </c>
      <c r="N441" s="246" t="e">
        <f t="shared" si="45"/>
        <v>#VALUE!</v>
      </c>
      <c r="O441" s="247" t="e">
        <f t="shared" si="46"/>
        <v>#VALUE!</v>
      </c>
      <c r="P441" s="247">
        <f t="shared" si="47"/>
        <v>0</v>
      </c>
      <c r="Q441" s="247" t="e">
        <f t="shared" si="48"/>
        <v>#VALUE!</v>
      </c>
    </row>
    <row r="442" spans="1:17" ht="15" customHeight="1" x14ac:dyDescent="0.25">
      <c r="A442" s="244"/>
      <c r="B442" s="244"/>
      <c r="C442" s="244"/>
      <c r="D442" s="244"/>
      <c r="E442" s="244"/>
      <c r="F442" s="244"/>
      <c r="G442" s="244"/>
      <c r="I442" s="244"/>
      <c r="J442" s="244"/>
      <c r="K442" s="246" t="e">
        <f t="shared" si="42"/>
        <v>#VALUE!</v>
      </c>
      <c r="L442" s="246" t="e">
        <f t="shared" si="43"/>
        <v>#VALUE!</v>
      </c>
      <c r="M442" s="247" t="e">
        <f t="shared" si="44"/>
        <v>#VALUE!</v>
      </c>
      <c r="N442" s="246" t="e">
        <f t="shared" si="45"/>
        <v>#VALUE!</v>
      </c>
      <c r="O442" s="247" t="e">
        <f t="shared" si="46"/>
        <v>#VALUE!</v>
      </c>
      <c r="P442" s="247">
        <f t="shared" si="47"/>
        <v>0</v>
      </c>
      <c r="Q442" s="247" t="e">
        <f t="shared" si="48"/>
        <v>#VALUE!</v>
      </c>
    </row>
    <row r="443" spans="1:17" ht="15" customHeight="1" x14ac:dyDescent="0.25">
      <c r="A443" s="244"/>
      <c r="B443" s="244"/>
      <c r="C443" s="244"/>
      <c r="D443" s="244"/>
      <c r="E443" s="244"/>
      <c r="F443" s="244"/>
      <c r="G443" s="244"/>
      <c r="I443" s="244"/>
      <c r="J443" s="244"/>
      <c r="K443" s="246" t="e">
        <f t="shared" si="42"/>
        <v>#VALUE!</v>
      </c>
      <c r="L443" s="246" t="e">
        <f t="shared" si="43"/>
        <v>#VALUE!</v>
      </c>
      <c r="M443" s="247" t="e">
        <f t="shared" si="44"/>
        <v>#VALUE!</v>
      </c>
      <c r="N443" s="246" t="e">
        <f t="shared" si="45"/>
        <v>#VALUE!</v>
      </c>
      <c r="O443" s="247" t="e">
        <f t="shared" si="46"/>
        <v>#VALUE!</v>
      </c>
      <c r="P443" s="247">
        <f t="shared" si="47"/>
        <v>0</v>
      </c>
      <c r="Q443" s="247" t="e">
        <f t="shared" si="48"/>
        <v>#VALUE!</v>
      </c>
    </row>
    <row r="444" spans="1:17" ht="15" customHeight="1" x14ac:dyDescent="0.25">
      <c r="A444" s="244"/>
      <c r="B444" s="244"/>
      <c r="C444" s="244"/>
      <c r="D444" s="244"/>
      <c r="E444" s="244"/>
      <c r="F444" s="244"/>
      <c r="G444" s="244"/>
      <c r="I444" s="244"/>
      <c r="J444" s="244"/>
      <c r="K444" s="246" t="e">
        <f t="shared" si="42"/>
        <v>#VALUE!</v>
      </c>
      <c r="L444" s="246" t="e">
        <f t="shared" si="43"/>
        <v>#VALUE!</v>
      </c>
      <c r="M444" s="247" t="e">
        <f t="shared" si="44"/>
        <v>#VALUE!</v>
      </c>
      <c r="N444" s="246" t="e">
        <f t="shared" si="45"/>
        <v>#VALUE!</v>
      </c>
      <c r="O444" s="247" t="e">
        <f t="shared" si="46"/>
        <v>#VALUE!</v>
      </c>
      <c r="P444" s="247">
        <f t="shared" si="47"/>
        <v>0</v>
      </c>
      <c r="Q444" s="247" t="e">
        <f t="shared" si="48"/>
        <v>#VALUE!</v>
      </c>
    </row>
    <row r="445" spans="1:17" ht="15" customHeight="1" x14ac:dyDescent="0.25">
      <c r="A445" s="244"/>
      <c r="B445" s="244"/>
      <c r="C445" s="244"/>
      <c r="D445" s="244"/>
      <c r="E445" s="244"/>
      <c r="F445" s="244"/>
      <c r="G445" s="244"/>
      <c r="I445" s="244"/>
      <c r="J445" s="244"/>
      <c r="K445" s="246" t="e">
        <f t="shared" si="42"/>
        <v>#VALUE!</v>
      </c>
      <c r="L445" s="246" t="e">
        <f t="shared" si="43"/>
        <v>#VALUE!</v>
      </c>
      <c r="M445" s="247" t="e">
        <f t="shared" si="44"/>
        <v>#VALUE!</v>
      </c>
      <c r="N445" s="246" t="e">
        <f t="shared" si="45"/>
        <v>#VALUE!</v>
      </c>
      <c r="O445" s="247" t="e">
        <f t="shared" si="46"/>
        <v>#VALUE!</v>
      </c>
      <c r="P445" s="247">
        <f t="shared" si="47"/>
        <v>0</v>
      </c>
      <c r="Q445" s="247" t="e">
        <f t="shared" si="48"/>
        <v>#VALUE!</v>
      </c>
    </row>
    <row r="446" spans="1:17" ht="15" customHeight="1" x14ac:dyDescent="0.25">
      <c r="A446" s="244"/>
      <c r="B446" s="244"/>
      <c r="C446" s="244"/>
      <c r="D446" s="244"/>
      <c r="E446" s="244"/>
      <c r="F446" s="244"/>
      <c r="G446" s="244"/>
      <c r="I446" s="244"/>
      <c r="J446" s="244"/>
      <c r="K446" s="246" t="e">
        <f t="shared" si="42"/>
        <v>#VALUE!</v>
      </c>
      <c r="L446" s="246" t="e">
        <f t="shared" si="43"/>
        <v>#VALUE!</v>
      </c>
      <c r="M446" s="247" t="e">
        <f t="shared" si="44"/>
        <v>#VALUE!</v>
      </c>
      <c r="N446" s="246" t="e">
        <f t="shared" si="45"/>
        <v>#VALUE!</v>
      </c>
      <c r="O446" s="247" t="e">
        <f t="shared" si="46"/>
        <v>#VALUE!</v>
      </c>
      <c r="P446" s="247">
        <f t="shared" si="47"/>
        <v>0</v>
      </c>
      <c r="Q446" s="247" t="e">
        <f t="shared" si="48"/>
        <v>#VALUE!</v>
      </c>
    </row>
    <row r="447" spans="1:17" ht="15" customHeight="1" x14ac:dyDescent="0.25">
      <c r="A447" s="244"/>
      <c r="B447" s="244"/>
      <c r="C447" s="244"/>
      <c r="D447" s="244"/>
      <c r="E447" s="244"/>
      <c r="F447" s="244"/>
      <c r="G447" s="244"/>
      <c r="I447" s="244"/>
      <c r="J447" s="244"/>
      <c r="K447" s="246" t="e">
        <f t="shared" si="42"/>
        <v>#VALUE!</v>
      </c>
      <c r="L447" s="246" t="e">
        <f t="shared" si="43"/>
        <v>#VALUE!</v>
      </c>
      <c r="M447" s="247" t="e">
        <f t="shared" si="44"/>
        <v>#VALUE!</v>
      </c>
      <c r="N447" s="246" t="e">
        <f t="shared" si="45"/>
        <v>#VALUE!</v>
      </c>
      <c r="O447" s="247" t="e">
        <f t="shared" si="46"/>
        <v>#VALUE!</v>
      </c>
      <c r="P447" s="247">
        <f t="shared" si="47"/>
        <v>0</v>
      </c>
      <c r="Q447" s="247" t="e">
        <f t="shared" si="48"/>
        <v>#VALUE!</v>
      </c>
    </row>
    <row r="448" spans="1:17" ht="15" customHeight="1" x14ac:dyDescent="0.25">
      <c r="A448" s="244"/>
      <c r="B448" s="244"/>
      <c r="C448" s="244"/>
      <c r="D448" s="244"/>
      <c r="E448" s="244"/>
      <c r="F448" s="244"/>
      <c r="G448" s="244"/>
      <c r="I448" s="244"/>
      <c r="J448" s="244"/>
      <c r="K448" s="246" t="e">
        <f t="shared" si="42"/>
        <v>#VALUE!</v>
      </c>
      <c r="L448" s="246" t="e">
        <f t="shared" si="43"/>
        <v>#VALUE!</v>
      </c>
      <c r="M448" s="247" t="e">
        <f t="shared" si="44"/>
        <v>#VALUE!</v>
      </c>
      <c r="N448" s="246" t="e">
        <f t="shared" si="45"/>
        <v>#VALUE!</v>
      </c>
      <c r="O448" s="247" t="e">
        <f t="shared" si="46"/>
        <v>#VALUE!</v>
      </c>
      <c r="P448" s="247">
        <f t="shared" si="47"/>
        <v>0</v>
      </c>
      <c r="Q448" s="247" t="e">
        <f t="shared" si="48"/>
        <v>#VALUE!</v>
      </c>
    </row>
    <row r="449" spans="1:17" ht="15" customHeight="1" x14ac:dyDescent="0.25">
      <c r="A449" s="244"/>
      <c r="B449" s="244"/>
      <c r="C449" s="244"/>
      <c r="D449" s="244"/>
      <c r="E449" s="244"/>
      <c r="F449" s="244"/>
      <c r="G449" s="244"/>
      <c r="I449" s="244"/>
      <c r="J449" s="244"/>
      <c r="K449" s="246" t="e">
        <f t="shared" si="42"/>
        <v>#VALUE!</v>
      </c>
      <c r="L449" s="246" t="e">
        <f t="shared" si="43"/>
        <v>#VALUE!</v>
      </c>
      <c r="M449" s="247" t="e">
        <f t="shared" si="44"/>
        <v>#VALUE!</v>
      </c>
      <c r="N449" s="246" t="e">
        <f t="shared" si="45"/>
        <v>#VALUE!</v>
      </c>
      <c r="O449" s="247" t="e">
        <f t="shared" si="46"/>
        <v>#VALUE!</v>
      </c>
      <c r="P449" s="247">
        <f t="shared" si="47"/>
        <v>0</v>
      </c>
      <c r="Q449" s="247" t="e">
        <f t="shared" si="48"/>
        <v>#VALUE!</v>
      </c>
    </row>
    <row r="450" spans="1:17" ht="15" customHeight="1" x14ac:dyDescent="0.25">
      <c r="A450" s="244"/>
      <c r="B450" s="244"/>
      <c r="C450" s="244"/>
      <c r="D450" s="244"/>
      <c r="E450" s="244"/>
      <c r="F450" s="244"/>
      <c r="G450" s="244"/>
      <c r="I450" s="244"/>
      <c r="J450" s="244"/>
      <c r="K450" s="246" t="e">
        <f t="shared" ref="K450:K513" si="49">DATE(VALUE(LEFT(A450,4)),VALUE(MID(A450,5,2)),VALUE(RIGHT(A450,2)))</f>
        <v>#VALUE!</v>
      </c>
      <c r="L450" s="246" t="e">
        <f t="shared" ref="L450:L513" si="50">DATEVALUE(LEFT(F450,10))</f>
        <v>#VALUE!</v>
      </c>
      <c r="M450" s="247" t="e">
        <f t="shared" ref="M450:M513" si="51">TIMEVALUE(MID(F450,12,8))</f>
        <v>#VALUE!</v>
      </c>
      <c r="N450" s="246" t="e">
        <f t="shared" ref="N450:N513" si="52">DATEVALUE(LEFT(G450,10))</f>
        <v>#VALUE!</v>
      </c>
      <c r="O450" s="247" t="e">
        <f t="shared" ref="O450:O513" si="53">TIMEVALUE(MID(G450,12,8))</f>
        <v>#VALUE!</v>
      </c>
      <c r="P450" s="247">
        <f t="shared" ref="P450:P513" si="54">IFERROR(_xlfn.MINIFS($M:$M,$E:$E,$E450,$K:$K,$K450,$M:$M,"&gt;"&amp;$O450),"")</f>
        <v>0</v>
      </c>
      <c r="Q450" s="247" t="e">
        <f t="shared" ref="Q450:Q513" si="55">IF($P450="","",$P450-$O450)</f>
        <v>#VALUE!</v>
      </c>
    </row>
    <row r="451" spans="1:17" ht="15" customHeight="1" x14ac:dyDescent="0.25">
      <c r="A451" s="244"/>
      <c r="B451" s="244"/>
      <c r="C451" s="244"/>
      <c r="D451" s="244"/>
      <c r="E451" s="244"/>
      <c r="F451" s="244"/>
      <c r="G451" s="244"/>
      <c r="I451" s="244"/>
      <c r="J451" s="244"/>
      <c r="K451" s="246" t="e">
        <f t="shared" si="49"/>
        <v>#VALUE!</v>
      </c>
      <c r="L451" s="246" t="e">
        <f t="shared" si="50"/>
        <v>#VALUE!</v>
      </c>
      <c r="M451" s="247" t="e">
        <f t="shared" si="51"/>
        <v>#VALUE!</v>
      </c>
      <c r="N451" s="246" t="e">
        <f t="shared" si="52"/>
        <v>#VALUE!</v>
      </c>
      <c r="O451" s="247" t="e">
        <f t="shared" si="53"/>
        <v>#VALUE!</v>
      </c>
      <c r="P451" s="247">
        <f t="shared" si="54"/>
        <v>0</v>
      </c>
      <c r="Q451" s="247" t="e">
        <f t="shared" si="55"/>
        <v>#VALUE!</v>
      </c>
    </row>
    <row r="452" spans="1:17" ht="15" customHeight="1" x14ac:dyDescent="0.25">
      <c r="A452" s="244"/>
      <c r="B452" s="244"/>
      <c r="C452" s="244"/>
      <c r="D452" s="244"/>
      <c r="E452" s="244"/>
      <c r="F452" s="244"/>
      <c r="G452" s="244"/>
      <c r="I452" s="244"/>
      <c r="J452" s="244"/>
      <c r="K452" s="246" t="e">
        <f t="shared" si="49"/>
        <v>#VALUE!</v>
      </c>
      <c r="L452" s="246" t="e">
        <f t="shared" si="50"/>
        <v>#VALUE!</v>
      </c>
      <c r="M452" s="247" t="e">
        <f t="shared" si="51"/>
        <v>#VALUE!</v>
      </c>
      <c r="N452" s="246" t="e">
        <f t="shared" si="52"/>
        <v>#VALUE!</v>
      </c>
      <c r="O452" s="247" t="e">
        <f t="shared" si="53"/>
        <v>#VALUE!</v>
      </c>
      <c r="P452" s="247">
        <f t="shared" si="54"/>
        <v>0</v>
      </c>
      <c r="Q452" s="247" t="e">
        <f t="shared" si="55"/>
        <v>#VALUE!</v>
      </c>
    </row>
    <row r="453" spans="1:17" ht="15" customHeight="1" x14ac:dyDescent="0.25">
      <c r="A453" s="244"/>
      <c r="B453" s="244"/>
      <c r="C453" s="244"/>
      <c r="D453" s="244"/>
      <c r="E453" s="244"/>
      <c r="F453" s="244"/>
      <c r="G453" s="244"/>
      <c r="I453" s="244"/>
      <c r="J453" s="244"/>
      <c r="K453" s="246" t="e">
        <f t="shared" si="49"/>
        <v>#VALUE!</v>
      </c>
      <c r="L453" s="246" t="e">
        <f t="shared" si="50"/>
        <v>#VALUE!</v>
      </c>
      <c r="M453" s="247" t="e">
        <f t="shared" si="51"/>
        <v>#VALUE!</v>
      </c>
      <c r="N453" s="246" t="e">
        <f t="shared" si="52"/>
        <v>#VALUE!</v>
      </c>
      <c r="O453" s="247" t="e">
        <f t="shared" si="53"/>
        <v>#VALUE!</v>
      </c>
      <c r="P453" s="247">
        <f t="shared" si="54"/>
        <v>0</v>
      </c>
      <c r="Q453" s="247" t="e">
        <f t="shared" si="55"/>
        <v>#VALUE!</v>
      </c>
    </row>
    <row r="454" spans="1:17" ht="15" customHeight="1" x14ac:dyDescent="0.25">
      <c r="A454" s="244"/>
      <c r="B454" s="244"/>
      <c r="C454" s="244"/>
      <c r="D454" s="244"/>
      <c r="E454" s="244"/>
      <c r="F454" s="244"/>
      <c r="G454" s="244"/>
      <c r="I454" s="244"/>
      <c r="J454" s="244"/>
      <c r="K454" s="246" t="e">
        <f t="shared" si="49"/>
        <v>#VALUE!</v>
      </c>
      <c r="L454" s="246" t="e">
        <f t="shared" si="50"/>
        <v>#VALUE!</v>
      </c>
      <c r="M454" s="247" t="e">
        <f t="shared" si="51"/>
        <v>#VALUE!</v>
      </c>
      <c r="N454" s="246" t="e">
        <f t="shared" si="52"/>
        <v>#VALUE!</v>
      </c>
      <c r="O454" s="247" t="e">
        <f t="shared" si="53"/>
        <v>#VALUE!</v>
      </c>
      <c r="P454" s="247">
        <f t="shared" si="54"/>
        <v>0</v>
      </c>
      <c r="Q454" s="247" t="e">
        <f t="shared" si="55"/>
        <v>#VALUE!</v>
      </c>
    </row>
    <row r="455" spans="1:17" ht="15" customHeight="1" x14ac:dyDescent="0.25">
      <c r="A455" s="244"/>
      <c r="B455" s="244"/>
      <c r="C455" s="244"/>
      <c r="D455" s="244"/>
      <c r="E455" s="244"/>
      <c r="F455" s="244"/>
      <c r="G455" s="244"/>
      <c r="I455" s="244"/>
      <c r="J455" s="244"/>
      <c r="K455" s="246" t="e">
        <f t="shared" si="49"/>
        <v>#VALUE!</v>
      </c>
      <c r="L455" s="246" t="e">
        <f t="shared" si="50"/>
        <v>#VALUE!</v>
      </c>
      <c r="M455" s="247" t="e">
        <f t="shared" si="51"/>
        <v>#VALUE!</v>
      </c>
      <c r="N455" s="246" t="e">
        <f t="shared" si="52"/>
        <v>#VALUE!</v>
      </c>
      <c r="O455" s="247" t="e">
        <f t="shared" si="53"/>
        <v>#VALUE!</v>
      </c>
      <c r="P455" s="247">
        <f t="shared" si="54"/>
        <v>0</v>
      </c>
      <c r="Q455" s="247" t="e">
        <f t="shared" si="55"/>
        <v>#VALUE!</v>
      </c>
    </row>
    <row r="456" spans="1:17" ht="15" customHeight="1" x14ac:dyDescent="0.25">
      <c r="A456" s="244"/>
      <c r="B456" s="244"/>
      <c r="C456" s="244"/>
      <c r="D456" s="244"/>
      <c r="E456" s="244"/>
      <c r="F456" s="244"/>
      <c r="G456" s="244"/>
      <c r="I456" s="244"/>
      <c r="J456" s="244"/>
      <c r="K456" s="246" t="e">
        <f t="shared" si="49"/>
        <v>#VALUE!</v>
      </c>
      <c r="L456" s="246" t="e">
        <f t="shared" si="50"/>
        <v>#VALUE!</v>
      </c>
      <c r="M456" s="247" t="e">
        <f t="shared" si="51"/>
        <v>#VALUE!</v>
      </c>
      <c r="N456" s="246" t="e">
        <f t="shared" si="52"/>
        <v>#VALUE!</v>
      </c>
      <c r="O456" s="247" t="e">
        <f t="shared" si="53"/>
        <v>#VALUE!</v>
      </c>
      <c r="P456" s="247">
        <f t="shared" si="54"/>
        <v>0</v>
      </c>
      <c r="Q456" s="247" t="e">
        <f t="shared" si="55"/>
        <v>#VALUE!</v>
      </c>
    </row>
    <row r="457" spans="1:17" ht="15" customHeight="1" x14ac:dyDescent="0.25">
      <c r="A457" s="244"/>
      <c r="B457" s="244"/>
      <c r="C457" s="244"/>
      <c r="D457" s="244"/>
      <c r="E457" s="244"/>
      <c r="F457" s="244"/>
      <c r="G457" s="244"/>
      <c r="I457" s="244"/>
      <c r="J457" s="244"/>
      <c r="K457" s="246" t="e">
        <f t="shared" si="49"/>
        <v>#VALUE!</v>
      </c>
      <c r="L457" s="246" t="e">
        <f t="shared" si="50"/>
        <v>#VALUE!</v>
      </c>
      <c r="M457" s="247" t="e">
        <f t="shared" si="51"/>
        <v>#VALUE!</v>
      </c>
      <c r="N457" s="246" t="e">
        <f t="shared" si="52"/>
        <v>#VALUE!</v>
      </c>
      <c r="O457" s="247" t="e">
        <f t="shared" si="53"/>
        <v>#VALUE!</v>
      </c>
      <c r="P457" s="247">
        <f t="shared" si="54"/>
        <v>0</v>
      </c>
      <c r="Q457" s="247" t="e">
        <f t="shared" si="55"/>
        <v>#VALUE!</v>
      </c>
    </row>
    <row r="458" spans="1:17" ht="15" customHeight="1" x14ac:dyDescent="0.25">
      <c r="A458" s="244"/>
      <c r="B458" s="244"/>
      <c r="C458" s="244"/>
      <c r="D458" s="244"/>
      <c r="E458" s="244"/>
      <c r="F458" s="244"/>
      <c r="G458" s="244"/>
      <c r="I458" s="244"/>
      <c r="J458" s="244"/>
      <c r="K458" s="246" t="e">
        <f t="shared" si="49"/>
        <v>#VALUE!</v>
      </c>
      <c r="L458" s="246" t="e">
        <f t="shared" si="50"/>
        <v>#VALUE!</v>
      </c>
      <c r="M458" s="247" t="e">
        <f t="shared" si="51"/>
        <v>#VALUE!</v>
      </c>
      <c r="N458" s="246" t="e">
        <f t="shared" si="52"/>
        <v>#VALUE!</v>
      </c>
      <c r="O458" s="247" t="e">
        <f t="shared" si="53"/>
        <v>#VALUE!</v>
      </c>
      <c r="P458" s="247">
        <f t="shared" si="54"/>
        <v>0</v>
      </c>
      <c r="Q458" s="247" t="e">
        <f t="shared" si="55"/>
        <v>#VALUE!</v>
      </c>
    </row>
    <row r="459" spans="1:17" ht="15" customHeight="1" x14ac:dyDescent="0.25">
      <c r="A459" s="244"/>
      <c r="B459" s="244"/>
      <c r="C459" s="244"/>
      <c r="D459" s="244"/>
      <c r="E459" s="244"/>
      <c r="F459" s="244"/>
      <c r="G459" s="244"/>
      <c r="I459" s="244"/>
      <c r="J459" s="244"/>
      <c r="K459" s="246" t="e">
        <f t="shared" si="49"/>
        <v>#VALUE!</v>
      </c>
      <c r="L459" s="246" t="e">
        <f t="shared" si="50"/>
        <v>#VALUE!</v>
      </c>
      <c r="M459" s="247" t="e">
        <f t="shared" si="51"/>
        <v>#VALUE!</v>
      </c>
      <c r="N459" s="246" t="e">
        <f t="shared" si="52"/>
        <v>#VALUE!</v>
      </c>
      <c r="O459" s="247" t="e">
        <f t="shared" si="53"/>
        <v>#VALUE!</v>
      </c>
      <c r="P459" s="247">
        <f t="shared" si="54"/>
        <v>0</v>
      </c>
      <c r="Q459" s="247" t="e">
        <f t="shared" si="55"/>
        <v>#VALUE!</v>
      </c>
    </row>
    <row r="460" spans="1:17" ht="15" customHeight="1" x14ac:dyDescent="0.25">
      <c r="A460" s="244"/>
      <c r="B460" s="244"/>
      <c r="C460" s="244"/>
      <c r="D460" s="244"/>
      <c r="E460" s="244"/>
      <c r="F460" s="244"/>
      <c r="G460" s="244"/>
      <c r="I460" s="244"/>
      <c r="J460" s="244"/>
      <c r="K460" s="246" t="e">
        <f t="shared" si="49"/>
        <v>#VALUE!</v>
      </c>
      <c r="L460" s="246" t="e">
        <f t="shared" si="50"/>
        <v>#VALUE!</v>
      </c>
      <c r="M460" s="247" t="e">
        <f t="shared" si="51"/>
        <v>#VALUE!</v>
      </c>
      <c r="N460" s="246" t="e">
        <f t="shared" si="52"/>
        <v>#VALUE!</v>
      </c>
      <c r="O460" s="247" t="e">
        <f t="shared" si="53"/>
        <v>#VALUE!</v>
      </c>
      <c r="P460" s="247">
        <f t="shared" si="54"/>
        <v>0</v>
      </c>
      <c r="Q460" s="247" t="e">
        <f t="shared" si="55"/>
        <v>#VALUE!</v>
      </c>
    </row>
    <row r="461" spans="1:17" ht="15" customHeight="1" x14ac:dyDescent="0.25">
      <c r="A461" s="244"/>
      <c r="B461" s="244"/>
      <c r="C461" s="244"/>
      <c r="D461" s="244"/>
      <c r="E461" s="244"/>
      <c r="F461" s="244"/>
      <c r="G461" s="244"/>
      <c r="I461" s="244"/>
      <c r="J461" s="244"/>
      <c r="K461" s="246" t="e">
        <f t="shared" si="49"/>
        <v>#VALUE!</v>
      </c>
      <c r="L461" s="246" t="e">
        <f t="shared" si="50"/>
        <v>#VALUE!</v>
      </c>
      <c r="M461" s="247" t="e">
        <f t="shared" si="51"/>
        <v>#VALUE!</v>
      </c>
      <c r="N461" s="246" t="e">
        <f t="shared" si="52"/>
        <v>#VALUE!</v>
      </c>
      <c r="O461" s="247" t="e">
        <f t="shared" si="53"/>
        <v>#VALUE!</v>
      </c>
      <c r="P461" s="247">
        <f t="shared" si="54"/>
        <v>0</v>
      </c>
      <c r="Q461" s="247" t="e">
        <f t="shared" si="55"/>
        <v>#VALUE!</v>
      </c>
    </row>
    <row r="462" spans="1:17" ht="15" customHeight="1" x14ac:dyDescent="0.25">
      <c r="A462" s="244"/>
      <c r="B462" s="244"/>
      <c r="C462" s="244"/>
      <c r="D462" s="244"/>
      <c r="E462" s="244"/>
      <c r="F462" s="244"/>
      <c r="G462" s="244"/>
      <c r="I462" s="244"/>
      <c r="J462" s="244"/>
      <c r="K462" s="246" t="e">
        <f t="shared" si="49"/>
        <v>#VALUE!</v>
      </c>
      <c r="L462" s="246" t="e">
        <f t="shared" si="50"/>
        <v>#VALUE!</v>
      </c>
      <c r="M462" s="247" t="e">
        <f t="shared" si="51"/>
        <v>#VALUE!</v>
      </c>
      <c r="N462" s="246" t="e">
        <f t="shared" si="52"/>
        <v>#VALUE!</v>
      </c>
      <c r="O462" s="247" t="e">
        <f t="shared" si="53"/>
        <v>#VALUE!</v>
      </c>
      <c r="P462" s="247">
        <f t="shared" si="54"/>
        <v>0</v>
      </c>
      <c r="Q462" s="247" t="e">
        <f t="shared" si="55"/>
        <v>#VALUE!</v>
      </c>
    </row>
    <row r="463" spans="1:17" ht="15" customHeight="1" x14ac:dyDescent="0.25">
      <c r="A463" s="244"/>
      <c r="B463" s="244"/>
      <c r="C463" s="244"/>
      <c r="D463" s="244"/>
      <c r="E463" s="244"/>
      <c r="F463" s="244"/>
      <c r="G463" s="244"/>
      <c r="I463" s="244"/>
      <c r="J463" s="244"/>
      <c r="K463" s="246" t="e">
        <f t="shared" si="49"/>
        <v>#VALUE!</v>
      </c>
      <c r="L463" s="246" t="e">
        <f t="shared" si="50"/>
        <v>#VALUE!</v>
      </c>
      <c r="M463" s="247" t="e">
        <f t="shared" si="51"/>
        <v>#VALUE!</v>
      </c>
      <c r="N463" s="246" t="e">
        <f t="shared" si="52"/>
        <v>#VALUE!</v>
      </c>
      <c r="O463" s="247" t="e">
        <f t="shared" si="53"/>
        <v>#VALUE!</v>
      </c>
      <c r="P463" s="247">
        <f t="shared" si="54"/>
        <v>0</v>
      </c>
      <c r="Q463" s="247" t="e">
        <f t="shared" si="55"/>
        <v>#VALUE!</v>
      </c>
    </row>
    <row r="464" spans="1:17" ht="15" customHeight="1" x14ac:dyDescent="0.25">
      <c r="A464" s="244"/>
      <c r="B464" s="244"/>
      <c r="C464" s="244"/>
      <c r="D464" s="244"/>
      <c r="E464" s="244"/>
      <c r="F464" s="244"/>
      <c r="G464" s="244"/>
      <c r="I464" s="244"/>
      <c r="J464" s="244"/>
      <c r="K464" s="246" t="e">
        <f t="shared" si="49"/>
        <v>#VALUE!</v>
      </c>
      <c r="L464" s="246" t="e">
        <f t="shared" si="50"/>
        <v>#VALUE!</v>
      </c>
      <c r="M464" s="247" t="e">
        <f t="shared" si="51"/>
        <v>#VALUE!</v>
      </c>
      <c r="N464" s="246" t="e">
        <f t="shared" si="52"/>
        <v>#VALUE!</v>
      </c>
      <c r="O464" s="247" t="e">
        <f t="shared" si="53"/>
        <v>#VALUE!</v>
      </c>
      <c r="P464" s="247">
        <f t="shared" si="54"/>
        <v>0</v>
      </c>
      <c r="Q464" s="247" t="e">
        <f t="shared" si="55"/>
        <v>#VALUE!</v>
      </c>
    </row>
    <row r="465" spans="1:17" ht="15" customHeight="1" x14ac:dyDescent="0.25">
      <c r="A465" s="244"/>
      <c r="B465" s="244"/>
      <c r="C465" s="244"/>
      <c r="D465" s="244"/>
      <c r="E465" s="244"/>
      <c r="F465" s="244"/>
      <c r="G465" s="244"/>
      <c r="I465" s="244"/>
      <c r="J465" s="244"/>
      <c r="K465" s="246" t="e">
        <f t="shared" si="49"/>
        <v>#VALUE!</v>
      </c>
      <c r="L465" s="246" t="e">
        <f t="shared" si="50"/>
        <v>#VALUE!</v>
      </c>
      <c r="M465" s="247" t="e">
        <f t="shared" si="51"/>
        <v>#VALUE!</v>
      </c>
      <c r="N465" s="246" t="e">
        <f t="shared" si="52"/>
        <v>#VALUE!</v>
      </c>
      <c r="O465" s="247" t="e">
        <f t="shared" si="53"/>
        <v>#VALUE!</v>
      </c>
      <c r="P465" s="247">
        <f t="shared" si="54"/>
        <v>0</v>
      </c>
      <c r="Q465" s="247" t="e">
        <f t="shared" si="55"/>
        <v>#VALUE!</v>
      </c>
    </row>
    <row r="466" spans="1:17" ht="15" customHeight="1" x14ac:dyDescent="0.25">
      <c r="A466" s="244"/>
      <c r="B466" s="244"/>
      <c r="C466" s="244"/>
      <c r="D466" s="244"/>
      <c r="E466" s="244"/>
      <c r="F466" s="244"/>
      <c r="G466" s="244"/>
      <c r="I466" s="244"/>
      <c r="J466" s="244"/>
      <c r="K466" s="246" t="e">
        <f t="shared" si="49"/>
        <v>#VALUE!</v>
      </c>
      <c r="L466" s="246" t="e">
        <f t="shared" si="50"/>
        <v>#VALUE!</v>
      </c>
      <c r="M466" s="247" t="e">
        <f t="shared" si="51"/>
        <v>#VALUE!</v>
      </c>
      <c r="N466" s="246" t="e">
        <f t="shared" si="52"/>
        <v>#VALUE!</v>
      </c>
      <c r="O466" s="247" t="e">
        <f t="shared" si="53"/>
        <v>#VALUE!</v>
      </c>
      <c r="P466" s="247">
        <f t="shared" si="54"/>
        <v>0</v>
      </c>
      <c r="Q466" s="247" t="e">
        <f t="shared" si="55"/>
        <v>#VALUE!</v>
      </c>
    </row>
    <row r="467" spans="1:17" ht="15" customHeight="1" x14ac:dyDescent="0.25">
      <c r="A467" s="244"/>
      <c r="B467" s="244"/>
      <c r="C467" s="244"/>
      <c r="D467" s="244"/>
      <c r="E467" s="244"/>
      <c r="F467" s="244"/>
      <c r="G467" s="244"/>
      <c r="I467" s="244"/>
      <c r="J467" s="244"/>
      <c r="K467" s="246" t="e">
        <f t="shared" si="49"/>
        <v>#VALUE!</v>
      </c>
      <c r="L467" s="246" t="e">
        <f t="shared" si="50"/>
        <v>#VALUE!</v>
      </c>
      <c r="M467" s="247" t="e">
        <f t="shared" si="51"/>
        <v>#VALUE!</v>
      </c>
      <c r="N467" s="246" t="e">
        <f t="shared" si="52"/>
        <v>#VALUE!</v>
      </c>
      <c r="O467" s="247" t="e">
        <f t="shared" si="53"/>
        <v>#VALUE!</v>
      </c>
      <c r="P467" s="247">
        <f t="shared" si="54"/>
        <v>0</v>
      </c>
      <c r="Q467" s="247" t="e">
        <f t="shared" si="55"/>
        <v>#VALUE!</v>
      </c>
    </row>
    <row r="468" spans="1:17" ht="15" customHeight="1" x14ac:dyDescent="0.25">
      <c r="A468" s="244"/>
      <c r="B468" s="244"/>
      <c r="C468" s="244"/>
      <c r="D468" s="244"/>
      <c r="E468" s="244"/>
      <c r="F468" s="244"/>
      <c r="G468" s="244"/>
      <c r="I468" s="244"/>
      <c r="J468" s="244"/>
      <c r="K468" s="246" t="e">
        <f t="shared" si="49"/>
        <v>#VALUE!</v>
      </c>
      <c r="L468" s="246" t="e">
        <f t="shared" si="50"/>
        <v>#VALUE!</v>
      </c>
      <c r="M468" s="247" t="e">
        <f t="shared" si="51"/>
        <v>#VALUE!</v>
      </c>
      <c r="N468" s="246" t="e">
        <f t="shared" si="52"/>
        <v>#VALUE!</v>
      </c>
      <c r="O468" s="247" t="e">
        <f t="shared" si="53"/>
        <v>#VALUE!</v>
      </c>
      <c r="P468" s="247">
        <f t="shared" si="54"/>
        <v>0</v>
      </c>
      <c r="Q468" s="247" t="e">
        <f t="shared" si="55"/>
        <v>#VALUE!</v>
      </c>
    </row>
    <row r="469" spans="1:17" ht="15" customHeight="1" x14ac:dyDescent="0.25">
      <c r="A469" s="244"/>
      <c r="B469" s="244"/>
      <c r="C469" s="244"/>
      <c r="D469" s="244"/>
      <c r="E469" s="244"/>
      <c r="F469" s="244"/>
      <c r="G469" s="244"/>
      <c r="I469" s="244"/>
      <c r="J469" s="244"/>
      <c r="K469" s="246" t="e">
        <f t="shared" si="49"/>
        <v>#VALUE!</v>
      </c>
      <c r="L469" s="246" t="e">
        <f t="shared" si="50"/>
        <v>#VALUE!</v>
      </c>
      <c r="M469" s="247" t="e">
        <f t="shared" si="51"/>
        <v>#VALUE!</v>
      </c>
      <c r="N469" s="246" t="e">
        <f t="shared" si="52"/>
        <v>#VALUE!</v>
      </c>
      <c r="O469" s="247" t="e">
        <f t="shared" si="53"/>
        <v>#VALUE!</v>
      </c>
      <c r="P469" s="247">
        <f t="shared" si="54"/>
        <v>0</v>
      </c>
      <c r="Q469" s="247" t="e">
        <f t="shared" si="55"/>
        <v>#VALUE!</v>
      </c>
    </row>
    <row r="470" spans="1:17" ht="15" customHeight="1" x14ac:dyDescent="0.25">
      <c r="A470" s="244"/>
      <c r="B470" s="244"/>
      <c r="C470" s="244"/>
      <c r="D470" s="244"/>
      <c r="E470" s="244"/>
      <c r="F470" s="244"/>
      <c r="G470" s="244"/>
      <c r="I470" s="244"/>
      <c r="J470" s="244"/>
      <c r="K470" s="246" t="e">
        <f t="shared" si="49"/>
        <v>#VALUE!</v>
      </c>
      <c r="L470" s="246" t="e">
        <f t="shared" si="50"/>
        <v>#VALUE!</v>
      </c>
      <c r="M470" s="247" t="e">
        <f t="shared" si="51"/>
        <v>#VALUE!</v>
      </c>
      <c r="N470" s="246" t="e">
        <f t="shared" si="52"/>
        <v>#VALUE!</v>
      </c>
      <c r="O470" s="247" t="e">
        <f t="shared" si="53"/>
        <v>#VALUE!</v>
      </c>
      <c r="P470" s="247">
        <f t="shared" si="54"/>
        <v>0</v>
      </c>
      <c r="Q470" s="247" t="e">
        <f t="shared" si="55"/>
        <v>#VALUE!</v>
      </c>
    </row>
    <row r="471" spans="1:17" ht="15" customHeight="1" x14ac:dyDescent="0.25">
      <c r="A471" s="244"/>
      <c r="B471" s="244"/>
      <c r="C471" s="244"/>
      <c r="D471" s="244"/>
      <c r="E471" s="244"/>
      <c r="F471" s="244"/>
      <c r="G471" s="244"/>
      <c r="I471" s="244"/>
      <c r="J471" s="244"/>
      <c r="K471" s="246" t="e">
        <f t="shared" si="49"/>
        <v>#VALUE!</v>
      </c>
      <c r="L471" s="246" t="e">
        <f t="shared" si="50"/>
        <v>#VALUE!</v>
      </c>
      <c r="M471" s="247" t="e">
        <f t="shared" si="51"/>
        <v>#VALUE!</v>
      </c>
      <c r="N471" s="246" t="e">
        <f t="shared" si="52"/>
        <v>#VALUE!</v>
      </c>
      <c r="O471" s="247" t="e">
        <f t="shared" si="53"/>
        <v>#VALUE!</v>
      </c>
      <c r="P471" s="247">
        <f t="shared" si="54"/>
        <v>0</v>
      </c>
      <c r="Q471" s="247" t="e">
        <f t="shared" si="55"/>
        <v>#VALUE!</v>
      </c>
    </row>
    <row r="472" spans="1:17" ht="15" customHeight="1" x14ac:dyDescent="0.25">
      <c r="A472" s="244"/>
      <c r="B472" s="244"/>
      <c r="C472" s="244"/>
      <c r="D472" s="244"/>
      <c r="E472" s="244"/>
      <c r="F472" s="244"/>
      <c r="G472" s="244"/>
      <c r="I472" s="244"/>
      <c r="J472" s="244"/>
      <c r="K472" s="246" t="e">
        <f t="shared" si="49"/>
        <v>#VALUE!</v>
      </c>
      <c r="L472" s="246" t="e">
        <f t="shared" si="50"/>
        <v>#VALUE!</v>
      </c>
      <c r="M472" s="247" t="e">
        <f t="shared" si="51"/>
        <v>#VALUE!</v>
      </c>
      <c r="N472" s="246" t="e">
        <f t="shared" si="52"/>
        <v>#VALUE!</v>
      </c>
      <c r="O472" s="247" t="e">
        <f t="shared" si="53"/>
        <v>#VALUE!</v>
      </c>
      <c r="P472" s="247">
        <f t="shared" si="54"/>
        <v>0</v>
      </c>
      <c r="Q472" s="247" t="e">
        <f t="shared" si="55"/>
        <v>#VALUE!</v>
      </c>
    </row>
    <row r="473" spans="1:17" ht="15" customHeight="1" x14ac:dyDescent="0.25">
      <c r="A473" s="244"/>
      <c r="B473" s="244"/>
      <c r="C473" s="244"/>
      <c r="D473" s="244"/>
      <c r="E473" s="244"/>
      <c r="F473" s="244"/>
      <c r="G473" s="244"/>
      <c r="I473" s="244"/>
      <c r="J473" s="244"/>
      <c r="K473" s="246" t="e">
        <f t="shared" si="49"/>
        <v>#VALUE!</v>
      </c>
      <c r="L473" s="246" t="e">
        <f t="shared" si="50"/>
        <v>#VALUE!</v>
      </c>
      <c r="M473" s="247" t="e">
        <f t="shared" si="51"/>
        <v>#VALUE!</v>
      </c>
      <c r="N473" s="246" t="e">
        <f t="shared" si="52"/>
        <v>#VALUE!</v>
      </c>
      <c r="O473" s="247" t="e">
        <f t="shared" si="53"/>
        <v>#VALUE!</v>
      </c>
      <c r="P473" s="247">
        <f t="shared" si="54"/>
        <v>0</v>
      </c>
      <c r="Q473" s="247" t="e">
        <f t="shared" si="55"/>
        <v>#VALUE!</v>
      </c>
    </row>
    <row r="474" spans="1:17" ht="15" customHeight="1" x14ac:dyDescent="0.25">
      <c r="A474" s="244"/>
      <c r="B474" s="244"/>
      <c r="C474" s="244"/>
      <c r="D474" s="244"/>
      <c r="E474" s="244"/>
      <c r="F474" s="244"/>
      <c r="G474" s="244"/>
      <c r="I474" s="244"/>
      <c r="J474" s="244"/>
      <c r="K474" s="246" t="e">
        <f t="shared" si="49"/>
        <v>#VALUE!</v>
      </c>
      <c r="L474" s="246" t="e">
        <f t="shared" si="50"/>
        <v>#VALUE!</v>
      </c>
      <c r="M474" s="247" t="e">
        <f t="shared" si="51"/>
        <v>#VALUE!</v>
      </c>
      <c r="N474" s="246" t="e">
        <f t="shared" si="52"/>
        <v>#VALUE!</v>
      </c>
      <c r="O474" s="247" t="e">
        <f t="shared" si="53"/>
        <v>#VALUE!</v>
      </c>
      <c r="P474" s="247">
        <f t="shared" si="54"/>
        <v>0</v>
      </c>
      <c r="Q474" s="247" t="e">
        <f t="shared" si="55"/>
        <v>#VALUE!</v>
      </c>
    </row>
    <row r="475" spans="1:17" ht="15" customHeight="1" x14ac:dyDescent="0.25">
      <c r="A475" s="244"/>
      <c r="B475" s="244"/>
      <c r="C475" s="244"/>
      <c r="D475" s="244"/>
      <c r="E475" s="244"/>
      <c r="F475" s="244"/>
      <c r="G475" s="244"/>
      <c r="I475" s="244"/>
      <c r="J475" s="244"/>
      <c r="K475" s="246" t="e">
        <f t="shared" si="49"/>
        <v>#VALUE!</v>
      </c>
      <c r="L475" s="246" t="e">
        <f t="shared" si="50"/>
        <v>#VALUE!</v>
      </c>
      <c r="M475" s="247" t="e">
        <f t="shared" si="51"/>
        <v>#VALUE!</v>
      </c>
      <c r="N475" s="246" t="e">
        <f t="shared" si="52"/>
        <v>#VALUE!</v>
      </c>
      <c r="O475" s="247" t="e">
        <f t="shared" si="53"/>
        <v>#VALUE!</v>
      </c>
      <c r="P475" s="247">
        <f t="shared" si="54"/>
        <v>0</v>
      </c>
      <c r="Q475" s="247" t="e">
        <f t="shared" si="55"/>
        <v>#VALUE!</v>
      </c>
    </row>
    <row r="476" spans="1:17" ht="15" customHeight="1" x14ac:dyDescent="0.25">
      <c r="A476" s="244"/>
      <c r="B476" s="244"/>
      <c r="C476" s="244"/>
      <c r="D476" s="244"/>
      <c r="E476" s="244"/>
      <c r="F476" s="244"/>
      <c r="G476" s="244"/>
      <c r="I476" s="244"/>
      <c r="J476" s="244"/>
      <c r="K476" s="246" t="e">
        <f t="shared" si="49"/>
        <v>#VALUE!</v>
      </c>
      <c r="L476" s="246" t="e">
        <f t="shared" si="50"/>
        <v>#VALUE!</v>
      </c>
      <c r="M476" s="247" t="e">
        <f t="shared" si="51"/>
        <v>#VALUE!</v>
      </c>
      <c r="N476" s="246" t="e">
        <f t="shared" si="52"/>
        <v>#VALUE!</v>
      </c>
      <c r="O476" s="247" t="e">
        <f t="shared" si="53"/>
        <v>#VALUE!</v>
      </c>
      <c r="P476" s="247">
        <f t="shared" si="54"/>
        <v>0</v>
      </c>
      <c r="Q476" s="247" t="e">
        <f t="shared" si="55"/>
        <v>#VALUE!</v>
      </c>
    </row>
    <row r="477" spans="1:17" ht="15" customHeight="1" x14ac:dyDescent="0.25">
      <c r="A477" s="244"/>
      <c r="B477" s="244"/>
      <c r="C477" s="244"/>
      <c r="D477" s="244"/>
      <c r="E477" s="244"/>
      <c r="F477" s="244"/>
      <c r="G477" s="244"/>
      <c r="I477" s="244"/>
      <c r="J477" s="244"/>
      <c r="K477" s="246" t="e">
        <f t="shared" si="49"/>
        <v>#VALUE!</v>
      </c>
      <c r="L477" s="246" t="e">
        <f t="shared" si="50"/>
        <v>#VALUE!</v>
      </c>
      <c r="M477" s="247" t="e">
        <f t="shared" si="51"/>
        <v>#VALUE!</v>
      </c>
      <c r="N477" s="246" t="e">
        <f t="shared" si="52"/>
        <v>#VALUE!</v>
      </c>
      <c r="O477" s="247" t="e">
        <f t="shared" si="53"/>
        <v>#VALUE!</v>
      </c>
      <c r="P477" s="247">
        <f t="shared" si="54"/>
        <v>0</v>
      </c>
      <c r="Q477" s="247" t="e">
        <f t="shared" si="55"/>
        <v>#VALUE!</v>
      </c>
    </row>
    <row r="478" spans="1:17" ht="15" customHeight="1" x14ac:dyDescent="0.25">
      <c r="A478" s="244"/>
      <c r="B478" s="244"/>
      <c r="C478" s="244"/>
      <c r="D478" s="244"/>
      <c r="E478" s="244"/>
      <c r="F478" s="244"/>
      <c r="G478" s="244"/>
      <c r="I478" s="244"/>
      <c r="J478" s="244"/>
      <c r="K478" s="246" t="e">
        <f t="shared" si="49"/>
        <v>#VALUE!</v>
      </c>
      <c r="L478" s="246" t="e">
        <f t="shared" si="50"/>
        <v>#VALUE!</v>
      </c>
      <c r="M478" s="247" t="e">
        <f t="shared" si="51"/>
        <v>#VALUE!</v>
      </c>
      <c r="N478" s="246" t="e">
        <f t="shared" si="52"/>
        <v>#VALUE!</v>
      </c>
      <c r="O478" s="247" t="e">
        <f t="shared" si="53"/>
        <v>#VALUE!</v>
      </c>
      <c r="P478" s="247">
        <f t="shared" si="54"/>
        <v>0</v>
      </c>
      <c r="Q478" s="247" t="e">
        <f t="shared" si="55"/>
        <v>#VALUE!</v>
      </c>
    </row>
    <row r="479" spans="1:17" ht="15" customHeight="1" x14ac:dyDescent="0.25">
      <c r="A479" s="244"/>
      <c r="B479" s="244"/>
      <c r="C479" s="244"/>
      <c r="D479" s="244"/>
      <c r="E479" s="244"/>
      <c r="F479" s="244"/>
      <c r="G479" s="244"/>
      <c r="I479" s="244"/>
      <c r="J479" s="244"/>
      <c r="K479" s="246" t="e">
        <f t="shared" si="49"/>
        <v>#VALUE!</v>
      </c>
      <c r="L479" s="246" t="e">
        <f t="shared" si="50"/>
        <v>#VALUE!</v>
      </c>
      <c r="M479" s="247" t="e">
        <f t="shared" si="51"/>
        <v>#VALUE!</v>
      </c>
      <c r="N479" s="246" t="e">
        <f t="shared" si="52"/>
        <v>#VALUE!</v>
      </c>
      <c r="O479" s="247" t="e">
        <f t="shared" si="53"/>
        <v>#VALUE!</v>
      </c>
      <c r="P479" s="247">
        <f t="shared" si="54"/>
        <v>0</v>
      </c>
      <c r="Q479" s="247" t="e">
        <f t="shared" si="55"/>
        <v>#VALUE!</v>
      </c>
    </row>
    <row r="480" spans="1:17" ht="15" customHeight="1" x14ac:dyDescent="0.25">
      <c r="A480" s="244"/>
      <c r="B480" s="244"/>
      <c r="C480" s="244"/>
      <c r="D480" s="244"/>
      <c r="E480" s="244"/>
      <c r="F480" s="244"/>
      <c r="G480" s="244"/>
      <c r="I480" s="244"/>
      <c r="J480" s="244"/>
      <c r="K480" s="246" t="e">
        <f t="shared" si="49"/>
        <v>#VALUE!</v>
      </c>
      <c r="L480" s="246" t="e">
        <f t="shared" si="50"/>
        <v>#VALUE!</v>
      </c>
      <c r="M480" s="247" t="e">
        <f t="shared" si="51"/>
        <v>#VALUE!</v>
      </c>
      <c r="N480" s="246" t="e">
        <f t="shared" si="52"/>
        <v>#VALUE!</v>
      </c>
      <c r="O480" s="247" t="e">
        <f t="shared" si="53"/>
        <v>#VALUE!</v>
      </c>
      <c r="P480" s="247">
        <f t="shared" si="54"/>
        <v>0</v>
      </c>
      <c r="Q480" s="247" t="e">
        <f t="shared" si="55"/>
        <v>#VALUE!</v>
      </c>
    </row>
    <row r="481" spans="1:17" ht="15" customHeight="1" x14ac:dyDescent="0.25">
      <c r="A481" s="244"/>
      <c r="B481" s="244"/>
      <c r="C481" s="244"/>
      <c r="D481" s="244"/>
      <c r="E481" s="244"/>
      <c r="F481" s="244"/>
      <c r="G481" s="244"/>
      <c r="I481" s="244"/>
      <c r="J481" s="244"/>
      <c r="K481" s="246" t="e">
        <f t="shared" si="49"/>
        <v>#VALUE!</v>
      </c>
      <c r="L481" s="246" t="e">
        <f t="shared" si="50"/>
        <v>#VALUE!</v>
      </c>
      <c r="M481" s="247" t="e">
        <f t="shared" si="51"/>
        <v>#VALUE!</v>
      </c>
      <c r="N481" s="246" t="e">
        <f t="shared" si="52"/>
        <v>#VALUE!</v>
      </c>
      <c r="O481" s="247" t="e">
        <f t="shared" si="53"/>
        <v>#VALUE!</v>
      </c>
      <c r="P481" s="247">
        <f t="shared" si="54"/>
        <v>0</v>
      </c>
      <c r="Q481" s="247" t="e">
        <f t="shared" si="55"/>
        <v>#VALUE!</v>
      </c>
    </row>
    <row r="482" spans="1:17" ht="15" customHeight="1" x14ac:dyDescent="0.25">
      <c r="A482" s="244"/>
      <c r="B482" s="244"/>
      <c r="C482" s="244"/>
      <c r="D482" s="244"/>
      <c r="E482" s="244"/>
      <c r="F482" s="244"/>
      <c r="G482" s="244"/>
      <c r="I482" s="244"/>
      <c r="J482" s="244"/>
      <c r="K482" s="246" t="e">
        <f t="shared" si="49"/>
        <v>#VALUE!</v>
      </c>
      <c r="L482" s="246" t="e">
        <f t="shared" si="50"/>
        <v>#VALUE!</v>
      </c>
      <c r="M482" s="247" t="e">
        <f t="shared" si="51"/>
        <v>#VALUE!</v>
      </c>
      <c r="N482" s="246" t="e">
        <f t="shared" si="52"/>
        <v>#VALUE!</v>
      </c>
      <c r="O482" s="247" t="e">
        <f t="shared" si="53"/>
        <v>#VALUE!</v>
      </c>
      <c r="P482" s="247">
        <f t="shared" si="54"/>
        <v>0</v>
      </c>
      <c r="Q482" s="247" t="e">
        <f t="shared" si="55"/>
        <v>#VALUE!</v>
      </c>
    </row>
    <row r="483" spans="1:17" ht="15" customHeight="1" x14ac:dyDescent="0.25">
      <c r="A483" s="244"/>
      <c r="B483" s="244"/>
      <c r="C483" s="244"/>
      <c r="D483" s="244"/>
      <c r="E483" s="244"/>
      <c r="F483" s="244"/>
      <c r="G483" s="244"/>
      <c r="I483" s="244"/>
      <c r="J483" s="244"/>
      <c r="K483" s="246" t="e">
        <f t="shared" si="49"/>
        <v>#VALUE!</v>
      </c>
      <c r="L483" s="246" t="e">
        <f t="shared" si="50"/>
        <v>#VALUE!</v>
      </c>
      <c r="M483" s="247" t="e">
        <f t="shared" si="51"/>
        <v>#VALUE!</v>
      </c>
      <c r="N483" s="246" t="e">
        <f t="shared" si="52"/>
        <v>#VALUE!</v>
      </c>
      <c r="O483" s="247" t="e">
        <f t="shared" si="53"/>
        <v>#VALUE!</v>
      </c>
      <c r="P483" s="247">
        <f t="shared" si="54"/>
        <v>0</v>
      </c>
      <c r="Q483" s="247" t="e">
        <f t="shared" si="55"/>
        <v>#VALUE!</v>
      </c>
    </row>
    <row r="484" spans="1:17" ht="15" customHeight="1" x14ac:dyDescent="0.25">
      <c r="A484" s="244"/>
      <c r="B484" s="244"/>
      <c r="C484" s="244"/>
      <c r="D484" s="244"/>
      <c r="E484" s="244"/>
      <c r="F484" s="244"/>
      <c r="G484" s="244"/>
      <c r="I484" s="244"/>
      <c r="J484" s="244"/>
      <c r="K484" s="246" t="e">
        <f t="shared" si="49"/>
        <v>#VALUE!</v>
      </c>
      <c r="L484" s="246" t="e">
        <f t="shared" si="50"/>
        <v>#VALUE!</v>
      </c>
      <c r="M484" s="247" t="e">
        <f t="shared" si="51"/>
        <v>#VALUE!</v>
      </c>
      <c r="N484" s="246" t="e">
        <f t="shared" si="52"/>
        <v>#VALUE!</v>
      </c>
      <c r="O484" s="247" t="e">
        <f t="shared" si="53"/>
        <v>#VALUE!</v>
      </c>
      <c r="P484" s="247">
        <f t="shared" si="54"/>
        <v>0</v>
      </c>
      <c r="Q484" s="247" t="e">
        <f t="shared" si="55"/>
        <v>#VALUE!</v>
      </c>
    </row>
    <row r="485" spans="1:17" ht="15" customHeight="1" x14ac:dyDescent="0.25">
      <c r="A485" s="244"/>
      <c r="B485" s="244"/>
      <c r="C485" s="244"/>
      <c r="D485" s="244"/>
      <c r="E485" s="244"/>
      <c r="F485" s="244"/>
      <c r="G485" s="244"/>
      <c r="I485" s="244"/>
      <c r="J485" s="244"/>
      <c r="K485" s="246" t="e">
        <f t="shared" si="49"/>
        <v>#VALUE!</v>
      </c>
      <c r="L485" s="246" t="e">
        <f t="shared" si="50"/>
        <v>#VALUE!</v>
      </c>
      <c r="M485" s="247" t="e">
        <f t="shared" si="51"/>
        <v>#VALUE!</v>
      </c>
      <c r="N485" s="246" t="e">
        <f t="shared" si="52"/>
        <v>#VALUE!</v>
      </c>
      <c r="O485" s="247" t="e">
        <f t="shared" si="53"/>
        <v>#VALUE!</v>
      </c>
      <c r="P485" s="247">
        <f t="shared" si="54"/>
        <v>0</v>
      </c>
      <c r="Q485" s="247" t="e">
        <f t="shared" si="55"/>
        <v>#VALUE!</v>
      </c>
    </row>
    <row r="486" spans="1:17" ht="15" customHeight="1" x14ac:dyDescent="0.25">
      <c r="A486" s="244"/>
      <c r="B486" s="244"/>
      <c r="C486" s="244"/>
      <c r="D486" s="244"/>
      <c r="E486" s="244"/>
      <c r="F486" s="244"/>
      <c r="G486" s="244"/>
      <c r="I486" s="244"/>
      <c r="J486" s="244"/>
      <c r="K486" s="246" t="e">
        <f t="shared" si="49"/>
        <v>#VALUE!</v>
      </c>
      <c r="L486" s="246" t="e">
        <f t="shared" si="50"/>
        <v>#VALUE!</v>
      </c>
      <c r="M486" s="247" t="e">
        <f t="shared" si="51"/>
        <v>#VALUE!</v>
      </c>
      <c r="N486" s="246" t="e">
        <f t="shared" si="52"/>
        <v>#VALUE!</v>
      </c>
      <c r="O486" s="247" t="e">
        <f t="shared" si="53"/>
        <v>#VALUE!</v>
      </c>
      <c r="P486" s="247">
        <f t="shared" si="54"/>
        <v>0</v>
      </c>
      <c r="Q486" s="247" t="e">
        <f t="shared" si="55"/>
        <v>#VALUE!</v>
      </c>
    </row>
    <row r="487" spans="1:17" ht="15" customHeight="1" x14ac:dyDescent="0.25">
      <c r="A487" s="244"/>
      <c r="B487" s="244"/>
      <c r="C487" s="244"/>
      <c r="D487" s="244"/>
      <c r="E487" s="244"/>
      <c r="F487" s="244"/>
      <c r="G487" s="244"/>
      <c r="I487" s="244"/>
      <c r="J487" s="244"/>
      <c r="K487" s="246" t="e">
        <f t="shared" si="49"/>
        <v>#VALUE!</v>
      </c>
      <c r="L487" s="246" t="e">
        <f t="shared" si="50"/>
        <v>#VALUE!</v>
      </c>
      <c r="M487" s="247" t="e">
        <f t="shared" si="51"/>
        <v>#VALUE!</v>
      </c>
      <c r="N487" s="246" t="e">
        <f t="shared" si="52"/>
        <v>#VALUE!</v>
      </c>
      <c r="O487" s="247" t="e">
        <f t="shared" si="53"/>
        <v>#VALUE!</v>
      </c>
      <c r="P487" s="247">
        <f t="shared" si="54"/>
        <v>0</v>
      </c>
      <c r="Q487" s="247" t="e">
        <f t="shared" si="55"/>
        <v>#VALUE!</v>
      </c>
    </row>
    <row r="488" spans="1:17" ht="15" customHeight="1" x14ac:dyDescent="0.25">
      <c r="A488" s="244"/>
      <c r="B488" s="244"/>
      <c r="C488" s="244"/>
      <c r="D488" s="244"/>
      <c r="E488" s="244"/>
      <c r="F488" s="244"/>
      <c r="G488" s="244"/>
      <c r="I488" s="244"/>
      <c r="J488" s="244"/>
      <c r="K488" s="246" t="e">
        <f t="shared" si="49"/>
        <v>#VALUE!</v>
      </c>
      <c r="L488" s="246" t="e">
        <f t="shared" si="50"/>
        <v>#VALUE!</v>
      </c>
      <c r="M488" s="247" t="e">
        <f t="shared" si="51"/>
        <v>#VALUE!</v>
      </c>
      <c r="N488" s="246" t="e">
        <f t="shared" si="52"/>
        <v>#VALUE!</v>
      </c>
      <c r="O488" s="247" t="e">
        <f t="shared" si="53"/>
        <v>#VALUE!</v>
      </c>
      <c r="P488" s="247">
        <f t="shared" si="54"/>
        <v>0</v>
      </c>
      <c r="Q488" s="247" t="e">
        <f t="shared" si="55"/>
        <v>#VALUE!</v>
      </c>
    </row>
    <row r="489" spans="1:17" ht="15" customHeight="1" x14ac:dyDescent="0.25">
      <c r="A489" s="244"/>
      <c r="B489" s="244"/>
      <c r="C489" s="244"/>
      <c r="D489" s="244"/>
      <c r="E489" s="244"/>
      <c r="F489" s="244"/>
      <c r="G489" s="244"/>
      <c r="I489" s="244"/>
      <c r="J489" s="244"/>
      <c r="K489" s="246" t="e">
        <f t="shared" si="49"/>
        <v>#VALUE!</v>
      </c>
      <c r="L489" s="246" t="e">
        <f t="shared" si="50"/>
        <v>#VALUE!</v>
      </c>
      <c r="M489" s="247" t="e">
        <f t="shared" si="51"/>
        <v>#VALUE!</v>
      </c>
      <c r="N489" s="246" t="e">
        <f t="shared" si="52"/>
        <v>#VALUE!</v>
      </c>
      <c r="O489" s="247" t="e">
        <f t="shared" si="53"/>
        <v>#VALUE!</v>
      </c>
      <c r="P489" s="247">
        <f t="shared" si="54"/>
        <v>0</v>
      </c>
      <c r="Q489" s="247" t="e">
        <f t="shared" si="55"/>
        <v>#VALUE!</v>
      </c>
    </row>
    <row r="490" spans="1:17" ht="15" customHeight="1" x14ac:dyDescent="0.25">
      <c r="A490" s="244"/>
      <c r="B490" s="244"/>
      <c r="C490" s="244"/>
      <c r="D490" s="244"/>
      <c r="E490" s="244"/>
      <c r="F490" s="244"/>
      <c r="G490" s="244"/>
      <c r="I490" s="244"/>
      <c r="J490" s="244"/>
      <c r="K490" s="246" t="e">
        <f t="shared" si="49"/>
        <v>#VALUE!</v>
      </c>
      <c r="L490" s="246" t="e">
        <f t="shared" si="50"/>
        <v>#VALUE!</v>
      </c>
      <c r="M490" s="247" t="e">
        <f t="shared" si="51"/>
        <v>#VALUE!</v>
      </c>
      <c r="N490" s="246" t="e">
        <f t="shared" si="52"/>
        <v>#VALUE!</v>
      </c>
      <c r="O490" s="247" t="e">
        <f t="shared" si="53"/>
        <v>#VALUE!</v>
      </c>
      <c r="P490" s="247">
        <f t="shared" si="54"/>
        <v>0</v>
      </c>
      <c r="Q490" s="247" t="e">
        <f t="shared" si="55"/>
        <v>#VALUE!</v>
      </c>
    </row>
    <row r="491" spans="1:17" ht="15" customHeight="1" x14ac:dyDescent="0.25">
      <c r="A491" s="244"/>
      <c r="B491" s="244"/>
      <c r="C491" s="244"/>
      <c r="D491" s="244"/>
      <c r="E491" s="244"/>
      <c r="F491" s="244"/>
      <c r="G491" s="244"/>
      <c r="I491" s="244"/>
      <c r="J491" s="244"/>
      <c r="K491" s="246" t="e">
        <f t="shared" si="49"/>
        <v>#VALUE!</v>
      </c>
      <c r="L491" s="246" t="e">
        <f t="shared" si="50"/>
        <v>#VALUE!</v>
      </c>
      <c r="M491" s="247" t="e">
        <f t="shared" si="51"/>
        <v>#VALUE!</v>
      </c>
      <c r="N491" s="246" t="e">
        <f t="shared" si="52"/>
        <v>#VALUE!</v>
      </c>
      <c r="O491" s="247" t="e">
        <f t="shared" si="53"/>
        <v>#VALUE!</v>
      </c>
      <c r="P491" s="247">
        <f t="shared" si="54"/>
        <v>0</v>
      </c>
      <c r="Q491" s="247" t="e">
        <f t="shared" si="55"/>
        <v>#VALUE!</v>
      </c>
    </row>
    <row r="492" spans="1:17" ht="15" customHeight="1" x14ac:dyDescent="0.25">
      <c r="A492" s="244"/>
      <c r="B492" s="244"/>
      <c r="C492" s="244"/>
      <c r="D492" s="244"/>
      <c r="E492" s="244"/>
      <c r="F492" s="244"/>
      <c r="G492" s="244"/>
      <c r="I492" s="244"/>
      <c r="J492" s="244"/>
      <c r="K492" s="246" t="e">
        <f t="shared" si="49"/>
        <v>#VALUE!</v>
      </c>
      <c r="L492" s="246" t="e">
        <f t="shared" si="50"/>
        <v>#VALUE!</v>
      </c>
      <c r="M492" s="247" t="e">
        <f t="shared" si="51"/>
        <v>#VALUE!</v>
      </c>
      <c r="N492" s="246" t="e">
        <f t="shared" si="52"/>
        <v>#VALUE!</v>
      </c>
      <c r="O492" s="247" t="e">
        <f t="shared" si="53"/>
        <v>#VALUE!</v>
      </c>
      <c r="P492" s="247">
        <f t="shared" si="54"/>
        <v>0</v>
      </c>
      <c r="Q492" s="247" t="e">
        <f t="shared" si="55"/>
        <v>#VALUE!</v>
      </c>
    </row>
    <row r="493" spans="1:17" ht="15" customHeight="1" x14ac:dyDescent="0.25">
      <c r="A493" s="244"/>
      <c r="B493" s="244"/>
      <c r="C493" s="244"/>
      <c r="D493" s="244"/>
      <c r="E493" s="244"/>
      <c r="F493" s="244"/>
      <c r="G493" s="244"/>
      <c r="I493" s="244"/>
      <c r="J493" s="244"/>
      <c r="K493" s="246" t="e">
        <f t="shared" si="49"/>
        <v>#VALUE!</v>
      </c>
      <c r="L493" s="246" t="e">
        <f t="shared" si="50"/>
        <v>#VALUE!</v>
      </c>
      <c r="M493" s="247" t="e">
        <f t="shared" si="51"/>
        <v>#VALUE!</v>
      </c>
      <c r="N493" s="246" t="e">
        <f t="shared" si="52"/>
        <v>#VALUE!</v>
      </c>
      <c r="O493" s="247" t="e">
        <f t="shared" si="53"/>
        <v>#VALUE!</v>
      </c>
      <c r="P493" s="247">
        <f t="shared" si="54"/>
        <v>0</v>
      </c>
      <c r="Q493" s="247" t="e">
        <f t="shared" si="55"/>
        <v>#VALUE!</v>
      </c>
    </row>
    <row r="494" spans="1:17" ht="15" customHeight="1" x14ac:dyDescent="0.25">
      <c r="A494" s="244"/>
      <c r="B494" s="244"/>
      <c r="C494" s="244"/>
      <c r="D494" s="244"/>
      <c r="E494" s="244"/>
      <c r="F494" s="244"/>
      <c r="G494" s="244"/>
      <c r="I494" s="244"/>
      <c r="J494" s="244"/>
      <c r="K494" s="246" t="e">
        <f t="shared" si="49"/>
        <v>#VALUE!</v>
      </c>
      <c r="L494" s="246" t="e">
        <f t="shared" si="50"/>
        <v>#VALUE!</v>
      </c>
      <c r="M494" s="247" t="e">
        <f t="shared" si="51"/>
        <v>#VALUE!</v>
      </c>
      <c r="N494" s="246" t="e">
        <f t="shared" si="52"/>
        <v>#VALUE!</v>
      </c>
      <c r="O494" s="247" t="e">
        <f t="shared" si="53"/>
        <v>#VALUE!</v>
      </c>
      <c r="P494" s="247">
        <f t="shared" si="54"/>
        <v>0</v>
      </c>
      <c r="Q494" s="247" t="e">
        <f t="shared" si="55"/>
        <v>#VALUE!</v>
      </c>
    </row>
    <row r="495" spans="1:17" ht="15" customHeight="1" x14ac:dyDescent="0.25">
      <c r="A495" s="244"/>
      <c r="B495" s="244"/>
      <c r="C495" s="244"/>
      <c r="D495" s="244"/>
      <c r="E495" s="244"/>
      <c r="F495" s="244"/>
      <c r="G495" s="244"/>
      <c r="I495" s="244"/>
      <c r="J495" s="244"/>
      <c r="K495" s="246" t="e">
        <f t="shared" si="49"/>
        <v>#VALUE!</v>
      </c>
      <c r="L495" s="246" t="e">
        <f t="shared" si="50"/>
        <v>#VALUE!</v>
      </c>
      <c r="M495" s="247" t="e">
        <f t="shared" si="51"/>
        <v>#VALUE!</v>
      </c>
      <c r="N495" s="246" t="e">
        <f t="shared" si="52"/>
        <v>#VALUE!</v>
      </c>
      <c r="O495" s="247" t="e">
        <f t="shared" si="53"/>
        <v>#VALUE!</v>
      </c>
      <c r="P495" s="247">
        <f t="shared" si="54"/>
        <v>0</v>
      </c>
      <c r="Q495" s="247" t="e">
        <f t="shared" si="55"/>
        <v>#VALUE!</v>
      </c>
    </row>
    <row r="496" spans="1:17" ht="15" customHeight="1" x14ac:dyDescent="0.25">
      <c r="A496" s="244"/>
      <c r="B496" s="244"/>
      <c r="C496" s="244"/>
      <c r="D496" s="244"/>
      <c r="E496" s="244"/>
      <c r="F496" s="244"/>
      <c r="G496" s="244"/>
      <c r="I496" s="244"/>
      <c r="J496" s="244"/>
      <c r="K496" s="246" t="e">
        <f t="shared" si="49"/>
        <v>#VALUE!</v>
      </c>
      <c r="L496" s="246" t="e">
        <f t="shared" si="50"/>
        <v>#VALUE!</v>
      </c>
      <c r="M496" s="247" t="e">
        <f t="shared" si="51"/>
        <v>#VALUE!</v>
      </c>
      <c r="N496" s="246" t="e">
        <f t="shared" si="52"/>
        <v>#VALUE!</v>
      </c>
      <c r="O496" s="247" t="e">
        <f t="shared" si="53"/>
        <v>#VALUE!</v>
      </c>
      <c r="P496" s="247">
        <f t="shared" si="54"/>
        <v>0</v>
      </c>
      <c r="Q496" s="247" t="e">
        <f t="shared" si="55"/>
        <v>#VALUE!</v>
      </c>
    </row>
    <row r="497" spans="1:17" ht="15" customHeight="1" x14ac:dyDescent="0.25">
      <c r="A497" s="244"/>
      <c r="B497" s="244"/>
      <c r="C497" s="244"/>
      <c r="D497" s="244"/>
      <c r="E497" s="244"/>
      <c r="F497" s="244"/>
      <c r="G497" s="244"/>
      <c r="I497" s="244"/>
      <c r="J497" s="244"/>
      <c r="K497" s="246" t="e">
        <f t="shared" si="49"/>
        <v>#VALUE!</v>
      </c>
      <c r="L497" s="246" t="e">
        <f t="shared" si="50"/>
        <v>#VALUE!</v>
      </c>
      <c r="M497" s="247" t="e">
        <f t="shared" si="51"/>
        <v>#VALUE!</v>
      </c>
      <c r="N497" s="246" t="e">
        <f t="shared" si="52"/>
        <v>#VALUE!</v>
      </c>
      <c r="O497" s="247" t="e">
        <f t="shared" si="53"/>
        <v>#VALUE!</v>
      </c>
      <c r="P497" s="247">
        <f t="shared" si="54"/>
        <v>0</v>
      </c>
      <c r="Q497" s="247" t="e">
        <f t="shared" si="55"/>
        <v>#VALUE!</v>
      </c>
    </row>
    <row r="498" spans="1:17" ht="15" customHeight="1" x14ac:dyDescent="0.25">
      <c r="A498" s="244"/>
      <c r="B498" s="244"/>
      <c r="C498" s="244"/>
      <c r="D498" s="244"/>
      <c r="E498" s="244"/>
      <c r="F498" s="244"/>
      <c r="G498" s="244"/>
      <c r="I498" s="244"/>
      <c r="J498" s="244"/>
      <c r="K498" s="246" t="e">
        <f t="shared" si="49"/>
        <v>#VALUE!</v>
      </c>
      <c r="L498" s="246" t="e">
        <f t="shared" si="50"/>
        <v>#VALUE!</v>
      </c>
      <c r="M498" s="247" t="e">
        <f t="shared" si="51"/>
        <v>#VALUE!</v>
      </c>
      <c r="N498" s="246" t="e">
        <f t="shared" si="52"/>
        <v>#VALUE!</v>
      </c>
      <c r="O498" s="247" t="e">
        <f t="shared" si="53"/>
        <v>#VALUE!</v>
      </c>
      <c r="P498" s="247">
        <f t="shared" si="54"/>
        <v>0</v>
      </c>
      <c r="Q498" s="247" t="e">
        <f t="shared" si="55"/>
        <v>#VALUE!</v>
      </c>
    </row>
    <row r="499" spans="1:17" ht="15" customHeight="1" x14ac:dyDescent="0.25">
      <c r="A499" s="244"/>
      <c r="B499" s="244"/>
      <c r="C499" s="244"/>
      <c r="D499" s="244"/>
      <c r="E499" s="244"/>
      <c r="F499" s="244"/>
      <c r="G499" s="244"/>
      <c r="I499" s="244"/>
      <c r="J499" s="244"/>
      <c r="K499" s="246" t="e">
        <f t="shared" si="49"/>
        <v>#VALUE!</v>
      </c>
      <c r="L499" s="246" t="e">
        <f t="shared" si="50"/>
        <v>#VALUE!</v>
      </c>
      <c r="M499" s="247" t="e">
        <f t="shared" si="51"/>
        <v>#VALUE!</v>
      </c>
      <c r="N499" s="246" t="e">
        <f t="shared" si="52"/>
        <v>#VALUE!</v>
      </c>
      <c r="O499" s="247" t="e">
        <f t="shared" si="53"/>
        <v>#VALUE!</v>
      </c>
      <c r="P499" s="247">
        <f t="shared" si="54"/>
        <v>0</v>
      </c>
      <c r="Q499" s="247" t="e">
        <f t="shared" si="55"/>
        <v>#VALUE!</v>
      </c>
    </row>
    <row r="500" spans="1:17" ht="15" customHeight="1" x14ac:dyDescent="0.25">
      <c r="A500" s="244"/>
      <c r="B500" s="244"/>
      <c r="C500" s="244"/>
      <c r="D500" s="244"/>
      <c r="E500" s="244"/>
      <c r="F500" s="244"/>
      <c r="G500" s="244"/>
      <c r="I500" s="244"/>
      <c r="J500" s="244"/>
      <c r="K500" s="246" t="e">
        <f t="shared" si="49"/>
        <v>#VALUE!</v>
      </c>
      <c r="L500" s="246" t="e">
        <f t="shared" si="50"/>
        <v>#VALUE!</v>
      </c>
      <c r="M500" s="247" t="e">
        <f t="shared" si="51"/>
        <v>#VALUE!</v>
      </c>
      <c r="N500" s="246" t="e">
        <f t="shared" si="52"/>
        <v>#VALUE!</v>
      </c>
      <c r="O500" s="247" t="e">
        <f t="shared" si="53"/>
        <v>#VALUE!</v>
      </c>
      <c r="P500" s="247">
        <f t="shared" si="54"/>
        <v>0</v>
      </c>
      <c r="Q500" s="247" t="e">
        <f t="shared" si="55"/>
        <v>#VALUE!</v>
      </c>
    </row>
    <row r="501" spans="1:17" ht="15" customHeight="1" x14ac:dyDescent="0.25">
      <c r="A501" s="244"/>
      <c r="B501" s="244"/>
      <c r="C501" s="244"/>
      <c r="D501" s="244"/>
      <c r="E501" s="244"/>
      <c r="F501" s="244"/>
      <c r="G501" s="244"/>
      <c r="I501" s="244"/>
      <c r="J501" s="244"/>
      <c r="K501" s="246" t="e">
        <f t="shared" si="49"/>
        <v>#VALUE!</v>
      </c>
      <c r="L501" s="246" t="e">
        <f t="shared" si="50"/>
        <v>#VALUE!</v>
      </c>
      <c r="M501" s="247" t="e">
        <f t="shared" si="51"/>
        <v>#VALUE!</v>
      </c>
      <c r="N501" s="246" t="e">
        <f t="shared" si="52"/>
        <v>#VALUE!</v>
      </c>
      <c r="O501" s="247" t="e">
        <f t="shared" si="53"/>
        <v>#VALUE!</v>
      </c>
      <c r="P501" s="247">
        <f t="shared" si="54"/>
        <v>0</v>
      </c>
      <c r="Q501" s="247" t="e">
        <f t="shared" si="55"/>
        <v>#VALUE!</v>
      </c>
    </row>
    <row r="502" spans="1:17" ht="15" customHeight="1" x14ac:dyDescent="0.25">
      <c r="A502" s="244"/>
      <c r="B502" s="244"/>
      <c r="C502" s="244"/>
      <c r="D502" s="244"/>
      <c r="E502" s="244"/>
      <c r="F502" s="244"/>
      <c r="G502" s="244"/>
      <c r="I502" s="244"/>
      <c r="J502" s="244"/>
      <c r="K502" s="246" t="e">
        <f t="shared" si="49"/>
        <v>#VALUE!</v>
      </c>
      <c r="L502" s="246" t="e">
        <f t="shared" si="50"/>
        <v>#VALUE!</v>
      </c>
      <c r="M502" s="247" t="e">
        <f t="shared" si="51"/>
        <v>#VALUE!</v>
      </c>
      <c r="N502" s="246" t="e">
        <f t="shared" si="52"/>
        <v>#VALUE!</v>
      </c>
      <c r="O502" s="247" t="e">
        <f t="shared" si="53"/>
        <v>#VALUE!</v>
      </c>
      <c r="P502" s="247">
        <f t="shared" si="54"/>
        <v>0</v>
      </c>
      <c r="Q502" s="247" t="e">
        <f t="shared" si="55"/>
        <v>#VALUE!</v>
      </c>
    </row>
    <row r="503" spans="1:17" ht="15" customHeight="1" x14ac:dyDescent="0.25">
      <c r="A503" s="244"/>
      <c r="B503" s="244"/>
      <c r="C503" s="244"/>
      <c r="D503" s="244"/>
      <c r="E503" s="244"/>
      <c r="F503" s="244"/>
      <c r="G503" s="244"/>
      <c r="I503" s="244"/>
      <c r="J503" s="244"/>
      <c r="K503" s="246" t="e">
        <f t="shared" si="49"/>
        <v>#VALUE!</v>
      </c>
      <c r="L503" s="246" t="e">
        <f t="shared" si="50"/>
        <v>#VALUE!</v>
      </c>
      <c r="M503" s="247" t="e">
        <f t="shared" si="51"/>
        <v>#VALUE!</v>
      </c>
      <c r="N503" s="246" t="e">
        <f t="shared" si="52"/>
        <v>#VALUE!</v>
      </c>
      <c r="O503" s="247" t="e">
        <f t="shared" si="53"/>
        <v>#VALUE!</v>
      </c>
      <c r="P503" s="247">
        <f t="shared" si="54"/>
        <v>0</v>
      </c>
      <c r="Q503" s="247" t="e">
        <f t="shared" si="55"/>
        <v>#VALUE!</v>
      </c>
    </row>
    <row r="504" spans="1:17" ht="15" customHeight="1" x14ac:dyDescent="0.25">
      <c r="A504" s="244"/>
      <c r="B504" s="244"/>
      <c r="C504" s="244"/>
      <c r="D504" s="244"/>
      <c r="E504" s="244"/>
      <c r="F504" s="244"/>
      <c r="G504" s="244"/>
      <c r="I504" s="244"/>
      <c r="J504" s="244"/>
      <c r="K504" s="246" t="e">
        <f t="shared" si="49"/>
        <v>#VALUE!</v>
      </c>
      <c r="L504" s="246" t="e">
        <f t="shared" si="50"/>
        <v>#VALUE!</v>
      </c>
      <c r="M504" s="247" t="e">
        <f t="shared" si="51"/>
        <v>#VALUE!</v>
      </c>
      <c r="N504" s="246" t="e">
        <f t="shared" si="52"/>
        <v>#VALUE!</v>
      </c>
      <c r="O504" s="247" t="e">
        <f t="shared" si="53"/>
        <v>#VALUE!</v>
      </c>
      <c r="P504" s="247">
        <f t="shared" si="54"/>
        <v>0</v>
      </c>
      <c r="Q504" s="247" t="e">
        <f t="shared" si="55"/>
        <v>#VALUE!</v>
      </c>
    </row>
    <row r="505" spans="1:17" ht="15" customHeight="1" x14ac:dyDescent="0.25">
      <c r="A505" s="244"/>
      <c r="B505" s="244"/>
      <c r="C505" s="244"/>
      <c r="D505" s="244"/>
      <c r="E505" s="244"/>
      <c r="F505" s="244"/>
      <c r="G505" s="244"/>
      <c r="I505" s="244"/>
      <c r="J505" s="244"/>
      <c r="K505" s="246" t="e">
        <f t="shared" si="49"/>
        <v>#VALUE!</v>
      </c>
      <c r="L505" s="246" t="e">
        <f t="shared" si="50"/>
        <v>#VALUE!</v>
      </c>
      <c r="M505" s="247" t="e">
        <f t="shared" si="51"/>
        <v>#VALUE!</v>
      </c>
      <c r="N505" s="246" t="e">
        <f t="shared" si="52"/>
        <v>#VALUE!</v>
      </c>
      <c r="O505" s="247" t="e">
        <f t="shared" si="53"/>
        <v>#VALUE!</v>
      </c>
      <c r="P505" s="247">
        <f t="shared" si="54"/>
        <v>0</v>
      </c>
      <c r="Q505" s="247" t="e">
        <f t="shared" si="55"/>
        <v>#VALUE!</v>
      </c>
    </row>
    <row r="506" spans="1:17" ht="15" customHeight="1" x14ac:dyDescent="0.25">
      <c r="A506" s="244"/>
      <c r="B506" s="244"/>
      <c r="C506" s="244"/>
      <c r="D506" s="244"/>
      <c r="E506" s="244"/>
      <c r="F506" s="244"/>
      <c r="G506" s="244"/>
      <c r="I506" s="244"/>
      <c r="J506" s="244"/>
      <c r="K506" s="246" t="e">
        <f t="shared" si="49"/>
        <v>#VALUE!</v>
      </c>
      <c r="L506" s="246" t="e">
        <f t="shared" si="50"/>
        <v>#VALUE!</v>
      </c>
      <c r="M506" s="247" t="e">
        <f t="shared" si="51"/>
        <v>#VALUE!</v>
      </c>
      <c r="N506" s="246" t="e">
        <f t="shared" si="52"/>
        <v>#VALUE!</v>
      </c>
      <c r="O506" s="247" t="e">
        <f t="shared" si="53"/>
        <v>#VALUE!</v>
      </c>
      <c r="P506" s="247">
        <f t="shared" si="54"/>
        <v>0</v>
      </c>
      <c r="Q506" s="247" t="e">
        <f t="shared" si="55"/>
        <v>#VALUE!</v>
      </c>
    </row>
    <row r="507" spans="1:17" ht="15" customHeight="1" x14ac:dyDescent="0.25">
      <c r="A507" s="244"/>
      <c r="B507" s="244"/>
      <c r="C507" s="244"/>
      <c r="D507" s="244"/>
      <c r="E507" s="244"/>
      <c r="F507" s="244"/>
      <c r="G507" s="244"/>
      <c r="I507" s="244"/>
      <c r="J507" s="244"/>
      <c r="K507" s="246" t="e">
        <f t="shared" si="49"/>
        <v>#VALUE!</v>
      </c>
      <c r="L507" s="246" t="e">
        <f t="shared" si="50"/>
        <v>#VALUE!</v>
      </c>
      <c r="M507" s="247" t="e">
        <f t="shared" si="51"/>
        <v>#VALUE!</v>
      </c>
      <c r="N507" s="246" t="e">
        <f t="shared" si="52"/>
        <v>#VALUE!</v>
      </c>
      <c r="O507" s="247" t="e">
        <f t="shared" si="53"/>
        <v>#VALUE!</v>
      </c>
      <c r="P507" s="247">
        <f t="shared" si="54"/>
        <v>0</v>
      </c>
      <c r="Q507" s="247" t="e">
        <f t="shared" si="55"/>
        <v>#VALUE!</v>
      </c>
    </row>
    <row r="508" spans="1:17" ht="15" customHeight="1" x14ac:dyDescent="0.25">
      <c r="A508" s="244"/>
      <c r="B508" s="244"/>
      <c r="C508" s="244"/>
      <c r="D508" s="244"/>
      <c r="E508" s="244"/>
      <c r="F508" s="244"/>
      <c r="G508" s="244"/>
      <c r="I508" s="244"/>
      <c r="J508" s="244"/>
      <c r="K508" s="246" t="e">
        <f t="shared" si="49"/>
        <v>#VALUE!</v>
      </c>
      <c r="L508" s="246" t="e">
        <f t="shared" si="50"/>
        <v>#VALUE!</v>
      </c>
      <c r="M508" s="247" t="e">
        <f t="shared" si="51"/>
        <v>#VALUE!</v>
      </c>
      <c r="N508" s="246" t="e">
        <f t="shared" si="52"/>
        <v>#VALUE!</v>
      </c>
      <c r="O508" s="247" t="e">
        <f t="shared" si="53"/>
        <v>#VALUE!</v>
      </c>
      <c r="P508" s="247">
        <f t="shared" si="54"/>
        <v>0</v>
      </c>
      <c r="Q508" s="247" t="e">
        <f t="shared" si="55"/>
        <v>#VALUE!</v>
      </c>
    </row>
    <row r="509" spans="1:17" ht="15" customHeight="1" x14ac:dyDescent="0.25">
      <c r="A509" s="244"/>
      <c r="B509" s="244"/>
      <c r="C509" s="244"/>
      <c r="D509" s="244"/>
      <c r="E509" s="244"/>
      <c r="F509" s="244"/>
      <c r="G509" s="244"/>
      <c r="I509" s="244"/>
      <c r="J509" s="244"/>
      <c r="K509" s="246" t="e">
        <f t="shared" si="49"/>
        <v>#VALUE!</v>
      </c>
      <c r="L509" s="246" t="e">
        <f t="shared" si="50"/>
        <v>#VALUE!</v>
      </c>
      <c r="M509" s="247" t="e">
        <f t="shared" si="51"/>
        <v>#VALUE!</v>
      </c>
      <c r="N509" s="246" t="e">
        <f t="shared" si="52"/>
        <v>#VALUE!</v>
      </c>
      <c r="O509" s="247" t="e">
        <f t="shared" si="53"/>
        <v>#VALUE!</v>
      </c>
      <c r="P509" s="247">
        <f t="shared" si="54"/>
        <v>0</v>
      </c>
      <c r="Q509" s="247" t="e">
        <f t="shared" si="55"/>
        <v>#VALUE!</v>
      </c>
    </row>
    <row r="510" spans="1:17" ht="15" customHeight="1" x14ac:dyDescent="0.25">
      <c r="A510" s="244"/>
      <c r="B510" s="244"/>
      <c r="C510" s="244"/>
      <c r="D510" s="244"/>
      <c r="E510" s="244"/>
      <c r="F510" s="244"/>
      <c r="G510" s="244"/>
      <c r="I510" s="244"/>
      <c r="J510" s="244"/>
      <c r="K510" s="246" t="e">
        <f t="shared" si="49"/>
        <v>#VALUE!</v>
      </c>
      <c r="L510" s="246" t="e">
        <f t="shared" si="50"/>
        <v>#VALUE!</v>
      </c>
      <c r="M510" s="247" t="e">
        <f t="shared" si="51"/>
        <v>#VALUE!</v>
      </c>
      <c r="N510" s="246" t="e">
        <f t="shared" si="52"/>
        <v>#VALUE!</v>
      </c>
      <c r="O510" s="247" t="e">
        <f t="shared" si="53"/>
        <v>#VALUE!</v>
      </c>
      <c r="P510" s="247">
        <f t="shared" si="54"/>
        <v>0</v>
      </c>
      <c r="Q510" s="247" t="e">
        <f t="shared" si="55"/>
        <v>#VALUE!</v>
      </c>
    </row>
    <row r="511" spans="1:17" ht="15" customHeight="1" x14ac:dyDescent="0.25">
      <c r="A511" s="244"/>
      <c r="B511" s="244"/>
      <c r="C511" s="244"/>
      <c r="D511" s="244"/>
      <c r="E511" s="244"/>
      <c r="F511" s="244"/>
      <c r="G511" s="244"/>
      <c r="I511" s="244"/>
      <c r="J511" s="244"/>
      <c r="K511" s="246" t="e">
        <f t="shared" si="49"/>
        <v>#VALUE!</v>
      </c>
      <c r="L511" s="246" t="e">
        <f t="shared" si="50"/>
        <v>#VALUE!</v>
      </c>
      <c r="M511" s="247" t="e">
        <f t="shared" si="51"/>
        <v>#VALUE!</v>
      </c>
      <c r="N511" s="246" t="e">
        <f t="shared" si="52"/>
        <v>#VALUE!</v>
      </c>
      <c r="O511" s="247" t="e">
        <f t="shared" si="53"/>
        <v>#VALUE!</v>
      </c>
      <c r="P511" s="247">
        <f t="shared" si="54"/>
        <v>0</v>
      </c>
      <c r="Q511" s="247" t="e">
        <f t="shared" si="55"/>
        <v>#VALUE!</v>
      </c>
    </row>
    <row r="512" spans="1:17" ht="15" customHeight="1" x14ac:dyDescent="0.25">
      <c r="A512" s="244"/>
      <c r="B512" s="244"/>
      <c r="C512" s="244"/>
      <c r="D512" s="244"/>
      <c r="E512" s="244"/>
      <c r="F512" s="244"/>
      <c r="G512" s="244"/>
      <c r="I512" s="244"/>
      <c r="J512" s="244"/>
      <c r="K512" s="246" t="e">
        <f t="shared" si="49"/>
        <v>#VALUE!</v>
      </c>
      <c r="L512" s="246" t="e">
        <f t="shared" si="50"/>
        <v>#VALUE!</v>
      </c>
      <c r="M512" s="247" t="e">
        <f t="shared" si="51"/>
        <v>#VALUE!</v>
      </c>
      <c r="N512" s="246" t="e">
        <f t="shared" si="52"/>
        <v>#VALUE!</v>
      </c>
      <c r="O512" s="247" t="e">
        <f t="shared" si="53"/>
        <v>#VALUE!</v>
      </c>
      <c r="P512" s="247">
        <f t="shared" si="54"/>
        <v>0</v>
      </c>
      <c r="Q512" s="247" t="e">
        <f t="shared" si="55"/>
        <v>#VALUE!</v>
      </c>
    </row>
    <row r="513" spans="1:17" ht="15" customHeight="1" x14ac:dyDescent="0.25">
      <c r="A513" s="244"/>
      <c r="B513" s="244"/>
      <c r="C513" s="244"/>
      <c r="D513" s="244"/>
      <c r="E513" s="244"/>
      <c r="F513" s="244"/>
      <c r="G513" s="244"/>
      <c r="I513" s="244"/>
      <c r="J513" s="244"/>
      <c r="K513" s="246" t="e">
        <f t="shared" si="49"/>
        <v>#VALUE!</v>
      </c>
      <c r="L513" s="246" t="e">
        <f t="shared" si="50"/>
        <v>#VALUE!</v>
      </c>
      <c r="M513" s="247" t="e">
        <f t="shared" si="51"/>
        <v>#VALUE!</v>
      </c>
      <c r="N513" s="246" t="e">
        <f t="shared" si="52"/>
        <v>#VALUE!</v>
      </c>
      <c r="O513" s="247" t="e">
        <f t="shared" si="53"/>
        <v>#VALUE!</v>
      </c>
      <c r="P513" s="247">
        <f t="shared" si="54"/>
        <v>0</v>
      </c>
      <c r="Q513" s="247" t="e">
        <f t="shared" si="55"/>
        <v>#VALUE!</v>
      </c>
    </row>
    <row r="514" spans="1:17" ht="15" customHeight="1" x14ac:dyDescent="0.25">
      <c r="A514" s="244"/>
      <c r="B514" s="244"/>
      <c r="C514" s="244"/>
      <c r="D514" s="244"/>
      <c r="E514" s="244"/>
      <c r="F514" s="244"/>
      <c r="G514" s="244"/>
      <c r="I514" s="244"/>
      <c r="J514" s="244"/>
      <c r="K514" s="246" t="e">
        <f t="shared" ref="K514:K577" si="56">DATE(VALUE(LEFT(A514,4)),VALUE(MID(A514,5,2)),VALUE(RIGHT(A514,2)))</f>
        <v>#VALUE!</v>
      </c>
      <c r="L514" s="246" t="e">
        <f t="shared" ref="L514:L577" si="57">DATEVALUE(LEFT(F514,10))</f>
        <v>#VALUE!</v>
      </c>
      <c r="M514" s="247" t="e">
        <f t="shared" ref="M514:M577" si="58">TIMEVALUE(MID(F514,12,8))</f>
        <v>#VALUE!</v>
      </c>
      <c r="N514" s="246" t="e">
        <f t="shared" ref="N514:N577" si="59">DATEVALUE(LEFT(G514,10))</f>
        <v>#VALUE!</v>
      </c>
      <c r="O514" s="247" t="e">
        <f t="shared" ref="O514:O577" si="60">TIMEVALUE(MID(G514,12,8))</f>
        <v>#VALUE!</v>
      </c>
      <c r="P514" s="247">
        <f t="shared" ref="P514:P577" si="61">IFERROR(_xlfn.MINIFS($M:$M,$E:$E,$E514,$K:$K,$K514,$M:$M,"&gt;"&amp;$O514),"")</f>
        <v>0</v>
      </c>
      <c r="Q514" s="247" t="e">
        <f t="shared" ref="Q514:Q577" si="62">IF($P514="","",$P514-$O514)</f>
        <v>#VALUE!</v>
      </c>
    </row>
    <row r="515" spans="1:17" ht="15" customHeight="1" x14ac:dyDescent="0.25">
      <c r="A515" s="244"/>
      <c r="B515" s="244"/>
      <c r="C515" s="244"/>
      <c r="D515" s="244"/>
      <c r="E515" s="244"/>
      <c r="F515" s="244"/>
      <c r="G515" s="244"/>
      <c r="I515" s="244"/>
      <c r="J515" s="244"/>
      <c r="K515" s="246" t="e">
        <f t="shared" si="56"/>
        <v>#VALUE!</v>
      </c>
      <c r="L515" s="246" t="e">
        <f t="shared" si="57"/>
        <v>#VALUE!</v>
      </c>
      <c r="M515" s="247" t="e">
        <f t="shared" si="58"/>
        <v>#VALUE!</v>
      </c>
      <c r="N515" s="246" t="e">
        <f t="shared" si="59"/>
        <v>#VALUE!</v>
      </c>
      <c r="O515" s="247" t="e">
        <f t="shared" si="60"/>
        <v>#VALUE!</v>
      </c>
      <c r="P515" s="247">
        <f t="shared" si="61"/>
        <v>0</v>
      </c>
      <c r="Q515" s="247" t="e">
        <f t="shared" si="62"/>
        <v>#VALUE!</v>
      </c>
    </row>
    <row r="516" spans="1:17" ht="15" customHeight="1" x14ac:dyDescent="0.25">
      <c r="A516" s="244"/>
      <c r="B516" s="244"/>
      <c r="C516" s="244"/>
      <c r="D516" s="244"/>
      <c r="E516" s="244"/>
      <c r="F516" s="244"/>
      <c r="G516" s="244"/>
      <c r="I516" s="244"/>
      <c r="J516" s="244"/>
      <c r="K516" s="246" t="e">
        <f t="shared" si="56"/>
        <v>#VALUE!</v>
      </c>
      <c r="L516" s="246" t="e">
        <f t="shared" si="57"/>
        <v>#VALUE!</v>
      </c>
      <c r="M516" s="247" t="e">
        <f t="shared" si="58"/>
        <v>#VALUE!</v>
      </c>
      <c r="N516" s="246" t="e">
        <f t="shared" si="59"/>
        <v>#VALUE!</v>
      </c>
      <c r="O516" s="247" t="e">
        <f t="shared" si="60"/>
        <v>#VALUE!</v>
      </c>
      <c r="P516" s="247">
        <f t="shared" si="61"/>
        <v>0</v>
      </c>
      <c r="Q516" s="247" t="e">
        <f t="shared" si="62"/>
        <v>#VALUE!</v>
      </c>
    </row>
    <row r="517" spans="1:17" ht="15" customHeight="1" x14ac:dyDescent="0.25">
      <c r="A517" s="244"/>
      <c r="B517" s="244"/>
      <c r="C517" s="244"/>
      <c r="D517" s="244"/>
      <c r="E517" s="244"/>
      <c r="F517" s="244"/>
      <c r="G517" s="244"/>
      <c r="I517" s="244"/>
      <c r="J517" s="244"/>
      <c r="K517" s="246" t="e">
        <f t="shared" si="56"/>
        <v>#VALUE!</v>
      </c>
      <c r="L517" s="246" t="e">
        <f t="shared" si="57"/>
        <v>#VALUE!</v>
      </c>
      <c r="M517" s="247" t="e">
        <f t="shared" si="58"/>
        <v>#VALUE!</v>
      </c>
      <c r="N517" s="246" t="e">
        <f t="shared" si="59"/>
        <v>#VALUE!</v>
      </c>
      <c r="O517" s="247" t="e">
        <f t="shared" si="60"/>
        <v>#VALUE!</v>
      </c>
      <c r="P517" s="247">
        <f t="shared" si="61"/>
        <v>0</v>
      </c>
      <c r="Q517" s="247" t="e">
        <f t="shared" si="62"/>
        <v>#VALUE!</v>
      </c>
    </row>
    <row r="518" spans="1:17" ht="15" customHeight="1" x14ac:dyDescent="0.25">
      <c r="A518" s="244"/>
      <c r="B518" s="244"/>
      <c r="C518" s="244"/>
      <c r="D518" s="244"/>
      <c r="E518" s="244"/>
      <c r="F518" s="244"/>
      <c r="G518" s="244"/>
      <c r="I518" s="244"/>
      <c r="J518" s="244"/>
      <c r="K518" s="246" t="e">
        <f t="shared" si="56"/>
        <v>#VALUE!</v>
      </c>
      <c r="L518" s="246" t="e">
        <f t="shared" si="57"/>
        <v>#VALUE!</v>
      </c>
      <c r="M518" s="247" t="e">
        <f t="shared" si="58"/>
        <v>#VALUE!</v>
      </c>
      <c r="N518" s="246" t="e">
        <f t="shared" si="59"/>
        <v>#VALUE!</v>
      </c>
      <c r="O518" s="247" t="e">
        <f t="shared" si="60"/>
        <v>#VALUE!</v>
      </c>
      <c r="P518" s="247">
        <f t="shared" si="61"/>
        <v>0</v>
      </c>
      <c r="Q518" s="247" t="e">
        <f t="shared" si="62"/>
        <v>#VALUE!</v>
      </c>
    </row>
    <row r="519" spans="1:17" ht="15" customHeight="1" x14ac:dyDescent="0.25">
      <c r="A519" s="244"/>
      <c r="B519" s="244"/>
      <c r="C519" s="244"/>
      <c r="D519" s="244"/>
      <c r="E519" s="244"/>
      <c r="F519" s="244"/>
      <c r="G519" s="244"/>
      <c r="I519" s="244"/>
      <c r="J519" s="244"/>
      <c r="K519" s="246" t="e">
        <f t="shared" si="56"/>
        <v>#VALUE!</v>
      </c>
      <c r="L519" s="246" t="e">
        <f t="shared" si="57"/>
        <v>#VALUE!</v>
      </c>
      <c r="M519" s="247" t="e">
        <f t="shared" si="58"/>
        <v>#VALUE!</v>
      </c>
      <c r="N519" s="246" t="e">
        <f t="shared" si="59"/>
        <v>#VALUE!</v>
      </c>
      <c r="O519" s="247" t="e">
        <f t="shared" si="60"/>
        <v>#VALUE!</v>
      </c>
      <c r="P519" s="247">
        <f t="shared" si="61"/>
        <v>0</v>
      </c>
      <c r="Q519" s="247" t="e">
        <f t="shared" si="62"/>
        <v>#VALUE!</v>
      </c>
    </row>
    <row r="520" spans="1:17" ht="15" customHeight="1" x14ac:dyDescent="0.25">
      <c r="A520" s="244"/>
      <c r="B520" s="244"/>
      <c r="C520" s="244"/>
      <c r="D520" s="244"/>
      <c r="E520" s="244"/>
      <c r="F520" s="244"/>
      <c r="G520" s="244"/>
      <c r="I520" s="244"/>
      <c r="J520" s="244"/>
      <c r="K520" s="246" t="e">
        <f t="shared" si="56"/>
        <v>#VALUE!</v>
      </c>
      <c r="L520" s="246" t="e">
        <f t="shared" si="57"/>
        <v>#VALUE!</v>
      </c>
      <c r="M520" s="247" t="e">
        <f t="shared" si="58"/>
        <v>#VALUE!</v>
      </c>
      <c r="N520" s="246" t="e">
        <f t="shared" si="59"/>
        <v>#VALUE!</v>
      </c>
      <c r="O520" s="247" t="e">
        <f t="shared" si="60"/>
        <v>#VALUE!</v>
      </c>
      <c r="P520" s="247">
        <f t="shared" si="61"/>
        <v>0</v>
      </c>
      <c r="Q520" s="247" t="e">
        <f t="shared" si="62"/>
        <v>#VALUE!</v>
      </c>
    </row>
    <row r="521" spans="1:17" ht="15" customHeight="1" x14ac:dyDescent="0.25">
      <c r="A521" s="244"/>
      <c r="B521" s="244"/>
      <c r="C521" s="244"/>
      <c r="D521" s="244"/>
      <c r="E521" s="244"/>
      <c r="F521" s="244"/>
      <c r="G521" s="244"/>
      <c r="I521" s="244"/>
      <c r="J521" s="244"/>
      <c r="K521" s="246" t="e">
        <f t="shared" si="56"/>
        <v>#VALUE!</v>
      </c>
      <c r="L521" s="246" t="e">
        <f t="shared" si="57"/>
        <v>#VALUE!</v>
      </c>
      <c r="M521" s="247" t="e">
        <f t="shared" si="58"/>
        <v>#VALUE!</v>
      </c>
      <c r="N521" s="246" t="e">
        <f t="shared" si="59"/>
        <v>#VALUE!</v>
      </c>
      <c r="O521" s="247" t="e">
        <f t="shared" si="60"/>
        <v>#VALUE!</v>
      </c>
      <c r="P521" s="247">
        <f t="shared" si="61"/>
        <v>0</v>
      </c>
      <c r="Q521" s="247" t="e">
        <f t="shared" si="62"/>
        <v>#VALUE!</v>
      </c>
    </row>
    <row r="522" spans="1:17" ht="15" customHeight="1" x14ac:dyDescent="0.25">
      <c r="A522" s="244"/>
      <c r="B522" s="244"/>
      <c r="C522" s="244"/>
      <c r="D522" s="244"/>
      <c r="E522" s="244"/>
      <c r="F522" s="244"/>
      <c r="G522" s="244"/>
      <c r="I522" s="244"/>
      <c r="J522" s="244"/>
      <c r="K522" s="246" t="e">
        <f t="shared" si="56"/>
        <v>#VALUE!</v>
      </c>
      <c r="L522" s="246" t="e">
        <f t="shared" si="57"/>
        <v>#VALUE!</v>
      </c>
      <c r="M522" s="247" t="e">
        <f t="shared" si="58"/>
        <v>#VALUE!</v>
      </c>
      <c r="N522" s="246" t="e">
        <f t="shared" si="59"/>
        <v>#VALUE!</v>
      </c>
      <c r="O522" s="247" t="e">
        <f t="shared" si="60"/>
        <v>#VALUE!</v>
      </c>
      <c r="P522" s="247">
        <f t="shared" si="61"/>
        <v>0</v>
      </c>
      <c r="Q522" s="247" t="e">
        <f t="shared" si="62"/>
        <v>#VALUE!</v>
      </c>
    </row>
    <row r="523" spans="1:17" ht="15" customHeight="1" x14ac:dyDescent="0.25">
      <c r="A523" s="244"/>
      <c r="B523" s="244"/>
      <c r="C523" s="244"/>
      <c r="D523" s="244"/>
      <c r="E523" s="244"/>
      <c r="F523" s="244"/>
      <c r="G523" s="244"/>
      <c r="I523" s="244"/>
      <c r="J523" s="244"/>
      <c r="K523" s="246" t="e">
        <f t="shared" si="56"/>
        <v>#VALUE!</v>
      </c>
      <c r="L523" s="246" t="e">
        <f t="shared" si="57"/>
        <v>#VALUE!</v>
      </c>
      <c r="M523" s="247" t="e">
        <f t="shared" si="58"/>
        <v>#VALUE!</v>
      </c>
      <c r="N523" s="246" t="e">
        <f t="shared" si="59"/>
        <v>#VALUE!</v>
      </c>
      <c r="O523" s="247" t="e">
        <f t="shared" si="60"/>
        <v>#VALUE!</v>
      </c>
      <c r="P523" s="247">
        <f t="shared" si="61"/>
        <v>0</v>
      </c>
      <c r="Q523" s="247" t="e">
        <f t="shared" si="62"/>
        <v>#VALUE!</v>
      </c>
    </row>
    <row r="524" spans="1:17" ht="15" customHeight="1" x14ac:dyDescent="0.25">
      <c r="A524" s="244"/>
      <c r="B524" s="244"/>
      <c r="C524" s="244"/>
      <c r="D524" s="244"/>
      <c r="E524" s="244"/>
      <c r="F524" s="244"/>
      <c r="G524" s="244"/>
      <c r="I524" s="244"/>
      <c r="J524" s="244"/>
      <c r="K524" s="246" t="e">
        <f t="shared" si="56"/>
        <v>#VALUE!</v>
      </c>
      <c r="L524" s="246" t="e">
        <f t="shared" si="57"/>
        <v>#VALUE!</v>
      </c>
      <c r="M524" s="247" t="e">
        <f t="shared" si="58"/>
        <v>#VALUE!</v>
      </c>
      <c r="N524" s="246" t="e">
        <f t="shared" si="59"/>
        <v>#VALUE!</v>
      </c>
      <c r="O524" s="247" t="e">
        <f t="shared" si="60"/>
        <v>#VALUE!</v>
      </c>
      <c r="P524" s="247">
        <f t="shared" si="61"/>
        <v>0</v>
      </c>
      <c r="Q524" s="247" t="e">
        <f t="shared" si="62"/>
        <v>#VALUE!</v>
      </c>
    </row>
    <row r="525" spans="1:17" ht="15" customHeight="1" x14ac:dyDescent="0.25">
      <c r="A525" s="244"/>
      <c r="B525" s="244"/>
      <c r="C525" s="244"/>
      <c r="D525" s="244"/>
      <c r="E525" s="244"/>
      <c r="F525" s="244"/>
      <c r="G525" s="244"/>
      <c r="I525" s="244"/>
      <c r="J525" s="244"/>
      <c r="K525" s="246" t="e">
        <f t="shared" si="56"/>
        <v>#VALUE!</v>
      </c>
      <c r="L525" s="246" t="e">
        <f t="shared" si="57"/>
        <v>#VALUE!</v>
      </c>
      <c r="M525" s="247" t="e">
        <f t="shared" si="58"/>
        <v>#VALUE!</v>
      </c>
      <c r="N525" s="246" t="e">
        <f t="shared" si="59"/>
        <v>#VALUE!</v>
      </c>
      <c r="O525" s="247" t="e">
        <f t="shared" si="60"/>
        <v>#VALUE!</v>
      </c>
      <c r="P525" s="247">
        <f t="shared" si="61"/>
        <v>0</v>
      </c>
      <c r="Q525" s="247" t="e">
        <f t="shared" si="62"/>
        <v>#VALUE!</v>
      </c>
    </row>
    <row r="526" spans="1:17" ht="15" customHeight="1" x14ac:dyDescent="0.25">
      <c r="A526" s="244"/>
      <c r="B526" s="244"/>
      <c r="C526" s="244"/>
      <c r="D526" s="244"/>
      <c r="E526" s="244"/>
      <c r="F526" s="244"/>
      <c r="G526" s="244"/>
      <c r="I526" s="244"/>
      <c r="J526" s="244"/>
      <c r="K526" s="246" t="e">
        <f t="shared" si="56"/>
        <v>#VALUE!</v>
      </c>
      <c r="L526" s="246" t="e">
        <f t="shared" si="57"/>
        <v>#VALUE!</v>
      </c>
      <c r="M526" s="247" t="e">
        <f t="shared" si="58"/>
        <v>#VALUE!</v>
      </c>
      <c r="N526" s="246" t="e">
        <f t="shared" si="59"/>
        <v>#VALUE!</v>
      </c>
      <c r="O526" s="247" t="e">
        <f t="shared" si="60"/>
        <v>#VALUE!</v>
      </c>
      <c r="P526" s="247">
        <f t="shared" si="61"/>
        <v>0</v>
      </c>
      <c r="Q526" s="247" t="e">
        <f t="shared" si="62"/>
        <v>#VALUE!</v>
      </c>
    </row>
    <row r="527" spans="1:17" ht="15" customHeight="1" x14ac:dyDescent="0.25">
      <c r="A527" s="244"/>
      <c r="B527" s="244"/>
      <c r="C527" s="244"/>
      <c r="D527" s="244"/>
      <c r="E527" s="244"/>
      <c r="F527" s="244"/>
      <c r="G527" s="244"/>
      <c r="I527" s="244"/>
      <c r="J527" s="244"/>
      <c r="K527" s="246" t="e">
        <f t="shared" si="56"/>
        <v>#VALUE!</v>
      </c>
      <c r="L527" s="246" t="e">
        <f t="shared" si="57"/>
        <v>#VALUE!</v>
      </c>
      <c r="M527" s="247" t="e">
        <f t="shared" si="58"/>
        <v>#VALUE!</v>
      </c>
      <c r="N527" s="246" t="e">
        <f t="shared" si="59"/>
        <v>#VALUE!</v>
      </c>
      <c r="O527" s="247" t="e">
        <f t="shared" si="60"/>
        <v>#VALUE!</v>
      </c>
      <c r="P527" s="247">
        <f t="shared" si="61"/>
        <v>0</v>
      </c>
      <c r="Q527" s="247" t="e">
        <f t="shared" si="62"/>
        <v>#VALUE!</v>
      </c>
    </row>
    <row r="528" spans="1:17" ht="15" customHeight="1" x14ac:dyDescent="0.25">
      <c r="A528" s="244"/>
      <c r="B528" s="244"/>
      <c r="C528" s="244"/>
      <c r="D528" s="244"/>
      <c r="E528" s="244"/>
      <c r="F528" s="244"/>
      <c r="G528" s="244"/>
      <c r="I528" s="244"/>
      <c r="J528" s="244"/>
      <c r="K528" s="246" t="e">
        <f t="shared" si="56"/>
        <v>#VALUE!</v>
      </c>
      <c r="L528" s="246" t="e">
        <f t="shared" si="57"/>
        <v>#VALUE!</v>
      </c>
      <c r="M528" s="247" t="e">
        <f t="shared" si="58"/>
        <v>#VALUE!</v>
      </c>
      <c r="N528" s="246" t="e">
        <f t="shared" si="59"/>
        <v>#VALUE!</v>
      </c>
      <c r="O528" s="247" t="e">
        <f t="shared" si="60"/>
        <v>#VALUE!</v>
      </c>
      <c r="P528" s="247">
        <f t="shared" si="61"/>
        <v>0</v>
      </c>
      <c r="Q528" s="247" t="e">
        <f t="shared" si="62"/>
        <v>#VALUE!</v>
      </c>
    </row>
    <row r="529" spans="1:17" ht="15" customHeight="1" x14ac:dyDescent="0.25">
      <c r="A529" s="244"/>
      <c r="B529" s="244"/>
      <c r="C529" s="244"/>
      <c r="D529" s="244"/>
      <c r="E529" s="244"/>
      <c r="F529" s="244"/>
      <c r="G529" s="244"/>
      <c r="I529" s="244"/>
      <c r="J529" s="244"/>
      <c r="K529" s="246" t="e">
        <f t="shared" si="56"/>
        <v>#VALUE!</v>
      </c>
      <c r="L529" s="246" t="e">
        <f t="shared" si="57"/>
        <v>#VALUE!</v>
      </c>
      <c r="M529" s="247" t="e">
        <f t="shared" si="58"/>
        <v>#VALUE!</v>
      </c>
      <c r="N529" s="246" t="e">
        <f t="shared" si="59"/>
        <v>#VALUE!</v>
      </c>
      <c r="O529" s="247" t="e">
        <f t="shared" si="60"/>
        <v>#VALUE!</v>
      </c>
      <c r="P529" s="247">
        <f t="shared" si="61"/>
        <v>0</v>
      </c>
      <c r="Q529" s="247" t="e">
        <f t="shared" si="62"/>
        <v>#VALUE!</v>
      </c>
    </row>
    <row r="530" spans="1:17" ht="15" customHeight="1" x14ac:dyDescent="0.25">
      <c r="A530" s="244"/>
      <c r="B530" s="244"/>
      <c r="C530" s="244"/>
      <c r="D530" s="244"/>
      <c r="E530" s="244"/>
      <c r="F530" s="244"/>
      <c r="G530" s="244"/>
      <c r="I530" s="244"/>
      <c r="J530" s="244"/>
      <c r="K530" s="246" t="e">
        <f t="shared" si="56"/>
        <v>#VALUE!</v>
      </c>
      <c r="L530" s="246" t="e">
        <f t="shared" si="57"/>
        <v>#VALUE!</v>
      </c>
      <c r="M530" s="247" t="e">
        <f t="shared" si="58"/>
        <v>#VALUE!</v>
      </c>
      <c r="N530" s="246" t="e">
        <f t="shared" si="59"/>
        <v>#VALUE!</v>
      </c>
      <c r="O530" s="247" t="e">
        <f t="shared" si="60"/>
        <v>#VALUE!</v>
      </c>
      <c r="P530" s="247">
        <f t="shared" si="61"/>
        <v>0</v>
      </c>
      <c r="Q530" s="247" t="e">
        <f t="shared" si="62"/>
        <v>#VALUE!</v>
      </c>
    </row>
    <row r="531" spans="1:17" ht="15" customHeight="1" x14ac:dyDescent="0.25">
      <c r="A531" s="244"/>
      <c r="B531" s="244"/>
      <c r="C531" s="244"/>
      <c r="D531" s="244"/>
      <c r="E531" s="244"/>
      <c r="F531" s="244"/>
      <c r="G531" s="244"/>
      <c r="I531" s="244"/>
      <c r="J531" s="244"/>
      <c r="K531" s="246" t="e">
        <f t="shared" si="56"/>
        <v>#VALUE!</v>
      </c>
      <c r="L531" s="246" t="e">
        <f t="shared" si="57"/>
        <v>#VALUE!</v>
      </c>
      <c r="M531" s="247" t="e">
        <f t="shared" si="58"/>
        <v>#VALUE!</v>
      </c>
      <c r="N531" s="246" t="e">
        <f t="shared" si="59"/>
        <v>#VALUE!</v>
      </c>
      <c r="O531" s="247" t="e">
        <f t="shared" si="60"/>
        <v>#VALUE!</v>
      </c>
      <c r="P531" s="247">
        <f t="shared" si="61"/>
        <v>0</v>
      </c>
      <c r="Q531" s="247" t="e">
        <f t="shared" si="62"/>
        <v>#VALUE!</v>
      </c>
    </row>
    <row r="532" spans="1:17" ht="15" customHeight="1" x14ac:dyDescent="0.25">
      <c r="A532" s="244"/>
      <c r="B532" s="244"/>
      <c r="C532" s="244"/>
      <c r="D532" s="244"/>
      <c r="E532" s="244"/>
      <c r="F532" s="244"/>
      <c r="G532" s="244"/>
      <c r="I532" s="244"/>
      <c r="J532" s="244"/>
      <c r="K532" s="246" t="e">
        <f t="shared" si="56"/>
        <v>#VALUE!</v>
      </c>
      <c r="L532" s="246" t="e">
        <f t="shared" si="57"/>
        <v>#VALUE!</v>
      </c>
      <c r="M532" s="247" t="e">
        <f t="shared" si="58"/>
        <v>#VALUE!</v>
      </c>
      <c r="N532" s="246" t="e">
        <f t="shared" si="59"/>
        <v>#VALUE!</v>
      </c>
      <c r="O532" s="247" t="e">
        <f t="shared" si="60"/>
        <v>#VALUE!</v>
      </c>
      <c r="P532" s="247">
        <f t="shared" si="61"/>
        <v>0</v>
      </c>
      <c r="Q532" s="247" t="e">
        <f t="shared" si="62"/>
        <v>#VALUE!</v>
      </c>
    </row>
    <row r="533" spans="1:17" ht="15" customHeight="1" x14ac:dyDescent="0.25">
      <c r="A533" s="244"/>
      <c r="B533" s="244"/>
      <c r="C533" s="244"/>
      <c r="D533" s="244"/>
      <c r="E533" s="244"/>
      <c r="F533" s="244"/>
      <c r="G533" s="244"/>
      <c r="I533" s="244"/>
      <c r="J533" s="244"/>
      <c r="K533" s="246" t="e">
        <f t="shared" si="56"/>
        <v>#VALUE!</v>
      </c>
      <c r="L533" s="246" t="e">
        <f t="shared" si="57"/>
        <v>#VALUE!</v>
      </c>
      <c r="M533" s="247" t="e">
        <f t="shared" si="58"/>
        <v>#VALUE!</v>
      </c>
      <c r="N533" s="246" t="e">
        <f t="shared" si="59"/>
        <v>#VALUE!</v>
      </c>
      <c r="O533" s="247" t="e">
        <f t="shared" si="60"/>
        <v>#VALUE!</v>
      </c>
      <c r="P533" s="247">
        <f t="shared" si="61"/>
        <v>0</v>
      </c>
      <c r="Q533" s="247" t="e">
        <f t="shared" si="62"/>
        <v>#VALUE!</v>
      </c>
    </row>
    <row r="534" spans="1:17" ht="15" customHeight="1" x14ac:dyDescent="0.25">
      <c r="A534" s="244"/>
      <c r="B534" s="244"/>
      <c r="C534" s="244"/>
      <c r="D534" s="244"/>
      <c r="E534" s="244"/>
      <c r="F534" s="244"/>
      <c r="G534" s="244"/>
      <c r="I534" s="244"/>
      <c r="J534" s="244"/>
      <c r="K534" s="246" t="e">
        <f t="shared" si="56"/>
        <v>#VALUE!</v>
      </c>
      <c r="L534" s="246" t="e">
        <f t="shared" si="57"/>
        <v>#VALUE!</v>
      </c>
      <c r="M534" s="247" t="e">
        <f t="shared" si="58"/>
        <v>#VALUE!</v>
      </c>
      <c r="N534" s="246" t="e">
        <f t="shared" si="59"/>
        <v>#VALUE!</v>
      </c>
      <c r="O534" s="247" t="e">
        <f t="shared" si="60"/>
        <v>#VALUE!</v>
      </c>
      <c r="P534" s="247">
        <f t="shared" si="61"/>
        <v>0</v>
      </c>
      <c r="Q534" s="247" t="e">
        <f t="shared" si="62"/>
        <v>#VALUE!</v>
      </c>
    </row>
    <row r="535" spans="1:17" ht="15" customHeight="1" x14ac:dyDescent="0.25">
      <c r="A535" s="244"/>
      <c r="B535" s="244"/>
      <c r="C535" s="244"/>
      <c r="D535" s="244"/>
      <c r="E535" s="244"/>
      <c r="F535" s="244"/>
      <c r="G535" s="244"/>
      <c r="I535" s="244"/>
      <c r="J535" s="244"/>
      <c r="K535" s="246" t="e">
        <f t="shared" si="56"/>
        <v>#VALUE!</v>
      </c>
      <c r="L535" s="246" t="e">
        <f t="shared" si="57"/>
        <v>#VALUE!</v>
      </c>
      <c r="M535" s="247" t="e">
        <f t="shared" si="58"/>
        <v>#VALUE!</v>
      </c>
      <c r="N535" s="246" t="e">
        <f t="shared" si="59"/>
        <v>#VALUE!</v>
      </c>
      <c r="O535" s="247" t="e">
        <f t="shared" si="60"/>
        <v>#VALUE!</v>
      </c>
      <c r="P535" s="247">
        <f t="shared" si="61"/>
        <v>0</v>
      </c>
      <c r="Q535" s="247" t="e">
        <f t="shared" si="62"/>
        <v>#VALUE!</v>
      </c>
    </row>
    <row r="536" spans="1:17" ht="15" customHeight="1" x14ac:dyDescent="0.25">
      <c r="A536" s="244"/>
      <c r="B536" s="244"/>
      <c r="C536" s="244"/>
      <c r="D536" s="244"/>
      <c r="E536" s="244"/>
      <c r="F536" s="244"/>
      <c r="G536" s="244"/>
      <c r="I536" s="244"/>
      <c r="J536" s="244"/>
      <c r="K536" s="246" t="e">
        <f t="shared" si="56"/>
        <v>#VALUE!</v>
      </c>
      <c r="L536" s="246" t="e">
        <f t="shared" si="57"/>
        <v>#VALUE!</v>
      </c>
      <c r="M536" s="247" t="e">
        <f t="shared" si="58"/>
        <v>#VALUE!</v>
      </c>
      <c r="N536" s="246" t="e">
        <f t="shared" si="59"/>
        <v>#VALUE!</v>
      </c>
      <c r="O536" s="247" t="e">
        <f t="shared" si="60"/>
        <v>#VALUE!</v>
      </c>
      <c r="P536" s="247">
        <f t="shared" si="61"/>
        <v>0</v>
      </c>
      <c r="Q536" s="247" t="e">
        <f t="shared" si="62"/>
        <v>#VALUE!</v>
      </c>
    </row>
    <row r="537" spans="1:17" ht="15" customHeight="1" x14ac:dyDescent="0.25">
      <c r="A537" s="244"/>
      <c r="B537" s="244"/>
      <c r="C537" s="244"/>
      <c r="D537" s="244"/>
      <c r="E537" s="244"/>
      <c r="F537" s="244"/>
      <c r="G537" s="244"/>
      <c r="I537" s="244"/>
      <c r="J537" s="244"/>
      <c r="K537" s="246" t="e">
        <f t="shared" si="56"/>
        <v>#VALUE!</v>
      </c>
      <c r="L537" s="246" t="e">
        <f t="shared" si="57"/>
        <v>#VALUE!</v>
      </c>
      <c r="M537" s="247" t="e">
        <f t="shared" si="58"/>
        <v>#VALUE!</v>
      </c>
      <c r="N537" s="246" t="e">
        <f t="shared" si="59"/>
        <v>#VALUE!</v>
      </c>
      <c r="O537" s="247" t="e">
        <f t="shared" si="60"/>
        <v>#VALUE!</v>
      </c>
      <c r="P537" s="247">
        <f t="shared" si="61"/>
        <v>0</v>
      </c>
      <c r="Q537" s="247" t="e">
        <f t="shared" si="62"/>
        <v>#VALUE!</v>
      </c>
    </row>
    <row r="538" spans="1:17" ht="15" customHeight="1" x14ac:dyDescent="0.25">
      <c r="A538" s="244"/>
      <c r="B538" s="244"/>
      <c r="C538" s="244"/>
      <c r="D538" s="244"/>
      <c r="E538" s="244"/>
      <c r="F538" s="244"/>
      <c r="G538" s="244"/>
      <c r="I538" s="244"/>
      <c r="J538" s="244"/>
      <c r="K538" s="246" t="e">
        <f t="shared" si="56"/>
        <v>#VALUE!</v>
      </c>
      <c r="L538" s="246" t="e">
        <f t="shared" si="57"/>
        <v>#VALUE!</v>
      </c>
      <c r="M538" s="247" t="e">
        <f t="shared" si="58"/>
        <v>#VALUE!</v>
      </c>
      <c r="N538" s="246" t="e">
        <f t="shared" si="59"/>
        <v>#VALUE!</v>
      </c>
      <c r="O538" s="247" t="e">
        <f t="shared" si="60"/>
        <v>#VALUE!</v>
      </c>
      <c r="P538" s="247">
        <f t="shared" si="61"/>
        <v>0</v>
      </c>
      <c r="Q538" s="247" t="e">
        <f t="shared" si="62"/>
        <v>#VALUE!</v>
      </c>
    </row>
    <row r="539" spans="1:17" ht="15" customHeight="1" x14ac:dyDescent="0.25">
      <c r="A539" s="244"/>
      <c r="B539" s="244"/>
      <c r="C539" s="244"/>
      <c r="D539" s="244"/>
      <c r="E539" s="244"/>
      <c r="F539" s="244"/>
      <c r="G539" s="244"/>
      <c r="I539" s="244"/>
      <c r="J539" s="244"/>
      <c r="K539" s="246" t="e">
        <f t="shared" si="56"/>
        <v>#VALUE!</v>
      </c>
      <c r="L539" s="246" t="e">
        <f t="shared" si="57"/>
        <v>#VALUE!</v>
      </c>
      <c r="M539" s="247" t="e">
        <f t="shared" si="58"/>
        <v>#VALUE!</v>
      </c>
      <c r="N539" s="246" t="e">
        <f t="shared" si="59"/>
        <v>#VALUE!</v>
      </c>
      <c r="O539" s="247" t="e">
        <f t="shared" si="60"/>
        <v>#VALUE!</v>
      </c>
      <c r="P539" s="247">
        <f t="shared" si="61"/>
        <v>0</v>
      </c>
      <c r="Q539" s="247" t="e">
        <f t="shared" si="62"/>
        <v>#VALUE!</v>
      </c>
    </row>
    <row r="540" spans="1:17" ht="15" customHeight="1" x14ac:dyDescent="0.25">
      <c r="A540" s="244"/>
      <c r="B540" s="244"/>
      <c r="C540" s="244"/>
      <c r="D540" s="244"/>
      <c r="E540" s="244"/>
      <c r="F540" s="244"/>
      <c r="G540" s="244"/>
      <c r="I540" s="244"/>
      <c r="J540" s="244"/>
      <c r="K540" s="246" t="e">
        <f t="shared" si="56"/>
        <v>#VALUE!</v>
      </c>
      <c r="L540" s="246" t="e">
        <f t="shared" si="57"/>
        <v>#VALUE!</v>
      </c>
      <c r="M540" s="247" t="e">
        <f t="shared" si="58"/>
        <v>#VALUE!</v>
      </c>
      <c r="N540" s="246" t="e">
        <f t="shared" si="59"/>
        <v>#VALUE!</v>
      </c>
      <c r="O540" s="247" t="e">
        <f t="shared" si="60"/>
        <v>#VALUE!</v>
      </c>
      <c r="P540" s="247">
        <f t="shared" si="61"/>
        <v>0</v>
      </c>
      <c r="Q540" s="247" t="e">
        <f t="shared" si="62"/>
        <v>#VALUE!</v>
      </c>
    </row>
    <row r="541" spans="1:17" ht="15" customHeight="1" x14ac:dyDescent="0.25">
      <c r="A541" s="244"/>
      <c r="B541" s="244"/>
      <c r="C541" s="244"/>
      <c r="D541" s="244"/>
      <c r="E541" s="244"/>
      <c r="F541" s="244"/>
      <c r="G541" s="244"/>
      <c r="I541" s="244"/>
      <c r="J541" s="244"/>
      <c r="K541" s="246" t="e">
        <f t="shared" si="56"/>
        <v>#VALUE!</v>
      </c>
      <c r="L541" s="246" t="e">
        <f t="shared" si="57"/>
        <v>#VALUE!</v>
      </c>
      <c r="M541" s="247" t="e">
        <f t="shared" si="58"/>
        <v>#VALUE!</v>
      </c>
      <c r="N541" s="246" t="e">
        <f t="shared" si="59"/>
        <v>#VALUE!</v>
      </c>
      <c r="O541" s="247" t="e">
        <f t="shared" si="60"/>
        <v>#VALUE!</v>
      </c>
      <c r="P541" s="247">
        <f t="shared" si="61"/>
        <v>0</v>
      </c>
      <c r="Q541" s="247" t="e">
        <f t="shared" si="62"/>
        <v>#VALUE!</v>
      </c>
    </row>
    <row r="542" spans="1:17" ht="15" customHeight="1" x14ac:dyDescent="0.25">
      <c r="A542" s="244"/>
      <c r="B542" s="244"/>
      <c r="C542" s="244"/>
      <c r="D542" s="244"/>
      <c r="E542" s="244"/>
      <c r="F542" s="244"/>
      <c r="G542" s="244"/>
      <c r="I542" s="244"/>
      <c r="J542" s="244"/>
      <c r="K542" s="246" t="e">
        <f t="shared" si="56"/>
        <v>#VALUE!</v>
      </c>
      <c r="L542" s="246" t="e">
        <f t="shared" si="57"/>
        <v>#VALUE!</v>
      </c>
      <c r="M542" s="247" t="e">
        <f t="shared" si="58"/>
        <v>#VALUE!</v>
      </c>
      <c r="N542" s="246" t="e">
        <f t="shared" si="59"/>
        <v>#VALUE!</v>
      </c>
      <c r="O542" s="247" t="e">
        <f t="shared" si="60"/>
        <v>#VALUE!</v>
      </c>
      <c r="P542" s="247">
        <f t="shared" si="61"/>
        <v>0</v>
      </c>
      <c r="Q542" s="247" t="e">
        <f t="shared" si="62"/>
        <v>#VALUE!</v>
      </c>
    </row>
    <row r="543" spans="1:17" ht="15" customHeight="1" x14ac:dyDescent="0.25">
      <c r="A543" s="244"/>
      <c r="B543" s="244"/>
      <c r="C543" s="244"/>
      <c r="D543" s="244"/>
      <c r="E543" s="244"/>
      <c r="F543" s="244"/>
      <c r="G543" s="244"/>
      <c r="I543" s="244"/>
      <c r="J543" s="244"/>
      <c r="K543" s="246" t="e">
        <f t="shared" si="56"/>
        <v>#VALUE!</v>
      </c>
      <c r="L543" s="246" t="e">
        <f t="shared" si="57"/>
        <v>#VALUE!</v>
      </c>
      <c r="M543" s="247" t="e">
        <f t="shared" si="58"/>
        <v>#VALUE!</v>
      </c>
      <c r="N543" s="246" t="e">
        <f t="shared" si="59"/>
        <v>#VALUE!</v>
      </c>
      <c r="O543" s="247" t="e">
        <f t="shared" si="60"/>
        <v>#VALUE!</v>
      </c>
      <c r="P543" s="247">
        <f t="shared" si="61"/>
        <v>0</v>
      </c>
      <c r="Q543" s="247" t="e">
        <f t="shared" si="62"/>
        <v>#VALUE!</v>
      </c>
    </row>
    <row r="544" spans="1:17" ht="15" customHeight="1" x14ac:dyDescent="0.25">
      <c r="A544" s="244"/>
      <c r="B544" s="244"/>
      <c r="C544" s="244"/>
      <c r="D544" s="244"/>
      <c r="E544" s="244"/>
      <c r="F544" s="244"/>
      <c r="G544" s="244"/>
      <c r="I544" s="244"/>
      <c r="J544" s="244"/>
      <c r="K544" s="246" t="e">
        <f t="shared" si="56"/>
        <v>#VALUE!</v>
      </c>
      <c r="L544" s="246" t="e">
        <f t="shared" si="57"/>
        <v>#VALUE!</v>
      </c>
      <c r="M544" s="247" t="e">
        <f t="shared" si="58"/>
        <v>#VALUE!</v>
      </c>
      <c r="N544" s="246" t="e">
        <f t="shared" si="59"/>
        <v>#VALUE!</v>
      </c>
      <c r="O544" s="247" t="e">
        <f t="shared" si="60"/>
        <v>#VALUE!</v>
      </c>
      <c r="P544" s="247">
        <f t="shared" si="61"/>
        <v>0</v>
      </c>
      <c r="Q544" s="247" t="e">
        <f t="shared" si="62"/>
        <v>#VALUE!</v>
      </c>
    </row>
    <row r="545" spans="1:17" ht="15" customHeight="1" x14ac:dyDescent="0.25">
      <c r="A545" s="244"/>
      <c r="B545" s="244"/>
      <c r="C545" s="244"/>
      <c r="D545" s="244"/>
      <c r="E545" s="244"/>
      <c r="F545" s="244"/>
      <c r="G545" s="244"/>
      <c r="I545" s="244"/>
      <c r="J545" s="244"/>
      <c r="K545" s="246" t="e">
        <f t="shared" si="56"/>
        <v>#VALUE!</v>
      </c>
      <c r="L545" s="246" t="e">
        <f t="shared" si="57"/>
        <v>#VALUE!</v>
      </c>
      <c r="M545" s="247" t="e">
        <f t="shared" si="58"/>
        <v>#VALUE!</v>
      </c>
      <c r="N545" s="246" t="e">
        <f t="shared" si="59"/>
        <v>#VALUE!</v>
      </c>
      <c r="O545" s="247" t="e">
        <f t="shared" si="60"/>
        <v>#VALUE!</v>
      </c>
      <c r="P545" s="247">
        <f t="shared" si="61"/>
        <v>0</v>
      </c>
      <c r="Q545" s="247" t="e">
        <f t="shared" si="62"/>
        <v>#VALUE!</v>
      </c>
    </row>
    <row r="546" spans="1:17" ht="15" customHeight="1" x14ac:dyDescent="0.25">
      <c r="A546" s="244"/>
      <c r="B546" s="244"/>
      <c r="C546" s="244"/>
      <c r="D546" s="244"/>
      <c r="E546" s="244"/>
      <c r="F546" s="244"/>
      <c r="G546" s="244"/>
      <c r="I546" s="244"/>
      <c r="J546" s="244"/>
      <c r="K546" s="246" t="e">
        <f t="shared" si="56"/>
        <v>#VALUE!</v>
      </c>
      <c r="L546" s="246" t="e">
        <f t="shared" si="57"/>
        <v>#VALUE!</v>
      </c>
      <c r="M546" s="247" t="e">
        <f t="shared" si="58"/>
        <v>#VALUE!</v>
      </c>
      <c r="N546" s="246" t="e">
        <f t="shared" si="59"/>
        <v>#VALUE!</v>
      </c>
      <c r="O546" s="247" t="e">
        <f t="shared" si="60"/>
        <v>#VALUE!</v>
      </c>
      <c r="P546" s="247">
        <f t="shared" si="61"/>
        <v>0</v>
      </c>
      <c r="Q546" s="247" t="e">
        <f t="shared" si="62"/>
        <v>#VALUE!</v>
      </c>
    </row>
    <row r="547" spans="1:17" ht="15" customHeight="1" x14ac:dyDescent="0.25">
      <c r="A547" s="244"/>
      <c r="B547" s="244"/>
      <c r="C547" s="244"/>
      <c r="D547" s="244"/>
      <c r="E547" s="244"/>
      <c r="F547" s="244"/>
      <c r="G547" s="244"/>
      <c r="I547" s="244"/>
      <c r="J547" s="244"/>
      <c r="K547" s="246" t="e">
        <f t="shared" si="56"/>
        <v>#VALUE!</v>
      </c>
      <c r="L547" s="246" t="e">
        <f t="shared" si="57"/>
        <v>#VALUE!</v>
      </c>
      <c r="M547" s="247" t="e">
        <f t="shared" si="58"/>
        <v>#VALUE!</v>
      </c>
      <c r="N547" s="246" t="e">
        <f t="shared" si="59"/>
        <v>#VALUE!</v>
      </c>
      <c r="O547" s="247" t="e">
        <f t="shared" si="60"/>
        <v>#VALUE!</v>
      </c>
      <c r="P547" s="247">
        <f t="shared" si="61"/>
        <v>0</v>
      </c>
      <c r="Q547" s="247" t="e">
        <f t="shared" si="62"/>
        <v>#VALUE!</v>
      </c>
    </row>
    <row r="548" spans="1:17" ht="15" customHeight="1" x14ac:dyDescent="0.25">
      <c r="A548" s="244"/>
      <c r="B548" s="244"/>
      <c r="C548" s="244"/>
      <c r="D548" s="244"/>
      <c r="E548" s="244"/>
      <c r="F548" s="244"/>
      <c r="G548" s="244"/>
      <c r="I548" s="244"/>
      <c r="J548" s="244"/>
      <c r="K548" s="246" t="e">
        <f t="shared" si="56"/>
        <v>#VALUE!</v>
      </c>
      <c r="L548" s="246" t="e">
        <f t="shared" si="57"/>
        <v>#VALUE!</v>
      </c>
      <c r="M548" s="247" t="e">
        <f t="shared" si="58"/>
        <v>#VALUE!</v>
      </c>
      <c r="N548" s="246" t="e">
        <f t="shared" si="59"/>
        <v>#VALUE!</v>
      </c>
      <c r="O548" s="247" t="e">
        <f t="shared" si="60"/>
        <v>#VALUE!</v>
      </c>
      <c r="P548" s="247">
        <f t="shared" si="61"/>
        <v>0</v>
      </c>
      <c r="Q548" s="247" t="e">
        <f t="shared" si="62"/>
        <v>#VALUE!</v>
      </c>
    </row>
    <row r="549" spans="1:17" ht="15" customHeight="1" x14ac:dyDescent="0.25">
      <c r="A549" s="244"/>
      <c r="B549" s="244"/>
      <c r="C549" s="244"/>
      <c r="D549" s="244"/>
      <c r="E549" s="244"/>
      <c r="F549" s="244"/>
      <c r="G549" s="244"/>
      <c r="I549" s="244"/>
      <c r="J549" s="244"/>
      <c r="K549" s="246" t="e">
        <f t="shared" si="56"/>
        <v>#VALUE!</v>
      </c>
      <c r="L549" s="246" t="e">
        <f t="shared" si="57"/>
        <v>#VALUE!</v>
      </c>
      <c r="M549" s="247" t="e">
        <f t="shared" si="58"/>
        <v>#VALUE!</v>
      </c>
      <c r="N549" s="246" t="e">
        <f t="shared" si="59"/>
        <v>#VALUE!</v>
      </c>
      <c r="O549" s="247" t="e">
        <f t="shared" si="60"/>
        <v>#VALUE!</v>
      </c>
      <c r="P549" s="247">
        <f t="shared" si="61"/>
        <v>0</v>
      </c>
      <c r="Q549" s="247" t="e">
        <f t="shared" si="62"/>
        <v>#VALUE!</v>
      </c>
    </row>
    <row r="550" spans="1:17" ht="15" customHeight="1" x14ac:dyDescent="0.25">
      <c r="A550" s="244"/>
      <c r="B550" s="244"/>
      <c r="C550" s="244"/>
      <c r="D550" s="244"/>
      <c r="E550" s="244"/>
      <c r="F550" s="244"/>
      <c r="G550" s="244"/>
      <c r="I550" s="244"/>
      <c r="J550" s="244"/>
      <c r="K550" s="246" t="e">
        <f t="shared" si="56"/>
        <v>#VALUE!</v>
      </c>
      <c r="L550" s="246" t="e">
        <f t="shared" si="57"/>
        <v>#VALUE!</v>
      </c>
      <c r="M550" s="247" t="e">
        <f t="shared" si="58"/>
        <v>#VALUE!</v>
      </c>
      <c r="N550" s="246" t="e">
        <f t="shared" si="59"/>
        <v>#VALUE!</v>
      </c>
      <c r="O550" s="247" t="e">
        <f t="shared" si="60"/>
        <v>#VALUE!</v>
      </c>
      <c r="P550" s="247">
        <f t="shared" si="61"/>
        <v>0</v>
      </c>
      <c r="Q550" s="247" t="e">
        <f t="shared" si="62"/>
        <v>#VALUE!</v>
      </c>
    </row>
    <row r="551" spans="1:17" ht="15" customHeight="1" x14ac:dyDescent="0.25">
      <c r="A551" s="244"/>
      <c r="B551" s="244"/>
      <c r="C551" s="244"/>
      <c r="D551" s="244"/>
      <c r="E551" s="244"/>
      <c r="F551" s="244"/>
      <c r="G551" s="244"/>
      <c r="I551" s="244"/>
      <c r="J551" s="244"/>
      <c r="K551" s="246" t="e">
        <f t="shared" si="56"/>
        <v>#VALUE!</v>
      </c>
      <c r="L551" s="246" t="e">
        <f t="shared" si="57"/>
        <v>#VALUE!</v>
      </c>
      <c r="M551" s="247" t="e">
        <f t="shared" si="58"/>
        <v>#VALUE!</v>
      </c>
      <c r="N551" s="246" t="e">
        <f t="shared" si="59"/>
        <v>#VALUE!</v>
      </c>
      <c r="O551" s="247" t="e">
        <f t="shared" si="60"/>
        <v>#VALUE!</v>
      </c>
      <c r="P551" s="247">
        <f t="shared" si="61"/>
        <v>0</v>
      </c>
      <c r="Q551" s="247" t="e">
        <f t="shared" si="62"/>
        <v>#VALUE!</v>
      </c>
    </row>
    <row r="552" spans="1:17" ht="15" customHeight="1" x14ac:dyDescent="0.25">
      <c r="A552" s="244"/>
      <c r="B552" s="244"/>
      <c r="C552" s="244"/>
      <c r="D552" s="244"/>
      <c r="E552" s="244"/>
      <c r="F552" s="244"/>
      <c r="G552" s="244"/>
      <c r="I552" s="244"/>
      <c r="J552" s="244"/>
      <c r="K552" s="246" t="e">
        <f t="shared" si="56"/>
        <v>#VALUE!</v>
      </c>
      <c r="L552" s="246" t="e">
        <f t="shared" si="57"/>
        <v>#VALUE!</v>
      </c>
      <c r="M552" s="247" t="e">
        <f t="shared" si="58"/>
        <v>#VALUE!</v>
      </c>
      <c r="N552" s="246" t="e">
        <f t="shared" si="59"/>
        <v>#VALUE!</v>
      </c>
      <c r="O552" s="247" t="e">
        <f t="shared" si="60"/>
        <v>#VALUE!</v>
      </c>
      <c r="P552" s="247">
        <f t="shared" si="61"/>
        <v>0</v>
      </c>
      <c r="Q552" s="247" t="e">
        <f t="shared" si="62"/>
        <v>#VALUE!</v>
      </c>
    </row>
    <row r="553" spans="1:17" ht="15" customHeight="1" x14ac:dyDescent="0.25">
      <c r="A553" s="244"/>
      <c r="B553" s="244"/>
      <c r="C553" s="244"/>
      <c r="D553" s="244"/>
      <c r="E553" s="244"/>
      <c r="F553" s="244"/>
      <c r="G553" s="244"/>
      <c r="I553" s="244"/>
      <c r="J553" s="244"/>
      <c r="K553" s="246" t="e">
        <f t="shared" si="56"/>
        <v>#VALUE!</v>
      </c>
      <c r="L553" s="246" t="e">
        <f t="shared" si="57"/>
        <v>#VALUE!</v>
      </c>
      <c r="M553" s="247" t="e">
        <f t="shared" si="58"/>
        <v>#VALUE!</v>
      </c>
      <c r="N553" s="246" t="e">
        <f t="shared" si="59"/>
        <v>#VALUE!</v>
      </c>
      <c r="O553" s="247" t="e">
        <f t="shared" si="60"/>
        <v>#VALUE!</v>
      </c>
      <c r="P553" s="247">
        <f t="shared" si="61"/>
        <v>0</v>
      </c>
      <c r="Q553" s="247" t="e">
        <f t="shared" si="62"/>
        <v>#VALUE!</v>
      </c>
    </row>
    <row r="554" spans="1:17" ht="15" customHeight="1" x14ac:dyDescent="0.25">
      <c r="A554" s="244"/>
      <c r="B554" s="244"/>
      <c r="C554" s="244"/>
      <c r="D554" s="244"/>
      <c r="E554" s="244"/>
      <c r="F554" s="244"/>
      <c r="G554" s="244"/>
      <c r="I554" s="244"/>
      <c r="J554" s="244"/>
      <c r="K554" s="246" t="e">
        <f t="shared" si="56"/>
        <v>#VALUE!</v>
      </c>
      <c r="L554" s="246" t="e">
        <f t="shared" si="57"/>
        <v>#VALUE!</v>
      </c>
      <c r="M554" s="247" t="e">
        <f t="shared" si="58"/>
        <v>#VALUE!</v>
      </c>
      <c r="N554" s="246" t="e">
        <f t="shared" si="59"/>
        <v>#VALUE!</v>
      </c>
      <c r="O554" s="247" t="e">
        <f t="shared" si="60"/>
        <v>#VALUE!</v>
      </c>
      <c r="P554" s="247">
        <f t="shared" si="61"/>
        <v>0</v>
      </c>
      <c r="Q554" s="247" t="e">
        <f t="shared" si="62"/>
        <v>#VALUE!</v>
      </c>
    </row>
    <row r="555" spans="1:17" ht="15" customHeight="1" x14ac:dyDescent="0.25">
      <c r="A555" s="244"/>
      <c r="B555" s="244"/>
      <c r="C555" s="244"/>
      <c r="D555" s="244"/>
      <c r="E555" s="244"/>
      <c r="F555" s="244"/>
      <c r="G555" s="244"/>
      <c r="I555" s="244"/>
      <c r="J555" s="244"/>
      <c r="K555" s="246" t="e">
        <f t="shared" si="56"/>
        <v>#VALUE!</v>
      </c>
      <c r="L555" s="246" t="e">
        <f t="shared" si="57"/>
        <v>#VALUE!</v>
      </c>
      <c r="M555" s="247" t="e">
        <f t="shared" si="58"/>
        <v>#VALUE!</v>
      </c>
      <c r="N555" s="246" t="e">
        <f t="shared" si="59"/>
        <v>#VALUE!</v>
      </c>
      <c r="O555" s="247" t="e">
        <f t="shared" si="60"/>
        <v>#VALUE!</v>
      </c>
      <c r="P555" s="247">
        <f t="shared" si="61"/>
        <v>0</v>
      </c>
      <c r="Q555" s="247" t="e">
        <f t="shared" si="62"/>
        <v>#VALUE!</v>
      </c>
    </row>
    <row r="556" spans="1:17" ht="15" customHeight="1" x14ac:dyDescent="0.25">
      <c r="A556" s="244"/>
      <c r="B556" s="244"/>
      <c r="C556" s="244"/>
      <c r="D556" s="244"/>
      <c r="E556" s="244"/>
      <c r="F556" s="244"/>
      <c r="G556" s="244"/>
      <c r="I556" s="244"/>
      <c r="J556" s="244"/>
      <c r="K556" s="246" t="e">
        <f t="shared" si="56"/>
        <v>#VALUE!</v>
      </c>
      <c r="L556" s="246" t="e">
        <f t="shared" si="57"/>
        <v>#VALUE!</v>
      </c>
      <c r="M556" s="247" t="e">
        <f t="shared" si="58"/>
        <v>#VALUE!</v>
      </c>
      <c r="N556" s="246" t="e">
        <f t="shared" si="59"/>
        <v>#VALUE!</v>
      </c>
      <c r="O556" s="247" t="e">
        <f t="shared" si="60"/>
        <v>#VALUE!</v>
      </c>
      <c r="P556" s="247">
        <f t="shared" si="61"/>
        <v>0</v>
      </c>
      <c r="Q556" s="247" t="e">
        <f t="shared" si="62"/>
        <v>#VALUE!</v>
      </c>
    </row>
    <row r="557" spans="1:17" ht="15" customHeight="1" x14ac:dyDescent="0.25">
      <c r="A557" s="244"/>
      <c r="B557" s="244"/>
      <c r="C557" s="244"/>
      <c r="D557" s="244"/>
      <c r="E557" s="244"/>
      <c r="F557" s="244"/>
      <c r="G557" s="244"/>
      <c r="I557" s="244"/>
      <c r="J557" s="244"/>
      <c r="K557" s="246" t="e">
        <f t="shared" si="56"/>
        <v>#VALUE!</v>
      </c>
      <c r="L557" s="246" t="e">
        <f t="shared" si="57"/>
        <v>#VALUE!</v>
      </c>
      <c r="M557" s="247" t="e">
        <f t="shared" si="58"/>
        <v>#VALUE!</v>
      </c>
      <c r="N557" s="246" t="e">
        <f t="shared" si="59"/>
        <v>#VALUE!</v>
      </c>
      <c r="O557" s="247" t="e">
        <f t="shared" si="60"/>
        <v>#VALUE!</v>
      </c>
      <c r="P557" s="247">
        <f t="shared" si="61"/>
        <v>0</v>
      </c>
      <c r="Q557" s="247" t="e">
        <f t="shared" si="62"/>
        <v>#VALUE!</v>
      </c>
    </row>
    <row r="558" spans="1:17" ht="15" customHeight="1" x14ac:dyDescent="0.25">
      <c r="A558" s="244"/>
      <c r="B558" s="244"/>
      <c r="C558" s="244"/>
      <c r="D558" s="244"/>
      <c r="E558" s="244"/>
      <c r="F558" s="244"/>
      <c r="G558" s="244"/>
      <c r="I558" s="244"/>
      <c r="J558" s="244"/>
      <c r="K558" s="246" t="e">
        <f t="shared" si="56"/>
        <v>#VALUE!</v>
      </c>
      <c r="L558" s="246" t="e">
        <f t="shared" si="57"/>
        <v>#VALUE!</v>
      </c>
      <c r="M558" s="247" t="e">
        <f t="shared" si="58"/>
        <v>#VALUE!</v>
      </c>
      <c r="N558" s="246" t="e">
        <f t="shared" si="59"/>
        <v>#VALUE!</v>
      </c>
      <c r="O558" s="247" t="e">
        <f t="shared" si="60"/>
        <v>#VALUE!</v>
      </c>
      <c r="P558" s="247">
        <f t="shared" si="61"/>
        <v>0</v>
      </c>
      <c r="Q558" s="247" t="e">
        <f t="shared" si="62"/>
        <v>#VALUE!</v>
      </c>
    </row>
    <row r="559" spans="1:17" ht="15" customHeight="1" x14ac:dyDescent="0.25">
      <c r="A559" s="244"/>
      <c r="B559" s="244"/>
      <c r="C559" s="244"/>
      <c r="D559" s="244"/>
      <c r="E559" s="244"/>
      <c r="F559" s="244"/>
      <c r="G559" s="244"/>
      <c r="I559" s="244"/>
      <c r="J559" s="244"/>
      <c r="K559" s="246" t="e">
        <f t="shared" si="56"/>
        <v>#VALUE!</v>
      </c>
      <c r="L559" s="246" t="e">
        <f t="shared" si="57"/>
        <v>#VALUE!</v>
      </c>
      <c r="M559" s="247" t="e">
        <f t="shared" si="58"/>
        <v>#VALUE!</v>
      </c>
      <c r="N559" s="246" t="e">
        <f t="shared" si="59"/>
        <v>#VALUE!</v>
      </c>
      <c r="O559" s="247" t="e">
        <f t="shared" si="60"/>
        <v>#VALUE!</v>
      </c>
      <c r="P559" s="247">
        <f t="shared" si="61"/>
        <v>0</v>
      </c>
      <c r="Q559" s="247" t="e">
        <f t="shared" si="62"/>
        <v>#VALUE!</v>
      </c>
    </row>
    <row r="560" spans="1:17" ht="15" customHeight="1" x14ac:dyDescent="0.25">
      <c r="A560" s="244"/>
      <c r="B560" s="244"/>
      <c r="C560" s="244"/>
      <c r="D560" s="244"/>
      <c r="E560" s="244"/>
      <c r="F560" s="244"/>
      <c r="G560" s="244"/>
      <c r="I560" s="244"/>
      <c r="J560" s="244"/>
      <c r="K560" s="246" t="e">
        <f t="shared" si="56"/>
        <v>#VALUE!</v>
      </c>
      <c r="L560" s="246" t="e">
        <f t="shared" si="57"/>
        <v>#VALUE!</v>
      </c>
      <c r="M560" s="247" t="e">
        <f t="shared" si="58"/>
        <v>#VALUE!</v>
      </c>
      <c r="N560" s="246" t="e">
        <f t="shared" si="59"/>
        <v>#VALUE!</v>
      </c>
      <c r="O560" s="247" t="e">
        <f t="shared" si="60"/>
        <v>#VALUE!</v>
      </c>
      <c r="P560" s="247">
        <f t="shared" si="61"/>
        <v>0</v>
      </c>
      <c r="Q560" s="247" t="e">
        <f t="shared" si="62"/>
        <v>#VALUE!</v>
      </c>
    </row>
    <row r="561" spans="1:17" ht="15" customHeight="1" x14ac:dyDescent="0.25">
      <c r="A561" s="244"/>
      <c r="B561" s="244"/>
      <c r="C561" s="244"/>
      <c r="D561" s="244"/>
      <c r="E561" s="244"/>
      <c r="F561" s="244"/>
      <c r="G561" s="244"/>
      <c r="I561" s="244"/>
      <c r="J561" s="244"/>
      <c r="K561" s="246" t="e">
        <f t="shared" si="56"/>
        <v>#VALUE!</v>
      </c>
      <c r="L561" s="246" t="e">
        <f t="shared" si="57"/>
        <v>#VALUE!</v>
      </c>
      <c r="M561" s="247" t="e">
        <f t="shared" si="58"/>
        <v>#VALUE!</v>
      </c>
      <c r="N561" s="246" t="e">
        <f t="shared" si="59"/>
        <v>#VALUE!</v>
      </c>
      <c r="O561" s="247" t="e">
        <f t="shared" si="60"/>
        <v>#VALUE!</v>
      </c>
      <c r="P561" s="247">
        <f t="shared" si="61"/>
        <v>0</v>
      </c>
      <c r="Q561" s="247" t="e">
        <f t="shared" si="62"/>
        <v>#VALUE!</v>
      </c>
    </row>
    <row r="562" spans="1:17" ht="15" customHeight="1" x14ac:dyDescent="0.25">
      <c r="A562" s="244"/>
      <c r="B562" s="244"/>
      <c r="C562" s="244"/>
      <c r="D562" s="244"/>
      <c r="E562" s="244"/>
      <c r="F562" s="244"/>
      <c r="G562" s="244"/>
      <c r="I562" s="244"/>
      <c r="J562" s="244"/>
      <c r="K562" s="246" t="e">
        <f t="shared" si="56"/>
        <v>#VALUE!</v>
      </c>
      <c r="L562" s="246" t="e">
        <f t="shared" si="57"/>
        <v>#VALUE!</v>
      </c>
      <c r="M562" s="247" t="e">
        <f t="shared" si="58"/>
        <v>#VALUE!</v>
      </c>
      <c r="N562" s="246" t="e">
        <f t="shared" si="59"/>
        <v>#VALUE!</v>
      </c>
      <c r="O562" s="247" t="e">
        <f t="shared" si="60"/>
        <v>#VALUE!</v>
      </c>
      <c r="P562" s="247">
        <f t="shared" si="61"/>
        <v>0</v>
      </c>
      <c r="Q562" s="247" t="e">
        <f t="shared" si="62"/>
        <v>#VALUE!</v>
      </c>
    </row>
    <row r="563" spans="1:17" ht="15" customHeight="1" x14ac:dyDescent="0.25">
      <c r="A563" s="244"/>
      <c r="B563" s="244"/>
      <c r="C563" s="244"/>
      <c r="D563" s="244"/>
      <c r="E563" s="244"/>
      <c r="F563" s="244"/>
      <c r="G563" s="244"/>
      <c r="I563" s="244"/>
      <c r="J563" s="244"/>
      <c r="K563" s="246" t="e">
        <f t="shared" si="56"/>
        <v>#VALUE!</v>
      </c>
      <c r="L563" s="246" t="e">
        <f t="shared" si="57"/>
        <v>#VALUE!</v>
      </c>
      <c r="M563" s="247" t="e">
        <f t="shared" si="58"/>
        <v>#VALUE!</v>
      </c>
      <c r="N563" s="246" t="e">
        <f t="shared" si="59"/>
        <v>#VALUE!</v>
      </c>
      <c r="O563" s="247" t="e">
        <f t="shared" si="60"/>
        <v>#VALUE!</v>
      </c>
      <c r="P563" s="247">
        <f t="shared" si="61"/>
        <v>0</v>
      </c>
      <c r="Q563" s="247" t="e">
        <f t="shared" si="62"/>
        <v>#VALUE!</v>
      </c>
    </row>
    <row r="564" spans="1:17" ht="15" customHeight="1" x14ac:dyDescent="0.25">
      <c r="A564" s="244"/>
      <c r="B564" s="244"/>
      <c r="C564" s="244"/>
      <c r="D564" s="244"/>
      <c r="E564" s="244"/>
      <c r="F564" s="244"/>
      <c r="G564" s="244"/>
      <c r="I564" s="244"/>
      <c r="J564" s="244"/>
      <c r="K564" s="246" t="e">
        <f t="shared" si="56"/>
        <v>#VALUE!</v>
      </c>
      <c r="L564" s="246" t="e">
        <f t="shared" si="57"/>
        <v>#VALUE!</v>
      </c>
      <c r="M564" s="247" t="e">
        <f t="shared" si="58"/>
        <v>#VALUE!</v>
      </c>
      <c r="N564" s="246" t="e">
        <f t="shared" si="59"/>
        <v>#VALUE!</v>
      </c>
      <c r="O564" s="247" t="e">
        <f t="shared" si="60"/>
        <v>#VALUE!</v>
      </c>
      <c r="P564" s="247">
        <f t="shared" si="61"/>
        <v>0</v>
      </c>
      <c r="Q564" s="247" t="e">
        <f t="shared" si="62"/>
        <v>#VALUE!</v>
      </c>
    </row>
    <row r="565" spans="1:17" ht="15" customHeight="1" x14ac:dyDescent="0.25">
      <c r="A565" s="244"/>
      <c r="B565" s="244"/>
      <c r="C565" s="244"/>
      <c r="D565" s="244"/>
      <c r="E565" s="244"/>
      <c r="F565" s="244"/>
      <c r="G565" s="244"/>
      <c r="I565" s="244"/>
      <c r="J565" s="244"/>
      <c r="K565" s="246" t="e">
        <f t="shared" si="56"/>
        <v>#VALUE!</v>
      </c>
      <c r="L565" s="246" t="e">
        <f t="shared" si="57"/>
        <v>#VALUE!</v>
      </c>
      <c r="M565" s="247" t="e">
        <f t="shared" si="58"/>
        <v>#VALUE!</v>
      </c>
      <c r="N565" s="246" t="e">
        <f t="shared" si="59"/>
        <v>#VALUE!</v>
      </c>
      <c r="O565" s="247" t="e">
        <f t="shared" si="60"/>
        <v>#VALUE!</v>
      </c>
      <c r="P565" s="247">
        <f t="shared" si="61"/>
        <v>0</v>
      </c>
      <c r="Q565" s="247" t="e">
        <f t="shared" si="62"/>
        <v>#VALUE!</v>
      </c>
    </row>
    <row r="566" spans="1:17" ht="15" customHeight="1" x14ac:dyDescent="0.25">
      <c r="A566" s="244"/>
      <c r="B566" s="244"/>
      <c r="C566" s="244"/>
      <c r="D566" s="244"/>
      <c r="E566" s="244"/>
      <c r="F566" s="244"/>
      <c r="G566" s="244"/>
      <c r="I566" s="244"/>
      <c r="J566" s="244"/>
      <c r="K566" s="246" t="e">
        <f t="shared" si="56"/>
        <v>#VALUE!</v>
      </c>
      <c r="L566" s="246" t="e">
        <f t="shared" si="57"/>
        <v>#VALUE!</v>
      </c>
      <c r="M566" s="247" t="e">
        <f t="shared" si="58"/>
        <v>#VALUE!</v>
      </c>
      <c r="N566" s="246" t="e">
        <f t="shared" si="59"/>
        <v>#VALUE!</v>
      </c>
      <c r="O566" s="247" t="e">
        <f t="shared" si="60"/>
        <v>#VALUE!</v>
      </c>
      <c r="P566" s="247">
        <f t="shared" si="61"/>
        <v>0</v>
      </c>
      <c r="Q566" s="247" t="e">
        <f t="shared" si="62"/>
        <v>#VALUE!</v>
      </c>
    </row>
    <row r="567" spans="1:17" ht="15" customHeight="1" x14ac:dyDescent="0.25">
      <c r="A567" s="244"/>
      <c r="B567" s="244"/>
      <c r="C567" s="244"/>
      <c r="D567" s="244"/>
      <c r="E567" s="244"/>
      <c r="F567" s="244"/>
      <c r="G567" s="244"/>
      <c r="I567" s="244"/>
      <c r="J567" s="244"/>
      <c r="K567" s="246" t="e">
        <f t="shared" si="56"/>
        <v>#VALUE!</v>
      </c>
      <c r="L567" s="246" t="e">
        <f t="shared" si="57"/>
        <v>#VALUE!</v>
      </c>
      <c r="M567" s="247" t="e">
        <f t="shared" si="58"/>
        <v>#VALUE!</v>
      </c>
      <c r="N567" s="246" t="e">
        <f t="shared" si="59"/>
        <v>#VALUE!</v>
      </c>
      <c r="O567" s="247" t="e">
        <f t="shared" si="60"/>
        <v>#VALUE!</v>
      </c>
      <c r="P567" s="247">
        <f t="shared" si="61"/>
        <v>0</v>
      </c>
      <c r="Q567" s="247" t="e">
        <f t="shared" si="62"/>
        <v>#VALUE!</v>
      </c>
    </row>
    <row r="568" spans="1:17" ht="15" customHeight="1" x14ac:dyDescent="0.25">
      <c r="A568" s="244"/>
      <c r="B568" s="244"/>
      <c r="C568" s="244"/>
      <c r="D568" s="244"/>
      <c r="E568" s="244"/>
      <c r="F568" s="244"/>
      <c r="G568" s="244"/>
      <c r="I568" s="244"/>
      <c r="J568" s="244"/>
      <c r="K568" s="246" t="e">
        <f t="shared" si="56"/>
        <v>#VALUE!</v>
      </c>
      <c r="L568" s="246" t="e">
        <f t="shared" si="57"/>
        <v>#VALUE!</v>
      </c>
      <c r="M568" s="247" t="e">
        <f t="shared" si="58"/>
        <v>#VALUE!</v>
      </c>
      <c r="N568" s="246" t="e">
        <f t="shared" si="59"/>
        <v>#VALUE!</v>
      </c>
      <c r="O568" s="247" t="e">
        <f t="shared" si="60"/>
        <v>#VALUE!</v>
      </c>
      <c r="P568" s="247">
        <f t="shared" si="61"/>
        <v>0</v>
      </c>
      <c r="Q568" s="247" t="e">
        <f t="shared" si="62"/>
        <v>#VALUE!</v>
      </c>
    </row>
    <row r="569" spans="1:17" ht="15" customHeight="1" x14ac:dyDescent="0.25">
      <c r="A569" s="244"/>
      <c r="B569" s="244"/>
      <c r="C569" s="244"/>
      <c r="D569" s="244"/>
      <c r="E569" s="244"/>
      <c r="F569" s="244"/>
      <c r="G569" s="244"/>
      <c r="I569" s="244"/>
      <c r="J569" s="244"/>
      <c r="K569" s="246" t="e">
        <f t="shared" si="56"/>
        <v>#VALUE!</v>
      </c>
      <c r="L569" s="246" t="e">
        <f t="shared" si="57"/>
        <v>#VALUE!</v>
      </c>
      <c r="M569" s="247" t="e">
        <f t="shared" si="58"/>
        <v>#VALUE!</v>
      </c>
      <c r="N569" s="246" t="e">
        <f t="shared" si="59"/>
        <v>#VALUE!</v>
      </c>
      <c r="O569" s="247" t="e">
        <f t="shared" si="60"/>
        <v>#VALUE!</v>
      </c>
      <c r="P569" s="247">
        <f t="shared" si="61"/>
        <v>0</v>
      </c>
      <c r="Q569" s="247" t="e">
        <f t="shared" si="62"/>
        <v>#VALUE!</v>
      </c>
    </row>
    <row r="570" spans="1:17" ht="15" customHeight="1" x14ac:dyDescent="0.25">
      <c r="A570" s="244"/>
      <c r="B570" s="244"/>
      <c r="C570" s="244"/>
      <c r="D570" s="244"/>
      <c r="E570" s="244"/>
      <c r="F570" s="244"/>
      <c r="G570" s="244"/>
      <c r="I570" s="244"/>
      <c r="J570" s="244"/>
      <c r="K570" s="246" t="e">
        <f t="shared" si="56"/>
        <v>#VALUE!</v>
      </c>
      <c r="L570" s="246" t="e">
        <f t="shared" si="57"/>
        <v>#VALUE!</v>
      </c>
      <c r="M570" s="247" t="e">
        <f t="shared" si="58"/>
        <v>#VALUE!</v>
      </c>
      <c r="N570" s="246" t="e">
        <f t="shared" si="59"/>
        <v>#VALUE!</v>
      </c>
      <c r="O570" s="247" t="e">
        <f t="shared" si="60"/>
        <v>#VALUE!</v>
      </c>
      <c r="P570" s="247">
        <f t="shared" si="61"/>
        <v>0</v>
      </c>
      <c r="Q570" s="247" t="e">
        <f t="shared" si="62"/>
        <v>#VALUE!</v>
      </c>
    </row>
    <row r="571" spans="1:17" ht="15" customHeight="1" x14ac:dyDescent="0.25">
      <c r="A571" s="244"/>
      <c r="B571" s="244"/>
      <c r="C571" s="244"/>
      <c r="D571" s="244"/>
      <c r="E571" s="244"/>
      <c r="F571" s="244"/>
      <c r="G571" s="244"/>
      <c r="I571" s="244"/>
      <c r="J571" s="244"/>
      <c r="K571" s="246" t="e">
        <f t="shared" si="56"/>
        <v>#VALUE!</v>
      </c>
      <c r="L571" s="246" t="e">
        <f t="shared" si="57"/>
        <v>#VALUE!</v>
      </c>
      <c r="M571" s="247" t="e">
        <f t="shared" si="58"/>
        <v>#VALUE!</v>
      </c>
      <c r="N571" s="246" t="e">
        <f t="shared" si="59"/>
        <v>#VALUE!</v>
      </c>
      <c r="O571" s="247" t="e">
        <f t="shared" si="60"/>
        <v>#VALUE!</v>
      </c>
      <c r="P571" s="247">
        <f t="shared" si="61"/>
        <v>0</v>
      </c>
      <c r="Q571" s="247" t="e">
        <f t="shared" si="62"/>
        <v>#VALUE!</v>
      </c>
    </row>
    <row r="572" spans="1:17" ht="15" customHeight="1" x14ac:dyDescent="0.25">
      <c r="A572" s="244"/>
      <c r="B572" s="244"/>
      <c r="C572" s="244"/>
      <c r="D572" s="244"/>
      <c r="E572" s="244"/>
      <c r="F572" s="244"/>
      <c r="G572" s="244"/>
      <c r="I572" s="244"/>
      <c r="J572" s="244"/>
      <c r="K572" s="246" t="e">
        <f t="shared" si="56"/>
        <v>#VALUE!</v>
      </c>
      <c r="L572" s="246" t="e">
        <f t="shared" si="57"/>
        <v>#VALUE!</v>
      </c>
      <c r="M572" s="247" t="e">
        <f t="shared" si="58"/>
        <v>#VALUE!</v>
      </c>
      <c r="N572" s="246" t="e">
        <f t="shared" si="59"/>
        <v>#VALUE!</v>
      </c>
      <c r="O572" s="247" t="e">
        <f t="shared" si="60"/>
        <v>#VALUE!</v>
      </c>
      <c r="P572" s="247">
        <f t="shared" si="61"/>
        <v>0</v>
      </c>
      <c r="Q572" s="247" t="e">
        <f t="shared" si="62"/>
        <v>#VALUE!</v>
      </c>
    </row>
    <row r="573" spans="1:17" ht="15" customHeight="1" x14ac:dyDescent="0.25">
      <c r="A573" s="244"/>
      <c r="B573" s="244"/>
      <c r="C573" s="244"/>
      <c r="D573" s="244"/>
      <c r="E573" s="244"/>
      <c r="F573" s="244"/>
      <c r="G573" s="244"/>
      <c r="I573" s="244"/>
      <c r="J573" s="244"/>
      <c r="K573" s="246" t="e">
        <f t="shared" si="56"/>
        <v>#VALUE!</v>
      </c>
      <c r="L573" s="246" t="e">
        <f t="shared" si="57"/>
        <v>#VALUE!</v>
      </c>
      <c r="M573" s="247" t="e">
        <f t="shared" si="58"/>
        <v>#VALUE!</v>
      </c>
      <c r="N573" s="246" t="e">
        <f t="shared" si="59"/>
        <v>#VALUE!</v>
      </c>
      <c r="O573" s="247" t="e">
        <f t="shared" si="60"/>
        <v>#VALUE!</v>
      </c>
      <c r="P573" s="247">
        <f t="shared" si="61"/>
        <v>0</v>
      </c>
      <c r="Q573" s="247" t="e">
        <f t="shared" si="62"/>
        <v>#VALUE!</v>
      </c>
    </row>
    <row r="574" spans="1:17" ht="15" customHeight="1" x14ac:dyDescent="0.25">
      <c r="A574" s="244"/>
      <c r="B574" s="244"/>
      <c r="C574" s="244"/>
      <c r="D574" s="244"/>
      <c r="E574" s="244"/>
      <c r="F574" s="244"/>
      <c r="G574" s="244"/>
      <c r="I574" s="244"/>
      <c r="J574" s="244"/>
      <c r="K574" s="246" t="e">
        <f t="shared" si="56"/>
        <v>#VALUE!</v>
      </c>
      <c r="L574" s="246" t="e">
        <f t="shared" si="57"/>
        <v>#VALUE!</v>
      </c>
      <c r="M574" s="247" t="e">
        <f t="shared" si="58"/>
        <v>#VALUE!</v>
      </c>
      <c r="N574" s="246" t="e">
        <f t="shared" si="59"/>
        <v>#VALUE!</v>
      </c>
      <c r="O574" s="247" t="e">
        <f t="shared" si="60"/>
        <v>#VALUE!</v>
      </c>
      <c r="P574" s="247">
        <f t="shared" si="61"/>
        <v>0</v>
      </c>
      <c r="Q574" s="247" t="e">
        <f t="shared" si="62"/>
        <v>#VALUE!</v>
      </c>
    </row>
    <row r="575" spans="1:17" ht="15" customHeight="1" x14ac:dyDescent="0.25">
      <c r="A575" s="244"/>
      <c r="B575" s="244"/>
      <c r="C575" s="244"/>
      <c r="D575" s="244"/>
      <c r="E575" s="244"/>
      <c r="F575" s="244"/>
      <c r="G575" s="244"/>
      <c r="I575" s="244"/>
      <c r="J575" s="244"/>
      <c r="K575" s="246" t="e">
        <f t="shared" si="56"/>
        <v>#VALUE!</v>
      </c>
      <c r="L575" s="246" t="e">
        <f t="shared" si="57"/>
        <v>#VALUE!</v>
      </c>
      <c r="M575" s="247" t="e">
        <f t="shared" si="58"/>
        <v>#VALUE!</v>
      </c>
      <c r="N575" s="246" t="e">
        <f t="shared" si="59"/>
        <v>#VALUE!</v>
      </c>
      <c r="O575" s="247" t="e">
        <f t="shared" si="60"/>
        <v>#VALUE!</v>
      </c>
      <c r="P575" s="247">
        <f t="shared" si="61"/>
        <v>0</v>
      </c>
      <c r="Q575" s="247" t="e">
        <f t="shared" si="62"/>
        <v>#VALUE!</v>
      </c>
    </row>
    <row r="576" spans="1:17" ht="15" customHeight="1" x14ac:dyDescent="0.25">
      <c r="A576" s="244"/>
      <c r="B576" s="244"/>
      <c r="C576" s="244"/>
      <c r="D576" s="244"/>
      <c r="E576" s="244"/>
      <c r="F576" s="244"/>
      <c r="G576" s="244"/>
      <c r="I576" s="244"/>
      <c r="J576" s="244"/>
      <c r="K576" s="246" t="e">
        <f t="shared" si="56"/>
        <v>#VALUE!</v>
      </c>
      <c r="L576" s="246" t="e">
        <f t="shared" si="57"/>
        <v>#VALUE!</v>
      </c>
      <c r="M576" s="247" t="e">
        <f t="shared" si="58"/>
        <v>#VALUE!</v>
      </c>
      <c r="N576" s="246" t="e">
        <f t="shared" si="59"/>
        <v>#VALUE!</v>
      </c>
      <c r="O576" s="247" t="e">
        <f t="shared" si="60"/>
        <v>#VALUE!</v>
      </c>
      <c r="P576" s="247">
        <f t="shared" si="61"/>
        <v>0</v>
      </c>
      <c r="Q576" s="247" t="e">
        <f t="shared" si="62"/>
        <v>#VALUE!</v>
      </c>
    </row>
    <row r="577" spans="1:17" ht="15" customHeight="1" x14ac:dyDescent="0.25">
      <c r="A577" s="244"/>
      <c r="B577" s="244"/>
      <c r="C577" s="244"/>
      <c r="D577" s="244"/>
      <c r="E577" s="244"/>
      <c r="F577" s="244"/>
      <c r="G577" s="244"/>
      <c r="I577" s="244"/>
      <c r="J577" s="244"/>
      <c r="K577" s="246" t="e">
        <f t="shared" si="56"/>
        <v>#VALUE!</v>
      </c>
      <c r="L577" s="246" t="e">
        <f t="shared" si="57"/>
        <v>#VALUE!</v>
      </c>
      <c r="M577" s="247" t="e">
        <f t="shared" si="58"/>
        <v>#VALUE!</v>
      </c>
      <c r="N577" s="246" t="e">
        <f t="shared" si="59"/>
        <v>#VALUE!</v>
      </c>
      <c r="O577" s="247" t="e">
        <f t="shared" si="60"/>
        <v>#VALUE!</v>
      </c>
      <c r="P577" s="247">
        <f t="shared" si="61"/>
        <v>0</v>
      </c>
      <c r="Q577" s="247" t="e">
        <f t="shared" si="62"/>
        <v>#VALUE!</v>
      </c>
    </row>
    <row r="578" spans="1:17" ht="15" customHeight="1" x14ac:dyDescent="0.25">
      <c r="A578" s="244"/>
      <c r="B578" s="244"/>
      <c r="C578" s="244"/>
      <c r="D578" s="244"/>
      <c r="E578" s="244"/>
      <c r="F578" s="244"/>
      <c r="G578" s="244"/>
      <c r="I578" s="244"/>
      <c r="J578" s="244"/>
      <c r="K578" s="246" t="e">
        <f t="shared" ref="K578:K641" si="63">DATE(VALUE(LEFT(A578,4)),VALUE(MID(A578,5,2)),VALUE(RIGHT(A578,2)))</f>
        <v>#VALUE!</v>
      </c>
      <c r="L578" s="246" t="e">
        <f t="shared" ref="L578:L641" si="64">DATEVALUE(LEFT(F578,10))</f>
        <v>#VALUE!</v>
      </c>
      <c r="M578" s="247" t="e">
        <f t="shared" ref="M578:M641" si="65">TIMEVALUE(MID(F578,12,8))</f>
        <v>#VALUE!</v>
      </c>
      <c r="N578" s="246" t="e">
        <f t="shared" ref="N578:N641" si="66">DATEVALUE(LEFT(G578,10))</f>
        <v>#VALUE!</v>
      </c>
      <c r="O578" s="247" t="e">
        <f t="shared" ref="O578:O641" si="67">TIMEVALUE(MID(G578,12,8))</f>
        <v>#VALUE!</v>
      </c>
      <c r="P578" s="247">
        <f t="shared" ref="P578:P641" si="68">IFERROR(_xlfn.MINIFS($M:$M,$E:$E,$E578,$K:$K,$K578,$M:$M,"&gt;"&amp;$O578),"")</f>
        <v>0</v>
      </c>
      <c r="Q578" s="247" t="e">
        <f t="shared" ref="Q578:Q641" si="69">IF($P578="","",$P578-$O578)</f>
        <v>#VALUE!</v>
      </c>
    </row>
    <row r="579" spans="1:17" ht="15" customHeight="1" x14ac:dyDescent="0.25">
      <c r="A579" s="244"/>
      <c r="B579" s="244"/>
      <c r="C579" s="244"/>
      <c r="D579" s="244"/>
      <c r="E579" s="244"/>
      <c r="F579" s="244"/>
      <c r="G579" s="244"/>
      <c r="I579" s="244"/>
      <c r="J579" s="244"/>
      <c r="K579" s="246" t="e">
        <f t="shared" si="63"/>
        <v>#VALUE!</v>
      </c>
      <c r="L579" s="246" t="e">
        <f t="shared" si="64"/>
        <v>#VALUE!</v>
      </c>
      <c r="M579" s="247" t="e">
        <f t="shared" si="65"/>
        <v>#VALUE!</v>
      </c>
      <c r="N579" s="246" t="e">
        <f t="shared" si="66"/>
        <v>#VALUE!</v>
      </c>
      <c r="O579" s="247" t="e">
        <f t="shared" si="67"/>
        <v>#VALUE!</v>
      </c>
      <c r="P579" s="247">
        <f t="shared" si="68"/>
        <v>0</v>
      </c>
      <c r="Q579" s="247" t="e">
        <f t="shared" si="69"/>
        <v>#VALUE!</v>
      </c>
    </row>
    <row r="580" spans="1:17" ht="15" customHeight="1" x14ac:dyDescent="0.25">
      <c r="A580" s="244"/>
      <c r="B580" s="244"/>
      <c r="C580" s="244"/>
      <c r="D580" s="244"/>
      <c r="E580" s="244"/>
      <c r="F580" s="244"/>
      <c r="G580" s="244"/>
      <c r="I580" s="244"/>
      <c r="J580" s="244"/>
      <c r="K580" s="246" t="e">
        <f t="shared" si="63"/>
        <v>#VALUE!</v>
      </c>
      <c r="L580" s="246" t="e">
        <f t="shared" si="64"/>
        <v>#VALUE!</v>
      </c>
      <c r="M580" s="247" t="e">
        <f t="shared" si="65"/>
        <v>#VALUE!</v>
      </c>
      <c r="N580" s="246" t="e">
        <f t="shared" si="66"/>
        <v>#VALUE!</v>
      </c>
      <c r="O580" s="247" t="e">
        <f t="shared" si="67"/>
        <v>#VALUE!</v>
      </c>
      <c r="P580" s="247">
        <f t="shared" si="68"/>
        <v>0</v>
      </c>
      <c r="Q580" s="247" t="e">
        <f t="shared" si="69"/>
        <v>#VALUE!</v>
      </c>
    </row>
    <row r="581" spans="1:17" ht="15" customHeight="1" x14ac:dyDescent="0.25">
      <c r="A581" s="244"/>
      <c r="B581" s="244"/>
      <c r="C581" s="244"/>
      <c r="D581" s="244"/>
      <c r="E581" s="244"/>
      <c r="F581" s="244"/>
      <c r="G581" s="244"/>
      <c r="I581" s="244"/>
      <c r="J581" s="244"/>
      <c r="K581" s="246" t="e">
        <f t="shared" si="63"/>
        <v>#VALUE!</v>
      </c>
      <c r="L581" s="246" t="e">
        <f t="shared" si="64"/>
        <v>#VALUE!</v>
      </c>
      <c r="M581" s="247" t="e">
        <f t="shared" si="65"/>
        <v>#VALUE!</v>
      </c>
      <c r="N581" s="246" t="e">
        <f t="shared" si="66"/>
        <v>#VALUE!</v>
      </c>
      <c r="O581" s="247" t="e">
        <f t="shared" si="67"/>
        <v>#VALUE!</v>
      </c>
      <c r="P581" s="247">
        <f t="shared" si="68"/>
        <v>0</v>
      </c>
      <c r="Q581" s="247" t="e">
        <f t="shared" si="69"/>
        <v>#VALUE!</v>
      </c>
    </row>
    <row r="582" spans="1:17" ht="15" customHeight="1" x14ac:dyDescent="0.25">
      <c r="A582" s="244"/>
      <c r="B582" s="244"/>
      <c r="C582" s="244"/>
      <c r="D582" s="244"/>
      <c r="E582" s="244"/>
      <c r="F582" s="244"/>
      <c r="G582" s="244"/>
      <c r="I582" s="244"/>
      <c r="J582" s="244"/>
      <c r="K582" s="246" t="e">
        <f t="shared" si="63"/>
        <v>#VALUE!</v>
      </c>
      <c r="L582" s="246" t="e">
        <f t="shared" si="64"/>
        <v>#VALUE!</v>
      </c>
      <c r="M582" s="247" t="e">
        <f t="shared" si="65"/>
        <v>#VALUE!</v>
      </c>
      <c r="N582" s="246" t="e">
        <f t="shared" si="66"/>
        <v>#VALUE!</v>
      </c>
      <c r="O582" s="247" t="e">
        <f t="shared" si="67"/>
        <v>#VALUE!</v>
      </c>
      <c r="P582" s="247">
        <f t="shared" si="68"/>
        <v>0</v>
      </c>
      <c r="Q582" s="247" t="e">
        <f t="shared" si="69"/>
        <v>#VALUE!</v>
      </c>
    </row>
    <row r="583" spans="1:17" ht="15" customHeight="1" x14ac:dyDescent="0.25">
      <c r="A583" s="244"/>
      <c r="B583" s="244"/>
      <c r="C583" s="244"/>
      <c r="D583" s="244"/>
      <c r="E583" s="244"/>
      <c r="F583" s="244"/>
      <c r="G583" s="244"/>
      <c r="I583" s="244"/>
      <c r="J583" s="244"/>
      <c r="K583" s="246" t="e">
        <f t="shared" si="63"/>
        <v>#VALUE!</v>
      </c>
      <c r="L583" s="246" t="e">
        <f t="shared" si="64"/>
        <v>#VALUE!</v>
      </c>
      <c r="M583" s="247" t="e">
        <f t="shared" si="65"/>
        <v>#VALUE!</v>
      </c>
      <c r="N583" s="246" t="e">
        <f t="shared" si="66"/>
        <v>#VALUE!</v>
      </c>
      <c r="O583" s="247" t="e">
        <f t="shared" si="67"/>
        <v>#VALUE!</v>
      </c>
      <c r="P583" s="247">
        <f t="shared" si="68"/>
        <v>0</v>
      </c>
      <c r="Q583" s="247" t="e">
        <f t="shared" si="69"/>
        <v>#VALUE!</v>
      </c>
    </row>
    <row r="584" spans="1:17" ht="15" customHeight="1" x14ac:dyDescent="0.25">
      <c r="A584" s="244"/>
      <c r="B584" s="244"/>
      <c r="C584" s="244"/>
      <c r="D584" s="244"/>
      <c r="E584" s="244"/>
      <c r="F584" s="244"/>
      <c r="G584" s="244"/>
      <c r="I584" s="244"/>
      <c r="J584" s="244"/>
      <c r="K584" s="246" t="e">
        <f t="shared" si="63"/>
        <v>#VALUE!</v>
      </c>
      <c r="L584" s="246" t="e">
        <f t="shared" si="64"/>
        <v>#VALUE!</v>
      </c>
      <c r="M584" s="247" t="e">
        <f t="shared" si="65"/>
        <v>#VALUE!</v>
      </c>
      <c r="N584" s="246" t="e">
        <f t="shared" si="66"/>
        <v>#VALUE!</v>
      </c>
      <c r="O584" s="247" t="e">
        <f t="shared" si="67"/>
        <v>#VALUE!</v>
      </c>
      <c r="P584" s="247">
        <f t="shared" si="68"/>
        <v>0</v>
      </c>
      <c r="Q584" s="247" t="e">
        <f t="shared" si="69"/>
        <v>#VALUE!</v>
      </c>
    </row>
    <row r="585" spans="1:17" ht="15" customHeight="1" x14ac:dyDescent="0.25">
      <c r="A585" s="244"/>
      <c r="B585" s="244"/>
      <c r="C585" s="244"/>
      <c r="D585" s="244"/>
      <c r="E585" s="244"/>
      <c r="F585" s="244"/>
      <c r="G585" s="244"/>
      <c r="I585" s="244"/>
      <c r="J585" s="244"/>
      <c r="K585" s="246" t="e">
        <f t="shared" si="63"/>
        <v>#VALUE!</v>
      </c>
      <c r="L585" s="246" t="e">
        <f t="shared" si="64"/>
        <v>#VALUE!</v>
      </c>
      <c r="M585" s="247" t="e">
        <f t="shared" si="65"/>
        <v>#VALUE!</v>
      </c>
      <c r="N585" s="246" t="e">
        <f t="shared" si="66"/>
        <v>#VALUE!</v>
      </c>
      <c r="O585" s="247" t="e">
        <f t="shared" si="67"/>
        <v>#VALUE!</v>
      </c>
      <c r="P585" s="247">
        <f t="shared" si="68"/>
        <v>0</v>
      </c>
      <c r="Q585" s="247" t="e">
        <f t="shared" si="69"/>
        <v>#VALUE!</v>
      </c>
    </row>
    <row r="586" spans="1:17" ht="15" customHeight="1" x14ac:dyDescent="0.25">
      <c r="A586" s="244"/>
      <c r="B586" s="244"/>
      <c r="C586" s="244"/>
      <c r="D586" s="244"/>
      <c r="E586" s="244"/>
      <c r="F586" s="244"/>
      <c r="G586" s="244"/>
      <c r="I586" s="244"/>
      <c r="J586" s="244"/>
      <c r="K586" s="246" t="e">
        <f t="shared" si="63"/>
        <v>#VALUE!</v>
      </c>
      <c r="L586" s="246" t="e">
        <f t="shared" si="64"/>
        <v>#VALUE!</v>
      </c>
      <c r="M586" s="247" t="e">
        <f t="shared" si="65"/>
        <v>#VALUE!</v>
      </c>
      <c r="N586" s="246" t="e">
        <f t="shared" si="66"/>
        <v>#VALUE!</v>
      </c>
      <c r="O586" s="247" t="e">
        <f t="shared" si="67"/>
        <v>#VALUE!</v>
      </c>
      <c r="P586" s="247">
        <f t="shared" si="68"/>
        <v>0</v>
      </c>
      <c r="Q586" s="247" t="e">
        <f t="shared" si="69"/>
        <v>#VALUE!</v>
      </c>
    </row>
    <row r="587" spans="1:17" ht="15" customHeight="1" x14ac:dyDescent="0.25">
      <c r="A587" s="244"/>
      <c r="B587" s="244"/>
      <c r="C587" s="244"/>
      <c r="D587" s="244"/>
      <c r="E587" s="244"/>
      <c r="F587" s="244"/>
      <c r="G587" s="244"/>
      <c r="I587" s="244"/>
      <c r="J587" s="244"/>
      <c r="K587" s="246" t="e">
        <f t="shared" si="63"/>
        <v>#VALUE!</v>
      </c>
      <c r="L587" s="246" t="e">
        <f t="shared" si="64"/>
        <v>#VALUE!</v>
      </c>
      <c r="M587" s="247" t="e">
        <f t="shared" si="65"/>
        <v>#VALUE!</v>
      </c>
      <c r="N587" s="246" t="e">
        <f t="shared" si="66"/>
        <v>#VALUE!</v>
      </c>
      <c r="O587" s="247" t="e">
        <f t="shared" si="67"/>
        <v>#VALUE!</v>
      </c>
      <c r="P587" s="247">
        <f t="shared" si="68"/>
        <v>0</v>
      </c>
      <c r="Q587" s="247" t="e">
        <f t="shared" si="69"/>
        <v>#VALUE!</v>
      </c>
    </row>
    <row r="588" spans="1:17" ht="15" customHeight="1" x14ac:dyDescent="0.25">
      <c r="A588" s="244"/>
      <c r="B588" s="244"/>
      <c r="C588" s="244"/>
      <c r="D588" s="244"/>
      <c r="E588" s="244"/>
      <c r="F588" s="244"/>
      <c r="G588" s="244"/>
      <c r="I588" s="244"/>
      <c r="J588" s="244"/>
      <c r="K588" s="246" t="e">
        <f t="shared" si="63"/>
        <v>#VALUE!</v>
      </c>
      <c r="L588" s="246" t="e">
        <f t="shared" si="64"/>
        <v>#VALUE!</v>
      </c>
      <c r="M588" s="247" t="e">
        <f t="shared" si="65"/>
        <v>#VALUE!</v>
      </c>
      <c r="N588" s="246" t="e">
        <f t="shared" si="66"/>
        <v>#VALUE!</v>
      </c>
      <c r="O588" s="247" t="e">
        <f t="shared" si="67"/>
        <v>#VALUE!</v>
      </c>
      <c r="P588" s="247">
        <f t="shared" si="68"/>
        <v>0</v>
      </c>
      <c r="Q588" s="247" t="e">
        <f t="shared" si="69"/>
        <v>#VALUE!</v>
      </c>
    </row>
    <row r="589" spans="1:17" ht="15" customHeight="1" x14ac:dyDescent="0.25">
      <c r="A589" s="244"/>
      <c r="B589" s="244"/>
      <c r="C589" s="244"/>
      <c r="D589" s="244"/>
      <c r="E589" s="244"/>
      <c r="F589" s="244"/>
      <c r="G589" s="244"/>
      <c r="I589" s="244"/>
      <c r="J589" s="244"/>
      <c r="K589" s="246" t="e">
        <f t="shared" si="63"/>
        <v>#VALUE!</v>
      </c>
      <c r="L589" s="246" t="e">
        <f t="shared" si="64"/>
        <v>#VALUE!</v>
      </c>
      <c r="M589" s="247" t="e">
        <f t="shared" si="65"/>
        <v>#VALUE!</v>
      </c>
      <c r="N589" s="246" t="e">
        <f t="shared" si="66"/>
        <v>#VALUE!</v>
      </c>
      <c r="O589" s="247" t="e">
        <f t="shared" si="67"/>
        <v>#VALUE!</v>
      </c>
      <c r="P589" s="247">
        <f t="shared" si="68"/>
        <v>0</v>
      </c>
      <c r="Q589" s="247" t="e">
        <f t="shared" si="69"/>
        <v>#VALUE!</v>
      </c>
    </row>
    <row r="590" spans="1:17" ht="15" customHeight="1" x14ac:dyDescent="0.25">
      <c r="A590" s="244"/>
      <c r="B590" s="244"/>
      <c r="C590" s="244"/>
      <c r="D590" s="244"/>
      <c r="E590" s="244"/>
      <c r="F590" s="244"/>
      <c r="G590" s="244"/>
      <c r="I590" s="244"/>
      <c r="J590" s="244"/>
      <c r="K590" s="246" t="e">
        <f t="shared" si="63"/>
        <v>#VALUE!</v>
      </c>
      <c r="L590" s="246" t="e">
        <f t="shared" si="64"/>
        <v>#VALUE!</v>
      </c>
      <c r="M590" s="247" t="e">
        <f t="shared" si="65"/>
        <v>#VALUE!</v>
      </c>
      <c r="N590" s="246" t="e">
        <f t="shared" si="66"/>
        <v>#VALUE!</v>
      </c>
      <c r="O590" s="247" t="e">
        <f t="shared" si="67"/>
        <v>#VALUE!</v>
      </c>
      <c r="P590" s="247">
        <f t="shared" si="68"/>
        <v>0</v>
      </c>
      <c r="Q590" s="247" t="e">
        <f t="shared" si="69"/>
        <v>#VALUE!</v>
      </c>
    </row>
    <row r="591" spans="1:17" ht="15" customHeight="1" x14ac:dyDescent="0.25">
      <c r="A591" s="244"/>
      <c r="B591" s="244"/>
      <c r="C591" s="244"/>
      <c r="D591" s="244"/>
      <c r="E591" s="244"/>
      <c r="F591" s="244"/>
      <c r="G591" s="244"/>
      <c r="I591" s="244"/>
      <c r="J591" s="244"/>
      <c r="K591" s="246" t="e">
        <f t="shared" si="63"/>
        <v>#VALUE!</v>
      </c>
      <c r="L591" s="246" t="e">
        <f t="shared" si="64"/>
        <v>#VALUE!</v>
      </c>
      <c r="M591" s="247" t="e">
        <f t="shared" si="65"/>
        <v>#VALUE!</v>
      </c>
      <c r="N591" s="246" t="e">
        <f t="shared" si="66"/>
        <v>#VALUE!</v>
      </c>
      <c r="O591" s="247" t="e">
        <f t="shared" si="67"/>
        <v>#VALUE!</v>
      </c>
      <c r="P591" s="247">
        <f t="shared" si="68"/>
        <v>0</v>
      </c>
      <c r="Q591" s="247" t="e">
        <f t="shared" si="69"/>
        <v>#VALUE!</v>
      </c>
    </row>
    <row r="592" spans="1:17" ht="15" customHeight="1" x14ac:dyDescent="0.25">
      <c r="A592" s="244"/>
      <c r="B592" s="244"/>
      <c r="C592" s="244"/>
      <c r="D592" s="244"/>
      <c r="E592" s="244"/>
      <c r="F592" s="244"/>
      <c r="G592" s="244"/>
      <c r="I592" s="244"/>
      <c r="J592" s="244"/>
      <c r="K592" s="246" t="e">
        <f t="shared" si="63"/>
        <v>#VALUE!</v>
      </c>
      <c r="L592" s="246" t="e">
        <f t="shared" si="64"/>
        <v>#VALUE!</v>
      </c>
      <c r="M592" s="247" t="e">
        <f t="shared" si="65"/>
        <v>#VALUE!</v>
      </c>
      <c r="N592" s="246" t="e">
        <f t="shared" si="66"/>
        <v>#VALUE!</v>
      </c>
      <c r="O592" s="247" t="e">
        <f t="shared" si="67"/>
        <v>#VALUE!</v>
      </c>
      <c r="P592" s="247">
        <f t="shared" si="68"/>
        <v>0</v>
      </c>
      <c r="Q592" s="247" t="e">
        <f t="shared" si="69"/>
        <v>#VALUE!</v>
      </c>
    </row>
    <row r="593" spans="1:17" ht="15" customHeight="1" x14ac:dyDescent="0.25">
      <c r="A593" s="244"/>
      <c r="B593" s="244"/>
      <c r="C593" s="244"/>
      <c r="D593" s="244"/>
      <c r="E593" s="244"/>
      <c r="F593" s="244"/>
      <c r="G593" s="244"/>
      <c r="I593" s="244"/>
      <c r="J593" s="244"/>
      <c r="K593" s="246" t="e">
        <f t="shared" si="63"/>
        <v>#VALUE!</v>
      </c>
      <c r="L593" s="246" t="e">
        <f t="shared" si="64"/>
        <v>#VALUE!</v>
      </c>
      <c r="M593" s="247" t="e">
        <f t="shared" si="65"/>
        <v>#VALUE!</v>
      </c>
      <c r="N593" s="246" t="e">
        <f t="shared" si="66"/>
        <v>#VALUE!</v>
      </c>
      <c r="O593" s="247" t="e">
        <f t="shared" si="67"/>
        <v>#VALUE!</v>
      </c>
      <c r="P593" s="247">
        <f t="shared" si="68"/>
        <v>0</v>
      </c>
      <c r="Q593" s="247" t="e">
        <f t="shared" si="69"/>
        <v>#VALUE!</v>
      </c>
    </row>
    <row r="594" spans="1:17" ht="15" customHeight="1" x14ac:dyDescent="0.25">
      <c r="A594" s="244"/>
      <c r="B594" s="244"/>
      <c r="C594" s="244"/>
      <c r="D594" s="244"/>
      <c r="E594" s="244"/>
      <c r="F594" s="244"/>
      <c r="G594" s="244"/>
      <c r="I594" s="244"/>
      <c r="J594" s="244"/>
      <c r="K594" s="246" t="e">
        <f t="shared" si="63"/>
        <v>#VALUE!</v>
      </c>
      <c r="L594" s="246" t="e">
        <f t="shared" si="64"/>
        <v>#VALUE!</v>
      </c>
      <c r="M594" s="247" t="e">
        <f t="shared" si="65"/>
        <v>#VALUE!</v>
      </c>
      <c r="N594" s="246" t="e">
        <f t="shared" si="66"/>
        <v>#VALUE!</v>
      </c>
      <c r="O594" s="247" t="e">
        <f t="shared" si="67"/>
        <v>#VALUE!</v>
      </c>
      <c r="P594" s="247">
        <f t="shared" si="68"/>
        <v>0</v>
      </c>
      <c r="Q594" s="247" t="e">
        <f t="shared" si="69"/>
        <v>#VALUE!</v>
      </c>
    </row>
    <row r="595" spans="1:17" ht="15" customHeight="1" x14ac:dyDescent="0.25">
      <c r="A595" s="244"/>
      <c r="B595" s="244"/>
      <c r="C595" s="244"/>
      <c r="D595" s="244"/>
      <c r="E595" s="244"/>
      <c r="F595" s="244"/>
      <c r="G595" s="244"/>
      <c r="I595" s="244"/>
      <c r="J595" s="244"/>
      <c r="K595" s="246" t="e">
        <f t="shared" si="63"/>
        <v>#VALUE!</v>
      </c>
      <c r="L595" s="246" t="e">
        <f t="shared" si="64"/>
        <v>#VALUE!</v>
      </c>
      <c r="M595" s="247" t="e">
        <f t="shared" si="65"/>
        <v>#VALUE!</v>
      </c>
      <c r="N595" s="246" t="e">
        <f t="shared" si="66"/>
        <v>#VALUE!</v>
      </c>
      <c r="O595" s="247" t="e">
        <f t="shared" si="67"/>
        <v>#VALUE!</v>
      </c>
      <c r="P595" s="247">
        <f t="shared" si="68"/>
        <v>0</v>
      </c>
      <c r="Q595" s="247" t="e">
        <f t="shared" si="69"/>
        <v>#VALUE!</v>
      </c>
    </row>
    <row r="596" spans="1:17" ht="15" customHeight="1" x14ac:dyDescent="0.25">
      <c r="A596" s="244"/>
      <c r="B596" s="244"/>
      <c r="C596" s="244"/>
      <c r="D596" s="244"/>
      <c r="E596" s="244"/>
      <c r="F596" s="244"/>
      <c r="G596" s="244"/>
      <c r="I596" s="244"/>
      <c r="J596" s="244"/>
      <c r="K596" s="246" t="e">
        <f t="shared" si="63"/>
        <v>#VALUE!</v>
      </c>
      <c r="L596" s="246" t="e">
        <f t="shared" si="64"/>
        <v>#VALUE!</v>
      </c>
      <c r="M596" s="247" t="e">
        <f t="shared" si="65"/>
        <v>#VALUE!</v>
      </c>
      <c r="N596" s="246" t="e">
        <f t="shared" si="66"/>
        <v>#VALUE!</v>
      </c>
      <c r="O596" s="247" t="e">
        <f t="shared" si="67"/>
        <v>#VALUE!</v>
      </c>
      <c r="P596" s="247">
        <f t="shared" si="68"/>
        <v>0</v>
      </c>
      <c r="Q596" s="247" t="e">
        <f t="shared" si="69"/>
        <v>#VALUE!</v>
      </c>
    </row>
    <row r="597" spans="1:17" ht="15" customHeight="1" x14ac:dyDescent="0.25">
      <c r="A597" s="244"/>
      <c r="B597" s="244"/>
      <c r="C597" s="244"/>
      <c r="D597" s="244"/>
      <c r="E597" s="244"/>
      <c r="F597" s="244"/>
      <c r="G597" s="244"/>
      <c r="I597" s="244"/>
      <c r="J597" s="244"/>
      <c r="K597" s="246" t="e">
        <f t="shared" si="63"/>
        <v>#VALUE!</v>
      </c>
      <c r="L597" s="246" t="e">
        <f t="shared" si="64"/>
        <v>#VALUE!</v>
      </c>
      <c r="M597" s="247" t="e">
        <f t="shared" si="65"/>
        <v>#VALUE!</v>
      </c>
      <c r="N597" s="246" t="e">
        <f t="shared" si="66"/>
        <v>#VALUE!</v>
      </c>
      <c r="O597" s="247" t="e">
        <f t="shared" si="67"/>
        <v>#VALUE!</v>
      </c>
      <c r="P597" s="247">
        <f t="shared" si="68"/>
        <v>0</v>
      </c>
      <c r="Q597" s="247" t="e">
        <f t="shared" si="69"/>
        <v>#VALUE!</v>
      </c>
    </row>
    <row r="598" spans="1:17" ht="15" customHeight="1" x14ac:dyDescent="0.25">
      <c r="A598" s="244"/>
      <c r="B598" s="244"/>
      <c r="C598" s="244"/>
      <c r="D598" s="244"/>
      <c r="E598" s="244"/>
      <c r="F598" s="244"/>
      <c r="G598" s="244"/>
      <c r="I598" s="244"/>
      <c r="J598" s="244"/>
      <c r="K598" s="246" t="e">
        <f t="shared" si="63"/>
        <v>#VALUE!</v>
      </c>
      <c r="L598" s="246" t="e">
        <f t="shared" si="64"/>
        <v>#VALUE!</v>
      </c>
      <c r="M598" s="247" t="e">
        <f t="shared" si="65"/>
        <v>#VALUE!</v>
      </c>
      <c r="N598" s="246" t="e">
        <f t="shared" si="66"/>
        <v>#VALUE!</v>
      </c>
      <c r="O598" s="247" t="e">
        <f t="shared" si="67"/>
        <v>#VALUE!</v>
      </c>
      <c r="P598" s="247">
        <f t="shared" si="68"/>
        <v>0</v>
      </c>
      <c r="Q598" s="247" t="e">
        <f t="shared" si="69"/>
        <v>#VALUE!</v>
      </c>
    </row>
    <row r="599" spans="1:17" ht="15" customHeight="1" x14ac:dyDescent="0.25">
      <c r="A599" s="244"/>
      <c r="B599" s="244"/>
      <c r="C599" s="244"/>
      <c r="D599" s="244"/>
      <c r="E599" s="244"/>
      <c r="F599" s="244"/>
      <c r="G599" s="244"/>
      <c r="I599" s="244"/>
      <c r="J599" s="244"/>
      <c r="K599" s="246" t="e">
        <f t="shared" si="63"/>
        <v>#VALUE!</v>
      </c>
      <c r="L599" s="246" t="e">
        <f t="shared" si="64"/>
        <v>#VALUE!</v>
      </c>
      <c r="M599" s="247" t="e">
        <f t="shared" si="65"/>
        <v>#VALUE!</v>
      </c>
      <c r="N599" s="246" t="e">
        <f t="shared" si="66"/>
        <v>#VALUE!</v>
      </c>
      <c r="O599" s="247" t="e">
        <f t="shared" si="67"/>
        <v>#VALUE!</v>
      </c>
      <c r="P599" s="247">
        <f t="shared" si="68"/>
        <v>0</v>
      </c>
      <c r="Q599" s="247" t="e">
        <f t="shared" si="69"/>
        <v>#VALUE!</v>
      </c>
    </row>
    <row r="600" spans="1:17" ht="15" customHeight="1" x14ac:dyDescent="0.25">
      <c r="A600" s="244"/>
      <c r="B600" s="244"/>
      <c r="C600" s="244"/>
      <c r="D600" s="244"/>
      <c r="E600" s="244"/>
      <c r="F600" s="244"/>
      <c r="G600" s="244"/>
      <c r="I600" s="244"/>
      <c r="J600" s="244"/>
      <c r="K600" s="246" t="e">
        <f t="shared" si="63"/>
        <v>#VALUE!</v>
      </c>
      <c r="L600" s="246" t="e">
        <f t="shared" si="64"/>
        <v>#VALUE!</v>
      </c>
      <c r="M600" s="247" t="e">
        <f t="shared" si="65"/>
        <v>#VALUE!</v>
      </c>
      <c r="N600" s="246" t="e">
        <f t="shared" si="66"/>
        <v>#VALUE!</v>
      </c>
      <c r="O600" s="247" t="e">
        <f t="shared" si="67"/>
        <v>#VALUE!</v>
      </c>
      <c r="P600" s="247">
        <f t="shared" si="68"/>
        <v>0</v>
      </c>
      <c r="Q600" s="247" t="e">
        <f t="shared" si="69"/>
        <v>#VALUE!</v>
      </c>
    </row>
    <row r="601" spans="1:17" ht="15" customHeight="1" x14ac:dyDescent="0.25">
      <c r="A601" s="244"/>
      <c r="B601" s="244"/>
      <c r="C601" s="244"/>
      <c r="D601" s="244"/>
      <c r="E601" s="244"/>
      <c r="F601" s="244"/>
      <c r="G601" s="244"/>
      <c r="I601" s="244"/>
      <c r="J601" s="244"/>
      <c r="K601" s="246" t="e">
        <f t="shared" si="63"/>
        <v>#VALUE!</v>
      </c>
      <c r="L601" s="246" t="e">
        <f t="shared" si="64"/>
        <v>#VALUE!</v>
      </c>
      <c r="M601" s="247" t="e">
        <f t="shared" si="65"/>
        <v>#VALUE!</v>
      </c>
      <c r="N601" s="246" t="e">
        <f t="shared" si="66"/>
        <v>#VALUE!</v>
      </c>
      <c r="O601" s="247" t="e">
        <f t="shared" si="67"/>
        <v>#VALUE!</v>
      </c>
      <c r="P601" s="247">
        <f t="shared" si="68"/>
        <v>0</v>
      </c>
      <c r="Q601" s="247" t="e">
        <f t="shared" si="69"/>
        <v>#VALUE!</v>
      </c>
    </row>
    <row r="602" spans="1:17" ht="15" customHeight="1" x14ac:dyDescent="0.25">
      <c r="A602" s="244"/>
      <c r="B602" s="244"/>
      <c r="C602" s="244"/>
      <c r="D602" s="244"/>
      <c r="E602" s="244"/>
      <c r="F602" s="244"/>
      <c r="G602" s="244"/>
      <c r="I602" s="244"/>
      <c r="J602" s="244"/>
      <c r="K602" s="246" t="e">
        <f t="shared" si="63"/>
        <v>#VALUE!</v>
      </c>
      <c r="L602" s="246" t="e">
        <f t="shared" si="64"/>
        <v>#VALUE!</v>
      </c>
      <c r="M602" s="247" t="e">
        <f t="shared" si="65"/>
        <v>#VALUE!</v>
      </c>
      <c r="N602" s="246" t="e">
        <f t="shared" si="66"/>
        <v>#VALUE!</v>
      </c>
      <c r="O602" s="247" t="e">
        <f t="shared" si="67"/>
        <v>#VALUE!</v>
      </c>
      <c r="P602" s="247">
        <f t="shared" si="68"/>
        <v>0</v>
      </c>
      <c r="Q602" s="247" t="e">
        <f t="shared" si="69"/>
        <v>#VALUE!</v>
      </c>
    </row>
    <row r="603" spans="1:17" ht="15" customHeight="1" x14ac:dyDescent="0.25">
      <c r="A603" s="244"/>
      <c r="B603" s="244"/>
      <c r="C603" s="244"/>
      <c r="D603" s="244"/>
      <c r="E603" s="244"/>
      <c r="F603" s="244"/>
      <c r="G603" s="244"/>
      <c r="I603" s="244"/>
      <c r="J603" s="244"/>
      <c r="K603" s="246" t="e">
        <f t="shared" si="63"/>
        <v>#VALUE!</v>
      </c>
      <c r="L603" s="246" t="e">
        <f t="shared" si="64"/>
        <v>#VALUE!</v>
      </c>
      <c r="M603" s="247" t="e">
        <f t="shared" si="65"/>
        <v>#VALUE!</v>
      </c>
      <c r="N603" s="246" t="e">
        <f t="shared" si="66"/>
        <v>#VALUE!</v>
      </c>
      <c r="O603" s="247" t="e">
        <f t="shared" si="67"/>
        <v>#VALUE!</v>
      </c>
      <c r="P603" s="247">
        <f t="shared" si="68"/>
        <v>0</v>
      </c>
      <c r="Q603" s="247" t="e">
        <f t="shared" si="69"/>
        <v>#VALUE!</v>
      </c>
    </row>
    <row r="604" spans="1:17" ht="15" customHeight="1" x14ac:dyDescent="0.25">
      <c r="A604" s="244"/>
      <c r="B604" s="244"/>
      <c r="C604" s="244"/>
      <c r="D604" s="244"/>
      <c r="E604" s="244"/>
      <c r="F604" s="244"/>
      <c r="G604" s="244"/>
      <c r="I604" s="244"/>
      <c r="J604" s="244"/>
      <c r="K604" s="246" t="e">
        <f t="shared" si="63"/>
        <v>#VALUE!</v>
      </c>
      <c r="L604" s="246" t="e">
        <f t="shared" si="64"/>
        <v>#VALUE!</v>
      </c>
      <c r="M604" s="247" t="e">
        <f t="shared" si="65"/>
        <v>#VALUE!</v>
      </c>
      <c r="N604" s="246" t="e">
        <f t="shared" si="66"/>
        <v>#VALUE!</v>
      </c>
      <c r="O604" s="247" t="e">
        <f t="shared" si="67"/>
        <v>#VALUE!</v>
      </c>
      <c r="P604" s="247">
        <f t="shared" si="68"/>
        <v>0</v>
      </c>
      <c r="Q604" s="247" t="e">
        <f t="shared" si="69"/>
        <v>#VALUE!</v>
      </c>
    </row>
    <row r="605" spans="1:17" ht="15" customHeight="1" x14ac:dyDescent="0.25">
      <c r="A605" s="244"/>
      <c r="B605" s="244"/>
      <c r="C605" s="244"/>
      <c r="D605" s="244"/>
      <c r="E605" s="244"/>
      <c r="F605" s="244"/>
      <c r="G605" s="244"/>
      <c r="I605" s="244"/>
      <c r="J605" s="244"/>
      <c r="K605" s="246" t="e">
        <f t="shared" si="63"/>
        <v>#VALUE!</v>
      </c>
      <c r="L605" s="246" t="e">
        <f t="shared" si="64"/>
        <v>#VALUE!</v>
      </c>
      <c r="M605" s="247" t="e">
        <f t="shared" si="65"/>
        <v>#VALUE!</v>
      </c>
      <c r="N605" s="246" t="e">
        <f t="shared" si="66"/>
        <v>#VALUE!</v>
      </c>
      <c r="O605" s="247" t="e">
        <f t="shared" si="67"/>
        <v>#VALUE!</v>
      </c>
      <c r="P605" s="247">
        <f t="shared" si="68"/>
        <v>0</v>
      </c>
      <c r="Q605" s="247" t="e">
        <f t="shared" si="69"/>
        <v>#VALUE!</v>
      </c>
    </row>
    <row r="606" spans="1:17" ht="15" customHeight="1" x14ac:dyDescent="0.25">
      <c r="A606" s="244"/>
      <c r="B606" s="244"/>
      <c r="C606" s="244"/>
      <c r="D606" s="244"/>
      <c r="E606" s="244"/>
      <c r="F606" s="244"/>
      <c r="G606" s="244"/>
      <c r="I606" s="244"/>
      <c r="J606" s="244"/>
      <c r="K606" s="246" t="e">
        <f t="shared" si="63"/>
        <v>#VALUE!</v>
      </c>
      <c r="L606" s="246" t="e">
        <f t="shared" si="64"/>
        <v>#VALUE!</v>
      </c>
      <c r="M606" s="247" t="e">
        <f t="shared" si="65"/>
        <v>#VALUE!</v>
      </c>
      <c r="N606" s="246" t="e">
        <f t="shared" si="66"/>
        <v>#VALUE!</v>
      </c>
      <c r="O606" s="247" t="e">
        <f t="shared" si="67"/>
        <v>#VALUE!</v>
      </c>
      <c r="P606" s="247">
        <f t="shared" si="68"/>
        <v>0</v>
      </c>
      <c r="Q606" s="247" t="e">
        <f t="shared" si="69"/>
        <v>#VALUE!</v>
      </c>
    </row>
    <row r="607" spans="1:17" ht="15" customHeight="1" x14ac:dyDescent="0.25">
      <c r="A607" s="244"/>
      <c r="B607" s="244"/>
      <c r="C607" s="244"/>
      <c r="D607" s="244"/>
      <c r="E607" s="244"/>
      <c r="F607" s="244"/>
      <c r="G607" s="244"/>
      <c r="I607" s="244"/>
      <c r="J607" s="244"/>
      <c r="K607" s="246" t="e">
        <f t="shared" si="63"/>
        <v>#VALUE!</v>
      </c>
      <c r="L607" s="246" t="e">
        <f t="shared" si="64"/>
        <v>#VALUE!</v>
      </c>
      <c r="M607" s="247" t="e">
        <f t="shared" si="65"/>
        <v>#VALUE!</v>
      </c>
      <c r="N607" s="246" t="e">
        <f t="shared" si="66"/>
        <v>#VALUE!</v>
      </c>
      <c r="O607" s="247" t="e">
        <f t="shared" si="67"/>
        <v>#VALUE!</v>
      </c>
      <c r="P607" s="247">
        <f t="shared" si="68"/>
        <v>0</v>
      </c>
      <c r="Q607" s="247" t="e">
        <f t="shared" si="69"/>
        <v>#VALUE!</v>
      </c>
    </row>
    <row r="608" spans="1:17" ht="15" customHeight="1" x14ac:dyDescent="0.25">
      <c r="A608" s="244"/>
      <c r="B608" s="244"/>
      <c r="C608" s="244"/>
      <c r="D608" s="244"/>
      <c r="E608" s="244"/>
      <c r="F608" s="244"/>
      <c r="G608" s="244"/>
      <c r="I608" s="244"/>
      <c r="J608" s="244"/>
      <c r="K608" s="246" t="e">
        <f t="shared" si="63"/>
        <v>#VALUE!</v>
      </c>
      <c r="L608" s="246" t="e">
        <f t="shared" si="64"/>
        <v>#VALUE!</v>
      </c>
      <c r="M608" s="247" t="e">
        <f t="shared" si="65"/>
        <v>#VALUE!</v>
      </c>
      <c r="N608" s="246" t="e">
        <f t="shared" si="66"/>
        <v>#VALUE!</v>
      </c>
      <c r="O608" s="247" t="e">
        <f t="shared" si="67"/>
        <v>#VALUE!</v>
      </c>
      <c r="P608" s="247">
        <f t="shared" si="68"/>
        <v>0</v>
      </c>
      <c r="Q608" s="247" t="e">
        <f t="shared" si="69"/>
        <v>#VALUE!</v>
      </c>
    </row>
    <row r="609" spans="1:17" ht="15" customHeight="1" x14ac:dyDescent="0.25">
      <c r="A609" s="244"/>
      <c r="B609" s="244"/>
      <c r="C609" s="244"/>
      <c r="D609" s="244"/>
      <c r="E609" s="244"/>
      <c r="F609" s="244"/>
      <c r="G609" s="244"/>
      <c r="I609" s="244"/>
      <c r="J609" s="244"/>
      <c r="K609" s="246" t="e">
        <f t="shared" si="63"/>
        <v>#VALUE!</v>
      </c>
      <c r="L609" s="246" t="e">
        <f t="shared" si="64"/>
        <v>#VALUE!</v>
      </c>
      <c r="M609" s="247" t="e">
        <f t="shared" si="65"/>
        <v>#VALUE!</v>
      </c>
      <c r="N609" s="246" t="e">
        <f t="shared" si="66"/>
        <v>#VALUE!</v>
      </c>
      <c r="O609" s="247" t="e">
        <f t="shared" si="67"/>
        <v>#VALUE!</v>
      </c>
      <c r="P609" s="247">
        <f t="shared" si="68"/>
        <v>0</v>
      </c>
      <c r="Q609" s="247" t="e">
        <f t="shared" si="69"/>
        <v>#VALUE!</v>
      </c>
    </row>
    <row r="610" spans="1:17" ht="15" customHeight="1" x14ac:dyDescent="0.25">
      <c r="A610" s="244"/>
      <c r="B610" s="244"/>
      <c r="C610" s="244"/>
      <c r="D610" s="244"/>
      <c r="E610" s="244"/>
      <c r="F610" s="244"/>
      <c r="G610" s="244"/>
      <c r="I610" s="244"/>
      <c r="J610" s="244"/>
      <c r="K610" s="246" t="e">
        <f t="shared" si="63"/>
        <v>#VALUE!</v>
      </c>
      <c r="L610" s="246" t="e">
        <f t="shared" si="64"/>
        <v>#VALUE!</v>
      </c>
      <c r="M610" s="247" t="e">
        <f t="shared" si="65"/>
        <v>#VALUE!</v>
      </c>
      <c r="N610" s="246" t="e">
        <f t="shared" si="66"/>
        <v>#VALUE!</v>
      </c>
      <c r="O610" s="247" t="e">
        <f t="shared" si="67"/>
        <v>#VALUE!</v>
      </c>
      <c r="P610" s="247">
        <f t="shared" si="68"/>
        <v>0</v>
      </c>
      <c r="Q610" s="247" t="e">
        <f t="shared" si="69"/>
        <v>#VALUE!</v>
      </c>
    </row>
    <row r="611" spans="1:17" ht="15" customHeight="1" x14ac:dyDescent="0.25">
      <c r="A611" s="244"/>
      <c r="B611" s="244"/>
      <c r="C611" s="244"/>
      <c r="D611" s="244"/>
      <c r="E611" s="244"/>
      <c r="F611" s="244"/>
      <c r="G611" s="244"/>
      <c r="I611" s="244"/>
      <c r="J611" s="244"/>
      <c r="K611" s="246" t="e">
        <f t="shared" si="63"/>
        <v>#VALUE!</v>
      </c>
      <c r="L611" s="246" t="e">
        <f t="shared" si="64"/>
        <v>#VALUE!</v>
      </c>
      <c r="M611" s="247" t="e">
        <f t="shared" si="65"/>
        <v>#VALUE!</v>
      </c>
      <c r="N611" s="246" t="e">
        <f t="shared" si="66"/>
        <v>#VALUE!</v>
      </c>
      <c r="O611" s="247" t="e">
        <f t="shared" si="67"/>
        <v>#VALUE!</v>
      </c>
      <c r="P611" s="247">
        <f t="shared" si="68"/>
        <v>0</v>
      </c>
      <c r="Q611" s="247" t="e">
        <f t="shared" si="69"/>
        <v>#VALUE!</v>
      </c>
    </row>
    <row r="612" spans="1:17" ht="15" customHeight="1" x14ac:dyDescent="0.25">
      <c r="A612" s="244"/>
      <c r="B612" s="244"/>
      <c r="C612" s="244"/>
      <c r="D612" s="244"/>
      <c r="E612" s="244"/>
      <c r="F612" s="244"/>
      <c r="G612" s="244"/>
      <c r="I612" s="244"/>
      <c r="J612" s="244"/>
      <c r="K612" s="246" t="e">
        <f t="shared" si="63"/>
        <v>#VALUE!</v>
      </c>
      <c r="L612" s="246" t="e">
        <f t="shared" si="64"/>
        <v>#VALUE!</v>
      </c>
      <c r="M612" s="247" t="e">
        <f t="shared" si="65"/>
        <v>#VALUE!</v>
      </c>
      <c r="N612" s="246" t="e">
        <f t="shared" si="66"/>
        <v>#VALUE!</v>
      </c>
      <c r="O612" s="247" t="e">
        <f t="shared" si="67"/>
        <v>#VALUE!</v>
      </c>
      <c r="P612" s="247">
        <f t="shared" si="68"/>
        <v>0</v>
      </c>
      <c r="Q612" s="247" t="e">
        <f t="shared" si="69"/>
        <v>#VALUE!</v>
      </c>
    </row>
    <row r="613" spans="1:17" ht="15" customHeight="1" x14ac:dyDescent="0.25">
      <c r="A613" s="244"/>
      <c r="B613" s="244"/>
      <c r="C613" s="244"/>
      <c r="D613" s="244"/>
      <c r="E613" s="244"/>
      <c r="F613" s="244"/>
      <c r="G613" s="244"/>
      <c r="I613" s="244"/>
      <c r="J613" s="244"/>
      <c r="K613" s="246" t="e">
        <f t="shared" si="63"/>
        <v>#VALUE!</v>
      </c>
      <c r="L613" s="246" t="e">
        <f t="shared" si="64"/>
        <v>#VALUE!</v>
      </c>
      <c r="M613" s="247" t="e">
        <f t="shared" si="65"/>
        <v>#VALUE!</v>
      </c>
      <c r="N613" s="246" t="e">
        <f t="shared" si="66"/>
        <v>#VALUE!</v>
      </c>
      <c r="O613" s="247" t="e">
        <f t="shared" si="67"/>
        <v>#VALUE!</v>
      </c>
      <c r="P613" s="247">
        <f t="shared" si="68"/>
        <v>0</v>
      </c>
      <c r="Q613" s="247" t="e">
        <f t="shared" si="69"/>
        <v>#VALUE!</v>
      </c>
    </row>
    <row r="614" spans="1:17" ht="15" customHeight="1" x14ac:dyDescent="0.25">
      <c r="A614" s="244"/>
      <c r="B614" s="244"/>
      <c r="C614" s="244"/>
      <c r="D614" s="244"/>
      <c r="E614" s="244"/>
      <c r="F614" s="244"/>
      <c r="G614" s="244"/>
      <c r="I614" s="244"/>
      <c r="J614" s="244"/>
      <c r="K614" s="246" t="e">
        <f t="shared" si="63"/>
        <v>#VALUE!</v>
      </c>
      <c r="L614" s="246" t="e">
        <f t="shared" si="64"/>
        <v>#VALUE!</v>
      </c>
      <c r="M614" s="247" t="e">
        <f t="shared" si="65"/>
        <v>#VALUE!</v>
      </c>
      <c r="N614" s="246" t="e">
        <f t="shared" si="66"/>
        <v>#VALUE!</v>
      </c>
      <c r="O614" s="247" t="e">
        <f t="shared" si="67"/>
        <v>#VALUE!</v>
      </c>
      <c r="P614" s="247">
        <f t="shared" si="68"/>
        <v>0</v>
      </c>
      <c r="Q614" s="247" t="e">
        <f t="shared" si="69"/>
        <v>#VALUE!</v>
      </c>
    </row>
    <row r="615" spans="1:17" ht="15" customHeight="1" x14ac:dyDescent="0.25">
      <c r="A615" s="244"/>
      <c r="B615" s="244"/>
      <c r="C615" s="244"/>
      <c r="D615" s="244"/>
      <c r="E615" s="244"/>
      <c r="F615" s="244"/>
      <c r="G615" s="244"/>
      <c r="I615" s="244"/>
      <c r="J615" s="244"/>
      <c r="K615" s="246" t="e">
        <f t="shared" si="63"/>
        <v>#VALUE!</v>
      </c>
      <c r="L615" s="246" t="e">
        <f t="shared" si="64"/>
        <v>#VALUE!</v>
      </c>
      <c r="M615" s="247" t="e">
        <f t="shared" si="65"/>
        <v>#VALUE!</v>
      </c>
      <c r="N615" s="246" t="e">
        <f t="shared" si="66"/>
        <v>#VALUE!</v>
      </c>
      <c r="O615" s="247" t="e">
        <f t="shared" si="67"/>
        <v>#VALUE!</v>
      </c>
      <c r="P615" s="247">
        <f t="shared" si="68"/>
        <v>0</v>
      </c>
      <c r="Q615" s="247" t="e">
        <f t="shared" si="69"/>
        <v>#VALUE!</v>
      </c>
    </row>
    <row r="616" spans="1:17" ht="15" customHeight="1" x14ac:dyDescent="0.25">
      <c r="A616" s="244"/>
      <c r="B616" s="244"/>
      <c r="C616" s="244"/>
      <c r="D616" s="244"/>
      <c r="E616" s="244"/>
      <c r="F616" s="244"/>
      <c r="G616" s="244"/>
      <c r="I616" s="244"/>
      <c r="J616" s="244"/>
      <c r="K616" s="246" t="e">
        <f t="shared" si="63"/>
        <v>#VALUE!</v>
      </c>
      <c r="L616" s="246" t="e">
        <f t="shared" si="64"/>
        <v>#VALUE!</v>
      </c>
      <c r="M616" s="247" t="e">
        <f t="shared" si="65"/>
        <v>#VALUE!</v>
      </c>
      <c r="N616" s="246" t="e">
        <f t="shared" si="66"/>
        <v>#VALUE!</v>
      </c>
      <c r="O616" s="247" t="e">
        <f t="shared" si="67"/>
        <v>#VALUE!</v>
      </c>
      <c r="P616" s="247">
        <f t="shared" si="68"/>
        <v>0</v>
      </c>
      <c r="Q616" s="247" t="e">
        <f t="shared" si="69"/>
        <v>#VALUE!</v>
      </c>
    </row>
    <row r="617" spans="1:17" ht="15" customHeight="1" x14ac:dyDescent="0.25">
      <c r="A617" s="244"/>
      <c r="B617" s="244"/>
      <c r="C617" s="244"/>
      <c r="D617" s="244"/>
      <c r="E617" s="244"/>
      <c r="F617" s="244"/>
      <c r="G617" s="244"/>
      <c r="I617" s="244"/>
      <c r="J617" s="244"/>
      <c r="K617" s="246" t="e">
        <f t="shared" si="63"/>
        <v>#VALUE!</v>
      </c>
      <c r="L617" s="246" t="e">
        <f t="shared" si="64"/>
        <v>#VALUE!</v>
      </c>
      <c r="M617" s="247" t="e">
        <f t="shared" si="65"/>
        <v>#VALUE!</v>
      </c>
      <c r="N617" s="246" t="e">
        <f t="shared" si="66"/>
        <v>#VALUE!</v>
      </c>
      <c r="O617" s="247" t="e">
        <f t="shared" si="67"/>
        <v>#VALUE!</v>
      </c>
      <c r="P617" s="247">
        <f t="shared" si="68"/>
        <v>0</v>
      </c>
      <c r="Q617" s="247" t="e">
        <f t="shared" si="69"/>
        <v>#VALUE!</v>
      </c>
    </row>
    <row r="618" spans="1:17" ht="15" customHeight="1" x14ac:dyDescent="0.25">
      <c r="A618" s="244"/>
      <c r="B618" s="244"/>
      <c r="C618" s="244"/>
      <c r="D618" s="244"/>
      <c r="E618" s="244"/>
      <c r="F618" s="244"/>
      <c r="G618" s="244"/>
      <c r="I618" s="244"/>
      <c r="J618" s="244"/>
      <c r="K618" s="246" t="e">
        <f t="shared" si="63"/>
        <v>#VALUE!</v>
      </c>
      <c r="L618" s="246" t="e">
        <f t="shared" si="64"/>
        <v>#VALUE!</v>
      </c>
      <c r="M618" s="247" t="e">
        <f t="shared" si="65"/>
        <v>#VALUE!</v>
      </c>
      <c r="N618" s="246" t="e">
        <f t="shared" si="66"/>
        <v>#VALUE!</v>
      </c>
      <c r="O618" s="247" t="e">
        <f t="shared" si="67"/>
        <v>#VALUE!</v>
      </c>
      <c r="P618" s="247">
        <f t="shared" si="68"/>
        <v>0</v>
      </c>
      <c r="Q618" s="247" t="e">
        <f t="shared" si="69"/>
        <v>#VALUE!</v>
      </c>
    </row>
    <row r="619" spans="1:17" ht="15" customHeight="1" x14ac:dyDescent="0.25">
      <c r="A619" s="244"/>
      <c r="B619" s="244"/>
      <c r="C619" s="244"/>
      <c r="D619" s="244"/>
      <c r="E619" s="244"/>
      <c r="F619" s="244"/>
      <c r="G619" s="244"/>
      <c r="I619" s="244"/>
      <c r="J619" s="244"/>
      <c r="K619" s="246" t="e">
        <f t="shared" si="63"/>
        <v>#VALUE!</v>
      </c>
      <c r="L619" s="246" t="e">
        <f t="shared" si="64"/>
        <v>#VALUE!</v>
      </c>
      <c r="M619" s="247" t="e">
        <f t="shared" si="65"/>
        <v>#VALUE!</v>
      </c>
      <c r="N619" s="246" t="e">
        <f t="shared" si="66"/>
        <v>#VALUE!</v>
      </c>
      <c r="O619" s="247" t="e">
        <f t="shared" si="67"/>
        <v>#VALUE!</v>
      </c>
      <c r="P619" s="247">
        <f t="shared" si="68"/>
        <v>0</v>
      </c>
      <c r="Q619" s="247" t="e">
        <f t="shared" si="69"/>
        <v>#VALUE!</v>
      </c>
    </row>
    <row r="620" spans="1:17" ht="15" customHeight="1" x14ac:dyDescent="0.25">
      <c r="A620" s="244"/>
      <c r="B620" s="244"/>
      <c r="C620" s="244"/>
      <c r="D620" s="244"/>
      <c r="E620" s="244"/>
      <c r="F620" s="244"/>
      <c r="G620" s="244"/>
      <c r="I620" s="244"/>
      <c r="J620" s="244"/>
      <c r="K620" s="246" t="e">
        <f t="shared" si="63"/>
        <v>#VALUE!</v>
      </c>
      <c r="L620" s="246" t="e">
        <f t="shared" si="64"/>
        <v>#VALUE!</v>
      </c>
      <c r="M620" s="247" t="e">
        <f t="shared" si="65"/>
        <v>#VALUE!</v>
      </c>
      <c r="N620" s="246" t="e">
        <f t="shared" si="66"/>
        <v>#VALUE!</v>
      </c>
      <c r="O620" s="247" t="e">
        <f t="shared" si="67"/>
        <v>#VALUE!</v>
      </c>
      <c r="P620" s="247">
        <f t="shared" si="68"/>
        <v>0</v>
      </c>
      <c r="Q620" s="247" t="e">
        <f t="shared" si="69"/>
        <v>#VALUE!</v>
      </c>
    </row>
    <row r="621" spans="1:17" ht="15" customHeight="1" x14ac:dyDescent="0.25">
      <c r="A621" s="244"/>
      <c r="B621" s="244"/>
      <c r="C621" s="244"/>
      <c r="D621" s="244"/>
      <c r="E621" s="244"/>
      <c r="F621" s="244"/>
      <c r="G621" s="244"/>
      <c r="I621" s="244"/>
      <c r="J621" s="244"/>
      <c r="K621" s="246" t="e">
        <f t="shared" si="63"/>
        <v>#VALUE!</v>
      </c>
      <c r="L621" s="246" t="e">
        <f t="shared" si="64"/>
        <v>#VALUE!</v>
      </c>
      <c r="M621" s="247" t="e">
        <f t="shared" si="65"/>
        <v>#VALUE!</v>
      </c>
      <c r="N621" s="246" t="e">
        <f t="shared" si="66"/>
        <v>#VALUE!</v>
      </c>
      <c r="O621" s="247" t="e">
        <f t="shared" si="67"/>
        <v>#VALUE!</v>
      </c>
      <c r="P621" s="247">
        <f t="shared" si="68"/>
        <v>0</v>
      </c>
      <c r="Q621" s="247" t="e">
        <f t="shared" si="69"/>
        <v>#VALUE!</v>
      </c>
    </row>
    <row r="622" spans="1:17" ht="15" customHeight="1" x14ac:dyDescent="0.25">
      <c r="A622" s="244"/>
      <c r="B622" s="244"/>
      <c r="C622" s="244"/>
      <c r="D622" s="244"/>
      <c r="E622" s="244"/>
      <c r="F622" s="244"/>
      <c r="G622" s="244"/>
      <c r="I622" s="244"/>
      <c r="J622" s="244"/>
      <c r="K622" s="246" t="e">
        <f t="shared" si="63"/>
        <v>#VALUE!</v>
      </c>
      <c r="L622" s="246" t="e">
        <f t="shared" si="64"/>
        <v>#VALUE!</v>
      </c>
      <c r="M622" s="247" t="e">
        <f t="shared" si="65"/>
        <v>#VALUE!</v>
      </c>
      <c r="N622" s="246" t="e">
        <f t="shared" si="66"/>
        <v>#VALUE!</v>
      </c>
      <c r="O622" s="247" t="e">
        <f t="shared" si="67"/>
        <v>#VALUE!</v>
      </c>
      <c r="P622" s="247">
        <f t="shared" si="68"/>
        <v>0</v>
      </c>
      <c r="Q622" s="247" t="e">
        <f t="shared" si="69"/>
        <v>#VALUE!</v>
      </c>
    </row>
    <row r="623" spans="1:17" ht="15" customHeight="1" x14ac:dyDescent="0.25">
      <c r="A623" s="244"/>
      <c r="B623" s="244"/>
      <c r="C623" s="244"/>
      <c r="D623" s="244"/>
      <c r="E623" s="244"/>
      <c r="F623" s="244"/>
      <c r="G623" s="244"/>
      <c r="I623" s="244"/>
      <c r="J623" s="244"/>
      <c r="K623" s="246" t="e">
        <f t="shared" si="63"/>
        <v>#VALUE!</v>
      </c>
      <c r="L623" s="246" t="e">
        <f t="shared" si="64"/>
        <v>#VALUE!</v>
      </c>
      <c r="M623" s="247" t="e">
        <f t="shared" si="65"/>
        <v>#VALUE!</v>
      </c>
      <c r="N623" s="246" t="e">
        <f t="shared" si="66"/>
        <v>#VALUE!</v>
      </c>
      <c r="O623" s="247" t="e">
        <f t="shared" si="67"/>
        <v>#VALUE!</v>
      </c>
      <c r="P623" s="247">
        <f t="shared" si="68"/>
        <v>0</v>
      </c>
      <c r="Q623" s="247" t="e">
        <f t="shared" si="69"/>
        <v>#VALUE!</v>
      </c>
    </row>
    <row r="624" spans="1:17" ht="15" customHeight="1" x14ac:dyDescent="0.25">
      <c r="A624" s="244"/>
      <c r="B624" s="244"/>
      <c r="C624" s="244"/>
      <c r="D624" s="244"/>
      <c r="E624" s="244"/>
      <c r="F624" s="244"/>
      <c r="G624" s="244"/>
      <c r="I624" s="244"/>
      <c r="J624" s="244"/>
      <c r="K624" s="246" t="e">
        <f t="shared" si="63"/>
        <v>#VALUE!</v>
      </c>
      <c r="L624" s="246" t="e">
        <f t="shared" si="64"/>
        <v>#VALUE!</v>
      </c>
      <c r="M624" s="247" t="e">
        <f t="shared" si="65"/>
        <v>#VALUE!</v>
      </c>
      <c r="N624" s="246" t="e">
        <f t="shared" si="66"/>
        <v>#VALUE!</v>
      </c>
      <c r="O624" s="247" t="e">
        <f t="shared" si="67"/>
        <v>#VALUE!</v>
      </c>
      <c r="P624" s="247">
        <f t="shared" si="68"/>
        <v>0</v>
      </c>
      <c r="Q624" s="247" t="e">
        <f t="shared" si="69"/>
        <v>#VALUE!</v>
      </c>
    </row>
    <row r="625" spans="1:17" ht="15" customHeight="1" x14ac:dyDescent="0.25">
      <c r="A625" s="244"/>
      <c r="B625" s="244"/>
      <c r="C625" s="244"/>
      <c r="D625" s="244"/>
      <c r="E625" s="244"/>
      <c r="F625" s="244"/>
      <c r="G625" s="244"/>
      <c r="I625" s="244"/>
      <c r="J625" s="244"/>
      <c r="K625" s="246" t="e">
        <f t="shared" si="63"/>
        <v>#VALUE!</v>
      </c>
      <c r="L625" s="246" t="e">
        <f t="shared" si="64"/>
        <v>#VALUE!</v>
      </c>
      <c r="M625" s="247" t="e">
        <f t="shared" si="65"/>
        <v>#VALUE!</v>
      </c>
      <c r="N625" s="246" t="e">
        <f t="shared" si="66"/>
        <v>#VALUE!</v>
      </c>
      <c r="O625" s="247" t="e">
        <f t="shared" si="67"/>
        <v>#VALUE!</v>
      </c>
      <c r="P625" s="247">
        <f t="shared" si="68"/>
        <v>0</v>
      </c>
      <c r="Q625" s="247" t="e">
        <f t="shared" si="69"/>
        <v>#VALUE!</v>
      </c>
    </row>
    <row r="626" spans="1:17" ht="15" customHeight="1" x14ac:dyDescent="0.25">
      <c r="A626" s="244"/>
      <c r="B626" s="244"/>
      <c r="C626" s="244"/>
      <c r="D626" s="244"/>
      <c r="E626" s="244"/>
      <c r="F626" s="244"/>
      <c r="G626" s="244"/>
      <c r="I626" s="244"/>
      <c r="J626" s="244"/>
      <c r="K626" s="246" t="e">
        <f t="shared" si="63"/>
        <v>#VALUE!</v>
      </c>
      <c r="L626" s="246" t="e">
        <f t="shared" si="64"/>
        <v>#VALUE!</v>
      </c>
      <c r="M626" s="247" t="e">
        <f t="shared" si="65"/>
        <v>#VALUE!</v>
      </c>
      <c r="N626" s="246" t="e">
        <f t="shared" si="66"/>
        <v>#VALUE!</v>
      </c>
      <c r="O626" s="247" t="e">
        <f t="shared" si="67"/>
        <v>#VALUE!</v>
      </c>
      <c r="P626" s="247">
        <f t="shared" si="68"/>
        <v>0</v>
      </c>
      <c r="Q626" s="247" t="e">
        <f t="shared" si="69"/>
        <v>#VALUE!</v>
      </c>
    </row>
    <row r="627" spans="1:17" ht="15" customHeight="1" x14ac:dyDescent="0.25">
      <c r="A627" s="244"/>
      <c r="B627" s="244"/>
      <c r="C627" s="244"/>
      <c r="D627" s="244"/>
      <c r="E627" s="244"/>
      <c r="F627" s="244"/>
      <c r="G627" s="244"/>
      <c r="I627" s="244"/>
      <c r="J627" s="244"/>
      <c r="K627" s="246" t="e">
        <f t="shared" si="63"/>
        <v>#VALUE!</v>
      </c>
      <c r="L627" s="246" t="e">
        <f t="shared" si="64"/>
        <v>#VALUE!</v>
      </c>
      <c r="M627" s="247" t="e">
        <f t="shared" si="65"/>
        <v>#VALUE!</v>
      </c>
      <c r="N627" s="246" t="e">
        <f t="shared" si="66"/>
        <v>#VALUE!</v>
      </c>
      <c r="O627" s="247" t="e">
        <f t="shared" si="67"/>
        <v>#VALUE!</v>
      </c>
      <c r="P627" s="247">
        <f t="shared" si="68"/>
        <v>0</v>
      </c>
      <c r="Q627" s="247" t="e">
        <f t="shared" si="69"/>
        <v>#VALUE!</v>
      </c>
    </row>
    <row r="628" spans="1:17" ht="15" customHeight="1" x14ac:dyDescent="0.25">
      <c r="A628" s="244"/>
      <c r="B628" s="244"/>
      <c r="C628" s="244"/>
      <c r="D628" s="244"/>
      <c r="E628" s="244"/>
      <c r="F628" s="244"/>
      <c r="G628" s="244"/>
      <c r="I628" s="244"/>
      <c r="J628" s="244"/>
      <c r="K628" s="246" t="e">
        <f t="shared" si="63"/>
        <v>#VALUE!</v>
      </c>
      <c r="L628" s="246" t="e">
        <f t="shared" si="64"/>
        <v>#VALUE!</v>
      </c>
      <c r="M628" s="247" t="e">
        <f t="shared" si="65"/>
        <v>#VALUE!</v>
      </c>
      <c r="N628" s="246" t="e">
        <f t="shared" si="66"/>
        <v>#VALUE!</v>
      </c>
      <c r="O628" s="247" t="e">
        <f t="shared" si="67"/>
        <v>#VALUE!</v>
      </c>
      <c r="P628" s="247">
        <f t="shared" si="68"/>
        <v>0</v>
      </c>
      <c r="Q628" s="247" t="e">
        <f t="shared" si="69"/>
        <v>#VALUE!</v>
      </c>
    </row>
    <row r="629" spans="1:17" ht="15" customHeight="1" x14ac:dyDescent="0.25">
      <c r="A629" s="244"/>
      <c r="B629" s="244"/>
      <c r="C629" s="244"/>
      <c r="D629" s="244"/>
      <c r="E629" s="244"/>
      <c r="F629" s="244"/>
      <c r="G629" s="244"/>
      <c r="I629" s="244"/>
      <c r="J629" s="244"/>
      <c r="K629" s="246" t="e">
        <f t="shared" si="63"/>
        <v>#VALUE!</v>
      </c>
      <c r="L629" s="246" t="e">
        <f t="shared" si="64"/>
        <v>#VALUE!</v>
      </c>
      <c r="M629" s="247" t="e">
        <f t="shared" si="65"/>
        <v>#VALUE!</v>
      </c>
      <c r="N629" s="246" t="e">
        <f t="shared" si="66"/>
        <v>#VALUE!</v>
      </c>
      <c r="O629" s="247" t="e">
        <f t="shared" si="67"/>
        <v>#VALUE!</v>
      </c>
      <c r="P629" s="247">
        <f t="shared" si="68"/>
        <v>0</v>
      </c>
      <c r="Q629" s="247" t="e">
        <f t="shared" si="69"/>
        <v>#VALUE!</v>
      </c>
    </row>
    <row r="630" spans="1:17" ht="15" customHeight="1" x14ac:dyDescent="0.25">
      <c r="A630" s="244"/>
      <c r="B630" s="244"/>
      <c r="C630" s="244"/>
      <c r="D630" s="244"/>
      <c r="E630" s="244"/>
      <c r="F630" s="244"/>
      <c r="G630" s="244"/>
      <c r="I630" s="244"/>
      <c r="J630" s="244"/>
      <c r="K630" s="246" t="e">
        <f t="shared" si="63"/>
        <v>#VALUE!</v>
      </c>
      <c r="L630" s="246" t="e">
        <f t="shared" si="64"/>
        <v>#VALUE!</v>
      </c>
      <c r="M630" s="247" t="e">
        <f t="shared" si="65"/>
        <v>#VALUE!</v>
      </c>
      <c r="N630" s="246" t="e">
        <f t="shared" si="66"/>
        <v>#VALUE!</v>
      </c>
      <c r="O630" s="247" t="e">
        <f t="shared" si="67"/>
        <v>#VALUE!</v>
      </c>
      <c r="P630" s="247">
        <f t="shared" si="68"/>
        <v>0</v>
      </c>
      <c r="Q630" s="247" t="e">
        <f t="shared" si="69"/>
        <v>#VALUE!</v>
      </c>
    </row>
    <row r="631" spans="1:17" ht="15" customHeight="1" x14ac:dyDescent="0.25">
      <c r="A631" s="244"/>
      <c r="B631" s="244"/>
      <c r="C631" s="244"/>
      <c r="D631" s="244"/>
      <c r="E631" s="244"/>
      <c r="F631" s="244"/>
      <c r="G631" s="244"/>
      <c r="I631" s="244"/>
      <c r="J631" s="244"/>
      <c r="K631" s="246" t="e">
        <f t="shared" si="63"/>
        <v>#VALUE!</v>
      </c>
      <c r="L631" s="246" t="e">
        <f t="shared" si="64"/>
        <v>#VALUE!</v>
      </c>
      <c r="M631" s="247" t="e">
        <f t="shared" si="65"/>
        <v>#VALUE!</v>
      </c>
      <c r="N631" s="246" t="e">
        <f t="shared" si="66"/>
        <v>#VALUE!</v>
      </c>
      <c r="O631" s="247" t="e">
        <f t="shared" si="67"/>
        <v>#VALUE!</v>
      </c>
      <c r="P631" s="247">
        <f t="shared" si="68"/>
        <v>0</v>
      </c>
      <c r="Q631" s="247" t="e">
        <f t="shared" si="69"/>
        <v>#VALUE!</v>
      </c>
    </row>
    <row r="632" spans="1:17" ht="15" customHeight="1" x14ac:dyDescent="0.25">
      <c r="A632" s="244"/>
      <c r="B632" s="244"/>
      <c r="C632" s="244"/>
      <c r="D632" s="244"/>
      <c r="E632" s="244"/>
      <c r="F632" s="244"/>
      <c r="G632" s="244"/>
      <c r="I632" s="244"/>
      <c r="J632" s="244"/>
      <c r="K632" s="246" t="e">
        <f t="shared" si="63"/>
        <v>#VALUE!</v>
      </c>
      <c r="L632" s="246" t="e">
        <f t="shared" si="64"/>
        <v>#VALUE!</v>
      </c>
      <c r="M632" s="247" t="e">
        <f t="shared" si="65"/>
        <v>#VALUE!</v>
      </c>
      <c r="N632" s="246" t="e">
        <f t="shared" si="66"/>
        <v>#VALUE!</v>
      </c>
      <c r="O632" s="247" t="e">
        <f t="shared" si="67"/>
        <v>#VALUE!</v>
      </c>
      <c r="P632" s="247">
        <f t="shared" si="68"/>
        <v>0</v>
      </c>
      <c r="Q632" s="247" t="e">
        <f t="shared" si="69"/>
        <v>#VALUE!</v>
      </c>
    </row>
    <row r="633" spans="1:17" ht="15" customHeight="1" x14ac:dyDescent="0.25">
      <c r="A633" s="244"/>
      <c r="B633" s="244"/>
      <c r="C633" s="244"/>
      <c r="D633" s="244"/>
      <c r="E633" s="244"/>
      <c r="F633" s="244"/>
      <c r="G633" s="244"/>
      <c r="I633" s="244"/>
      <c r="J633" s="244"/>
      <c r="K633" s="246" t="e">
        <f t="shared" si="63"/>
        <v>#VALUE!</v>
      </c>
      <c r="L633" s="246" t="e">
        <f t="shared" si="64"/>
        <v>#VALUE!</v>
      </c>
      <c r="M633" s="247" t="e">
        <f t="shared" si="65"/>
        <v>#VALUE!</v>
      </c>
      <c r="N633" s="246" t="e">
        <f t="shared" si="66"/>
        <v>#VALUE!</v>
      </c>
      <c r="O633" s="247" t="e">
        <f t="shared" si="67"/>
        <v>#VALUE!</v>
      </c>
      <c r="P633" s="247">
        <f t="shared" si="68"/>
        <v>0</v>
      </c>
      <c r="Q633" s="247" t="e">
        <f t="shared" si="69"/>
        <v>#VALUE!</v>
      </c>
    </row>
    <row r="634" spans="1:17" ht="15" customHeight="1" x14ac:dyDescent="0.25">
      <c r="A634" s="244"/>
      <c r="B634" s="244"/>
      <c r="C634" s="244"/>
      <c r="D634" s="244"/>
      <c r="E634" s="244"/>
      <c r="F634" s="244"/>
      <c r="G634" s="244"/>
      <c r="I634" s="244"/>
      <c r="J634" s="244"/>
      <c r="K634" s="246" t="e">
        <f t="shared" si="63"/>
        <v>#VALUE!</v>
      </c>
      <c r="L634" s="246" t="e">
        <f t="shared" si="64"/>
        <v>#VALUE!</v>
      </c>
      <c r="M634" s="247" t="e">
        <f t="shared" si="65"/>
        <v>#VALUE!</v>
      </c>
      <c r="N634" s="246" t="e">
        <f t="shared" si="66"/>
        <v>#VALUE!</v>
      </c>
      <c r="O634" s="247" t="e">
        <f t="shared" si="67"/>
        <v>#VALUE!</v>
      </c>
      <c r="P634" s="247">
        <f t="shared" si="68"/>
        <v>0</v>
      </c>
      <c r="Q634" s="247" t="e">
        <f t="shared" si="69"/>
        <v>#VALUE!</v>
      </c>
    </row>
    <row r="635" spans="1:17" ht="15" customHeight="1" x14ac:dyDescent="0.25">
      <c r="A635" s="244"/>
      <c r="B635" s="244"/>
      <c r="C635" s="244"/>
      <c r="D635" s="244"/>
      <c r="E635" s="244"/>
      <c r="F635" s="244"/>
      <c r="G635" s="244"/>
      <c r="I635" s="244"/>
      <c r="J635" s="244"/>
      <c r="K635" s="246" t="e">
        <f t="shared" si="63"/>
        <v>#VALUE!</v>
      </c>
      <c r="L635" s="246" t="e">
        <f t="shared" si="64"/>
        <v>#VALUE!</v>
      </c>
      <c r="M635" s="247" t="e">
        <f t="shared" si="65"/>
        <v>#VALUE!</v>
      </c>
      <c r="N635" s="246" t="e">
        <f t="shared" si="66"/>
        <v>#VALUE!</v>
      </c>
      <c r="O635" s="247" t="e">
        <f t="shared" si="67"/>
        <v>#VALUE!</v>
      </c>
      <c r="P635" s="247">
        <f t="shared" si="68"/>
        <v>0</v>
      </c>
      <c r="Q635" s="247" t="e">
        <f t="shared" si="69"/>
        <v>#VALUE!</v>
      </c>
    </row>
    <row r="636" spans="1:17" ht="15" customHeight="1" x14ac:dyDescent="0.25">
      <c r="A636" s="244"/>
      <c r="B636" s="244"/>
      <c r="C636" s="244"/>
      <c r="D636" s="244"/>
      <c r="E636" s="244"/>
      <c r="F636" s="244"/>
      <c r="G636" s="244"/>
      <c r="I636" s="244"/>
      <c r="J636" s="244"/>
      <c r="K636" s="246" t="e">
        <f t="shared" si="63"/>
        <v>#VALUE!</v>
      </c>
      <c r="L636" s="246" t="e">
        <f t="shared" si="64"/>
        <v>#VALUE!</v>
      </c>
      <c r="M636" s="247" t="e">
        <f t="shared" si="65"/>
        <v>#VALUE!</v>
      </c>
      <c r="N636" s="246" t="e">
        <f t="shared" si="66"/>
        <v>#VALUE!</v>
      </c>
      <c r="O636" s="247" t="e">
        <f t="shared" si="67"/>
        <v>#VALUE!</v>
      </c>
      <c r="P636" s="247">
        <f t="shared" si="68"/>
        <v>0</v>
      </c>
      <c r="Q636" s="247" t="e">
        <f t="shared" si="69"/>
        <v>#VALUE!</v>
      </c>
    </row>
    <row r="637" spans="1:17" ht="15" customHeight="1" x14ac:dyDescent="0.25">
      <c r="A637" s="244"/>
      <c r="B637" s="244"/>
      <c r="C637" s="244"/>
      <c r="D637" s="244"/>
      <c r="E637" s="244"/>
      <c r="F637" s="244"/>
      <c r="G637" s="244"/>
      <c r="I637" s="244"/>
      <c r="J637" s="244"/>
      <c r="K637" s="246" t="e">
        <f t="shared" si="63"/>
        <v>#VALUE!</v>
      </c>
      <c r="L637" s="246" t="e">
        <f t="shared" si="64"/>
        <v>#VALUE!</v>
      </c>
      <c r="M637" s="247" t="e">
        <f t="shared" si="65"/>
        <v>#VALUE!</v>
      </c>
      <c r="N637" s="246" t="e">
        <f t="shared" si="66"/>
        <v>#VALUE!</v>
      </c>
      <c r="O637" s="247" t="e">
        <f t="shared" si="67"/>
        <v>#VALUE!</v>
      </c>
      <c r="P637" s="247">
        <f t="shared" si="68"/>
        <v>0</v>
      </c>
      <c r="Q637" s="247" t="e">
        <f t="shared" si="69"/>
        <v>#VALUE!</v>
      </c>
    </row>
    <row r="638" spans="1:17" ht="15" customHeight="1" x14ac:dyDescent="0.25">
      <c r="A638" s="244"/>
      <c r="B638" s="244"/>
      <c r="C638" s="244"/>
      <c r="D638" s="244"/>
      <c r="E638" s="244"/>
      <c r="F638" s="244"/>
      <c r="G638" s="244"/>
      <c r="I638" s="244"/>
      <c r="J638" s="244"/>
      <c r="K638" s="246" t="e">
        <f t="shared" si="63"/>
        <v>#VALUE!</v>
      </c>
      <c r="L638" s="246" t="e">
        <f t="shared" si="64"/>
        <v>#VALUE!</v>
      </c>
      <c r="M638" s="247" t="e">
        <f t="shared" si="65"/>
        <v>#VALUE!</v>
      </c>
      <c r="N638" s="246" t="e">
        <f t="shared" si="66"/>
        <v>#VALUE!</v>
      </c>
      <c r="O638" s="247" t="e">
        <f t="shared" si="67"/>
        <v>#VALUE!</v>
      </c>
      <c r="P638" s="247">
        <f t="shared" si="68"/>
        <v>0</v>
      </c>
      <c r="Q638" s="247" t="e">
        <f t="shared" si="69"/>
        <v>#VALUE!</v>
      </c>
    </row>
    <row r="639" spans="1:17" ht="15" customHeight="1" x14ac:dyDescent="0.25">
      <c r="A639" s="244"/>
      <c r="B639" s="244"/>
      <c r="C639" s="244"/>
      <c r="D639" s="244"/>
      <c r="E639" s="244"/>
      <c r="F639" s="244"/>
      <c r="G639" s="244"/>
      <c r="I639" s="244"/>
      <c r="J639" s="244"/>
      <c r="K639" s="246" t="e">
        <f t="shared" si="63"/>
        <v>#VALUE!</v>
      </c>
      <c r="L639" s="246" t="e">
        <f t="shared" si="64"/>
        <v>#VALUE!</v>
      </c>
      <c r="M639" s="247" t="e">
        <f t="shared" si="65"/>
        <v>#VALUE!</v>
      </c>
      <c r="N639" s="246" t="e">
        <f t="shared" si="66"/>
        <v>#VALUE!</v>
      </c>
      <c r="O639" s="247" t="e">
        <f t="shared" si="67"/>
        <v>#VALUE!</v>
      </c>
      <c r="P639" s="247">
        <f t="shared" si="68"/>
        <v>0</v>
      </c>
      <c r="Q639" s="247" t="e">
        <f t="shared" si="69"/>
        <v>#VALUE!</v>
      </c>
    </row>
    <row r="640" spans="1:17" ht="15" customHeight="1" x14ac:dyDescent="0.25">
      <c r="A640" s="244"/>
      <c r="B640" s="244"/>
      <c r="C640" s="244"/>
      <c r="D640" s="244"/>
      <c r="E640" s="244"/>
      <c r="F640" s="244"/>
      <c r="G640" s="244"/>
      <c r="I640" s="244"/>
      <c r="J640" s="244"/>
      <c r="K640" s="246" t="e">
        <f t="shared" si="63"/>
        <v>#VALUE!</v>
      </c>
      <c r="L640" s="246" t="e">
        <f t="shared" si="64"/>
        <v>#VALUE!</v>
      </c>
      <c r="M640" s="247" t="e">
        <f t="shared" si="65"/>
        <v>#VALUE!</v>
      </c>
      <c r="N640" s="246" t="e">
        <f t="shared" si="66"/>
        <v>#VALUE!</v>
      </c>
      <c r="O640" s="247" t="e">
        <f t="shared" si="67"/>
        <v>#VALUE!</v>
      </c>
      <c r="P640" s="247">
        <f t="shared" si="68"/>
        <v>0</v>
      </c>
      <c r="Q640" s="247" t="e">
        <f t="shared" si="69"/>
        <v>#VALUE!</v>
      </c>
    </row>
    <row r="641" spans="1:17" ht="15" customHeight="1" x14ac:dyDescent="0.25">
      <c r="A641" s="244"/>
      <c r="B641" s="244"/>
      <c r="C641" s="244"/>
      <c r="D641" s="244"/>
      <c r="E641" s="244"/>
      <c r="F641" s="244"/>
      <c r="G641" s="244"/>
      <c r="I641" s="244"/>
      <c r="J641" s="244"/>
      <c r="K641" s="246" t="e">
        <f t="shared" si="63"/>
        <v>#VALUE!</v>
      </c>
      <c r="L641" s="246" t="e">
        <f t="shared" si="64"/>
        <v>#VALUE!</v>
      </c>
      <c r="M641" s="247" t="e">
        <f t="shared" si="65"/>
        <v>#VALUE!</v>
      </c>
      <c r="N641" s="246" t="e">
        <f t="shared" si="66"/>
        <v>#VALUE!</v>
      </c>
      <c r="O641" s="247" t="e">
        <f t="shared" si="67"/>
        <v>#VALUE!</v>
      </c>
      <c r="P641" s="247">
        <f t="shared" si="68"/>
        <v>0</v>
      </c>
      <c r="Q641" s="247" t="e">
        <f t="shared" si="69"/>
        <v>#VALUE!</v>
      </c>
    </row>
    <row r="642" spans="1:17" ht="15" customHeight="1" x14ac:dyDescent="0.25">
      <c r="A642" s="244"/>
      <c r="B642" s="244"/>
      <c r="C642" s="244"/>
      <c r="D642" s="244"/>
      <c r="E642" s="244"/>
      <c r="F642" s="244"/>
      <c r="G642" s="244"/>
      <c r="I642" s="244"/>
      <c r="J642" s="244"/>
      <c r="K642" s="246" t="e">
        <f t="shared" ref="K642:K705" si="70">DATE(VALUE(LEFT(A642,4)),VALUE(MID(A642,5,2)),VALUE(RIGHT(A642,2)))</f>
        <v>#VALUE!</v>
      </c>
      <c r="L642" s="246" t="e">
        <f t="shared" ref="L642:L705" si="71">DATEVALUE(LEFT(F642,10))</f>
        <v>#VALUE!</v>
      </c>
      <c r="M642" s="247" t="e">
        <f t="shared" ref="M642:M705" si="72">TIMEVALUE(MID(F642,12,8))</f>
        <v>#VALUE!</v>
      </c>
      <c r="N642" s="246" t="e">
        <f t="shared" ref="N642:N705" si="73">DATEVALUE(LEFT(G642,10))</f>
        <v>#VALUE!</v>
      </c>
      <c r="O642" s="247" t="e">
        <f t="shared" ref="O642:O705" si="74">TIMEVALUE(MID(G642,12,8))</f>
        <v>#VALUE!</v>
      </c>
      <c r="P642" s="247">
        <f t="shared" ref="P642:P705" si="75">IFERROR(_xlfn.MINIFS($M:$M,$E:$E,$E642,$K:$K,$K642,$M:$M,"&gt;"&amp;$O642),"")</f>
        <v>0</v>
      </c>
      <c r="Q642" s="247" t="e">
        <f t="shared" ref="Q642:Q705" si="76">IF($P642="","",$P642-$O642)</f>
        <v>#VALUE!</v>
      </c>
    </row>
    <row r="643" spans="1:17" ht="15" customHeight="1" x14ac:dyDescent="0.25">
      <c r="A643" s="244"/>
      <c r="B643" s="244"/>
      <c r="C643" s="244"/>
      <c r="D643" s="244"/>
      <c r="E643" s="244"/>
      <c r="F643" s="244"/>
      <c r="G643" s="244"/>
      <c r="I643" s="244"/>
      <c r="J643" s="244"/>
      <c r="K643" s="246" t="e">
        <f t="shared" si="70"/>
        <v>#VALUE!</v>
      </c>
      <c r="L643" s="246" t="e">
        <f t="shared" si="71"/>
        <v>#VALUE!</v>
      </c>
      <c r="M643" s="247" t="e">
        <f t="shared" si="72"/>
        <v>#VALUE!</v>
      </c>
      <c r="N643" s="246" t="e">
        <f t="shared" si="73"/>
        <v>#VALUE!</v>
      </c>
      <c r="O643" s="247" t="e">
        <f t="shared" si="74"/>
        <v>#VALUE!</v>
      </c>
      <c r="P643" s="247">
        <f t="shared" si="75"/>
        <v>0</v>
      </c>
      <c r="Q643" s="247" t="e">
        <f t="shared" si="76"/>
        <v>#VALUE!</v>
      </c>
    </row>
    <row r="644" spans="1:17" ht="15" customHeight="1" x14ac:dyDescent="0.25">
      <c r="A644" s="244"/>
      <c r="B644" s="244"/>
      <c r="C644" s="244"/>
      <c r="D644" s="244"/>
      <c r="E644" s="244"/>
      <c r="F644" s="244"/>
      <c r="G644" s="244"/>
      <c r="I644" s="244"/>
      <c r="J644" s="244"/>
      <c r="K644" s="246" t="e">
        <f t="shared" si="70"/>
        <v>#VALUE!</v>
      </c>
      <c r="L644" s="246" t="e">
        <f t="shared" si="71"/>
        <v>#VALUE!</v>
      </c>
      <c r="M644" s="247" t="e">
        <f t="shared" si="72"/>
        <v>#VALUE!</v>
      </c>
      <c r="N644" s="246" t="e">
        <f t="shared" si="73"/>
        <v>#VALUE!</v>
      </c>
      <c r="O644" s="247" t="e">
        <f t="shared" si="74"/>
        <v>#VALUE!</v>
      </c>
      <c r="P644" s="247">
        <f t="shared" si="75"/>
        <v>0</v>
      </c>
      <c r="Q644" s="247" t="e">
        <f t="shared" si="76"/>
        <v>#VALUE!</v>
      </c>
    </row>
    <row r="645" spans="1:17" ht="15" customHeight="1" x14ac:dyDescent="0.25">
      <c r="A645" s="244"/>
      <c r="B645" s="244"/>
      <c r="C645" s="244"/>
      <c r="D645" s="244"/>
      <c r="E645" s="244"/>
      <c r="F645" s="244"/>
      <c r="G645" s="244"/>
      <c r="I645" s="244"/>
      <c r="J645" s="244"/>
      <c r="K645" s="246" t="e">
        <f t="shared" si="70"/>
        <v>#VALUE!</v>
      </c>
      <c r="L645" s="246" t="e">
        <f t="shared" si="71"/>
        <v>#VALUE!</v>
      </c>
      <c r="M645" s="247" t="e">
        <f t="shared" si="72"/>
        <v>#VALUE!</v>
      </c>
      <c r="N645" s="246" t="e">
        <f t="shared" si="73"/>
        <v>#VALUE!</v>
      </c>
      <c r="O645" s="247" t="e">
        <f t="shared" si="74"/>
        <v>#VALUE!</v>
      </c>
      <c r="P645" s="247">
        <f t="shared" si="75"/>
        <v>0</v>
      </c>
      <c r="Q645" s="247" t="e">
        <f t="shared" si="76"/>
        <v>#VALUE!</v>
      </c>
    </row>
    <row r="646" spans="1:17" ht="15" customHeight="1" x14ac:dyDescent="0.25">
      <c r="A646" s="244"/>
      <c r="B646" s="244"/>
      <c r="C646" s="244"/>
      <c r="D646" s="244"/>
      <c r="E646" s="244"/>
      <c r="F646" s="244"/>
      <c r="G646" s="244"/>
      <c r="I646" s="244"/>
      <c r="J646" s="244"/>
      <c r="K646" s="246" t="e">
        <f t="shared" si="70"/>
        <v>#VALUE!</v>
      </c>
      <c r="L646" s="246" t="e">
        <f t="shared" si="71"/>
        <v>#VALUE!</v>
      </c>
      <c r="M646" s="247" t="e">
        <f t="shared" si="72"/>
        <v>#VALUE!</v>
      </c>
      <c r="N646" s="246" t="e">
        <f t="shared" si="73"/>
        <v>#VALUE!</v>
      </c>
      <c r="O646" s="247" t="e">
        <f t="shared" si="74"/>
        <v>#VALUE!</v>
      </c>
      <c r="P646" s="247">
        <f t="shared" si="75"/>
        <v>0</v>
      </c>
      <c r="Q646" s="247" t="e">
        <f t="shared" si="76"/>
        <v>#VALUE!</v>
      </c>
    </row>
    <row r="647" spans="1:17" ht="15" customHeight="1" x14ac:dyDescent="0.25">
      <c r="A647" s="244"/>
      <c r="B647" s="244"/>
      <c r="C647" s="244"/>
      <c r="D647" s="244"/>
      <c r="E647" s="244"/>
      <c r="F647" s="244"/>
      <c r="G647" s="244"/>
      <c r="I647" s="244"/>
      <c r="J647" s="244"/>
      <c r="K647" s="246" t="e">
        <f t="shared" si="70"/>
        <v>#VALUE!</v>
      </c>
      <c r="L647" s="246" t="e">
        <f t="shared" si="71"/>
        <v>#VALUE!</v>
      </c>
      <c r="M647" s="247" t="e">
        <f t="shared" si="72"/>
        <v>#VALUE!</v>
      </c>
      <c r="N647" s="246" t="e">
        <f t="shared" si="73"/>
        <v>#VALUE!</v>
      </c>
      <c r="O647" s="247" t="e">
        <f t="shared" si="74"/>
        <v>#VALUE!</v>
      </c>
      <c r="P647" s="247">
        <f t="shared" si="75"/>
        <v>0</v>
      </c>
      <c r="Q647" s="247" t="e">
        <f t="shared" si="76"/>
        <v>#VALUE!</v>
      </c>
    </row>
    <row r="648" spans="1:17" ht="15" customHeight="1" x14ac:dyDescent="0.25">
      <c r="A648" s="244"/>
      <c r="B648" s="244"/>
      <c r="C648" s="244"/>
      <c r="D648" s="244"/>
      <c r="E648" s="244"/>
      <c r="F648" s="244"/>
      <c r="G648" s="244"/>
      <c r="I648" s="244"/>
      <c r="J648" s="244"/>
      <c r="K648" s="246" t="e">
        <f t="shared" si="70"/>
        <v>#VALUE!</v>
      </c>
      <c r="L648" s="246" t="e">
        <f t="shared" si="71"/>
        <v>#VALUE!</v>
      </c>
      <c r="M648" s="247" t="e">
        <f t="shared" si="72"/>
        <v>#VALUE!</v>
      </c>
      <c r="N648" s="246" t="e">
        <f t="shared" si="73"/>
        <v>#VALUE!</v>
      </c>
      <c r="O648" s="247" t="e">
        <f t="shared" si="74"/>
        <v>#VALUE!</v>
      </c>
      <c r="P648" s="247">
        <f t="shared" si="75"/>
        <v>0</v>
      </c>
      <c r="Q648" s="247" t="e">
        <f t="shared" si="76"/>
        <v>#VALUE!</v>
      </c>
    </row>
    <row r="649" spans="1:17" ht="15" customHeight="1" x14ac:dyDescent="0.25">
      <c r="A649" s="244"/>
      <c r="B649" s="244"/>
      <c r="C649" s="244"/>
      <c r="D649" s="244"/>
      <c r="E649" s="244"/>
      <c r="F649" s="244"/>
      <c r="G649" s="244"/>
      <c r="I649" s="244"/>
      <c r="J649" s="244"/>
      <c r="K649" s="246" t="e">
        <f t="shared" si="70"/>
        <v>#VALUE!</v>
      </c>
      <c r="L649" s="246" t="e">
        <f t="shared" si="71"/>
        <v>#VALUE!</v>
      </c>
      <c r="M649" s="247" t="e">
        <f t="shared" si="72"/>
        <v>#VALUE!</v>
      </c>
      <c r="N649" s="246" t="e">
        <f t="shared" si="73"/>
        <v>#VALUE!</v>
      </c>
      <c r="O649" s="247" t="e">
        <f t="shared" si="74"/>
        <v>#VALUE!</v>
      </c>
      <c r="P649" s="247">
        <f t="shared" si="75"/>
        <v>0</v>
      </c>
      <c r="Q649" s="247" t="e">
        <f t="shared" si="76"/>
        <v>#VALUE!</v>
      </c>
    </row>
    <row r="650" spans="1:17" ht="15" customHeight="1" x14ac:dyDescent="0.25">
      <c r="A650" s="244"/>
      <c r="B650" s="244"/>
      <c r="C650" s="244"/>
      <c r="D650" s="244"/>
      <c r="E650" s="244"/>
      <c r="F650" s="244"/>
      <c r="G650" s="244"/>
      <c r="I650" s="244"/>
      <c r="J650" s="244"/>
      <c r="K650" s="246" t="e">
        <f t="shared" si="70"/>
        <v>#VALUE!</v>
      </c>
      <c r="L650" s="246" t="e">
        <f t="shared" si="71"/>
        <v>#VALUE!</v>
      </c>
      <c r="M650" s="247" t="e">
        <f t="shared" si="72"/>
        <v>#VALUE!</v>
      </c>
      <c r="N650" s="246" t="e">
        <f t="shared" si="73"/>
        <v>#VALUE!</v>
      </c>
      <c r="O650" s="247" t="e">
        <f t="shared" si="74"/>
        <v>#VALUE!</v>
      </c>
      <c r="P650" s="247">
        <f t="shared" si="75"/>
        <v>0</v>
      </c>
      <c r="Q650" s="247" t="e">
        <f t="shared" si="76"/>
        <v>#VALUE!</v>
      </c>
    </row>
    <row r="651" spans="1:17" ht="15" customHeight="1" x14ac:dyDescent="0.25">
      <c r="A651" s="244"/>
      <c r="B651" s="244"/>
      <c r="C651" s="244"/>
      <c r="D651" s="244"/>
      <c r="E651" s="244"/>
      <c r="F651" s="244"/>
      <c r="G651" s="244"/>
      <c r="I651" s="244"/>
      <c r="J651" s="244"/>
      <c r="K651" s="246" t="e">
        <f t="shared" si="70"/>
        <v>#VALUE!</v>
      </c>
      <c r="L651" s="246" t="e">
        <f t="shared" si="71"/>
        <v>#VALUE!</v>
      </c>
      <c r="M651" s="247" t="e">
        <f t="shared" si="72"/>
        <v>#VALUE!</v>
      </c>
      <c r="N651" s="246" t="e">
        <f t="shared" si="73"/>
        <v>#VALUE!</v>
      </c>
      <c r="O651" s="247" t="e">
        <f t="shared" si="74"/>
        <v>#VALUE!</v>
      </c>
      <c r="P651" s="247">
        <f t="shared" si="75"/>
        <v>0</v>
      </c>
      <c r="Q651" s="247" t="e">
        <f t="shared" si="76"/>
        <v>#VALUE!</v>
      </c>
    </row>
    <row r="652" spans="1:17" ht="15" customHeight="1" x14ac:dyDescent="0.25">
      <c r="A652" s="244"/>
      <c r="B652" s="244"/>
      <c r="C652" s="244"/>
      <c r="D652" s="244"/>
      <c r="E652" s="244"/>
      <c r="F652" s="244"/>
      <c r="G652" s="244"/>
      <c r="I652" s="244"/>
      <c r="J652" s="244"/>
      <c r="K652" s="246" t="e">
        <f t="shared" si="70"/>
        <v>#VALUE!</v>
      </c>
      <c r="L652" s="246" t="e">
        <f t="shared" si="71"/>
        <v>#VALUE!</v>
      </c>
      <c r="M652" s="247" t="e">
        <f t="shared" si="72"/>
        <v>#VALUE!</v>
      </c>
      <c r="N652" s="246" t="e">
        <f t="shared" si="73"/>
        <v>#VALUE!</v>
      </c>
      <c r="O652" s="247" t="e">
        <f t="shared" si="74"/>
        <v>#VALUE!</v>
      </c>
      <c r="P652" s="247">
        <f t="shared" si="75"/>
        <v>0</v>
      </c>
      <c r="Q652" s="247" t="e">
        <f t="shared" si="76"/>
        <v>#VALUE!</v>
      </c>
    </row>
    <row r="653" spans="1:17" ht="15" customHeight="1" x14ac:dyDescent="0.25">
      <c r="A653" s="244"/>
      <c r="B653" s="244"/>
      <c r="C653" s="244"/>
      <c r="D653" s="244"/>
      <c r="E653" s="244"/>
      <c r="F653" s="244"/>
      <c r="G653" s="244"/>
      <c r="I653" s="244"/>
      <c r="J653" s="244"/>
      <c r="K653" s="246" t="e">
        <f t="shared" si="70"/>
        <v>#VALUE!</v>
      </c>
      <c r="L653" s="246" t="e">
        <f t="shared" si="71"/>
        <v>#VALUE!</v>
      </c>
      <c r="M653" s="247" t="e">
        <f t="shared" si="72"/>
        <v>#VALUE!</v>
      </c>
      <c r="N653" s="246" t="e">
        <f t="shared" si="73"/>
        <v>#VALUE!</v>
      </c>
      <c r="O653" s="247" t="e">
        <f t="shared" si="74"/>
        <v>#VALUE!</v>
      </c>
      <c r="P653" s="247">
        <f t="shared" si="75"/>
        <v>0</v>
      </c>
      <c r="Q653" s="247" t="e">
        <f t="shared" si="76"/>
        <v>#VALUE!</v>
      </c>
    </row>
    <row r="654" spans="1:17" ht="15" customHeight="1" x14ac:dyDescent="0.25">
      <c r="A654" s="244"/>
      <c r="B654" s="244"/>
      <c r="C654" s="244"/>
      <c r="D654" s="244"/>
      <c r="E654" s="244"/>
      <c r="F654" s="244"/>
      <c r="G654" s="244"/>
      <c r="I654" s="244"/>
      <c r="J654" s="244"/>
      <c r="K654" s="246" t="e">
        <f t="shared" si="70"/>
        <v>#VALUE!</v>
      </c>
      <c r="L654" s="246" t="e">
        <f t="shared" si="71"/>
        <v>#VALUE!</v>
      </c>
      <c r="M654" s="247" t="e">
        <f t="shared" si="72"/>
        <v>#VALUE!</v>
      </c>
      <c r="N654" s="246" t="e">
        <f t="shared" si="73"/>
        <v>#VALUE!</v>
      </c>
      <c r="O654" s="247" t="e">
        <f t="shared" si="74"/>
        <v>#VALUE!</v>
      </c>
      <c r="P654" s="247">
        <f t="shared" si="75"/>
        <v>0</v>
      </c>
      <c r="Q654" s="247" t="e">
        <f t="shared" si="76"/>
        <v>#VALUE!</v>
      </c>
    </row>
    <row r="655" spans="1:17" ht="15" customHeight="1" x14ac:dyDescent="0.25">
      <c r="A655" s="244"/>
      <c r="B655" s="244"/>
      <c r="C655" s="244"/>
      <c r="D655" s="244"/>
      <c r="E655" s="244"/>
      <c r="F655" s="244"/>
      <c r="G655" s="244"/>
      <c r="I655" s="244"/>
      <c r="J655" s="244"/>
      <c r="K655" s="246" t="e">
        <f t="shared" si="70"/>
        <v>#VALUE!</v>
      </c>
      <c r="L655" s="246" t="e">
        <f t="shared" si="71"/>
        <v>#VALUE!</v>
      </c>
      <c r="M655" s="247" t="e">
        <f t="shared" si="72"/>
        <v>#VALUE!</v>
      </c>
      <c r="N655" s="246" t="e">
        <f t="shared" si="73"/>
        <v>#VALUE!</v>
      </c>
      <c r="O655" s="247" t="e">
        <f t="shared" si="74"/>
        <v>#VALUE!</v>
      </c>
      <c r="P655" s="247">
        <f t="shared" si="75"/>
        <v>0</v>
      </c>
      <c r="Q655" s="247" t="e">
        <f t="shared" si="76"/>
        <v>#VALUE!</v>
      </c>
    </row>
    <row r="656" spans="1:17" ht="15" customHeight="1" x14ac:dyDescent="0.25">
      <c r="A656" s="244"/>
      <c r="B656" s="244"/>
      <c r="C656" s="244"/>
      <c r="D656" s="244"/>
      <c r="E656" s="244"/>
      <c r="F656" s="244"/>
      <c r="G656" s="244"/>
      <c r="I656" s="244"/>
      <c r="J656" s="244"/>
      <c r="K656" s="246" t="e">
        <f t="shared" si="70"/>
        <v>#VALUE!</v>
      </c>
      <c r="L656" s="246" t="e">
        <f t="shared" si="71"/>
        <v>#VALUE!</v>
      </c>
      <c r="M656" s="247" t="e">
        <f t="shared" si="72"/>
        <v>#VALUE!</v>
      </c>
      <c r="N656" s="246" t="e">
        <f t="shared" si="73"/>
        <v>#VALUE!</v>
      </c>
      <c r="O656" s="247" t="e">
        <f t="shared" si="74"/>
        <v>#VALUE!</v>
      </c>
      <c r="P656" s="247">
        <f t="shared" si="75"/>
        <v>0</v>
      </c>
      <c r="Q656" s="247" t="e">
        <f t="shared" si="76"/>
        <v>#VALUE!</v>
      </c>
    </row>
    <row r="657" spans="1:17" ht="15" customHeight="1" x14ac:dyDescent="0.25">
      <c r="A657" s="244"/>
      <c r="B657" s="244"/>
      <c r="C657" s="244"/>
      <c r="D657" s="244"/>
      <c r="E657" s="244"/>
      <c r="F657" s="244"/>
      <c r="G657" s="244"/>
      <c r="I657" s="244"/>
      <c r="J657" s="244"/>
      <c r="K657" s="246" t="e">
        <f t="shared" si="70"/>
        <v>#VALUE!</v>
      </c>
      <c r="L657" s="246" t="e">
        <f t="shared" si="71"/>
        <v>#VALUE!</v>
      </c>
      <c r="M657" s="247" t="e">
        <f t="shared" si="72"/>
        <v>#VALUE!</v>
      </c>
      <c r="N657" s="246" t="e">
        <f t="shared" si="73"/>
        <v>#VALUE!</v>
      </c>
      <c r="O657" s="247" t="e">
        <f t="shared" si="74"/>
        <v>#VALUE!</v>
      </c>
      <c r="P657" s="247">
        <f t="shared" si="75"/>
        <v>0</v>
      </c>
      <c r="Q657" s="247" t="e">
        <f t="shared" si="76"/>
        <v>#VALUE!</v>
      </c>
    </row>
    <row r="658" spans="1:17" ht="15" customHeight="1" x14ac:dyDescent="0.25">
      <c r="A658" s="244"/>
      <c r="B658" s="244"/>
      <c r="C658" s="244"/>
      <c r="D658" s="244"/>
      <c r="E658" s="244"/>
      <c r="F658" s="244"/>
      <c r="G658" s="244"/>
      <c r="I658" s="244"/>
      <c r="J658" s="244"/>
      <c r="K658" s="246" t="e">
        <f t="shared" si="70"/>
        <v>#VALUE!</v>
      </c>
      <c r="L658" s="246" t="e">
        <f t="shared" si="71"/>
        <v>#VALUE!</v>
      </c>
      <c r="M658" s="247" t="e">
        <f t="shared" si="72"/>
        <v>#VALUE!</v>
      </c>
      <c r="N658" s="246" t="e">
        <f t="shared" si="73"/>
        <v>#VALUE!</v>
      </c>
      <c r="O658" s="247" t="e">
        <f t="shared" si="74"/>
        <v>#VALUE!</v>
      </c>
      <c r="P658" s="247">
        <f t="shared" si="75"/>
        <v>0</v>
      </c>
      <c r="Q658" s="247" t="e">
        <f t="shared" si="76"/>
        <v>#VALUE!</v>
      </c>
    </row>
    <row r="659" spans="1:17" ht="15" customHeight="1" x14ac:dyDescent="0.25">
      <c r="A659" s="244"/>
      <c r="B659" s="244"/>
      <c r="C659" s="244"/>
      <c r="D659" s="244"/>
      <c r="E659" s="244"/>
      <c r="F659" s="244"/>
      <c r="G659" s="244"/>
      <c r="I659" s="244"/>
      <c r="J659" s="244"/>
      <c r="K659" s="246" t="e">
        <f t="shared" si="70"/>
        <v>#VALUE!</v>
      </c>
      <c r="L659" s="246" t="e">
        <f t="shared" si="71"/>
        <v>#VALUE!</v>
      </c>
      <c r="M659" s="247" t="e">
        <f t="shared" si="72"/>
        <v>#VALUE!</v>
      </c>
      <c r="N659" s="246" t="e">
        <f t="shared" si="73"/>
        <v>#VALUE!</v>
      </c>
      <c r="O659" s="247" t="e">
        <f t="shared" si="74"/>
        <v>#VALUE!</v>
      </c>
      <c r="P659" s="247">
        <f t="shared" si="75"/>
        <v>0</v>
      </c>
      <c r="Q659" s="247" t="e">
        <f t="shared" si="76"/>
        <v>#VALUE!</v>
      </c>
    </row>
    <row r="660" spans="1:17" ht="15" customHeight="1" x14ac:dyDescent="0.25">
      <c r="A660" s="244"/>
      <c r="B660" s="244"/>
      <c r="C660" s="244"/>
      <c r="D660" s="244"/>
      <c r="E660" s="244"/>
      <c r="F660" s="244"/>
      <c r="G660" s="244"/>
      <c r="I660" s="244"/>
      <c r="J660" s="244"/>
      <c r="K660" s="246" t="e">
        <f t="shared" si="70"/>
        <v>#VALUE!</v>
      </c>
      <c r="L660" s="246" t="e">
        <f t="shared" si="71"/>
        <v>#VALUE!</v>
      </c>
      <c r="M660" s="247" t="e">
        <f t="shared" si="72"/>
        <v>#VALUE!</v>
      </c>
      <c r="N660" s="246" t="e">
        <f t="shared" si="73"/>
        <v>#VALUE!</v>
      </c>
      <c r="O660" s="247" t="e">
        <f t="shared" si="74"/>
        <v>#VALUE!</v>
      </c>
      <c r="P660" s="247">
        <f t="shared" si="75"/>
        <v>0</v>
      </c>
      <c r="Q660" s="247" t="e">
        <f t="shared" si="76"/>
        <v>#VALUE!</v>
      </c>
    </row>
    <row r="661" spans="1:17" ht="15" customHeight="1" x14ac:dyDescent="0.25">
      <c r="A661" s="244"/>
      <c r="B661" s="244"/>
      <c r="C661" s="244"/>
      <c r="D661" s="244"/>
      <c r="E661" s="244"/>
      <c r="F661" s="244"/>
      <c r="G661" s="244"/>
      <c r="I661" s="244"/>
      <c r="J661" s="244"/>
      <c r="K661" s="246" t="e">
        <f t="shared" si="70"/>
        <v>#VALUE!</v>
      </c>
      <c r="L661" s="246" t="e">
        <f t="shared" si="71"/>
        <v>#VALUE!</v>
      </c>
      <c r="M661" s="247" t="e">
        <f t="shared" si="72"/>
        <v>#VALUE!</v>
      </c>
      <c r="N661" s="246" t="e">
        <f t="shared" si="73"/>
        <v>#VALUE!</v>
      </c>
      <c r="O661" s="247" t="e">
        <f t="shared" si="74"/>
        <v>#VALUE!</v>
      </c>
      <c r="P661" s="247">
        <f t="shared" si="75"/>
        <v>0</v>
      </c>
      <c r="Q661" s="247" t="e">
        <f t="shared" si="76"/>
        <v>#VALUE!</v>
      </c>
    </row>
    <row r="662" spans="1:17" ht="15" customHeight="1" x14ac:dyDescent="0.25">
      <c r="A662" s="244"/>
      <c r="B662" s="244"/>
      <c r="C662" s="244"/>
      <c r="D662" s="244"/>
      <c r="E662" s="244"/>
      <c r="F662" s="244"/>
      <c r="G662" s="244"/>
      <c r="I662" s="244"/>
      <c r="J662" s="244"/>
      <c r="K662" s="246" t="e">
        <f t="shared" si="70"/>
        <v>#VALUE!</v>
      </c>
      <c r="L662" s="246" t="e">
        <f t="shared" si="71"/>
        <v>#VALUE!</v>
      </c>
      <c r="M662" s="247" t="e">
        <f t="shared" si="72"/>
        <v>#VALUE!</v>
      </c>
      <c r="N662" s="246" t="e">
        <f t="shared" si="73"/>
        <v>#VALUE!</v>
      </c>
      <c r="O662" s="247" t="e">
        <f t="shared" si="74"/>
        <v>#VALUE!</v>
      </c>
      <c r="P662" s="247">
        <f t="shared" si="75"/>
        <v>0</v>
      </c>
      <c r="Q662" s="247" t="e">
        <f t="shared" si="76"/>
        <v>#VALUE!</v>
      </c>
    </row>
    <row r="663" spans="1:17" ht="15" customHeight="1" x14ac:dyDescent="0.25">
      <c r="A663" s="244"/>
      <c r="B663" s="244"/>
      <c r="C663" s="244"/>
      <c r="D663" s="244"/>
      <c r="E663" s="244"/>
      <c r="F663" s="244"/>
      <c r="G663" s="244"/>
      <c r="I663" s="244"/>
      <c r="J663" s="244"/>
      <c r="K663" s="246" t="e">
        <f t="shared" si="70"/>
        <v>#VALUE!</v>
      </c>
      <c r="L663" s="246" t="e">
        <f t="shared" si="71"/>
        <v>#VALUE!</v>
      </c>
      <c r="M663" s="247" t="e">
        <f t="shared" si="72"/>
        <v>#VALUE!</v>
      </c>
      <c r="N663" s="246" t="e">
        <f t="shared" si="73"/>
        <v>#VALUE!</v>
      </c>
      <c r="O663" s="247" t="e">
        <f t="shared" si="74"/>
        <v>#VALUE!</v>
      </c>
      <c r="P663" s="247">
        <f t="shared" si="75"/>
        <v>0</v>
      </c>
      <c r="Q663" s="247" t="e">
        <f t="shared" si="76"/>
        <v>#VALUE!</v>
      </c>
    </row>
    <row r="664" spans="1:17" ht="15" customHeight="1" x14ac:dyDescent="0.25">
      <c r="A664" s="244"/>
      <c r="B664" s="244"/>
      <c r="C664" s="244"/>
      <c r="D664" s="244"/>
      <c r="E664" s="244"/>
      <c r="F664" s="244"/>
      <c r="G664" s="244"/>
      <c r="I664" s="244"/>
      <c r="J664" s="244"/>
      <c r="K664" s="246" t="e">
        <f t="shared" si="70"/>
        <v>#VALUE!</v>
      </c>
      <c r="L664" s="246" t="e">
        <f t="shared" si="71"/>
        <v>#VALUE!</v>
      </c>
      <c r="M664" s="247" t="e">
        <f t="shared" si="72"/>
        <v>#VALUE!</v>
      </c>
      <c r="N664" s="246" t="e">
        <f t="shared" si="73"/>
        <v>#VALUE!</v>
      </c>
      <c r="O664" s="247" t="e">
        <f t="shared" si="74"/>
        <v>#VALUE!</v>
      </c>
      <c r="P664" s="247">
        <f t="shared" si="75"/>
        <v>0</v>
      </c>
      <c r="Q664" s="247" t="e">
        <f t="shared" si="76"/>
        <v>#VALUE!</v>
      </c>
    </row>
    <row r="665" spans="1:17" ht="15" customHeight="1" x14ac:dyDescent="0.25">
      <c r="A665" s="244"/>
      <c r="B665" s="244"/>
      <c r="C665" s="244"/>
      <c r="D665" s="244"/>
      <c r="E665" s="244"/>
      <c r="F665" s="244"/>
      <c r="G665" s="244"/>
      <c r="I665" s="244"/>
      <c r="J665" s="244"/>
      <c r="K665" s="246" t="e">
        <f t="shared" si="70"/>
        <v>#VALUE!</v>
      </c>
      <c r="L665" s="246" t="e">
        <f t="shared" si="71"/>
        <v>#VALUE!</v>
      </c>
      <c r="M665" s="247" t="e">
        <f t="shared" si="72"/>
        <v>#VALUE!</v>
      </c>
      <c r="N665" s="246" t="e">
        <f t="shared" si="73"/>
        <v>#VALUE!</v>
      </c>
      <c r="O665" s="247" t="e">
        <f t="shared" si="74"/>
        <v>#VALUE!</v>
      </c>
      <c r="P665" s="247">
        <f t="shared" si="75"/>
        <v>0</v>
      </c>
      <c r="Q665" s="247" t="e">
        <f t="shared" si="76"/>
        <v>#VALUE!</v>
      </c>
    </row>
    <row r="666" spans="1:17" ht="15" customHeight="1" x14ac:dyDescent="0.25">
      <c r="A666" s="244"/>
      <c r="B666" s="244"/>
      <c r="C666" s="244"/>
      <c r="D666" s="244"/>
      <c r="E666" s="244"/>
      <c r="F666" s="244"/>
      <c r="G666" s="244"/>
      <c r="I666" s="244"/>
      <c r="J666" s="244"/>
      <c r="K666" s="246" t="e">
        <f t="shared" si="70"/>
        <v>#VALUE!</v>
      </c>
      <c r="L666" s="246" t="e">
        <f t="shared" si="71"/>
        <v>#VALUE!</v>
      </c>
      <c r="M666" s="247" t="e">
        <f t="shared" si="72"/>
        <v>#VALUE!</v>
      </c>
      <c r="N666" s="246" t="e">
        <f t="shared" si="73"/>
        <v>#VALUE!</v>
      </c>
      <c r="O666" s="247" t="e">
        <f t="shared" si="74"/>
        <v>#VALUE!</v>
      </c>
      <c r="P666" s="247">
        <f t="shared" si="75"/>
        <v>0</v>
      </c>
      <c r="Q666" s="247" t="e">
        <f t="shared" si="76"/>
        <v>#VALUE!</v>
      </c>
    </row>
    <row r="667" spans="1:17" ht="15" customHeight="1" x14ac:dyDescent="0.25">
      <c r="A667" s="244"/>
      <c r="B667" s="244"/>
      <c r="C667" s="244"/>
      <c r="D667" s="244"/>
      <c r="E667" s="244"/>
      <c r="F667" s="244"/>
      <c r="G667" s="244"/>
      <c r="I667" s="244"/>
      <c r="J667" s="244"/>
      <c r="K667" s="246" t="e">
        <f t="shared" si="70"/>
        <v>#VALUE!</v>
      </c>
      <c r="L667" s="246" t="e">
        <f t="shared" si="71"/>
        <v>#VALUE!</v>
      </c>
      <c r="M667" s="247" t="e">
        <f t="shared" si="72"/>
        <v>#VALUE!</v>
      </c>
      <c r="N667" s="246" t="e">
        <f t="shared" si="73"/>
        <v>#VALUE!</v>
      </c>
      <c r="O667" s="247" t="e">
        <f t="shared" si="74"/>
        <v>#VALUE!</v>
      </c>
      <c r="P667" s="247">
        <f t="shared" si="75"/>
        <v>0</v>
      </c>
      <c r="Q667" s="247" t="e">
        <f t="shared" si="76"/>
        <v>#VALUE!</v>
      </c>
    </row>
    <row r="668" spans="1:17" ht="15" customHeight="1" x14ac:dyDescent="0.25">
      <c r="A668" s="244"/>
      <c r="B668" s="244"/>
      <c r="C668" s="244"/>
      <c r="D668" s="244"/>
      <c r="E668" s="244"/>
      <c r="F668" s="244"/>
      <c r="G668" s="244"/>
      <c r="I668" s="244"/>
      <c r="J668" s="244"/>
      <c r="K668" s="246" t="e">
        <f t="shared" si="70"/>
        <v>#VALUE!</v>
      </c>
      <c r="L668" s="246" t="e">
        <f t="shared" si="71"/>
        <v>#VALUE!</v>
      </c>
      <c r="M668" s="247" t="e">
        <f t="shared" si="72"/>
        <v>#VALUE!</v>
      </c>
      <c r="N668" s="246" t="e">
        <f t="shared" si="73"/>
        <v>#VALUE!</v>
      </c>
      <c r="O668" s="247" t="e">
        <f t="shared" si="74"/>
        <v>#VALUE!</v>
      </c>
      <c r="P668" s="247">
        <f t="shared" si="75"/>
        <v>0</v>
      </c>
      <c r="Q668" s="247" t="e">
        <f t="shared" si="76"/>
        <v>#VALUE!</v>
      </c>
    </row>
    <row r="669" spans="1:17" ht="15" customHeight="1" x14ac:dyDescent="0.25">
      <c r="A669" s="244"/>
      <c r="B669" s="244"/>
      <c r="C669" s="244"/>
      <c r="D669" s="244"/>
      <c r="E669" s="244"/>
      <c r="F669" s="244"/>
      <c r="G669" s="244"/>
      <c r="I669" s="244"/>
      <c r="J669" s="244"/>
      <c r="K669" s="246" t="e">
        <f t="shared" si="70"/>
        <v>#VALUE!</v>
      </c>
      <c r="L669" s="246" t="e">
        <f t="shared" si="71"/>
        <v>#VALUE!</v>
      </c>
      <c r="M669" s="247" t="e">
        <f t="shared" si="72"/>
        <v>#VALUE!</v>
      </c>
      <c r="N669" s="246" t="e">
        <f t="shared" si="73"/>
        <v>#VALUE!</v>
      </c>
      <c r="O669" s="247" t="e">
        <f t="shared" si="74"/>
        <v>#VALUE!</v>
      </c>
      <c r="P669" s="247">
        <f t="shared" si="75"/>
        <v>0</v>
      </c>
      <c r="Q669" s="247" t="e">
        <f t="shared" si="76"/>
        <v>#VALUE!</v>
      </c>
    </row>
    <row r="670" spans="1:17" ht="15" customHeight="1" x14ac:dyDescent="0.25">
      <c r="A670" s="244"/>
      <c r="B670" s="244"/>
      <c r="C670" s="244"/>
      <c r="D670" s="244"/>
      <c r="E670" s="244"/>
      <c r="F670" s="244"/>
      <c r="G670" s="244"/>
      <c r="I670" s="244"/>
      <c r="J670" s="244"/>
      <c r="K670" s="246" t="e">
        <f t="shared" si="70"/>
        <v>#VALUE!</v>
      </c>
      <c r="L670" s="246" t="e">
        <f t="shared" si="71"/>
        <v>#VALUE!</v>
      </c>
      <c r="M670" s="247" t="e">
        <f t="shared" si="72"/>
        <v>#VALUE!</v>
      </c>
      <c r="N670" s="246" t="e">
        <f t="shared" si="73"/>
        <v>#VALUE!</v>
      </c>
      <c r="O670" s="247" t="e">
        <f t="shared" si="74"/>
        <v>#VALUE!</v>
      </c>
      <c r="P670" s="247">
        <f t="shared" si="75"/>
        <v>0</v>
      </c>
      <c r="Q670" s="247" t="e">
        <f t="shared" si="76"/>
        <v>#VALUE!</v>
      </c>
    </row>
    <row r="671" spans="1:17" ht="15" customHeight="1" x14ac:dyDescent="0.25">
      <c r="A671" s="244"/>
      <c r="B671" s="244"/>
      <c r="C671" s="244"/>
      <c r="D671" s="244"/>
      <c r="E671" s="244"/>
      <c r="F671" s="244"/>
      <c r="G671" s="244"/>
      <c r="I671" s="244"/>
      <c r="J671" s="244"/>
      <c r="K671" s="246" t="e">
        <f t="shared" si="70"/>
        <v>#VALUE!</v>
      </c>
      <c r="L671" s="246" t="e">
        <f t="shared" si="71"/>
        <v>#VALUE!</v>
      </c>
      <c r="M671" s="247" t="e">
        <f t="shared" si="72"/>
        <v>#VALUE!</v>
      </c>
      <c r="N671" s="246" t="e">
        <f t="shared" si="73"/>
        <v>#VALUE!</v>
      </c>
      <c r="O671" s="247" t="e">
        <f t="shared" si="74"/>
        <v>#VALUE!</v>
      </c>
      <c r="P671" s="247">
        <f t="shared" si="75"/>
        <v>0</v>
      </c>
      <c r="Q671" s="247" t="e">
        <f t="shared" si="76"/>
        <v>#VALUE!</v>
      </c>
    </row>
    <row r="672" spans="1:17" ht="15" customHeight="1" x14ac:dyDescent="0.25">
      <c r="A672" s="244"/>
      <c r="B672" s="244"/>
      <c r="C672" s="244"/>
      <c r="D672" s="244"/>
      <c r="E672" s="244"/>
      <c r="F672" s="244"/>
      <c r="G672" s="244"/>
      <c r="I672" s="244"/>
      <c r="J672" s="244"/>
      <c r="K672" s="246" t="e">
        <f t="shared" si="70"/>
        <v>#VALUE!</v>
      </c>
      <c r="L672" s="246" t="e">
        <f t="shared" si="71"/>
        <v>#VALUE!</v>
      </c>
      <c r="M672" s="247" t="e">
        <f t="shared" si="72"/>
        <v>#VALUE!</v>
      </c>
      <c r="N672" s="246" t="e">
        <f t="shared" si="73"/>
        <v>#VALUE!</v>
      </c>
      <c r="O672" s="247" t="e">
        <f t="shared" si="74"/>
        <v>#VALUE!</v>
      </c>
      <c r="P672" s="247">
        <f t="shared" si="75"/>
        <v>0</v>
      </c>
      <c r="Q672" s="247" t="e">
        <f t="shared" si="76"/>
        <v>#VALUE!</v>
      </c>
    </row>
    <row r="673" spans="1:17" ht="15" customHeight="1" x14ac:dyDescent="0.25">
      <c r="A673" s="244"/>
      <c r="B673" s="244"/>
      <c r="C673" s="244"/>
      <c r="D673" s="244"/>
      <c r="E673" s="244"/>
      <c r="F673" s="244"/>
      <c r="G673" s="244"/>
      <c r="I673" s="244"/>
      <c r="J673" s="244"/>
      <c r="K673" s="246" t="e">
        <f t="shared" si="70"/>
        <v>#VALUE!</v>
      </c>
      <c r="L673" s="246" t="e">
        <f t="shared" si="71"/>
        <v>#VALUE!</v>
      </c>
      <c r="M673" s="247" t="e">
        <f t="shared" si="72"/>
        <v>#VALUE!</v>
      </c>
      <c r="N673" s="246" t="e">
        <f t="shared" si="73"/>
        <v>#VALUE!</v>
      </c>
      <c r="O673" s="247" t="e">
        <f t="shared" si="74"/>
        <v>#VALUE!</v>
      </c>
      <c r="P673" s="247">
        <f t="shared" si="75"/>
        <v>0</v>
      </c>
      <c r="Q673" s="247" t="e">
        <f t="shared" si="76"/>
        <v>#VALUE!</v>
      </c>
    </row>
    <row r="674" spans="1:17" ht="15" customHeight="1" x14ac:dyDescent="0.25">
      <c r="A674" s="244"/>
      <c r="B674" s="244"/>
      <c r="C674" s="244"/>
      <c r="D674" s="244"/>
      <c r="E674" s="244"/>
      <c r="F674" s="244"/>
      <c r="G674" s="244"/>
      <c r="I674" s="244"/>
      <c r="J674" s="244"/>
      <c r="K674" s="246" t="e">
        <f t="shared" si="70"/>
        <v>#VALUE!</v>
      </c>
      <c r="L674" s="246" t="e">
        <f t="shared" si="71"/>
        <v>#VALUE!</v>
      </c>
      <c r="M674" s="247" t="e">
        <f t="shared" si="72"/>
        <v>#VALUE!</v>
      </c>
      <c r="N674" s="246" t="e">
        <f t="shared" si="73"/>
        <v>#VALUE!</v>
      </c>
      <c r="O674" s="247" t="e">
        <f t="shared" si="74"/>
        <v>#VALUE!</v>
      </c>
      <c r="P674" s="247">
        <f t="shared" si="75"/>
        <v>0</v>
      </c>
      <c r="Q674" s="247" t="e">
        <f t="shared" si="76"/>
        <v>#VALUE!</v>
      </c>
    </row>
    <row r="675" spans="1:17" ht="15" customHeight="1" x14ac:dyDescent="0.25">
      <c r="A675" s="244"/>
      <c r="B675" s="244"/>
      <c r="C675" s="244"/>
      <c r="D675" s="244"/>
      <c r="E675" s="244"/>
      <c r="F675" s="244"/>
      <c r="G675" s="244"/>
      <c r="I675" s="244"/>
      <c r="J675" s="244"/>
      <c r="K675" s="246" t="e">
        <f t="shared" si="70"/>
        <v>#VALUE!</v>
      </c>
      <c r="L675" s="246" t="e">
        <f t="shared" si="71"/>
        <v>#VALUE!</v>
      </c>
      <c r="M675" s="247" t="e">
        <f t="shared" si="72"/>
        <v>#VALUE!</v>
      </c>
      <c r="N675" s="246" t="e">
        <f t="shared" si="73"/>
        <v>#VALUE!</v>
      </c>
      <c r="O675" s="247" t="e">
        <f t="shared" si="74"/>
        <v>#VALUE!</v>
      </c>
      <c r="P675" s="247">
        <f t="shared" si="75"/>
        <v>0</v>
      </c>
      <c r="Q675" s="247" t="e">
        <f t="shared" si="76"/>
        <v>#VALUE!</v>
      </c>
    </row>
    <row r="676" spans="1:17" ht="15" customHeight="1" x14ac:dyDescent="0.25">
      <c r="A676" s="244"/>
      <c r="B676" s="244"/>
      <c r="C676" s="244"/>
      <c r="D676" s="244"/>
      <c r="E676" s="244"/>
      <c r="F676" s="244"/>
      <c r="G676" s="244"/>
      <c r="I676" s="244"/>
      <c r="J676" s="244"/>
      <c r="K676" s="246" t="e">
        <f t="shared" si="70"/>
        <v>#VALUE!</v>
      </c>
      <c r="L676" s="246" t="e">
        <f t="shared" si="71"/>
        <v>#VALUE!</v>
      </c>
      <c r="M676" s="247" t="e">
        <f t="shared" si="72"/>
        <v>#VALUE!</v>
      </c>
      <c r="N676" s="246" t="e">
        <f t="shared" si="73"/>
        <v>#VALUE!</v>
      </c>
      <c r="O676" s="247" t="e">
        <f t="shared" si="74"/>
        <v>#VALUE!</v>
      </c>
      <c r="P676" s="247">
        <f t="shared" si="75"/>
        <v>0</v>
      </c>
      <c r="Q676" s="247" t="e">
        <f t="shared" si="76"/>
        <v>#VALUE!</v>
      </c>
    </row>
    <row r="677" spans="1:17" ht="15" customHeight="1" x14ac:dyDescent="0.25">
      <c r="A677" s="244"/>
      <c r="B677" s="244"/>
      <c r="C677" s="244"/>
      <c r="D677" s="244"/>
      <c r="E677" s="244"/>
      <c r="F677" s="244"/>
      <c r="G677" s="244"/>
      <c r="I677" s="244"/>
      <c r="J677" s="244"/>
      <c r="K677" s="246" t="e">
        <f t="shared" si="70"/>
        <v>#VALUE!</v>
      </c>
      <c r="L677" s="246" t="e">
        <f t="shared" si="71"/>
        <v>#VALUE!</v>
      </c>
      <c r="M677" s="247" t="e">
        <f t="shared" si="72"/>
        <v>#VALUE!</v>
      </c>
      <c r="N677" s="246" t="e">
        <f t="shared" si="73"/>
        <v>#VALUE!</v>
      </c>
      <c r="O677" s="247" t="e">
        <f t="shared" si="74"/>
        <v>#VALUE!</v>
      </c>
      <c r="P677" s="247">
        <f t="shared" si="75"/>
        <v>0</v>
      </c>
      <c r="Q677" s="247" t="e">
        <f t="shared" si="76"/>
        <v>#VALUE!</v>
      </c>
    </row>
    <row r="678" spans="1:17" ht="15" customHeight="1" x14ac:dyDescent="0.25">
      <c r="A678" s="244"/>
      <c r="B678" s="244"/>
      <c r="C678" s="244"/>
      <c r="D678" s="244"/>
      <c r="E678" s="244"/>
      <c r="F678" s="244"/>
      <c r="G678" s="244"/>
      <c r="I678" s="244"/>
      <c r="J678" s="244"/>
      <c r="K678" s="246" t="e">
        <f t="shared" si="70"/>
        <v>#VALUE!</v>
      </c>
      <c r="L678" s="246" t="e">
        <f t="shared" si="71"/>
        <v>#VALUE!</v>
      </c>
      <c r="M678" s="247" t="e">
        <f t="shared" si="72"/>
        <v>#VALUE!</v>
      </c>
      <c r="N678" s="246" t="e">
        <f t="shared" si="73"/>
        <v>#VALUE!</v>
      </c>
      <c r="O678" s="247" t="e">
        <f t="shared" si="74"/>
        <v>#VALUE!</v>
      </c>
      <c r="P678" s="247">
        <f t="shared" si="75"/>
        <v>0</v>
      </c>
      <c r="Q678" s="247" t="e">
        <f t="shared" si="76"/>
        <v>#VALUE!</v>
      </c>
    </row>
    <row r="679" spans="1:17" ht="15" customHeight="1" x14ac:dyDescent="0.25">
      <c r="A679" s="244"/>
      <c r="B679" s="244"/>
      <c r="C679" s="244"/>
      <c r="D679" s="244"/>
      <c r="E679" s="244"/>
      <c r="F679" s="244"/>
      <c r="G679" s="244"/>
      <c r="I679" s="244"/>
      <c r="J679" s="244"/>
      <c r="K679" s="246" t="e">
        <f t="shared" si="70"/>
        <v>#VALUE!</v>
      </c>
      <c r="L679" s="246" t="e">
        <f t="shared" si="71"/>
        <v>#VALUE!</v>
      </c>
      <c r="M679" s="247" t="e">
        <f t="shared" si="72"/>
        <v>#VALUE!</v>
      </c>
      <c r="N679" s="246" t="e">
        <f t="shared" si="73"/>
        <v>#VALUE!</v>
      </c>
      <c r="O679" s="247" t="e">
        <f t="shared" si="74"/>
        <v>#VALUE!</v>
      </c>
      <c r="P679" s="247">
        <f t="shared" si="75"/>
        <v>0</v>
      </c>
      <c r="Q679" s="247" t="e">
        <f t="shared" si="76"/>
        <v>#VALUE!</v>
      </c>
    </row>
    <row r="680" spans="1:17" ht="15" customHeight="1" x14ac:dyDescent="0.25">
      <c r="A680" s="244"/>
      <c r="B680" s="244"/>
      <c r="C680" s="244"/>
      <c r="D680" s="244"/>
      <c r="E680" s="244"/>
      <c r="F680" s="244"/>
      <c r="G680" s="244"/>
      <c r="I680" s="244"/>
      <c r="J680" s="244"/>
      <c r="K680" s="246" t="e">
        <f t="shared" si="70"/>
        <v>#VALUE!</v>
      </c>
      <c r="L680" s="246" t="e">
        <f t="shared" si="71"/>
        <v>#VALUE!</v>
      </c>
      <c r="M680" s="247" t="e">
        <f t="shared" si="72"/>
        <v>#VALUE!</v>
      </c>
      <c r="N680" s="246" t="e">
        <f t="shared" si="73"/>
        <v>#VALUE!</v>
      </c>
      <c r="O680" s="247" t="e">
        <f t="shared" si="74"/>
        <v>#VALUE!</v>
      </c>
      <c r="P680" s="247">
        <f t="shared" si="75"/>
        <v>0</v>
      </c>
      <c r="Q680" s="247" t="e">
        <f t="shared" si="76"/>
        <v>#VALUE!</v>
      </c>
    </row>
    <row r="681" spans="1:17" ht="15" customHeight="1" x14ac:dyDescent="0.25">
      <c r="A681" s="244"/>
      <c r="B681" s="244"/>
      <c r="C681" s="244"/>
      <c r="D681" s="244"/>
      <c r="E681" s="244"/>
      <c r="F681" s="244"/>
      <c r="G681" s="244"/>
      <c r="I681" s="244"/>
      <c r="J681" s="244"/>
      <c r="K681" s="246" t="e">
        <f t="shared" si="70"/>
        <v>#VALUE!</v>
      </c>
      <c r="L681" s="246" t="e">
        <f t="shared" si="71"/>
        <v>#VALUE!</v>
      </c>
      <c r="M681" s="247" t="e">
        <f t="shared" si="72"/>
        <v>#VALUE!</v>
      </c>
      <c r="N681" s="246" t="e">
        <f t="shared" si="73"/>
        <v>#VALUE!</v>
      </c>
      <c r="O681" s="247" t="e">
        <f t="shared" si="74"/>
        <v>#VALUE!</v>
      </c>
      <c r="P681" s="247">
        <f t="shared" si="75"/>
        <v>0</v>
      </c>
      <c r="Q681" s="247" t="e">
        <f t="shared" si="76"/>
        <v>#VALUE!</v>
      </c>
    </row>
    <row r="682" spans="1:17" ht="15" customHeight="1" x14ac:dyDescent="0.25">
      <c r="A682" s="244"/>
      <c r="B682" s="244"/>
      <c r="C682" s="244"/>
      <c r="D682" s="244"/>
      <c r="E682" s="244"/>
      <c r="F682" s="244"/>
      <c r="G682" s="244"/>
      <c r="I682" s="244"/>
      <c r="J682" s="244"/>
      <c r="K682" s="246" t="e">
        <f t="shared" si="70"/>
        <v>#VALUE!</v>
      </c>
      <c r="L682" s="246" t="e">
        <f t="shared" si="71"/>
        <v>#VALUE!</v>
      </c>
      <c r="M682" s="247" t="e">
        <f t="shared" si="72"/>
        <v>#VALUE!</v>
      </c>
      <c r="N682" s="246" t="e">
        <f t="shared" si="73"/>
        <v>#VALUE!</v>
      </c>
      <c r="O682" s="247" t="e">
        <f t="shared" si="74"/>
        <v>#VALUE!</v>
      </c>
      <c r="P682" s="247">
        <f t="shared" si="75"/>
        <v>0</v>
      </c>
      <c r="Q682" s="247" t="e">
        <f t="shared" si="76"/>
        <v>#VALUE!</v>
      </c>
    </row>
    <row r="683" spans="1:17" ht="15" customHeight="1" x14ac:dyDescent="0.25">
      <c r="A683" s="244"/>
      <c r="B683" s="244"/>
      <c r="C683" s="244"/>
      <c r="D683" s="244"/>
      <c r="E683" s="244"/>
      <c r="F683" s="244"/>
      <c r="G683" s="244"/>
      <c r="I683" s="244"/>
      <c r="J683" s="244"/>
      <c r="K683" s="246" t="e">
        <f t="shared" si="70"/>
        <v>#VALUE!</v>
      </c>
      <c r="L683" s="246" t="e">
        <f t="shared" si="71"/>
        <v>#VALUE!</v>
      </c>
      <c r="M683" s="247" t="e">
        <f t="shared" si="72"/>
        <v>#VALUE!</v>
      </c>
      <c r="N683" s="246" t="e">
        <f t="shared" si="73"/>
        <v>#VALUE!</v>
      </c>
      <c r="O683" s="247" t="e">
        <f t="shared" si="74"/>
        <v>#VALUE!</v>
      </c>
      <c r="P683" s="247">
        <f t="shared" si="75"/>
        <v>0</v>
      </c>
      <c r="Q683" s="247" t="e">
        <f t="shared" si="76"/>
        <v>#VALUE!</v>
      </c>
    </row>
    <row r="684" spans="1:17" ht="15" customHeight="1" x14ac:dyDescent="0.25">
      <c r="A684" s="244"/>
      <c r="B684" s="244"/>
      <c r="C684" s="244"/>
      <c r="D684" s="244"/>
      <c r="E684" s="244"/>
      <c r="F684" s="244"/>
      <c r="G684" s="244"/>
      <c r="I684" s="244"/>
      <c r="J684" s="244"/>
      <c r="K684" s="246" t="e">
        <f t="shared" si="70"/>
        <v>#VALUE!</v>
      </c>
      <c r="L684" s="246" t="e">
        <f t="shared" si="71"/>
        <v>#VALUE!</v>
      </c>
      <c r="M684" s="247" t="e">
        <f t="shared" si="72"/>
        <v>#VALUE!</v>
      </c>
      <c r="N684" s="246" t="e">
        <f t="shared" si="73"/>
        <v>#VALUE!</v>
      </c>
      <c r="O684" s="247" t="e">
        <f t="shared" si="74"/>
        <v>#VALUE!</v>
      </c>
      <c r="P684" s="247">
        <f t="shared" si="75"/>
        <v>0</v>
      </c>
      <c r="Q684" s="247" t="e">
        <f t="shared" si="76"/>
        <v>#VALUE!</v>
      </c>
    </row>
    <row r="685" spans="1:17" ht="15" customHeight="1" x14ac:dyDescent="0.25">
      <c r="A685" s="244"/>
      <c r="B685" s="244"/>
      <c r="C685" s="244"/>
      <c r="D685" s="244"/>
      <c r="E685" s="244"/>
      <c r="F685" s="244"/>
      <c r="G685" s="244"/>
      <c r="I685" s="244"/>
      <c r="J685" s="244"/>
      <c r="K685" s="246" t="e">
        <f t="shared" si="70"/>
        <v>#VALUE!</v>
      </c>
      <c r="L685" s="246" t="e">
        <f t="shared" si="71"/>
        <v>#VALUE!</v>
      </c>
      <c r="M685" s="247" t="e">
        <f t="shared" si="72"/>
        <v>#VALUE!</v>
      </c>
      <c r="N685" s="246" t="e">
        <f t="shared" si="73"/>
        <v>#VALUE!</v>
      </c>
      <c r="O685" s="247" t="e">
        <f t="shared" si="74"/>
        <v>#VALUE!</v>
      </c>
      <c r="P685" s="247">
        <f t="shared" si="75"/>
        <v>0</v>
      </c>
      <c r="Q685" s="247" t="e">
        <f t="shared" si="76"/>
        <v>#VALUE!</v>
      </c>
    </row>
    <row r="686" spans="1:17" ht="15" customHeight="1" x14ac:dyDescent="0.25">
      <c r="A686" s="244"/>
      <c r="B686" s="244"/>
      <c r="C686" s="244"/>
      <c r="D686" s="244"/>
      <c r="E686" s="244"/>
      <c r="F686" s="244"/>
      <c r="G686" s="244"/>
      <c r="I686" s="244"/>
      <c r="J686" s="244"/>
      <c r="K686" s="246" t="e">
        <f t="shared" si="70"/>
        <v>#VALUE!</v>
      </c>
      <c r="L686" s="246" t="e">
        <f t="shared" si="71"/>
        <v>#VALUE!</v>
      </c>
      <c r="M686" s="247" t="e">
        <f t="shared" si="72"/>
        <v>#VALUE!</v>
      </c>
      <c r="N686" s="246" t="e">
        <f t="shared" si="73"/>
        <v>#VALUE!</v>
      </c>
      <c r="O686" s="247" t="e">
        <f t="shared" si="74"/>
        <v>#VALUE!</v>
      </c>
      <c r="P686" s="247">
        <f t="shared" si="75"/>
        <v>0</v>
      </c>
      <c r="Q686" s="247" t="e">
        <f t="shared" si="76"/>
        <v>#VALUE!</v>
      </c>
    </row>
    <row r="687" spans="1:17" ht="15" customHeight="1" x14ac:dyDescent="0.25">
      <c r="A687" s="244"/>
      <c r="B687" s="244"/>
      <c r="C687" s="244"/>
      <c r="D687" s="244"/>
      <c r="E687" s="244"/>
      <c r="F687" s="244"/>
      <c r="G687" s="244"/>
      <c r="I687" s="244"/>
      <c r="J687" s="244"/>
      <c r="K687" s="246" t="e">
        <f t="shared" si="70"/>
        <v>#VALUE!</v>
      </c>
      <c r="L687" s="246" t="e">
        <f t="shared" si="71"/>
        <v>#VALUE!</v>
      </c>
      <c r="M687" s="247" t="e">
        <f t="shared" si="72"/>
        <v>#VALUE!</v>
      </c>
      <c r="N687" s="246" t="e">
        <f t="shared" si="73"/>
        <v>#VALUE!</v>
      </c>
      <c r="O687" s="247" t="e">
        <f t="shared" si="74"/>
        <v>#VALUE!</v>
      </c>
      <c r="P687" s="247">
        <f t="shared" si="75"/>
        <v>0</v>
      </c>
      <c r="Q687" s="247" t="e">
        <f t="shared" si="76"/>
        <v>#VALUE!</v>
      </c>
    </row>
    <row r="688" spans="1:17" ht="15" customHeight="1" x14ac:dyDescent="0.25">
      <c r="A688" s="244"/>
      <c r="B688" s="244"/>
      <c r="C688" s="244"/>
      <c r="D688" s="244"/>
      <c r="E688" s="244"/>
      <c r="F688" s="244"/>
      <c r="G688" s="244"/>
      <c r="I688" s="244"/>
      <c r="J688" s="244"/>
      <c r="K688" s="246" t="e">
        <f t="shared" si="70"/>
        <v>#VALUE!</v>
      </c>
      <c r="L688" s="246" t="e">
        <f t="shared" si="71"/>
        <v>#VALUE!</v>
      </c>
      <c r="M688" s="247" t="e">
        <f t="shared" si="72"/>
        <v>#VALUE!</v>
      </c>
      <c r="N688" s="246" t="e">
        <f t="shared" si="73"/>
        <v>#VALUE!</v>
      </c>
      <c r="O688" s="247" t="e">
        <f t="shared" si="74"/>
        <v>#VALUE!</v>
      </c>
      <c r="P688" s="247">
        <f t="shared" si="75"/>
        <v>0</v>
      </c>
      <c r="Q688" s="247" t="e">
        <f t="shared" si="76"/>
        <v>#VALUE!</v>
      </c>
    </row>
    <row r="689" spans="1:17" ht="15" customHeight="1" x14ac:dyDescent="0.25">
      <c r="A689" s="244"/>
      <c r="B689" s="244"/>
      <c r="C689" s="244"/>
      <c r="D689" s="244"/>
      <c r="E689" s="244"/>
      <c r="F689" s="244"/>
      <c r="G689" s="244"/>
      <c r="I689" s="244"/>
      <c r="J689" s="244"/>
      <c r="K689" s="246" t="e">
        <f t="shared" si="70"/>
        <v>#VALUE!</v>
      </c>
      <c r="L689" s="246" t="e">
        <f t="shared" si="71"/>
        <v>#VALUE!</v>
      </c>
      <c r="M689" s="247" t="e">
        <f t="shared" si="72"/>
        <v>#VALUE!</v>
      </c>
      <c r="N689" s="246" t="e">
        <f t="shared" si="73"/>
        <v>#VALUE!</v>
      </c>
      <c r="O689" s="247" t="e">
        <f t="shared" si="74"/>
        <v>#VALUE!</v>
      </c>
      <c r="P689" s="247">
        <f t="shared" si="75"/>
        <v>0</v>
      </c>
      <c r="Q689" s="247" t="e">
        <f t="shared" si="76"/>
        <v>#VALUE!</v>
      </c>
    </row>
    <row r="690" spans="1:17" ht="15" customHeight="1" x14ac:dyDescent="0.25">
      <c r="A690" s="244"/>
      <c r="B690" s="244"/>
      <c r="C690" s="244"/>
      <c r="D690" s="244"/>
      <c r="E690" s="244"/>
      <c r="F690" s="244"/>
      <c r="G690" s="244"/>
      <c r="I690" s="244"/>
      <c r="J690" s="244"/>
      <c r="K690" s="246" t="e">
        <f t="shared" si="70"/>
        <v>#VALUE!</v>
      </c>
      <c r="L690" s="246" t="e">
        <f t="shared" si="71"/>
        <v>#VALUE!</v>
      </c>
      <c r="M690" s="247" t="e">
        <f t="shared" si="72"/>
        <v>#VALUE!</v>
      </c>
      <c r="N690" s="246" t="e">
        <f t="shared" si="73"/>
        <v>#VALUE!</v>
      </c>
      <c r="O690" s="247" t="e">
        <f t="shared" si="74"/>
        <v>#VALUE!</v>
      </c>
      <c r="P690" s="247">
        <f t="shared" si="75"/>
        <v>0</v>
      </c>
      <c r="Q690" s="247" t="e">
        <f t="shared" si="76"/>
        <v>#VALUE!</v>
      </c>
    </row>
    <row r="691" spans="1:17" ht="15" customHeight="1" x14ac:dyDescent="0.25">
      <c r="A691" s="244"/>
      <c r="B691" s="244"/>
      <c r="C691" s="244"/>
      <c r="D691" s="244"/>
      <c r="E691" s="244"/>
      <c r="F691" s="244"/>
      <c r="G691" s="244"/>
      <c r="I691" s="244"/>
      <c r="J691" s="244"/>
      <c r="K691" s="246" t="e">
        <f t="shared" si="70"/>
        <v>#VALUE!</v>
      </c>
      <c r="L691" s="246" t="e">
        <f t="shared" si="71"/>
        <v>#VALUE!</v>
      </c>
      <c r="M691" s="247" t="e">
        <f t="shared" si="72"/>
        <v>#VALUE!</v>
      </c>
      <c r="N691" s="246" t="e">
        <f t="shared" si="73"/>
        <v>#VALUE!</v>
      </c>
      <c r="O691" s="247" t="e">
        <f t="shared" si="74"/>
        <v>#VALUE!</v>
      </c>
      <c r="P691" s="247">
        <f t="shared" si="75"/>
        <v>0</v>
      </c>
      <c r="Q691" s="247" t="e">
        <f t="shared" si="76"/>
        <v>#VALUE!</v>
      </c>
    </row>
    <row r="692" spans="1:17" ht="15" customHeight="1" x14ac:dyDescent="0.25">
      <c r="A692" s="244"/>
      <c r="B692" s="244"/>
      <c r="C692" s="244"/>
      <c r="D692" s="244"/>
      <c r="E692" s="244"/>
      <c r="F692" s="244"/>
      <c r="G692" s="244"/>
      <c r="I692" s="244"/>
      <c r="J692" s="244"/>
      <c r="K692" s="246" t="e">
        <f t="shared" si="70"/>
        <v>#VALUE!</v>
      </c>
      <c r="L692" s="246" t="e">
        <f t="shared" si="71"/>
        <v>#VALUE!</v>
      </c>
      <c r="M692" s="247" t="e">
        <f t="shared" si="72"/>
        <v>#VALUE!</v>
      </c>
      <c r="N692" s="246" t="e">
        <f t="shared" si="73"/>
        <v>#VALUE!</v>
      </c>
      <c r="O692" s="247" t="e">
        <f t="shared" si="74"/>
        <v>#VALUE!</v>
      </c>
      <c r="P692" s="247">
        <f t="shared" si="75"/>
        <v>0</v>
      </c>
      <c r="Q692" s="247" t="e">
        <f t="shared" si="76"/>
        <v>#VALUE!</v>
      </c>
    </row>
    <row r="693" spans="1:17" ht="15" customHeight="1" x14ac:dyDescent="0.25">
      <c r="A693" s="244"/>
      <c r="B693" s="244"/>
      <c r="C693" s="244"/>
      <c r="D693" s="244"/>
      <c r="E693" s="244"/>
      <c r="F693" s="244"/>
      <c r="G693" s="244"/>
      <c r="I693" s="244"/>
      <c r="J693" s="244"/>
      <c r="K693" s="246" t="e">
        <f t="shared" si="70"/>
        <v>#VALUE!</v>
      </c>
      <c r="L693" s="246" t="e">
        <f t="shared" si="71"/>
        <v>#VALUE!</v>
      </c>
      <c r="M693" s="247" t="e">
        <f t="shared" si="72"/>
        <v>#VALUE!</v>
      </c>
      <c r="N693" s="246" t="e">
        <f t="shared" si="73"/>
        <v>#VALUE!</v>
      </c>
      <c r="O693" s="247" t="e">
        <f t="shared" si="74"/>
        <v>#VALUE!</v>
      </c>
      <c r="P693" s="247">
        <f t="shared" si="75"/>
        <v>0</v>
      </c>
      <c r="Q693" s="247" t="e">
        <f t="shared" si="76"/>
        <v>#VALUE!</v>
      </c>
    </row>
    <row r="694" spans="1:17" ht="15" customHeight="1" x14ac:dyDescent="0.25">
      <c r="A694" s="244"/>
      <c r="B694" s="244"/>
      <c r="C694" s="244"/>
      <c r="D694" s="244"/>
      <c r="E694" s="244"/>
      <c r="F694" s="244"/>
      <c r="G694" s="244"/>
      <c r="I694" s="244"/>
      <c r="J694" s="244"/>
      <c r="K694" s="246" t="e">
        <f t="shared" si="70"/>
        <v>#VALUE!</v>
      </c>
      <c r="L694" s="246" t="e">
        <f t="shared" si="71"/>
        <v>#VALUE!</v>
      </c>
      <c r="M694" s="247" t="e">
        <f t="shared" si="72"/>
        <v>#VALUE!</v>
      </c>
      <c r="N694" s="246" t="e">
        <f t="shared" si="73"/>
        <v>#VALUE!</v>
      </c>
      <c r="O694" s="247" t="e">
        <f t="shared" si="74"/>
        <v>#VALUE!</v>
      </c>
      <c r="P694" s="247">
        <f t="shared" si="75"/>
        <v>0</v>
      </c>
      <c r="Q694" s="247" t="e">
        <f t="shared" si="76"/>
        <v>#VALUE!</v>
      </c>
    </row>
    <row r="695" spans="1:17" ht="15" customHeight="1" x14ac:dyDescent="0.25">
      <c r="A695" s="244"/>
      <c r="B695" s="244"/>
      <c r="C695" s="244"/>
      <c r="D695" s="244"/>
      <c r="E695" s="244"/>
      <c r="F695" s="244"/>
      <c r="G695" s="244"/>
      <c r="I695" s="244"/>
      <c r="J695" s="244"/>
      <c r="K695" s="246" t="e">
        <f t="shared" si="70"/>
        <v>#VALUE!</v>
      </c>
      <c r="L695" s="246" t="e">
        <f t="shared" si="71"/>
        <v>#VALUE!</v>
      </c>
      <c r="M695" s="247" t="e">
        <f t="shared" si="72"/>
        <v>#VALUE!</v>
      </c>
      <c r="N695" s="246" t="e">
        <f t="shared" si="73"/>
        <v>#VALUE!</v>
      </c>
      <c r="O695" s="247" t="e">
        <f t="shared" si="74"/>
        <v>#VALUE!</v>
      </c>
      <c r="P695" s="247">
        <f t="shared" si="75"/>
        <v>0</v>
      </c>
      <c r="Q695" s="247" t="e">
        <f t="shared" si="76"/>
        <v>#VALUE!</v>
      </c>
    </row>
    <row r="696" spans="1:17" ht="15" customHeight="1" x14ac:dyDescent="0.25">
      <c r="A696" s="244"/>
      <c r="B696" s="244"/>
      <c r="C696" s="244"/>
      <c r="D696" s="244"/>
      <c r="E696" s="244"/>
      <c r="F696" s="244"/>
      <c r="G696" s="244"/>
      <c r="I696" s="244"/>
      <c r="J696" s="244"/>
      <c r="K696" s="246" t="e">
        <f t="shared" si="70"/>
        <v>#VALUE!</v>
      </c>
      <c r="L696" s="246" t="e">
        <f t="shared" si="71"/>
        <v>#VALUE!</v>
      </c>
      <c r="M696" s="247" t="e">
        <f t="shared" si="72"/>
        <v>#VALUE!</v>
      </c>
      <c r="N696" s="246" t="e">
        <f t="shared" si="73"/>
        <v>#VALUE!</v>
      </c>
      <c r="O696" s="247" t="e">
        <f t="shared" si="74"/>
        <v>#VALUE!</v>
      </c>
      <c r="P696" s="247">
        <f t="shared" si="75"/>
        <v>0</v>
      </c>
      <c r="Q696" s="247" t="e">
        <f t="shared" si="76"/>
        <v>#VALUE!</v>
      </c>
    </row>
    <row r="697" spans="1:17" ht="15" customHeight="1" x14ac:dyDescent="0.25">
      <c r="A697" s="244"/>
      <c r="B697" s="244"/>
      <c r="C697" s="244"/>
      <c r="D697" s="244"/>
      <c r="E697" s="244"/>
      <c r="F697" s="244"/>
      <c r="G697" s="244"/>
      <c r="I697" s="244"/>
      <c r="J697" s="244"/>
      <c r="K697" s="246" t="e">
        <f t="shared" si="70"/>
        <v>#VALUE!</v>
      </c>
      <c r="L697" s="246" t="e">
        <f t="shared" si="71"/>
        <v>#VALUE!</v>
      </c>
      <c r="M697" s="247" t="e">
        <f t="shared" si="72"/>
        <v>#VALUE!</v>
      </c>
      <c r="N697" s="246" t="e">
        <f t="shared" si="73"/>
        <v>#VALUE!</v>
      </c>
      <c r="O697" s="247" t="e">
        <f t="shared" si="74"/>
        <v>#VALUE!</v>
      </c>
      <c r="P697" s="247">
        <f t="shared" si="75"/>
        <v>0</v>
      </c>
      <c r="Q697" s="247" t="e">
        <f t="shared" si="76"/>
        <v>#VALUE!</v>
      </c>
    </row>
    <row r="698" spans="1:17" ht="15" customHeight="1" x14ac:dyDescent="0.25">
      <c r="A698" s="244"/>
      <c r="B698" s="244"/>
      <c r="C698" s="244"/>
      <c r="D698" s="244"/>
      <c r="E698" s="244"/>
      <c r="F698" s="244"/>
      <c r="G698" s="244"/>
      <c r="I698" s="244"/>
      <c r="J698" s="244"/>
      <c r="K698" s="246" t="e">
        <f t="shared" si="70"/>
        <v>#VALUE!</v>
      </c>
      <c r="L698" s="246" t="e">
        <f t="shared" si="71"/>
        <v>#VALUE!</v>
      </c>
      <c r="M698" s="247" t="e">
        <f t="shared" si="72"/>
        <v>#VALUE!</v>
      </c>
      <c r="N698" s="246" t="e">
        <f t="shared" si="73"/>
        <v>#VALUE!</v>
      </c>
      <c r="O698" s="247" t="e">
        <f t="shared" si="74"/>
        <v>#VALUE!</v>
      </c>
      <c r="P698" s="247">
        <f t="shared" si="75"/>
        <v>0</v>
      </c>
      <c r="Q698" s="247" t="e">
        <f t="shared" si="76"/>
        <v>#VALUE!</v>
      </c>
    </row>
    <row r="699" spans="1:17" ht="15" customHeight="1" x14ac:dyDescent="0.25">
      <c r="A699" s="244"/>
      <c r="B699" s="244"/>
      <c r="C699" s="244"/>
      <c r="D699" s="244"/>
      <c r="E699" s="244"/>
      <c r="F699" s="244"/>
      <c r="G699" s="244"/>
      <c r="I699" s="244"/>
      <c r="J699" s="244"/>
      <c r="K699" s="246" t="e">
        <f t="shared" si="70"/>
        <v>#VALUE!</v>
      </c>
      <c r="L699" s="246" t="e">
        <f t="shared" si="71"/>
        <v>#VALUE!</v>
      </c>
      <c r="M699" s="247" t="e">
        <f t="shared" si="72"/>
        <v>#VALUE!</v>
      </c>
      <c r="N699" s="246" t="e">
        <f t="shared" si="73"/>
        <v>#VALUE!</v>
      </c>
      <c r="O699" s="247" t="e">
        <f t="shared" si="74"/>
        <v>#VALUE!</v>
      </c>
      <c r="P699" s="247">
        <f t="shared" si="75"/>
        <v>0</v>
      </c>
      <c r="Q699" s="247" t="e">
        <f t="shared" si="76"/>
        <v>#VALUE!</v>
      </c>
    </row>
    <row r="700" spans="1:17" ht="15" customHeight="1" x14ac:dyDescent="0.25">
      <c r="A700" s="244"/>
      <c r="B700" s="244"/>
      <c r="C700" s="244"/>
      <c r="D700" s="244"/>
      <c r="E700" s="244"/>
      <c r="F700" s="244"/>
      <c r="G700" s="244"/>
      <c r="I700" s="244"/>
      <c r="J700" s="244"/>
      <c r="K700" s="246" t="e">
        <f t="shared" si="70"/>
        <v>#VALUE!</v>
      </c>
      <c r="L700" s="246" t="e">
        <f t="shared" si="71"/>
        <v>#VALUE!</v>
      </c>
      <c r="M700" s="247" t="e">
        <f t="shared" si="72"/>
        <v>#VALUE!</v>
      </c>
      <c r="N700" s="246" t="e">
        <f t="shared" si="73"/>
        <v>#VALUE!</v>
      </c>
      <c r="O700" s="247" t="e">
        <f t="shared" si="74"/>
        <v>#VALUE!</v>
      </c>
      <c r="P700" s="247">
        <f t="shared" si="75"/>
        <v>0</v>
      </c>
      <c r="Q700" s="247" t="e">
        <f t="shared" si="76"/>
        <v>#VALUE!</v>
      </c>
    </row>
    <row r="701" spans="1:17" ht="15" customHeight="1" x14ac:dyDescent="0.25">
      <c r="A701" s="244"/>
      <c r="B701" s="244"/>
      <c r="C701" s="244"/>
      <c r="D701" s="244"/>
      <c r="E701" s="244"/>
      <c r="F701" s="244"/>
      <c r="G701" s="244"/>
      <c r="I701" s="244"/>
      <c r="J701" s="244"/>
      <c r="K701" s="246" t="e">
        <f t="shared" si="70"/>
        <v>#VALUE!</v>
      </c>
      <c r="L701" s="246" t="e">
        <f t="shared" si="71"/>
        <v>#VALUE!</v>
      </c>
      <c r="M701" s="247" t="e">
        <f t="shared" si="72"/>
        <v>#VALUE!</v>
      </c>
      <c r="N701" s="246" t="e">
        <f t="shared" si="73"/>
        <v>#VALUE!</v>
      </c>
      <c r="O701" s="247" t="e">
        <f t="shared" si="74"/>
        <v>#VALUE!</v>
      </c>
      <c r="P701" s="247">
        <f t="shared" si="75"/>
        <v>0</v>
      </c>
      <c r="Q701" s="247" t="e">
        <f t="shared" si="76"/>
        <v>#VALUE!</v>
      </c>
    </row>
    <row r="702" spans="1:17" ht="15" customHeight="1" x14ac:dyDescent="0.25">
      <c r="A702" s="244"/>
      <c r="B702" s="244"/>
      <c r="C702" s="244"/>
      <c r="D702" s="244"/>
      <c r="E702" s="244"/>
      <c r="F702" s="244"/>
      <c r="G702" s="244"/>
      <c r="I702" s="244"/>
      <c r="J702" s="244"/>
      <c r="K702" s="246" t="e">
        <f t="shared" si="70"/>
        <v>#VALUE!</v>
      </c>
      <c r="L702" s="246" t="e">
        <f t="shared" si="71"/>
        <v>#VALUE!</v>
      </c>
      <c r="M702" s="247" t="e">
        <f t="shared" si="72"/>
        <v>#VALUE!</v>
      </c>
      <c r="N702" s="246" t="e">
        <f t="shared" si="73"/>
        <v>#VALUE!</v>
      </c>
      <c r="O702" s="247" t="e">
        <f t="shared" si="74"/>
        <v>#VALUE!</v>
      </c>
      <c r="P702" s="247">
        <f t="shared" si="75"/>
        <v>0</v>
      </c>
      <c r="Q702" s="247" t="e">
        <f t="shared" si="76"/>
        <v>#VALUE!</v>
      </c>
    </row>
    <row r="703" spans="1:17" ht="15" customHeight="1" x14ac:dyDescent="0.25">
      <c r="A703" s="244"/>
      <c r="B703" s="244"/>
      <c r="C703" s="244"/>
      <c r="D703" s="244"/>
      <c r="E703" s="244"/>
      <c r="F703" s="244"/>
      <c r="G703" s="244"/>
      <c r="I703" s="244"/>
      <c r="J703" s="244"/>
      <c r="K703" s="246" t="e">
        <f t="shared" si="70"/>
        <v>#VALUE!</v>
      </c>
      <c r="L703" s="246" t="e">
        <f t="shared" si="71"/>
        <v>#VALUE!</v>
      </c>
      <c r="M703" s="247" t="e">
        <f t="shared" si="72"/>
        <v>#VALUE!</v>
      </c>
      <c r="N703" s="246" t="e">
        <f t="shared" si="73"/>
        <v>#VALUE!</v>
      </c>
      <c r="O703" s="247" t="e">
        <f t="shared" si="74"/>
        <v>#VALUE!</v>
      </c>
      <c r="P703" s="247">
        <f t="shared" si="75"/>
        <v>0</v>
      </c>
      <c r="Q703" s="247" t="e">
        <f t="shared" si="76"/>
        <v>#VALUE!</v>
      </c>
    </row>
    <row r="704" spans="1:17" ht="15" customHeight="1" x14ac:dyDescent="0.25">
      <c r="A704" s="244"/>
      <c r="B704" s="244"/>
      <c r="C704" s="244"/>
      <c r="D704" s="244"/>
      <c r="E704" s="244"/>
      <c r="F704" s="244"/>
      <c r="G704" s="244"/>
      <c r="I704" s="244"/>
      <c r="J704" s="244"/>
      <c r="K704" s="246" t="e">
        <f t="shared" si="70"/>
        <v>#VALUE!</v>
      </c>
      <c r="L704" s="246" t="e">
        <f t="shared" si="71"/>
        <v>#VALUE!</v>
      </c>
      <c r="M704" s="247" t="e">
        <f t="shared" si="72"/>
        <v>#VALUE!</v>
      </c>
      <c r="N704" s="246" t="e">
        <f t="shared" si="73"/>
        <v>#VALUE!</v>
      </c>
      <c r="O704" s="247" t="e">
        <f t="shared" si="74"/>
        <v>#VALUE!</v>
      </c>
      <c r="P704" s="247">
        <f t="shared" si="75"/>
        <v>0</v>
      </c>
      <c r="Q704" s="247" t="e">
        <f t="shared" si="76"/>
        <v>#VALUE!</v>
      </c>
    </row>
    <row r="705" spans="1:17" ht="15" customHeight="1" x14ac:dyDescent="0.25">
      <c r="A705" s="244"/>
      <c r="B705" s="244"/>
      <c r="C705" s="244"/>
      <c r="D705" s="244"/>
      <c r="E705" s="244"/>
      <c r="F705" s="244"/>
      <c r="G705" s="244"/>
      <c r="I705" s="244"/>
      <c r="J705" s="244"/>
      <c r="K705" s="246" t="e">
        <f t="shared" si="70"/>
        <v>#VALUE!</v>
      </c>
      <c r="L705" s="246" t="e">
        <f t="shared" si="71"/>
        <v>#VALUE!</v>
      </c>
      <c r="M705" s="247" t="e">
        <f t="shared" si="72"/>
        <v>#VALUE!</v>
      </c>
      <c r="N705" s="246" t="e">
        <f t="shared" si="73"/>
        <v>#VALUE!</v>
      </c>
      <c r="O705" s="247" t="e">
        <f t="shared" si="74"/>
        <v>#VALUE!</v>
      </c>
      <c r="P705" s="247">
        <f t="shared" si="75"/>
        <v>0</v>
      </c>
      <c r="Q705" s="247" t="e">
        <f t="shared" si="76"/>
        <v>#VALUE!</v>
      </c>
    </row>
    <row r="706" spans="1:17" ht="15" customHeight="1" x14ac:dyDescent="0.25">
      <c r="A706" s="244"/>
      <c r="B706" s="244"/>
      <c r="C706" s="244"/>
      <c r="D706" s="244"/>
      <c r="E706" s="244"/>
      <c r="F706" s="244"/>
      <c r="G706" s="244"/>
      <c r="I706" s="244"/>
      <c r="J706" s="244"/>
      <c r="K706" s="246" t="e">
        <f t="shared" ref="K706:K769" si="77">DATE(VALUE(LEFT(A706,4)),VALUE(MID(A706,5,2)),VALUE(RIGHT(A706,2)))</f>
        <v>#VALUE!</v>
      </c>
      <c r="L706" s="246" t="e">
        <f t="shared" ref="L706:L769" si="78">DATEVALUE(LEFT(F706,10))</f>
        <v>#VALUE!</v>
      </c>
      <c r="M706" s="247" t="e">
        <f t="shared" ref="M706:M769" si="79">TIMEVALUE(MID(F706,12,8))</f>
        <v>#VALUE!</v>
      </c>
      <c r="N706" s="246" t="e">
        <f t="shared" ref="N706:N769" si="80">DATEVALUE(LEFT(G706,10))</f>
        <v>#VALUE!</v>
      </c>
      <c r="O706" s="247" t="e">
        <f t="shared" ref="O706:O769" si="81">TIMEVALUE(MID(G706,12,8))</f>
        <v>#VALUE!</v>
      </c>
      <c r="P706" s="247">
        <f t="shared" ref="P706:P769" si="82">IFERROR(_xlfn.MINIFS($M:$M,$E:$E,$E706,$K:$K,$K706,$M:$M,"&gt;"&amp;$O706),"")</f>
        <v>0</v>
      </c>
      <c r="Q706" s="247" t="e">
        <f t="shared" ref="Q706:Q769" si="83">IF($P706="","",$P706-$O706)</f>
        <v>#VALUE!</v>
      </c>
    </row>
    <row r="707" spans="1:17" ht="15" customHeight="1" x14ac:dyDescent="0.25">
      <c r="A707" s="244"/>
      <c r="B707" s="244"/>
      <c r="C707" s="244"/>
      <c r="D707" s="244"/>
      <c r="E707" s="244"/>
      <c r="F707" s="244"/>
      <c r="G707" s="244"/>
      <c r="I707" s="244"/>
      <c r="J707" s="244"/>
      <c r="K707" s="246" t="e">
        <f t="shared" si="77"/>
        <v>#VALUE!</v>
      </c>
      <c r="L707" s="246" t="e">
        <f t="shared" si="78"/>
        <v>#VALUE!</v>
      </c>
      <c r="M707" s="247" t="e">
        <f t="shared" si="79"/>
        <v>#VALUE!</v>
      </c>
      <c r="N707" s="246" t="e">
        <f t="shared" si="80"/>
        <v>#VALUE!</v>
      </c>
      <c r="O707" s="247" t="e">
        <f t="shared" si="81"/>
        <v>#VALUE!</v>
      </c>
      <c r="P707" s="247">
        <f t="shared" si="82"/>
        <v>0</v>
      </c>
      <c r="Q707" s="247" t="e">
        <f t="shared" si="83"/>
        <v>#VALUE!</v>
      </c>
    </row>
    <row r="708" spans="1:17" ht="15" customHeight="1" x14ac:dyDescent="0.25">
      <c r="A708" s="244"/>
      <c r="B708" s="244"/>
      <c r="C708" s="244"/>
      <c r="D708" s="244"/>
      <c r="E708" s="244"/>
      <c r="F708" s="244"/>
      <c r="G708" s="244"/>
      <c r="I708" s="244"/>
      <c r="J708" s="244"/>
      <c r="K708" s="246" t="e">
        <f t="shared" si="77"/>
        <v>#VALUE!</v>
      </c>
      <c r="L708" s="246" t="e">
        <f t="shared" si="78"/>
        <v>#VALUE!</v>
      </c>
      <c r="M708" s="247" t="e">
        <f t="shared" si="79"/>
        <v>#VALUE!</v>
      </c>
      <c r="N708" s="246" t="e">
        <f t="shared" si="80"/>
        <v>#VALUE!</v>
      </c>
      <c r="O708" s="247" t="e">
        <f t="shared" si="81"/>
        <v>#VALUE!</v>
      </c>
      <c r="P708" s="247">
        <f t="shared" si="82"/>
        <v>0</v>
      </c>
      <c r="Q708" s="247" t="e">
        <f t="shared" si="83"/>
        <v>#VALUE!</v>
      </c>
    </row>
    <row r="709" spans="1:17" ht="15" customHeight="1" x14ac:dyDescent="0.25">
      <c r="A709" s="244"/>
      <c r="B709" s="244"/>
      <c r="C709" s="244"/>
      <c r="D709" s="244"/>
      <c r="E709" s="244"/>
      <c r="F709" s="244"/>
      <c r="G709" s="244"/>
      <c r="I709" s="244"/>
      <c r="J709" s="244"/>
      <c r="K709" s="246" t="e">
        <f t="shared" si="77"/>
        <v>#VALUE!</v>
      </c>
      <c r="L709" s="246" t="e">
        <f t="shared" si="78"/>
        <v>#VALUE!</v>
      </c>
      <c r="M709" s="247" t="e">
        <f t="shared" si="79"/>
        <v>#VALUE!</v>
      </c>
      <c r="N709" s="246" t="e">
        <f t="shared" si="80"/>
        <v>#VALUE!</v>
      </c>
      <c r="O709" s="247" t="e">
        <f t="shared" si="81"/>
        <v>#VALUE!</v>
      </c>
      <c r="P709" s="247">
        <f t="shared" si="82"/>
        <v>0</v>
      </c>
      <c r="Q709" s="247" t="e">
        <f t="shared" si="83"/>
        <v>#VALUE!</v>
      </c>
    </row>
    <row r="710" spans="1:17" ht="15" customHeight="1" x14ac:dyDescent="0.25">
      <c r="A710" s="244"/>
      <c r="B710" s="244"/>
      <c r="C710" s="244"/>
      <c r="D710" s="244"/>
      <c r="E710" s="244"/>
      <c r="F710" s="244"/>
      <c r="G710" s="244"/>
      <c r="I710" s="244"/>
      <c r="J710" s="244"/>
      <c r="K710" s="246" t="e">
        <f t="shared" si="77"/>
        <v>#VALUE!</v>
      </c>
      <c r="L710" s="246" t="e">
        <f t="shared" si="78"/>
        <v>#VALUE!</v>
      </c>
      <c r="M710" s="247" t="e">
        <f t="shared" si="79"/>
        <v>#VALUE!</v>
      </c>
      <c r="N710" s="246" t="e">
        <f t="shared" si="80"/>
        <v>#VALUE!</v>
      </c>
      <c r="O710" s="247" t="e">
        <f t="shared" si="81"/>
        <v>#VALUE!</v>
      </c>
      <c r="P710" s="247">
        <f t="shared" si="82"/>
        <v>0</v>
      </c>
      <c r="Q710" s="247" t="e">
        <f t="shared" si="83"/>
        <v>#VALUE!</v>
      </c>
    </row>
    <row r="711" spans="1:17" ht="15" customHeight="1" x14ac:dyDescent="0.25">
      <c r="A711" s="244"/>
      <c r="B711" s="244"/>
      <c r="C711" s="244"/>
      <c r="D711" s="244"/>
      <c r="E711" s="244"/>
      <c r="F711" s="244"/>
      <c r="G711" s="244"/>
      <c r="I711" s="244"/>
      <c r="J711" s="244"/>
      <c r="K711" s="246" t="e">
        <f t="shared" si="77"/>
        <v>#VALUE!</v>
      </c>
      <c r="L711" s="246" t="e">
        <f t="shared" si="78"/>
        <v>#VALUE!</v>
      </c>
      <c r="M711" s="247" t="e">
        <f t="shared" si="79"/>
        <v>#VALUE!</v>
      </c>
      <c r="N711" s="246" t="e">
        <f t="shared" si="80"/>
        <v>#VALUE!</v>
      </c>
      <c r="O711" s="247" t="e">
        <f t="shared" si="81"/>
        <v>#VALUE!</v>
      </c>
      <c r="P711" s="247">
        <f t="shared" si="82"/>
        <v>0</v>
      </c>
      <c r="Q711" s="247" t="e">
        <f t="shared" si="83"/>
        <v>#VALUE!</v>
      </c>
    </row>
    <row r="712" spans="1:17" ht="15" customHeight="1" x14ac:dyDescent="0.25">
      <c r="A712" s="244"/>
      <c r="B712" s="244"/>
      <c r="C712" s="244"/>
      <c r="D712" s="244"/>
      <c r="E712" s="244"/>
      <c r="F712" s="244"/>
      <c r="G712" s="244"/>
      <c r="I712" s="244"/>
      <c r="J712" s="244"/>
      <c r="K712" s="246" t="e">
        <f t="shared" si="77"/>
        <v>#VALUE!</v>
      </c>
      <c r="L712" s="246" t="e">
        <f t="shared" si="78"/>
        <v>#VALUE!</v>
      </c>
      <c r="M712" s="247" t="e">
        <f t="shared" si="79"/>
        <v>#VALUE!</v>
      </c>
      <c r="N712" s="246" t="e">
        <f t="shared" si="80"/>
        <v>#VALUE!</v>
      </c>
      <c r="O712" s="247" t="e">
        <f t="shared" si="81"/>
        <v>#VALUE!</v>
      </c>
      <c r="P712" s="247">
        <f t="shared" si="82"/>
        <v>0</v>
      </c>
      <c r="Q712" s="247" t="e">
        <f t="shared" si="83"/>
        <v>#VALUE!</v>
      </c>
    </row>
    <row r="713" spans="1:17" ht="15" customHeight="1" x14ac:dyDescent="0.25">
      <c r="A713" s="244"/>
      <c r="B713" s="244"/>
      <c r="C713" s="244"/>
      <c r="D713" s="244"/>
      <c r="E713" s="244"/>
      <c r="F713" s="244"/>
      <c r="G713" s="244"/>
      <c r="I713" s="244"/>
      <c r="J713" s="244"/>
      <c r="K713" s="246" t="e">
        <f t="shared" si="77"/>
        <v>#VALUE!</v>
      </c>
      <c r="L713" s="246" t="e">
        <f t="shared" si="78"/>
        <v>#VALUE!</v>
      </c>
      <c r="M713" s="247" t="e">
        <f t="shared" si="79"/>
        <v>#VALUE!</v>
      </c>
      <c r="N713" s="246" t="e">
        <f t="shared" si="80"/>
        <v>#VALUE!</v>
      </c>
      <c r="O713" s="247" t="e">
        <f t="shared" si="81"/>
        <v>#VALUE!</v>
      </c>
      <c r="P713" s="247">
        <f t="shared" si="82"/>
        <v>0</v>
      </c>
      <c r="Q713" s="247" t="e">
        <f t="shared" si="83"/>
        <v>#VALUE!</v>
      </c>
    </row>
    <row r="714" spans="1:17" ht="15" customHeight="1" x14ac:dyDescent="0.25">
      <c r="A714" s="244"/>
      <c r="B714" s="244"/>
      <c r="C714" s="244"/>
      <c r="D714" s="244"/>
      <c r="E714" s="244"/>
      <c r="F714" s="244"/>
      <c r="G714" s="244"/>
      <c r="I714" s="244"/>
      <c r="J714" s="244"/>
      <c r="K714" s="246" t="e">
        <f t="shared" si="77"/>
        <v>#VALUE!</v>
      </c>
      <c r="L714" s="246" t="e">
        <f t="shared" si="78"/>
        <v>#VALUE!</v>
      </c>
      <c r="M714" s="247" t="e">
        <f t="shared" si="79"/>
        <v>#VALUE!</v>
      </c>
      <c r="N714" s="246" t="e">
        <f t="shared" si="80"/>
        <v>#VALUE!</v>
      </c>
      <c r="O714" s="247" t="e">
        <f t="shared" si="81"/>
        <v>#VALUE!</v>
      </c>
      <c r="P714" s="247">
        <f t="shared" si="82"/>
        <v>0</v>
      </c>
      <c r="Q714" s="247" t="e">
        <f t="shared" si="83"/>
        <v>#VALUE!</v>
      </c>
    </row>
    <row r="715" spans="1:17" ht="15" customHeight="1" x14ac:dyDescent="0.25">
      <c r="A715" s="244"/>
      <c r="B715" s="244"/>
      <c r="C715" s="244"/>
      <c r="D715" s="244"/>
      <c r="E715" s="244"/>
      <c r="F715" s="244"/>
      <c r="G715" s="244"/>
      <c r="I715" s="244"/>
      <c r="J715" s="244"/>
      <c r="K715" s="246" t="e">
        <f t="shared" si="77"/>
        <v>#VALUE!</v>
      </c>
      <c r="L715" s="246" t="e">
        <f t="shared" si="78"/>
        <v>#VALUE!</v>
      </c>
      <c r="M715" s="247" t="e">
        <f t="shared" si="79"/>
        <v>#VALUE!</v>
      </c>
      <c r="N715" s="246" t="e">
        <f t="shared" si="80"/>
        <v>#VALUE!</v>
      </c>
      <c r="O715" s="247" t="e">
        <f t="shared" si="81"/>
        <v>#VALUE!</v>
      </c>
      <c r="P715" s="247">
        <f t="shared" si="82"/>
        <v>0</v>
      </c>
      <c r="Q715" s="247" t="e">
        <f t="shared" si="83"/>
        <v>#VALUE!</v>
      </c>
    </row>
    <row r="716" spans="1:17" ht="15" customHeight="1" x14ac:dyDescent="0.25">
      <c r="A716" s="244"/>
      <c r="B716" s="244"/>
      <c r="C716" s="244"/>
      <c r="D716" s="244"/>
      <c r="E716" s="244"/>
      <c r="F716" s="244"/>
      <c r="G716" s="244"/>
      <c r="I716" s="244"/>
      <c r="J716" s="244"/>
      <c r="K716" s="246" t="e">
        <f t="shared" si="77"/>
        <v>#VALUE!</v>
      </c>
      <c r="L716" s="246" t="e">
        <f t="shared" si="78"/>
        <v>#VALUE!</v>
      </c>
      <c r="M716" s="247" t="e">
        <f t="shared" si="79"/>
        <v>#VALUE!</v>
      </c>
      <c r="N716" s="246" t="e">
        <f t="shared" si="80"/>
        <v>#VALUE!</v>
      </c>
      <c r="O716" s="247" t="e">
        <f t="shared" si="81"/>
        <v>#VALUE!</v>
      </c>
      <c r="P716" s="247">
        <f t="shared" si="82"/>
        <v>0</v>
      </c>
      <c r="Q716" s="247" t="e">
        <f t="shared" si="83"/>
        <v>#VALUE!</v>
      </c>
    </row>
    <row r="717" spans="1:17" ht="15" customHeight="1" x14ac:dyDescent="0.25">
      <c r="A717" s="244"/>
      <c r="B717" s="244"/>
      <c r="C717" s="244"/>
      <c r="D717" s="244"/>
      <c r="E717" s="244"/>
      <c r="F717" s="244"/>
      <c r="G717" s="244"/>
      <c r="I717" s="244"/>
      <c r="J717" s="244"/>
      <c r="K717" s="246" t="e">
        <f t="shared" si="77"/>
        <v>#VALUE!</v>
      </c>
      <c r="L717" s="246" t="e">
        <f t="shared" si="78"/>
        <v>#VALUE!</v>
      </c>
      <c r="M717" s="247" t="e">
        <f t="shared" si="79"/>
        <v>#VALUE!</v>
      </c>
      <c r="N717" s="246" t="e">
        <f t="shared" si="80"/>
        <v>#VALUE!</v>
      </c>
      <c r="O717" s="247" t="e">
        <f t="shared" si="81"/>
        <v>#VALUE!</v>
      </c>
      <c r="P717" s="247">
        <f t="shared" si="82"/>
        <v>0</v>
      </c>
      <c r="Q717" s="247" t="e">
        <f t="shared" si="83"/>
        <v>#VALUE!</v>
      </c>
    </row>
    <row r="718" spans="1:17" ht="15" customHeight="1" x14ac:dyDescent="0.25">
      <c r="A718" s="244"/>
      <c r="B718" s="244"/>
      <c r="C718" s="244"/>
      <c r="D718" s="244"/>
      <c r="E718" s="244"/>
      <c r="F718" s="244"/>
      <c r="G718" s="244"/>
      <c r="I718" s="244"/>
      <c r="J718" s="244"/>
      <c r="K718" s="246" t="e">
        <f t="shared" si="77"/>
        <v>#VALUE!</v>
      </c>
      <c r="L718" s="246" t="e">
        <f t="shared" si="78"/>
        <v>#VALUE!</v>
      </c>
      <c r="M718" s="247" t="e">
        <f t="shared" si="79"/>
        <v>#VALUE!</v>
      </c>
      <c r="N718" s="246" t="e">
        <f t="shared" si="80"/>
        <v>#VALUE!</v>
      </c>
      <c r="O718" s="247" t="e">
        <f t="shared" si="81"/>
        <v>#VALUE!</v>
      </c>
      <c r="P718" s="247">
        <f t="shared" si="82"/>
        <v>0</v>
      </c>
      <c r="Q718" s="247" t="e">
        <f t="shared" si="83"/>
        <v>#VALUE!</v>
      </c>
    </row>
    <row r="719" spans="1:17" ht="15" customHeight="1" x14ac:dyDescent="0.25">
      <c r="A719" s="244"/>
      <c r="B719" s="244"/>
      <c r="C719" s="244"/>
      <c r="D719" s="244"/>
      <c r="E719" s="244"/>
      <c r="F719" s="244"/>
      <c r="G719" s="244"/>
      <c r="I719" s="244"/>
      <c r="J719" s="244"/>
      <c r="K719" s="246" t="e">
        <f t="shared" si="77"/>
        <v>#VALUE!</v>
      </c>
      <c r="L719" s="246" t="e">
        <f t="shared" si="78"/>
        <v>#VALUE!</v>
      </c>
      <c r="M719" s="247" t="e">
        <f t="shared" si="79"/>
        <v>#VALUE!</v>
      </c>
      <c r="N719" s="246" t="e">
        <f t="shared" si="80"/>
        <v>#VALUE!</v>
      </c>
      <c r="O719" s="247" t="e">
        <f t="shared" si="81"/>
        <v>#VALUE!</v>
      </c>
      <c r="P719" s="247">
        <f t="shared" si="82"/>
        <v>0</v>
      </c>
      <c r="Q719" s="247" t="e">
        <f t="shared" si="83"/>
        <v>#VALUE!</v>
      </c>
    </row>
    <row r="720" spans="1:17" ht="15" customHeight="1" x14ac:dyDescent="0.25">
      <c r="A720" s="244"/>
      <c r="B720" s="244"/>
      <c r="C720" s="244"/>
      <c r="D720" s="244"/>
      <c r="E720" s="244"/>
      <c r="F720" s="244"/>
      <c r="G720" s="244"/>
      <c r="I720" s="244"/>
      <c r="J720" s="244"/>
      <c r="K720" s="246" t="e">
        <f t="shared" si="77"/>
        <v>#VALUE!</v>
      </c>
      <c r="L720" s="246" t="e">
        <f t="shared" si="78"/>
        <v>#VALUE!</v>
      </c>
      <c r="M720" s="247" t="e">
        <f t="shared" si="79"/>
        <v>#VALUE!</v>
      </c>
      <c r="N720" s="246" t="e">
        <f t="shared" si="80"/>
        <v>#VALUE!</v>
      </c>
      <c r="O720" s="247" t="e">
        <f t="shared" si="81"/>
        <v>#VALUE!</v>
      </c>
      <c r="P720" s="247">
        <f t="shared" si="82"/>
        <v>0</v>
      </c>
      <c r="Q720" s="247" t="e">
        <f t="shared" si="83"/>
        <v>#VALUE!</v>
      </c>
    </row>
    <row r="721" spans="1:17" ht="15" customHeight="1" x14ac:dyDescent="0.25">
      <c r="A721" s="244"/>
      <c r="B721" s="244"/>
      <c r="C721" s="244"/>
      <c r="D721" s="244"/>
      <c r="E721" s="244"/>
      <c r="F721" s="244"/>
      <c r="G721" s="244"/>
      <c r="I721" s="244"/>
      <c r="J721" s="244"/>
      <c r="K721" s="246" t="e">
        <f t="shared" si="77"/>
        <v>#VALUE!</v>
      </c>
      <c r="L721" s="246" t="e">
        <f t="shared" si="78"/>
        <v>#VALUE!</v>
      </c>
      <c r="M721" s="247" t="e">
        <f t="shared" si="79"/>
        <v>#VALUE!</v>
      </c>
      <c r="N721" s="246" t="e">
        <f t="shared" si="80"/>
        <v>#VALUE!</v>
      </c>
      <c r="O721" s="247" t="e">
        <f t="shared" si="81"/>
        <v>#VALUE!</v>
      </c>
      <c r="P721" s="247">
        <f t="shared" si="82"/>
        <v>0</v>
      </c>
      <c r="Q721" s="247" t="e">
        <f t="shared" si="83"/>
        <v>#VALUE!</v>
      </c>
    </row>
    <row r="722" spans="1:17" ht="15" customHeight="1" x14ac:dyDescent="0.25">
      <c r="A722" s="244"/>
      <c r="B722" s="244"/>
      <c r="C722" s="244"/>
      <c r="D722" s="244"/>
      <c r="E722" s="244"/>
      <c r="F722" s="244"/>
      <c r="G722" s="244"/>
      <c r="I722" s="244"/>
      <c r="J722" s="244"/>
      <c r="K722" s="246" t="e">
        <f t="shared" si="77"/>
        <v>#VALUE!</v>
      </c>
      <c r="L722" s="246" t="e">
        <f t="shared" si="78"/>
        <v>#VALUE!</v>
      </c>
      <c r="M722" s="247" t="e">
        <f t="shared" si="79"/>
        <v>#VALUE!</v>
      </c>
      <c r="N722" s="246" t="e">
        <f t="shared" si="80"/>
        <v>#VALUE!</v>
      </c>
      <c r="O722" s="247" t="e">
        <f t="shared" si="81"/>
        <v>#VALUE!</v>
      </c>
      <c r="P722" s="247">
        <f t="shared" si="82"/>
        <v>0</v>
      </c>
      <c r="Q722" s="247" t="e">
        <f t="shared" si="83"/>
        <v>#VALUE!</v>
      </c>
    </row>
    <row r="723" spans="1:17" ht="15" customHeight="1" x14ac:dyDescent="0.25">
      <c r="A723" s="244"/>
      <c r="B723" s="244"/>
      <c r="C723" s="244"/>
      <c r="D723" s="244"/>
      <c r="E723" s="244"/>
      <c r="F723" s="244"/>
      <c r="G723" s="244"/>
      <c r="I723" s="244"/>
      <c r="J723" s="244"/>
      <c r="K723" s="246" t="e">
        <f t="shared" si="77"/>
        <v>#VALUE!</v>
      </c>
      <c r="L723" s="246" t="e">
        <f t="shared" si="78"/>
        <v>#VALUE!</v>
      </c>
      <c r="M723" s="247" t="e">
        <f t="shared" si="79"/>
        <v>#VALUE!</v>
      </c>
      <c r="N723" s="246" t="e">
        <f t="shared" si="80"/>
        <v>#VALUE!</v>
      </c>
      <c r="O723" s="247" t="e">
        <f t="shared" si="81"/>
        <v>#VALUE!</v>
      </c>
      <c r="P723" s="247">
        <f t="shared" si="82"/>
        <v>0</v>
      </c>
      <c r="Q723" s="247" t="e">
        <f t="shared" si="83"/>
        <v>#VALUE!</v>
      </c>
    </row>
    <row r="724" spans="1:17" ht="15" customHeight="1" x14ac:dyDescent="0.25">
      <c r="A724" s="244"/>
      <c r="B724" s="244"/>
      <c r="C724" s="244"/>
      <c r="D724" s="244"/>
      <c r="E724" s="244"/>
      <c r="F724" s="244"/>
      <c r="G724" s="244"/>
      <c r="I724" s="244"/>
      <c r="J724" s="244"/>
      <c r="K724" s="246" t="e">
        <f t="shared" si="77"/>
        <v>#VALUE!</v>
      </c>
      <c r="L724" s="246" t="e">
        <f t="shared" si="78"/>
        <v>#VALUE!</v>
      </c>
      <c r="M724" s="247" t="e">
        <f t="shared" si="79"/>
        <v>#VALUE!</v>
      </c>
      <c r="N724" s="246" t="e">
        <f t="shared" si="80"/>
        <v>#VALUE!</v>
      </c>
      <c r="O724" s="247" t="e">
        <f t="shared" si="81"/>
        <v>#VALUE!</v>
      </c>
      <c r="P724" s="247">
        <f t="shared" si="82"/>
        <v>0</v>
      </c>
      <c r="Q724" s="247" t="e">
        <f t="shared" si="83"/>
        <v>#VALUE!</v>
      </c>
    </row>
    <row r="725" spans="1:17" ht="15" customHeight="1" x14ac:dyDescent="0.25">
      <c r="A725" s="244"/>
      <c r="B725" s="244"/>
      <c r="C725" s="244"/>
      <c r="D725" s="244"/>
      <c r="E725" s="244"/>
      <c r="F725" s="244"/>
      <c r="G725" s="244"/>
      <c r="I725" s="244"/>
      <c r="J725" s="244"/>
      <c r="K725" s="246" t="e">
        <f t="shared" si="77"/>
        <v>#VALUE!</v>
      </c>
      <c r="L725" s="246" t="e">
        <f t="shared" si="78"/>
        <v>#VALUE!</v>
      </c>
      <c r="M725" s="247" t="e">
        <f t="shared" si="79"/>
        <v>#VALUE!</v>
      </c>
      <c r="N725" s="246" t="e">
        <f t="shared" si="80"/>
        <v>#VALUE!</v>
      </c>
      <c r="O725" s="247" t="e">
        <f t="shared" si="81"/>
        <v>#VALUE!</v>
      </c>
      <c r="P725" s="247">
        <f t="shared" si="82"/>
        <v>0</v>
      </c>
      <c r="Q725" s="247" t="e">
        <f t="shared" si="83"/>
        <v>#VALUE!</v>
      </c>
    </row>
    <row r="726" spans="1:17" ht="15" customHeight="1" x14ac:dyDescent="0.25">
      <c r="A726" s="244"/>
      <c r="B726" s="244"/>
      <c r="C726" s="244"/>
      <c r="D726" s="244"/>
      <c r="E726" s="244"/>
      <c r="F726" s="244"/>
      <c r="G726" s="244"/>
      <c r="I726" s="244"/>
      <c r="J726" s="244"/>
      <c r="K726" s="246" t="e">
        <f t="shared" si="77"/>
        <v>#VALUE!</v>
      </c>
      <c r="L726" s="246" t="e">
        <f t="shared" si="78"/>
        <v>#VALUE!</v>
      </c>
      <c r="M726" s="247" t="e">
        <f t="shared" si="79"/>
        <v>#VALUE!</v>
      </c>
      <c r="N726" s="246" t="e">
        <f t="shared" si="80"/>
        <v>#VALUE!</v>
      </c>
      <c r="O726" s="247" t="e">
        <f t="shared" si="81"/>
        <v>#VALUE!</v>
      </c>
      <c r="P726" s="247">
        <f t="shared" si="82"/>
        <v>0</v>
      </c>
      <c r="Q726" s="247" t="e">
        <f t="shared" si="83"/>
        <v>#VALUE!</v>
      </c>
    </row>
    <row r="727" spans="1:17" ht="15" customHeight="1" x14ac:dyDescent="0.25">
      <c r="A727" s="244"/>
      <c r="B727" s="244"/>
      <c r="C727" s="244"/>
      <c r="D727" s="244"/>
      <c r="E727" s="244"/>
      <c r="F727" s="244"/>
      <c r="G727" s="244"/>
      <c r="I727" s="244"/>
      <c r="J727" s="244"/>
      <c r="K727" s="246" t="e">
        <f t="shared" si="77"/>
        <v>#VALUE!</v>
      </c>
      <c r="L727" s="246" t="e">
        <f t="shared" si="78"/>
        <v>#VALUE!</v>
      </c>
      <c r="M727" s="247" t="e">
        <f t="shared" si="79"/>
        <v>#VALUE!</v>
      </c>
      <c r="N727" s="246" t="e">
        <f t="shared" si="80"/>
        <v>#VALUE!</v>
      </c>
      <c r="O727" s="247" t="e">
        <f t="shared" si="81"/>
        <v>#VALUE!</v>
      </c>
      <c r="P727" s="247">
        <f t="shared" si="82"/>
        <v>0</v>
      </c>
      <c r="Q727" s="247" t="e">
        <f t="shared" si="83"/>
        <v>#VALUE!</v>
      </c>
    </row>
    <row r="728" spans="1:17" ht="15" customHeight="1" x14ac:dyDescent="0.25">
      <c r="A728" s="244"/>
      <c r="B728" s="244"/>
      <c r="C728" s="244"/>
      <c r="D728" s="244"/>
      <c r="E728" s="244"/>
      <c r="F728" s="244"/>
      <c r="G728" s="244"/>
      <c r="I728" s="244"/>
      <c r="J728" s="244"/>
      <c r="K728" s="246" t="e">
        <f t="shared" si="77"/>
        <v>#VALUE!</v>
      </c>
      <c r="L728" s="246" t="e">
        <f t="shared" si="78"/>
        <v>#VALUE!</v>
      </c>
      <c r="M728" s="247" t="e">
        <f t="shared" si="79"/>
        <v>#VALUE!</v>
      </c>
      <c r="N728" s="246" t="e">
        <f t="shared" si="80"/>
        <v>#VALUE!</v>
      </c>
      <c r="O728" s="247" t="e">
        <f t="shared" si="81"/>
        <v>#VALUE!</v>
      </c>
      <c r="P728" s="247">
        <f t="shared" si="82"/>
        <v>0</v>
      </c>
      <c r="Q728" s="247" t="e">
        <f t="shared" si="83"/>
        <v>#VALUE!</v>
      </c>
    </row>
    <row r="729" spans="1:17" ht="15" customHeight="1" x14ac:dyDescent="0.25">
      <c r="A729" s="244"/>
      <c r="B729" s="244"/>
      <c r="C729" s="244"/>
      <c r="D729" s="244"/>
      <c r="E729" s="244"/>
      <c r="F729" s="244"/>
      <c r="G729" s="244"/>
      <c r="I729" s="244"/>
      <c r="J729" s="244"/>
      <c r="K729" s="246" t="e">
        <f t="shared" si="77"/>
        <v>#VALUE!</v>
      </c>
      <c r="L729" s="246" t="e">
        <f t="shared" si="78"/>
        <v>#VALUE!</v>
      </c>
      <c r="M729" s="247" t="e">
        <f t="shared" si="79"/>
        <v>#VALUE!</v>
      </c>
      <c r="N729" s="246" t="e">
        <f t="shared" si="80"/>
        <v>#VALUE!</v>
      </c>
      <c r="O729" s="247" t="e">
        <f t="shared" si="81"/>
        <v>#VALUE!</v>
      </c>
      <c r="P729" s="247">
        <f t="shared" si="82"/>
        <v>0</v>
      </c>
      <c r="Q729" s="247" t="e">
        <f t="shared" si="83"/>
        <v>#VALUE!</v>
      </c>
    </row>
    <row r="730" spans="1:17" ht="15" customHeight="1" x14ac:dyDescent="0.25">
      <c r="A730" s="244"/>
      <c r="B730" s="244"/>
      <c r="C730" s="244"/>
      <c r="D730" s="244"/>
      <c r="E730" s="244"/>
      <c r="F730" s="244"/>
      <c r="G730" s="244"/>
      <c r="I730" s="244"/>
      <c r="J730" s="244"/>
      <c r="K730" s="246" t="e">
        <f t="shared" si="77"/>
        <v>#VALUE!</v>
      </c>
      <c r="L730" s="246" t="e">
        <f t="shared" si="78"/>
        <v>#VALUE!</v>
      </c>
      <c r="M730" s="247" t="e">
        <f t="shared" si="79"/>
        <v>#VALUE!</v>
      </c>
      <c r="N730" s="246" t="e">
        <f t="shared" si="80"/>
        <v>#VALUE!</v>
      </c>
      <c r="O730" s="247" t="e">
        <f t="shared" si="81"/>
        <v>#VALUE!</v>
      </c>
      <c r="P730" s="247">
        <f t="shared" si="82"/>
        <v>0</v>
      </c>
      <c r="Q730" s="247" t="e">
        <f t="shared" si="83"/>
        <v>#VALUE!</v>
      </c>
    </row>
    <row r="731" spans="1:17" ht="15" customHeight="1" x14ac:dyDescent="0.25">
      <c r="A731" s="244"/>
      <c r="B731" s="244"/>
      <c r="C731" s="244"/>
      <c r="D731" s="244"/>
      <c r="E731" s="244"/>
      <c r="F731" s="244"/>
      <c r="G731" s="244"/>
      <c r="I731" s="244"/>
      <c r="J731" s="244"/>
      <c r="K731" s="246" t="e">
        <f t="shared" si="77"/>
        <v>#VALUE!</v>
      </c>
      <c r="L731" s="246" t="e">
        <f t="shared" si="78"/>
        <v>#VALUE!</v>
      </c>
      <c r="M731" s="247" t="e">
        <f t="shared" si="79"/>
        <v>#VALUE!</v>
      </c>
      <c r="N731" s="246" t="e">
        <f t="shared" si="80"/>
        <v>#VALUE!</v>
      </c>
      <c r="O731" s="247" t="e">
        <f t="shared" si="81"/>
        <v>#VALUE!</v>
      </c>
      <c r="P731" s="247">
        <f t="shared" si="82"/>
        <v>0</v>
      </c>
      <c r="Q731" s="247" t="e">
        <f t="shared" si="83"/>
        <v>#VALUE!</v>
      </c>
    </row>
    <row r="732" spans="1:17" ht="15" customHeight="1" x14ac:dyDescent="0.25">
      <c r="A732" s="244"/>
      <c r="B732" s="244"/>
      <c r="C732" s="244"/>
      <c r="D732" s="244"/>
      <c r="E732" s="244"/>
      <c r="F732" s="244"/>
      <c r="G732" s="244"/>
      <c r="I732" s="244"/>
      <c r="J732" s="244"/>
      <c r="K732" s="246" t="e">
        <f t="shared" si="77"/>
        <v>#VALUE!</v>
      </c>
      <c r="L732" s="246" t="e">
        <f t="shared" si="78"/>
        <v>#VALUE!</v>
      </c>
      <c r="M732" s="247" t="e">
        <f t="shared" si="79"/>
        <v>#VALUE!</v>
      </c>
      <c r="N732" s="246" t="e">
        <f t="shared" si="80"/>
        <v>#VALUE!</v>
      </c>
      <c r="O732" s="247" t="e">
        <f t="shared" si="81"/>
        <v>#VALUE!</v>
      </c>
      <c r="P732" s="247">
        <f t="shared" si="82"/>
        <v>0</v>
      </c>
      <c r="Q732" s="247" t="e">
        <f t="shared" si="83"/>
        <v>#VALUE!</v>
      </c>
    </row>
    <row r="733" spans="1:17" ht="15" customHeight="1" x14ac:dyDescent="0.25">
      <c r="A733" s="244"/>
      <c r="B733" s="244"/>
      <c r="C733" s="244"/>
      <c r="D733" s="244"/>
      <c r="E733" s="244"/>
      <c r="F733" s="244"/>
      <c r="G733" s="244"/>
      <c r="I733" s="244"/>
      <c r="J733" s="244"/>
      <c r="K733" s="246" t="e">
        <f t="shared" si="77"/>
        <v>#VALUE!</v>
      </c>
      <c r="L733" s="246" t="e">
        <f t="shared" si="78"/>
        <v>#VALUE!</v>
      </c>
      <c r="M733" s="247" t="e">
        <f t="shared" si="79"/>
        <v>#VALUE!</v>
      </c>
      <c r="N733" s="246" t="e">
        <f t="shared" si="80"/>
        <v>#VALUE!</v>
      </c>
      <c r="O733" s="247" t="e">
        <f t="shared" si="81"/>
        <v>#VALUE!</v>
      </c>
      <c r="P733" s="247">
        <f t="shared" si="82"/>
        <v>0</v>
      </c>
      <c r="Q733" s="247" t="e">
        <f t="shared" si="83"/>
        <v>#VALUE!</v>
      </c>
    </row>
    <row r="734" spans="1:17" ht="15" customHeight="1" x14ac:dyDescent="0.25">
      <c r="A734" s="244"/>
      <c r="B734" s="244"/>
      <c r="C734" s="244"/>
      <c r="D734" s="244"/>
      <c r="E734" s="244"/>
      <c r="F734" s="244"/>
      <c r="G734" s="244"/>
      <c r="I734" s="244"/>
      <c r="J734" s="244"/>
      <c r="K734" s="246" t="e">
        <f t="shared" si="77"/>
        <v>#VALUE!</v>
      </c>
      <c r="L734" s="246" t="e">
        <f t="shared" si="78"/>
        <v>#VALUE!</v>
      </c>
      <c r="M734" s="247" t="e">
        <f t="shared" si="79"/>
        <v>#VALUE!</v>
      </c>
      <c r="N734" s="246" t="e">
        <f t="shared" si="80"/>
        <v>#VALUE!</v>
      </c>
      <c r="O734" s="247" t="e">
        <f t="shared" si="81"/>
        <v>#VALUE!</v>
      </c>
      <c r="P734" s="247">
        <f t="shared" si="82"/>
        <v>0</v>
      </c>
      <c r="Q734" s="247" t="e">
        <f t="shared" si="83"/>
        <v>#VALUE!</v>
      </c>
    </row>
    <row r="735" spans="1:17" ht="15" customHeight="1" x14ac:dyDescent="0.25">
      <c r="A735" s="244"/>
      <c r="B735" s="244"/>
      <c r="C735" s="244"/>
      <c r="D735" s="244"/>
      <c r="E735" s="244"/>
      <c r="F735" s="244"/>
      <c r="G735" s="244"/>
      <c r="I735" s="244"/>
      <c r="J735" s="244"/>
      <c r="K735" s="246" t="e">
        <f t="shared" si="77"/>
        <v>#VALUE!</v>
      </c>
      <c r="L735" s="246" t="e">
        <f t="shared" si="78"/>
        <v>#VALUE!</v>
      </c>
      <c r="M735" s="247" t="e">
        <f t="shared" si="79"/>
        <v>#VALUE!</v>
      </c>
      <c r="N735" s="246" t="e">
        <f t="shared" si="80"/>
        <v>#VALUE!</v>
      </c>
      <c r="O735" s="247" t="e">
        <f t="shared" si="81"/>
        <v>#VALUE!</v>
      </c>
      <c r="P735" s="247">
        <f t="shared" si="82"/>
        <v>0</v>
      </c>
      <c r="Q735" s="247" t="e">
        <f t="shared" si="83"/>
        <v>#VALUE!</v>
      </c>
    </row>
    <row r="736" spans="1:17" ht="15" customHeight="1" x14ac:dyDescent="0.25">
      <c r="A736" s="244"/>
      <c r="B736" s="244"/>
      <c r="C736" s="244"/>
      <c r="D736" s="244"/>
      <c r="E736" s="244"/>
      <c r="F736" s="244"/>
      <c r="G736" s="244"/>
      <c r="I736" s="244"/>
      <c r="J736" s="244"/>
      <c r="K736" s="246" t="e">
        <f t="shared" si="77"/>
        <v>#VALUE!</v>
      </c>
      <c r="L736" s="246" t="e">
        <f t="shared" si="78"/>
        <v>#VALUE!</v>
      </c>
      <c r="M736" s="247" t="e">
        <f t="shared" si="79"/>
        <v>#VALUE!</v>
      </c>
      <c r="N736" s="246" t="e">
        <f t="shared" si="80"/>
        <v>#VALUE!</v>
      </c>
      <c r="O736" s="247" t="e">
        <f t="shared" si="81"/>
        <v>#VALUE!</v>
      </c>
      <c r="P736" s="247">
        <f t="shared" si="82"/>
        <v>0</v>
      </c>
      <c r="Q736" s="247" t="e">
        <f t="shared" si="83"/>
        <v>#VALUE!</v>
      </c>
    </row>
    <row r="737" spans="1:17" ht="15" customHeight="1" x14ac:dyDescent="0.25">
      <c r="A737" s="244"/>
      <c r="B737" s="244"/>
      <c r="C737" s="244"/>
      <c r="D737" s="244"/>
      <c r="E737" s="244"/>
      <c r="F737" s="244"/>
      <c r="G737" s="244"/>
      <c r="I737" s="244"/>
      <c r="J737" s="244"/>
      <c r="K737" s="246" t="e">
        <f t="shared" si="77"/>
        <v>#VALUE!</v>
      </c>
      <c r="L737" s="246" t="e">
        <f t="shared" si="78"/>
        <v>#VALUE!</v>
      </c>
      <c r="M737" s="247" t="e">
        <f t="shared" si="79"/>
        <v>#VALUE!</v>
      </c>
      <c r="N737" s="246" t="e">
        <f t="shared" si="80"/>
        <v>#VALUE!</v>
      </c>
      <c r="O737" s="247" t="e">
        <f t="shared" si="81"/>
        <v>#VALUE!</v>
      </c>
      <c r="P737" s="247">
        <f t="shared" si="82"/>
        <v>0</v>
      </c>
      <c r="Q737" s="247" t="e">
        <f t="shared" si="83"/>
        <v>#VALUE!</v>
      </c>
    </row>
    <row r="738" spans="1:17" ht="15" customHeight="1" x14ac:dyDescent="0.25">
      <c r="A738" s="244"/>
      <c r="B738" s="244"/>
      <c r="C738" s="244"/>
      <c r="D738" s="244"/>
      <c r="E738" s="244"/>
      <c r="F738" s="244"/>
      <c r="G738" s="244"/>
      <c r="I738" s="244"/>
      <c r="J738" s="244"/>
      <c r="K738" s="246" t="e">
        <f t="shared" si="77"/>
        <v>#VALUE!</v>
      </c>
      <c r="L738" s="246" t="e">
        <f t="shared" si="78"/>
        <v>#VALUE!</v>
      </c>
      <c r="M738" s="247" t="e">
        <f t="shared" si="79"/>
        <v>#VALUE!</v>
      </c>
      <c r="N738" s="246" t="e">
        <f t="shared" si="80"/>
        <v>#VALUE!</v>
      </c>
      <c r="O738" s="247" t="e">
        <f t="shared" si="81"/>
        <v>#VALUE!</v>
      </c>
      <c r="P738" s="247">
        <f t="shared" si="82"/>
        <v>0</v>
      </c>
      <c r="Q738" s="247" t="e">
        <f t="shared" si="83"/>
        <v>#VALUE!</v>
      </c>
    </row>
    <row r="739" spans="1:17" ht="15" customHeight="1" x14ac:dyDescent="0.25">
      <c r="A739" s="244"/>
      <c r="B739" s="244"/>
      <c r="C739" s="244"/>
      <c r="D739" s="244"/>
      <c r="E739" s="244"/>
      <c r="F739" s="244"/>
      <c r="G739" s="244"/>
      <c r="I739" s="244"/>
      <c r="J739" s="244"/>
      <c r="K739" s="246" t="e">
        <f t="shared" si="77"/>
        <v>#VALUE!</v>
      </c>
      <c r="L739" s="246" t="e">
        <f t="shared" si="78"/>
        <v>#VALUE!</v>
      </c>
      <c r="M739" s="247" t="e">
        <f t="shared" si="79"/>
        <v>#VALUE!</v>
      </c>
      <c r="N739" s="246" t="e">
        <f t="shared" si="80"/>
        <v>#VALUE!</v>
      </c>
      <c r="O739" s="247" t="e">
        <f t="shared" si="81"/>
        <v>#VALUE!</v>
      </c>
      <c r="P739" s="247">
        <f t="shared" si="82"/>
        <v>0</v>
      </c>
      <c r="Q739" s="247" t="e">
        <f t="shared" si="83"/>
        <v>#VALUE!</v>
      </c>
    </row>
    <row r="740" spans="1:17" ht="15" customHeight="1" x14ac:dyDescent="0.25">
      <c r="A740" s="244"/>
      <c r="B740" s="244"/>
      <c r="C740" s="244"/>
      <c r="D740" s="244"/>
      <c r="E740" s="244"/>
      <c r="F740" s="244"/>
      <c r="G740" s="244"/>
      <c r="I740" s="244"/>
      <c r="J740" s="244"/>
      <c r="K740" s="246" t="e">
        <f t="shared" si="77"/>
        <v>#VALUE!</v>
      </c>
      <c r="L740" s="246" t="e">
        <f t="shared" si="78"/>
        <v>#VALUE!</v>
      </c>
      <c r="M740" s="247" t="e">
        <f t="shared" si="79"/>
        <v>#VALUE!</v>
      </c>
      <c r="N740" s="246" t="e">
        <f t="shared" si="80"/>
        <v>#VALUE!</v>
      </c>
      <c r="O740" s="247" t="e">
        <f t="shared" si="81"/>
        <v>#VALUE!</v>
      </c>
      <c r="P740" s="247">
        <f t="shared" si="82"/>
        <v>0</v>
      </c>
      <c r="Q740" s="247" t="e">
        <f t="shared" si="83"/>
        <v>#VALUE!</v>
      </c>
    </row>
    <row r="741" spans="1:17" ht="15" customHeight="1" x14ac:dyDescent="0.25">
      <c r="A741" s="244"/>
      <c r="B741" s="244"/>
      <c r="C741" s="244"/>
      <c r="D741" s="244"/>
      <c r="E741" s="244"/>
      <c r="F741" s="244"/>
      <c r="G741" s="244"/>
      <c r="I741" s="244"/>
      <c r="J741" s="244"/>
      <c r="K741" s="246" t="e">
        <f t="shared" si="77"/>
        <v>#VALUE!</v>
      </c>
      <c r="L741" s="246" t="e">
        <f t="shared" si="78"/>
        <v>#VALUE!</v>
      </c>
      <c r="M741" s="247" t="e">
        <f t="shared" si="79"/>
        <v>#VALUE!</v>
      </c>
      <c r="N741" s="246" t="e">
        <f t="shared" si="80"/>
        <v>#VALUE!</v>
      </c>
      <c r="O741" s="247" t="e">
        <f t="shared" si="81"/>
        <v>#VALUE!</v>
      </c>
      <c r="P741" s="247">
        <f t="shared" si="82"/>
        <v>0</v>
      </c>
      <c r="Q741" s="247" t="e">
        <f t="shared" si="83"/>
        <v>#VALUE!</v>
      </c>
    </row>
    <row r="742" spans="1:17" ht="15" customHeight="1" x14ac:dyDescent="0.25">
      <c r="A742" s="244"/>
      <c r="B742" s="244"/>
      <c r="C742" s="244"/>
      <c r="D742" s="244"/>
      <c r="E742" s="244"/>
      <c r="F742" s="244"/>
      <c r="G742" s="244"/>
      <c r="I742" s="244"/>
      <c r="J742" s="244"/>
      <c r="K742" s="246" t="e">
        <f t="shared" si="77"/>
        <v>#VALUE!</v>
      </c>
      <c r="L742" s="246" t="e">
        <f t="shared" si="78"/>
        <v>#VALUE!</v>
      </c>
      <c r="M742" s="247" t="e">
        <f t="shared" si="79"/>
        <v>#VALUE!</v>
      </c>
      <c r="N742" s="246" t="e">
        <f t="shared" si="80"/>
        <v>#VALUE!</v>
      </c>
      <c r="O742" s="247" t="e">
        <f t="shared" si="81"/>
        <v>#VALUE!</v>
      </c>
      <c r="P742" s="247">
        <f t="shared" si="82"/>
        <v>0</v>
      </c>
      <c r="Q742" s="247" t="e">
        <f t="shared" si="83"/>
        <v>#VALUE!</v>
      </c>
    </row>
    <row r="743" spans="1:17" ht="15" customHeight="1" x14ac:dyDescent="0.25">
      <c r="A743" s="244"/>
      <c r="B743" s="244"/>
      <c r="C743" s="244"/>
      <c r="D743" s="244"/>
      <c r="E743" s="244"/>
      <c r="F743" s="244"/>
      <c r="G743" s="244"/>
      <c r="I743" s="244"/>
      <c r="J743" s="244"/>
      <c r="K743" s="246" t="e">
        <f t="shared" si="77"/>
        <v>#VALUE!</v>
      </c>
      <c r="L743" s="246" t="e">
        <f t="shared" si="78"/>
        <v>#VALUE!</v>
      </c>
      <c r="M743" s="247" t="e">
        <f t="shared" si="79"/>
        <v>#VALUE!</v>
      </c>
      <c r="N743" s="246" t="e">
        <f t="shared" si="80"/>
        <v>#VALUE!</v>
      </c>
      <c r="O743" s="247" t="e">
        <f t="shared" si="81"/>
        <v>#VALUE!</v>
      </c>
      <c r="P743" s="247">
        <f t="shared" si="82"/>
        <v>0</v>
      </c>
      <c r="Q743" s="247" t="e">
        <f t="shared" si="83"/>
        <v>#VALUE!</v>
      </c>
    </row>
    <row r="744" spans="1:17" ht="15" customHeight="1" x14ac:dyDescent="0.25">
      <c r="A744" s="244"/>
      <c r="B744" s="244"/>
      <c r="C744" s="244"/>
      <c r="D744" s="244"/>
      <c r="E744" s="244"/>
      <c r="F744" s="244"/>
      <c r="G744" s="244"/>
      <c r="I744" s="244"/>
      <c r="J744" s="244"/>
      <c r="K744" s="246" t="e">
        <f t="shared" si="77"/>
        <v>#VALUE!</v>
      </c>
      <c r="L744" s="246" t="e">
        <f t="shared" si="78"/>
        <v>#VALUE!</v>
      </c>
      <c r="M744" s="247" t="e">
        <f t="shared" si="79"/>
        <v>#VALUE!</v>
      </c>
      <c r="N744" s="246" t="e">
        <f t="shared" si="80"/>
        <v>#VALUE!</v>
      </c>
      <c r="O744" s="247" t="e">
        <f t="shared" si="81"/>
        <v>#VALUE!</v>
      </c>
      <c r="P744" s="247">
        <f t="shared" si="82"/>
        <v>0</v>
      </c>
      <c r="Q744" s="247" t="e">
        <f t="shared" si="83"/>
        <v>#VALUE!</v>
      </c>
    </row>
    <row r="745" spans="1:17" ht="15" customHeight="1" x14ac:dyDescent="0.25">
      <c r="A745" s="244"/>
      <c r="B745" s="244"/>
      <c r="C745" s="244"/>
      <c r="D745" s="244"/>
      <c r="E745" s="244"/>
      <c r="F745" s="244"/>
      <c r="G745" s="244"/>
      <c r="I745" s="244"/>
      <c r="J745" s="244"/>
      <c r="K745" s="246" t="e">
        <f t="shared" si="77"/>
        <v>#VALUE!</v>
      </c>
      <c r="L745" s="246" t="e">
        <f t="shared" si="78"/>
        <v>#VALUE!</v>
      </c>
      <c r="M745" s="247" t="e">
        <f t="shared" si="79"/>
        <v>#VALUE!</v>
      </c>
      <c r="N745" s="246" t="e">
        <f t="shared" si="80"/>
        <v>#VALUE!</v>
      </c>
      <c r="O745" s="247" t="e">
        <f t="shared" si="81"/>
        <v>#VALUE!</v>
      </c>
      <c r="P745" s="247">
        <f t="shared" si="82"/>
        <v>0</v>
      </c>
      <c r="Q745" s="247" t="e">
        <f t="shared" si="83"/>
        <v>#VALUE!</v>
      </c>
    </row>
    <row r="746" spans="1:17" ht="15" customHeight="1" x14ac:dyDescent="0.25">
      <c r="A746" s="244"/>
      <c r="B746" s="244"/>
      <c r="C746" s="244"/>
      <c r="D746" s="244"/>
      <c r="E746" s="244"/>
      <c r="F746" s="244"/>
      <c r="G746" s="244"/>
      <c r="I746" s="244"/>
      <c r="J746" s="244"/>
      <c r="K746" s="246" t="e">
        <f t="shared" si="77"/>
        <v>#VALUE!</v>
      </c>
      <c r="L746" s="246" t="e">
        <f t="shared" si="78"/>
        <v>#VALUE!</v>
      </c>
      <c r="M746" s="247" t="e">
        <f t="shared" si="79"/>
        <v>#VALUE!</v>
      </c>
      <c r="N746" s="246" t="e">
        <f t="shared" si="80"/>
        <v>#VALUE!</v>
      </c>
      <c r="O746" s="247" t="e">
        <f t="shared" si="81"/>
        <v>#VALUE!</v>
      </c>
      <c r="P746" s="247">
        <f t="shared" si="82"/>
        <v>0</v>
      </c>
      <c r="Q746" s="247" t="e">
        <f t="shared" si="83"/>
        <v>#VALUE!</v>
      </c>
    </row>
    <row r="747" spans="1:17" ht="15" customHeight="1" x14ac:dyDescent="0.25">
      <c r="A747" s="244"/>
      <c r="B747" s="244"/>
      <c r="C747" s="244"/>
      <c r="D747" s="244"/>
      <c r="E747" s="244"/>
      <c r="F747" s="244"/>
      <c r="G747" s="244"/>
      <c r="I747" s="244"/>
      <c r="J747" s="244"/>
      <c r="K747" s="246" t="e">
        <f t="shared" si="77"/>
        <v>#VALUE!</v>
      </c>
      <c r="L747" s="246" t="e">
        <f t="shared" si="78"/>
        <v>#VALUE!</v>
      </c>
      <c r="M747" s="247" t="e">
        <f t="shared" si="79"/>
        <v>#VALUE!</v>
      </c>
      <c r="N747" s="246" t="e">
        <f t="shared" si="80"/>
        <v>#VALUE!</v>
      </c>
      <c r="O747" s="247" t="e">
        <f t="shared" si="81"/>
        <v>#VALUE!</v>
      </c>
      <c r="P747" s="247">
        <f t="shared" si="82"/>
        <v>0</v>
      </c>
      <c r="Q747" s="247" t="e">
        <f t="shared" si="83"/>
        <v>#VALUE!</v>
      </c>
    </row>
    <row r="748" spans="1:17" ht="15" customHeight="1" x14ac:dyDescent="0.25">
      <c r="A748" s="244"/>
      <c r="B748" s="244"/>
      <c r="C748" s="244"/>
      <c r="D748" s="244"/>
      <c r="E748" s="244"/>
      <c r="F748" s="244"/>
      <c r="G748" s="244"/>
      <c r="I748" s="244"/>
      <c r="J748" s="244"/>
      <c r="K748" s="246" t="e">
        <f t="shared" si="77"/>
        <v>#VALUE!</v>
      </c>
      <c r="L748" s="246" t="e">
        <f t="shared" si="78"/>
        <v>#VALUE!</v>
      </c>
      <c r="M748" s="247" t="e">
        <f t="shared" si="79"/>
        <v>#VALUE!</v>
      </c>
      <c r="N748" s="246" t="e">
        <f t="shared" si="80"/>
        <v>#VALUE!</v>
      </c>
      <c r="O748" s="247" t="e">
        <f t="shared" si="81"/>
        <v>#VALUE!</v>
      </c>
      <c r="P748" s="247">
        <f t="shared" si="82"/>
        <v>0</v>
      </c>
      <c r="Q748" s="247" t="e">
        <f t="shared" si="83"/>
        <v>#VALUE!</v>
      </c>
    </row>
    <row r="749" spans="1:17" ht="15" customHeight="1" x14ac:dyDescent="0.25">
      <c r="A749" s="244"/>
      <c r="B749" s="244"/>
      <c r="C749" s="244"/>
      <c r="D749" s="244"/>
      <c r="E749" s="244"/>
      <c r="F749" s="244"/>
      <c r="G749" s="244"/>
      <c r="I749" s="244"/>
      <c r="J749" s="244"/>
      <c r="K749" s="246" t="e">
        <f t="shared" si="77"/>
        <v>#VALUE!</v>
      </c>
      <c r="L749" s="246" t="e">
        <f t="shared" si="78"/>
        <v>#VALUE!</v>
      </c>
      <c r="M749" s="247" t="e">
        <f t="shared" si="79"/>
        <v>#VALUE!</v>
      </c>
      <c r="N749" s="246" t="e">
        <f t="shared" si="80"/>
        <v>#VALUE!</v>
      </c>
      <c r="O749" s="247" t="e">
        <f t="shared" si="81"/>
        <v>#VALUE!</v>
      </c>
      <c r="P749" s="247">
        <f t="shared" si="82"/>
        <v>0</v>
      </c>
      <c r="Q749" s="247" t="e">
        <f t="shared" si="83"/>
        <v>#VALUE!</v>
      </c>
    </row>
    <row r="750" spans="1:17" ht="15" customHeight="1" x14ac:dyDescent="0.25">
      <c r="A750" s="244"/>
      <c r="B750" s="244"/>
      <c r="C750" s="244"/>
      <c r="D750" s="244"/>
      <c r="E750" s="244"/>
      <c r="F750" s="244"/>
      <c r="G750" s="244"/>
      <c r="I750" s="244"/>
      <c r="J750" s="244"/>
      <c r="K750" s="246" t="e">
        <f t="shared" si="77"/>
        <v>#VALUE!</v>
      </c>
      <c r="L750" s="246" t="e">
        <f t="shared" si="78"/>
        <v>#VALUE!</v>
      </c>
      <c r="M750" s="247" t="e">
        <f t="shared" si="79"/>
        <v>#VALUE!</v>
      </c>
      <c r="N750" s="246" t="e">
        <f t="shared" si="80"/>
        <v>#VALUE!</v>
      </c>
      <c r="O750" s="247" t="e">
        <f t="shared" si="81"/>
        <v>#VALUE!</v>
      </c>
      <c r="P750" s="247">
        <f t="shared" si="82"/>
        <v>0</v>
      </c>
      <c r="Q750" s="247" t="e">
        <f t="shared" si="83"/>
        <v>#VALUE!</v>
      </c>
    </row>
    <row r="751" spans="1:17" ht="15" customHeight="1" x14ac:dyDescent="0.25">
      <c r="A751" s="244"/>
      <c r="B751" s="244"/>
      <c r="C751" s="244"/>
      <c r="D751" s="244"/>
      <c r="E751" s="244"/>
      <c r="F751" s="244"/>
      <c r="G751" s="244"/>
      <c r="I751" s="244"/>
      <c r="J751" s="244"/>
      <c r="K751" s="246" t="e">
        <f t="shared" si="77"/>
        <v>#VALUE!</v>
      </c>
      <c r="L751" s="246" t="e">
        <f t="shared" si="78"/>
        <v>#VALUE!</v>
      </c>
      <c r="M751" s="247" t="e">
        <f t="shared" si="79"/>
        <v>#VALUE!</v>
      </c>
      <c r="N751" s="246" t="e">
        <f t="shared" si="80"/>
        <v>#VALUE!</v>
      </c>
      <c r="O751" s="247" t="e">
        <f t="shared" si="81"/>
        <v>#VALUE!</v>
      </c>
      <c r="P751" s="247">
        <f t="shared" si="82"/>
        <v>0</v>
      </c>
      <c r="Q751" s="247" t="e">
        <f t="shared" si="83"/>
        <v>#VALUE!</v>
      </c>
    </row>
    <row r="752" spans="1:17" ht="15" customHeight="1" x14ac:dyDescent="0.25">
      <c r="A752" s="244"/>
      <c r="B752" s="244"/>
      <c r="C752" s="244"/>
      <c r="D752" s="244"/>
      <c r="E752" s="244"/>
      <c r="F752" s="244"/>
      <c r="G752" s="244"/>
      <c r="I752" s="244"/>
      <c r="J752" s="244"/>
      <c r="K752" s="246" t="e">
        <f t="shared" si="77"/>
        <v>#VALUE!</v>
      </c>
      <c r="L752" s="246" t="e">
        <f t="shared" si="78"/>
        <v>#VALUE!</v>
      </c>
      <c r="M752" s="247" t="e">
        <f t="shared" si="79"/>
        <v>#VALUE!</v>
      </c>
      <c r="N752" s="246" t="e">
        <f t="shared" si="80"/>
        <v>#VALUE!</v>
      </c>
      <c r="O752" s="247" t="e">
        <f t="shared" si="81"/>
        <v>#VALUE!</v>
      </c>
      <c r="P752" s="247">
        <f t="shared" si="82"/>
        <v>0</v>
      </c>
      <c r="Q752" s="247" t="e">
        <f t="shared" si="83"/>
        <v>#VALUE!</v>
      </c>
    </row>
    <row r="753" spans="1:17" ht="15" customHeight="1" x14ac:dyDescent="0.25">
      <c r="A753" s="244"/>
      <c r="B753" s="244"/>
      <c r="C753" s="244"/>
      <c r="D753" s="244"/>
      <c r="E753" s="244"/>
      <c r="F753" s="244"/>
      <c r="G753" s="244"/>
      <c r="I753" s="244"/>
      <c r="J753" s="244"/>
      <c r="K753" s="246" t="e">
        <f t="shared" si="77"/>
        <v>#VALUE!</v>
      </c>
      <c r="L753" s="246" t="e">
        <f t="shared" si="78"/>
        <v>#VALUE!</v>
      </c>
      <c r="M753" s="247" t="e">
        <f t="shared" si="79"/>
        <v>#VALUE!</v>
      </c>
      <c r="N753" s="246" t="e">
        <f t="shared" si="80"/>
        <v>#VALUE!</v>
      </c>
      <c r="O753" s="247" t="e">
        <f t="shared" si="81"/>
        <v>#VALUE!</v>
      </c>
      <c r="P753" s="247">
        <f t="shared" si="82"/>
        <v>0</v>
      </c>
      <c r="Q753" s="247" t="e">
        <f t="shared" si="83"/>
        <v>#VALUE!</v>
      </c>
    </row>
    <row r="754" spans="1:17" ht="15" customHeight="1" x14ac:dyDescent="0.25">
      <c r="A754" s="244"/>
      <c r="B754" s="244"/>
      <c r="C754" s="244"/>
      <c r="D754" s="244"/>
      <c r="E754" s="244"/>
      <c r="F754" s="244"/>
      <c r="G754" s="244"/>
      <c r="I754" s="244"/>
      <c r="J754" s="244"/>
      <c r="K754" s="246" t="e">
        <f t="shared" si="77"/>
        <v>#VALUE!</v>
      </c>
      <c r="L754" s="246" t="e">
        <f t="shared" si="78"/>
        <v>#VALUE!</v>
      </c>
      <c r="M754" s="247" t="e">
        <f t="shared" si="79"/>
        <v>#VALUE!</v>
      </c>
      <c r="N754" s="246" t="e">
        <f t="shared" si="80"/>
        <v>#VALUE!</v>
      </c>
      <c r="O754" s="247" t="e">
        <f t="shared" si="81"/>
        <v>#VALUE!</v>
      </c>
      <c r="P754" s="247">
        <f t="shared" si="82"/>
        <v>0</v>
      </c>
      <c r="Q754" s="247" t="e">
        <f t="shared" si="83"/>
        <v>#VALUE!</v>
      </c>
    </row>
    <row r="755" spans="1:17" ht="15" customHeight="1" x14ac:dyDescent="0.25">
      <c r="A755" s="244"/>
      <c r="B755" s="244"/>
      <c r="C755" s="244"/>
      <c r="D755" s="244"/>
      <c r="E755" s="244"/>
      <c r="F755" s="244"/>
      <c r="G755" s="244"/>
      <c r="I755" s="244"/>
      <c r="J755" s="244"/>
      <c r="K755" s="246" t="e">
        <f t="shared" si="77"/>
        <v>#VALUE!</v>
      </c>
      <c r="L755" s="246" t="e">
        <f t="shared" si="78"/>
        <v>#VALUE!</v>
      </c>
      <c r="M755" s="247" t="e">
        <f t="shared" si="79"/>
        <v>#VALUE!</v>
      </c>
      <c r="N755" s="246" t="e">
        <f t="shared" si="80"/>
        <v>#VALUE!</v>
      </c>
      <c r="O755" s="247" t="e">
        <f t="shared" si="81"/>
        <v>#VALUE!</v>
      </c>
      <c r="P755" s="247">
        <f t="shared" si="82"/>
        <v>0</v>
      </c>
      <c r="Q755" s="247" t="e">
        <f t="shared" si="83"/>
        <v>#VALUE!</v>
      </c>
    </row>
    <row r="756" spans="1:17" ht="15" customHeight="1" x14ac:dyDescent="0.25">
      <c r="A756" s="244"/>
      <c r="B756" s="244"/>
      <c r="C756" s="244"/>
      <c r="D756" s="244"/>
      <c r="E756" s="244"/>
      <c r="F756" s="244"/>
      <c r="G756" s="244"/>
      <c r="I756" s="244"/>
      <c r="J756" s="244"/>
      <c r="K756" s="246" t="e">
        <f t="shared" si="77"/>
        <v>#VALUE!</v>
      </c>
      <c r="L756" s="246" t="e">
        <f t="shared" si="78"/>
        <v>#VALUE!</v>
      </c>
      <c r="M756" s="247" t="e">
        <f t="shared" si="79"/>
        <v>#VALUE!</v>
      </c>
      <c r="N756" s="246" t="e">
        <f t="shared" si="80"/>
        <v>#VALUE!</v>
      </c>
      <c r="O756" s="247" t="e">
        <f t="shared" si="81"/>
        <v>#VALUE!</v>
      </c>
      <c r="P756" s="247">
        <f t="shared" si="82"/>
        <v>0</v>
      </c>
      <c r="Q756" s="247" t="e">
        <f t="shared" si="83"/>
        <v>#VALUE!</v>
      </c>
    </row>
    <row r="757" spans="1:17" ht="15" customHeight="1" x14ac:dyDescent="0.25">
      <c r="A757" s="244"/>
      <c r="B757" s="244"/>
      <c r="C757" s="244"/>
      <c r="D757" s="244"/>
      <c r="E757" s="244"/>
      <c r="F757" s="244"/>
      <c r="G757" s="244"/>
      <c r="I757" s="244"/>
      <c r="J757" s="244"/>
      <c r="K757" s="246" t="e">
        <f t="shared" si="77"/>
        <v>#VALUE!</v>
      </c>
      <c r="L757" s="246" t="e">
        <f t="shared" si="78"/>
        <v>#VALUE!</v>
      </c>
      <c r="M757" s="247" t="e">
        <f t="shared" si="79"/>
        <v>#VALUE!</v>
      </c>
      <c r="N757" s="246" t="e">
        <f t="shared" si="80"/>
        <v>#VALUE!</v>
      </c>
      <c r="O757" s="247" t="e">
        <f t="shared" si="81"/>
        <v>#VALUE!</v>
      </c>
      <c r="P757" s="247">
        <f t="shared" si="82"/>
        <v>0</v>
      </c>
      <c r="Q757" s="247" t="e">
        <f t="shared" si="83"/>
        <v>#VALUE!</v>
      </c>
    </row>
    <row r="758" spans="1:17" ht="15" customHeight="1" x14ac:dyDescent="0.25">
      <c r="A758" s="244"/>
      <c r="B758" s="244"/>
      <c r="C758" s="244"/>
      <c r="D758" s="244"/>
      <c r="E758" s="244"/>
      <c r="F758" s="244"/>
      <c r="G758" s="244"/>
      <c r="I758" s="244"/>
      <c r="J758" s="244"/>
      <c r="K758" s="246" t="e">
        <f t="shared" si="77"/>
        <v>#VALUE!</v>
      </c>
      <c r="L758" s="246" t="e">
        <f t="shared" si="78"/>
        <v>#VALUE!</v>
      </c>
      <c r="M758" s="247" t="e">
        <f t="shared" si="79"/>
        <v>#VALUE!</v>
      </c>
      <c r="N758" s="246" t="e">
        <f t="shared" si="80"/>
        <v>#VALUE!</v>
      </c>
      <c r="O758" s="247" t="e">
        <f t="shared" si="81"/>
        <v>#VALUE!</v>
      </c>
      <c r="P758" s="247">
        <f t="shared" si="82"/>
        <v>0</v>
      </c>
      <c r="Q758" s="247" t="e">
        <f t="shared" si="83"/>
        <v>#VALUE!</v>
      </c>
    </row>
    <row r="759" spans="1:17" ht="15" customHeight="1" x14ac:dyDescent="0.25">
      <c r="A759" s="244"/>
      <c r="B759" s="244"/>
      <c r="C759" s="244"/>
      <c r="D759" s="244"/>
      <c r="E759" s="244"/>
      <c r="F759" s="244"/>
      <c r="G759" s="244"/>
      <c r="I759" s="244"/>
      <c r="J759" s="244"/>
      <c r="K759" s="246" t="e">
        <f t="shared" si="77"/>
        <v>#VALUE!</v>
      </c>
      <c r="L759" s="246" t="e">
        <f t="shared" si="78"/>
        <v>#VALUE!</v>
      </c>
      <c r="M759" s="247" t="e">
        <f t="shared" si="79"/>
        <v>#VALUE!</v>
      </c>
      <c r="N759" s="246" t="e">
        <f t="shared" si="80"/>
        <v>#VALUE!</v>
      </c>
      <c r="O759" s="247" t="e">
        <f t="shared" si="81"/>
        <v>#VALUE!</v>
      </c>
      <c r="P759" s="247">
        <f t="shared" si="82"/>
        <v>0</v>
      </c>
      <c r="Q759" s="247" t="e">
        <f t="shared" si="83"/>
        <v>#VALUE!</v>
      </c>
    </row>
    <row r="760" spans="1:17" ht="15" customHeight="1" x14ac:dyDescent="0.25">
      <c r="A760" s="244"/>
      <c r="B760" s="244"/>
      <c r="C760" s="244"/>
      <c r="D760" s="244"/>
      <c r="E760" s="244"/>
      <c r="F760" s="244"/>
      <c r="G760" s="244"/>
      <c r="I760" s="244"/>
      <c r="J760" s="244"/>
      <c r="K760" s="246" t="e">
        <f t="shared" si="77"/>
        <v>#VALUE!</v>
      </c>
      <c r="L760" s="246" t="e">
        <f t="shared" si="78"/>
        <v>#VALUE!</v>
      </c>
      <c r="M760" s="247" t="e">
        <f t="shared" si="79"/>
        <v>#VALUE!</v>
      </c>
      <c r="N760" s="246" t="e">
        <f t="shared" si="80"/>
        <v>#VALUE!</v>
      </c>
      <c r="O760" s="247" t="e">
        <f t="shared" si="81"/>
        <v>#VALUE!</v>
      </c>
      <c r="P760" s="247">
        <f t="shared" si="82"/>
        <v>0</v>
      </c>
      <c r="Q760" s="247" t="e">
        <f t="shared" si="83"/>
        <v>#VALUE!</v>
      </c>
    </row>
    <row r="761" spans="1:17" ht="15" customHeight="1" x14ac:dyDescent="0.25">
      <c r="A761" s="244"/>
      <c r="B761" s="244"/>
      <c r="C761" s="244"/>
      <c r="D761" s="244"/>
      <c r="E761" s="244"/>
      <c r="F761" s="244"/>
      <c r="G761" s="244"/>
      <c r="I761" s="244"/>
      <c r="J761" s="244"/>
      <c r="K761" s="246" t="e">
        <f t="shared" si="77"/>
        <v>#VALUE!</v>
      </c>
      <c r="L761" s="246" t="e">
        <f t="shared" si="78"/>
        <v>#VALUE!</v>
      </c>
      <c r="M761" s="247" t="e">
        <f t="shared" si="79"/>
        <v>#VALUE!</v>
      </c>
      <c r="N761" s="246" t="e">
        <f t="shared" si="80"/>
        <v>#VALUE!</v>
      </c>
      <c r="O761" s="247" t="e">
        <f t="shared" si="81"/>
        <v>#VALUE!</v>
      </c>
      <c r="P761" s="247">
        <f t="shared" si="82"/>
        <v>0</v>
      </c>
      <c r="Q761" s="247" t="e">
        <f t="shared" si="83"/>
        <v>#VALUE!</v>
      </c>
    </row>
    <row r="762" spans="1:17" ht="15" customHeight="1" x14ac:dyDescent="0.25">
      <c r="A762" s="244"/>
      <c r="B762" s="244"/>
      <c r="C762" s="244"/>
      <c r="D762" s="244"/>
      <c r="E762" s="244"/>
      <c r="F762" s="244"/>
      <c r="G762" s="244"/>
      <c r="I762" s="244"/>
      <c r="J762" s="244"/>
      <c r="K762" s="246" t="e">
        <f t="shared" si="77"/>
        <v>#VALUE!</v>
      </c>
      <c r="L762" s="246" t="e">
        <f t="shared" si="78"/>
        <v>#VALUE!</v>
      </c>
      <c r="M762" s="247" t="e">
        <f t="shared" si="79"/>
        <v>#VALUE!</v>
      </c>
      <c r="N762" s="246" t="e">
        <f t="shared" si="80"/>
        <v>#VALUE!</v>
      </c>
      <c r="O762" s="247" t="e">
        <f t="shared" si="81"/>
        <v>#VALUE!</v>
      </c>
      <c r="P762" s="247">
        <f t="shared" si="82"/>
        <v>0</v>
      </c>
      <c r="Q762" s="247" t="e">
        <f t="shared" si="83"/>
        <v>#VALUE!</v>
      </c>
    </row>
    <row r="763" spans="1:17" ht="15" customHeight="1" x14ac:dyDescent="0.25">
      <c r="A763" s="244"/>
      <c r="B763" s="244"/>
      <c r="C763" s="244"/>
      <c r="D763" s="244"/>
      <c r="E763" s="244"/>
      <c r="F763" s="244"/>
      <c r="G763" s="244"/>
      <c r="I763" s="244"/>
      <c r="J763" s="244"/>
      <c r="K763" s="246" t="e">
        <f t="shared" si="77"/>
        <v>#VALUE!</v>
      </c>
      <c r="L763" s="246" t="e">
        <f t="shared" si="78"/>
        <v>#VALUE!</v>
      </c>
      <c r="M763" s="247" t="e">
        <f t="shared" si="79"/>
        <v>#VALUE!</v>
      </c>
      <c r="N763" s="246" t="e">
        <f t="shared" si="80"/>
        <v>#VALUE!</v>
      </c>
      <c r="O763" s="247" t="e">
        <f t="shared" si="81"/>
        <v>#VALUE!</v>
      </c>
      <c r="P763" s="247">
        <f t="shared" si="82"/>
        <v>0</v>
      </c>
      <c r="Q763" s="247" t="e">
        <f t="shared" si="83"/>
        <v>#VALUE!</v>
      </c>
    </row>
    <row r="764" spans="1:17" ht="15" customHeight="1" x14ac:dyDescent="0.25">
      <c r="A764" s="244"/>
      <c r="B764" s="244"/>
      <c r="C764" s="244"/>
      <c r="D764" s="244"/>
      <c r="E764" s="244"/>
      <c r="F764" s="244"/>
      <c r="G764" s="244"/>
      <c r="I764" s="244"/>
      <c r="J764" s="244"/>
      <c r="K764" s="246" t="e">
        <f t="shared" si="77"/>
        <v>#VALUE!</v>
      </c>
      <c r="L764" s="246" t="e">
        <f t="shared" si="78"/>
        <v>#VALUE!</v>
      </c>
      <c r="M764" s="247" t="e">
        <f t="shared" si="79"/>
        <v>#VALUE!</v>
      </c>
      <c r="N764" s="246" t="e">
        <f t="shared" si="80"/>
        <v>#VALUE!</v>
      </c>
      <c r="O764" s="247" t="e">
        <f t="shared" si="81"/>
        <v>#VALUE!</v>
      </c>
      <c r="P764" s="247">
        <f t="shared" si="82"/>
        <v>0</v>
      </c>
      <c r="Q764" s="247" t="e">
        <f t="shared" si="83"/>
        <v>#VALUE!</v>
      </c>
    </row>
    <row r="765" spans="1:17" ht="15" customHeight="1" x14ac:dyDescent="0.25">
      <c r="A765" s="244"/>
      <c r="B765" s="244"/>
      <c r="C765" s="244"/>
      <c r="D765" s="244"/>
      <c r="E765" s="244"/>
      <c r="F765" s="244"/>
      <c r="G765" s="244"/>
      <c r="I765" s="244"/>
      <c r="J765" s="244"/>
      <c r="K765" s="246" t="e">
        <f t="shared" si="77"/>
        <v>#VALUE!</v>
      </c>
      <c r="L765" s="246" t="e">
        <f t="shared" si="78"/>
        <v>#VALUE!</v>
      </c>
      <c r="M765" s="247" t="e">
        <f t="shared" si="79"/>
        <v>#VALUE!</v>
      </c>
      <c r="N765" s="246" t="e">
        <f t="shared" si="80"/>
        <v>#VALUE!</v>
      </c>
      <c r="O765" s="247" t="e">
        <f t="shared" si="81"/>
        <v>#VALUE!</v>
      </c>
      <c r="P765" s="247">
        <f t="shared" si="82"/>
        <v>0</v>
      </c>
      <c r="Q765" s="247" t="e">
        <f t="shared" si="83"/>
        <v>#VALUE!</v>
      </c>
    </row>
    <row r="766" spans="1:17" ht="15" customHeight="1" x14ac:dyDescent="0.25">
      <c r="A766" s="244"/>
      <c r="B766" s="244"/>
      <c r="C766" s="244"/>
      <c r="D766" s="244"/>
      <c r="E766" s="244"/>
      <c r="F766" s="244"/>
      <c r="G766" s="244"/>
      <c r="I766" s="244"/>
      <c r="J766" s="244"/>
      <c r="K766" s="246" t="e">
        <f t="shared" si="77"/>
        <v>#VALUE!</v>
      </c>
      <c r="L766" s="246" t="e">
        <f t="shared" si="78"/>
        <v>#VALUE!</v>
      </c>
      <c r="M766" s="247" t="e">
        <f t="shared" si="79"/>
        <v>#VALUE!</v>
      </c>
      <c r="N766" s="246" t="e">
        <f t="shared" si="80"/>
        <v>#VALUE!</v>
      </c>
      <c r="O766" s="247" t="e">
        <f t="shared" si="81"/>
        <v>#VALUE!</v>
      </c>
      <c r="P766" s="247">
        <f t="shared" si="82"/>
        <v>0</v>
      </c>
      <c r="Q766" s="247" t="e">
        <f t="shared" si="83"/>
        <v>#VALUE!</v>
      </c>
    </row>
    <row r="767" spans="1:17" ht="15" customHeight="1" x14ac:dyDescent="0.25">
      <c r="A767" s="244"/>
      <c r="B767" s="244"/>
      <c r="C767" s="244"/>
      <c r="D767" s="244"/>
      <c r="E767" s="244"/>
      <c r="F767" s="244"/>
      <c r="G767" s="244"/>
      <c r="I767" s="244"/>
      <c r="J767" s="244"/>
      <c r="K767" s="246" t="e">
        <f t="shared" si="77"/>
        <v>#VALUE!</v>
      </c>
      <c r="L767" s="246" t="e">
        <f t="shared" si="78"/>
        <v>#VALUE!</v>
      </c>
      <c r="M767" s="247" t="e">
        <f t="shared" si="79"/>
        <v>#VALUE!</v>
      </c>
      <c r="N767" s="246" t="e">
        <f t="shared" si="80"/>
        <v>#VALUE!</v>
      </c>
      <c r="O767" s="247" t="e">
        <f t="shared" si="81"/>
        <v>#VALUE!</v>
      </c>
      <c r="P767" s="247">
        <f t="shared" si="82"/>
        <v>0</v>
      </c>
      <c r="Q767" s="247" t="e">
        <f t="shared" si="83"/>
        <v>#VALUE!</v>
      </c>
    </row>
    <row r="768" spans="1:17" ht="15" customHeight="1" x14ac:dyDescent="0.25">
      <c r="A768" s="244"/>
      <c r="B768" s="244"/>
      <c r="C768" s="244"/>
      <c r="D768" s="244"/>
      <c r="E768" s="244"/>
      <c r="F768" s="244"/>
      <c r="G768" s="244"/>
      <c r="I768" s="244"/>
      <c r="J768" s="244"/>
      <c r="K768" s="246" t="e">
        <f t="shared" si="77"/>
        <v>#VALUE!</v>
      </c>
      <c r="L768" s="246" t="e">
        <f t="shared" si="78"/>
        <v>#VALUE!</v>
      </c>
      <c r="M768" s="247" t="e">
        <f t="shared" si="79"/>
        <v>#VALUE!</v>
      </c>
      <c r="N768" s="246" t="e">
        <f t="shared" si="80"/>
        <v>#VALUE!</v>
      </c>
      <c r="O768" s="247" t="e">
        <f t="shared" si="81"/>
        <v>#VALUE!</v>
      </c>
      <c r="P768" s="247">
        <f t="shared" si="82"/>
        <v>0</v>
      </c>
      <c r="Q768" s="247" t="e">
        <f t="shared" si="83"/>
        <v>#VALUE!</v>
      </c>
    </row>
    <row r="769" spans="1:17" ht="15" customHeight="1" x14ac:dyDescent="0.25">
      <c r="A769" s="244"/>
      <c r="B769" s="244"/>
      <c r="C769" s="244"/>
      <c r="D769" s="244"/>
      <c r="E769" s="244"/>
      <c r="F769" s="244"/>
      <c r="G769" s="244"/>
      <c r="I769" s="244"/>
      <c r="J769" s="244"/>
      <c r="K769" s="246" t="e">
        <f t="shared" si="77"/>
        <v>#VALUE!</v>
      </c>
      <c r="L769" s="246" t="e">
        <f t="shared" si="78"/>
        <v>#VALUE!</v>
      </c>
      <c r="M769" s="247" t="e">
        <f t="shared" si="79"/>
        <v>#VALUE!</v>
      </c>
      <c r="N769" s="246" t="e">
        <f t="shared" si="80"/>
        <v>#VALUE!</v>
      </c>
      <c r="O769" s="247" t="e">
        <f t="shared" si="81"/>
        <v>#VALUE!</v>
      </c>
      <c r="P769" s="247">
        <f t="shared" si="82"/>
        <v>0</v>
      </c>
      <c r="Q769" s="247" t="e">
        <f t="shared" si="83"/>
        <v>#VALUE!</v>
      </c>
    </row>
    <row r="770" spans="1:17" ht="15" customHeight="1" x14ac:dyDescent="0.25">
      <c r="A770" s="244"/>
      <c r="B770" s="244"/>
      <c r="C770" s="244"/>
      <c r="D770" s="244"/>
      <c r="E770" s="244"/>
      <c r="F770" s="244"/>
      <c r="G770" s="244"/>
      <c r="I770" s="244"/>
      <c r="J770" s="244"/>
      <c r="K770" s="246" t="e">
        <f t="shared" ref="K770:K833" si="84">DATE(VALUE(LEFT(A770,4)),VALUE(MID(A770,5,2)),VALUE(RIGHT(A770,2)))</f>
        <v>#VALUE!</v>
      </c>
      <c r="L770" s="246" t="e">
        <f t="shared" ref="L770:L833" si="85">DATEVALUE(LEFT(F770,10))</f>
        <v>#VALUE!</v>
      </c>
      <c r="M770" s="247" t="e">
        <f t="shared" ref="M770:M833" si="86">TIMEVALUE(MID(F770,12,8))</f>
        <v>#VALUE!</v>
      </c>
      <c r="N770" s="246" t="e">
        <f t="shared" ref="N770:N833" si="87">DATEVALUE(LEFT(G770,10))</f>
        <v>#VALUE!</v>
      </c>
      <c r="O770" s="247" t="e">
        <f t="shared" ref="O770:O833" si="88">TIMEVALUE(MID(G770,12,8))</f>
        <v>#VALUE!</v>
      </c>
      <c r="P770" s="247">
        <f t="shared" ref="P770:P833" si="89">IFERROR(_xlfn.MINIFS($M:$M,$E:$E,$E770,$K:$K,$K770,$M:$M,"&gt;"&amp;$O770),"")</f>
        <v>0</v>
      </c>
      <c r="Q770" s="247" t="e">
        <f t="shared" ref="Q770:Q833" si="90">IF($P770="","",$P770-$O770)</f>
        <v>#VALUE!</v>
      </c>
    </row>
    <row r="771" spans="1:17" ht="15" customHeight="1" x14ac:dyDescent="0.25">
      <c r="A771" s="244"/>
      <c r="B771" s="244"/>
      <c r="C771" s="244"/>
      <c r="D771" s="244"/>
      <c r="E771" s="244"/>
      <c r="F771" s="244"/>
      <c r="G771" s="244"/>
      <c r="I771" s="244"/>
      <c r="J771" s="244"/>
      <c r="K771" s="246" t="e">
        <f t="shared" si="84"/>
        <v>#VALUE!</v>
      </c>
      <c r="L771" s="246" t="e">
        <f t="shared" si="85"/>
        <v>#VALUE!</v>
      </c>
      <c r="M771" s="247" t="e">
        <f t="shared" si="86"/>
        <v>#VALUE!</v>
      </c>
      <c r="N771" s="246" t="e">
        <f t="shared" si="87"/>
        <v>#VALUE!</v>
      </c>
      <c r="O771" s="247" t="e">
        <f t="shared" si="88"/>
        <v>#VALUE!</v>
      </c>
      <c r="P771" s="247">
        <f t="shared" si="89"/>
        <v>0</v>
      </c>
      <c r="Q771" s="247" t="e">
        <f t="shared" si="90"/>
        <v>#VALUE!</v>
      </c>
    </row>
    <row r="772" spans="1:17" ht="15" customHeight="1" x14ac:dyDescent="0.25">
      <c r="A772" s="244"/>
      <c r="B772" s="244"/>
      <c r="C772" s="244"/>
      <c r="D772" s="244"/>
      <c r="E772" s="244"/>
      <c r="F772" s="244"/>
      <c r="G772" s="244"/>
      <c r="I772" s="244"/>
      <c r="J772" s="244"/>
      <c r="K772" s="246" t="e">
        <f t="shared" si="84"/>
        <v>#VALUE!</v>
      </c>
      <c r="L772" s="246" t="e">
        <f t="shared" si="85"/>
        <v>#VALUE!</v>
      </c>
      <c r="M772" s="247" t="e">
        <f t="shared" si="86"/>
        <v>#VALUE!</v>
      </c>
      <c r="N772" s="246" t="e">
        <f t="shared" si="87"/>
        <v>#VALUE!</v>
      </c>
      <c r="O772" s="247" t="e">
        <f t="shared" si="88"/>
        <v>#VALUE!</v>
      </c>
      <c r="P772" s="247">
        <f t="shared" si="89"/>
        <v>0</v>
      </c>
      <c r="Q772" s="247" t="e">
        <f t="shared" si="90"/>
        <v>#VALUE!</v>
      </c>
    </row>
    <row r="773" spans="1:17" ht="15" customHeight="1" x14ac:dyDescent="0.25">
      <c r="A773" s="244"/>
      <c r="B773" s="244"/>
      <c r="C773" s="244"/>
      <c r="D773" s="244"/>
      <c r="E773" s="244"/>
      <c r="F773" s="244"/>
      <c r="G773" s="244"/>
      <c r="I773" s="244"/>
      <c r="J773" s="244"/>
      <c r="K773" s="246" t="e">
        <f t="shared" si="84"/>
        <v>#VALUE!</v>
      </c>
      <c r="L773" s="246" t="e">
        <f t="shared" si="85"/>
        <v>#VALUE!</v>
      </c>
      <c r="M773" s="247" t="e">
        <f t="shared" si="86"/>
        <v>#VALUE!</v>
      </c>
      <c r="N773" s="246" t="e">
        <f t="shared" si="87"/>
        <v>#VALUE!</v>
      </c>
      <c r="O773" s="247" t="e">
        <f t="shared" si="88"/>
        <v>#VALUE!</v>
      </c>
      <c r="P773" s="247">
        <f t="shared" si="89"/>
        <v>0</v>
      </c>
      <c r="Q773" s="247" t="e">
        <f t="shared" si="90"/>
        <v>#VALUE!</v>
      </c>
    </row>
    <row r="774" spans="1:17" ht="15" customHeight="1" x14ac:dyDescent="0.25">
      <c r="A774" s="244"/>
      <c r="B774" s="244"/>
      <c r="C774" s="244"/>
      <c r="D774" s="244"/>
      <c r="E774" s="244"/>
      <c r="F774" s="244"/>
      <c r="G774" s="244"/>
      <c r="I774" s="244"/>
      <c r="J774" s="244"/>
      <c r="K774" s="246" t="e">
        <f t="shared" si="84"/>
        <v>#VALUE!</v>
      </c>
      <c r="L774" s="246" t="e">
        <f t="shared" si="85"/>
        <v>#VALUE!</v>
      </c>
      <c r="M774" s="247" t="e">
        <f t="shared" si="86"/>
        <v>#VALUE!</v>
      </c>
      <c r="N774" s="246" t="e">
        <f t="shared" si="87"/>
        <v>#VALUE!</v>
      </c>
      <c r="O774" s="247" t="e">
        <f t="shared" si="88"/>
        <v>#VALUE!</v>
      </c>
      <c r="P774" s="247">
        <f t="shared" si="89"/>
        <v>0</v>
      </c>
      <c r="Q774" s="247" t="e">
        <f t="shared" si="90"/>
        <v>#VALUE!</v>
      </c>
    </row>
    <row r="775" spans="1:17" ht="15" customHeight="1" x14ac:dyDescent="0.25">
      <c r="A775" s="244"/>
      <c r="B775" s="244"/>
      <c r="C775" s="244"/>
      <c r="D775" s="244"/>
      <c r="E775" s="244"/>
      <c r="F775" s="244"/>
      <c r="G775" s="244"/>
      <c r="I775" s="244"/>
      <c r="J775" s="244"/>
      <c r="K775" s="246" t="e">
        <f t="shared" si="84"/>
        <v>#VALUE!</v>
      </c>
      <c r="L775" s="246" t="e">
        <f t="shared" si="85"/>
        <v>#VALUE!</v>
      </c>
      <c r="M775" s="247" t="e">
        <f t="shared" si="86"/>
        <v>#VALUE!</v>
      </c>
      <c r="N775" s="246" t="e">
        <f t="shared" si="87"/>
        <v>#VALUE!</v>
      </c>
      <c r="O775" s="247" t="e">
        <f t="shared" si="88"/>
        <v>#VALUE!</v>
      </c>
      <c r="P775" s="247">
        <f t="shared" si="89"/>
        <v>0</v>
      </c>
      <c r="Q775" s="247" t="e">
        <f t="shared" si="90"/>
        <v>#VALUE!</v>
      </c>
    </row>
    <row r="776" spans="1:17" ht="15" customHeight="1" x14ac:dyDescent="0.25">
      <c r="A776" s="244"/>
      <c r="B776" s="244"/>
      <c r="C776" s="244"/>
      <c r="D776" s="244"/>
      <c r="E776" s="244"/>
      <c r="F776" s="244"/>
      <c r="G776" s="244"/>
      <c r="I776" s="244"/>
      <c r="J776" s="244"/>
      <c r="K776" s="246" t="e">
        <f t="shared" si="84"/>
        <v>#VALUE!</v>
      </c>
      <c r="L776" s="246" t="e">
        <f t="shared" si="85"/>
        <v>#VALUE!</v>
      </c>
      <c r="M776" s="247" t="e">
        <f t="shared" si="86"/>
        <v>#VALUE!</v>
      </c>
      <c r="N776" s="246" t="e">
        <f t="shared" si="87"/>
        <v>#VALUE!</v>
      </c>
      <c r="O776" s="247" t="e">
        <f t="shared" si="88"/>
        <v>#VALUE!</v>
      </c>
      <c r="P776" s="247">
        <f t="shared" si="89"/>
        <v>0</v>
      </c>
      <c r="Q776" s="247" t="e">
        <f t="shared" si="90"/>
        <v>#VALUE!</v>
      </c>
    </row>
    <row r="777" spans="1:17" ht="15" customHeight="1" x14ac:dyDescent="0.25">
      <c r="A777" s="244"/>
      <c r="B777" s="244"/>
      <c r="C777" s="244"/>
      <c r="D777" s="244"/>
      <c r="E777" s="244"/>
      <c r="F777" s="244"/>
      <c r="G777" s="244"/>
      <c r="I777" s="244"/>
      <c r="J777" s="244"/>
      <c r="K777" s="246" t="e">
        <f t="shared" si="84"/>
        <v>#VALUE!</v>
      </c>
      <c r="L777" s="246" t="e">
        <f t="shared" si="85"/>
        <v>#VALUE!</v>
      </c>
      <c r="M777" s="247" t="e">
        <f t="shared" si="86"/>
        <v>#VALUE!</v>
      </c>
      <c r="N777" s="246" t="e">
        <f t="shared" si="87"/>
        <v>#VALUE!</v>
      </c>
      <c r="O777" s="247" t="e">
        <f t="shared" si="88"/>
        <v>#VALUE!</v>
      </c>
      <c r="P777" s="247">
        <f t="shared" si="89"/>
        <v>0</v>
      </c>
      <c r="Q777" s="247" t="e">
        <f t="shared" si="90"/>
        <v>#VALUE!</v>
      </c>
    </row>
    <row r="778" spans="1:17" ht="15" customHeight="1" x14ac:dyDescent="0.25">
      <c r="A778" s="244"/>
      <c r="B778" s="244"/>
      <c r="C778" s="244"/>
      <c r="D778" s="244"/>
      <c r="E778" s="244"/>
      <c r="F778" s="244"/>
      <c r="G778" s="244"/>
      <c r="I778" s="244"/>
      <c r="J778" s="244"/>
      <c r="K778" s="246" t="e">
        <f t="shared" si="84"/>
        <v>#VALUE!</v>
      </c>
      <c r="L778" s="246" t="e">
        <f t="shared" si="85"/>
        <v>#VALUE!</v>
      </c>
      <c r="M778" s="247" t="e">
        <f t="shared" si="86"/>
        <v>#VALUE!</v>
      </c>
      <c r="N778" s="246" t="e">
        <f t="shared" si="87"/>
        <v>#VALUE!</v>
      </c>
      <c r="O778" s="247" t="e">
        <f t="shared" si="88"/>
        <v>#VALUE!</v>
      </c>
      <c r="P778" s="247">
        <f t="shared" si="89"/>
        <v>0</v>
      </c>
      <c r="Q778" s="247" t="e">
        <f t="shared" si="90"/>
        <v>#VALUE!</v>
      </c>
    </row>
    <row r="779" spans="1:17" ht="15" customHeight="1" x14ac:dyDescent="0.25">
      <c r="A779" s="244"/>
      <c r="B779" s="244"/>
      <c r="C779" s="244"/>
      <c r="D779" s="244"/>
      <c r="E779" s="244"/>
      <c r="F779" s="244"/>
      <c r="G779" s="244"/>
      <c r="I779" s="244"/>
      <c r="J779" s="244"/>
      <c r="K779" s="246" t="e">
        <f t="shared" si="84"/>
        <v>#VALUE!</v>
      </c>
      <c r="L779" s="246" t="e">
        <f t="shared" si="85"/>
        <v>#VALUE!</v>
      </c>
      <c r="M779" s="247" t="e">
        <f t="shared" si="86"/>
        <v>#VALUE!</v>
      </c>
      <c r="N779" s="246" t="e">
        <f t="shared" si="87"/>
        <v>#VALUE!</v>
      </c>
      <c r="O779" s="247" t="e">
        <f t="shared" si="88"/>
        <v>#VALUE!</v>
      </c>
      <c r="P779" s="247">
        <f t="shared" si="89"/>
        <v>0</v>
      </c>
      <c r="Q779" s="247" t="e">
        <f t="shared" si="90"/>
        <v>#VALUE!</v>
      </c>
    </row>
    <row r="780" spans="1:17" ht="15" customHeight="1" x14ac:dyDescent="0.25">
      <c r="A780" s="244"/>
      <c r="B780" s="244"/>
      <c r="C780" s="244"/>
      <c r="D780" s="244"/>
      <c r="E780" s="244"/>
      <c r="F780" s="244"/>
      <c r="G780" s="244"/>
      <c r="I780" s="244"/>
      <c r="J780" s="244"/>
      <c r="K780" s="246" t="e">
        <f t="shared" si="84"/>
        <v>#VALUE!</v>
      </c>
      <c r="L780" s="246" t="e">
        <f t="shared" si="85"/>
        <v>#VALUE!</v>
      </c>
      <c r="M780" s="247" t="e">
        <f t="shared" si="86"/>
        <v>#VALUE!</v>
      </c>
      <c r="N780" s="246" t="e">
        <f t="shared" si="87"/>
        <v>#VALUE!</v>
      </c>
      <c r="O780" s="247" t="e">
        <f t="shared" si="88"/>
        <v>#VALUE!</v>
      </c>
      <c r="P780" s="247">
        <f t="shared" si="89"/>
        <v>0</v>
      </c>
      <c r="Q780" s="247" t="e">
        <f t="shared" si="90"/>
        <v>#VALUE!</v>
      </c>
    </row>
    <row r="781" spans="1:17" ht="15" customHeight="1" x14ac:dyDescent="0.25">
      <c r="A781" s="244"/>
      <c r="B781" s="244"/>
      <c r="C781" s="244"/>
      <c r="D781" s="244"/>
      <c r="E781" s="244"/>
      <c r="F781" s="244"/>
      <c r="G781" s="244"/>
      <c r="I781" s="244"/>
      <c r="J781" s="244"/>
      <c r="K781" s="246" t="e">
        <f t="shared" si="84"/>
        <v>#VALUE!</v>
      </c>
      <c r="L781" s="246" t="e">
        <f t="shared" si="85"/>
        <v>#VALUE!</v>
      </c>
      <c r="M781" s="247" t="e">
        <f t="shared" si="86"/>
        <v>#VALUE!</v>
      </c>
      <c r="N781" s="246" t="e">
        <f t="shared" si="87"/>
        <v>#VALUE!</v>
      </c>
      <c r="O781" s="247" t="e">
        <f t="shared" si="88"/>
        <v>#VALUE!</v>
      </c>
      <c r="P781" s="247">
        <f t="shared" si="89"/>
        <v>0</v>
      </c>
      <c r="Q781" s="247" t="e">
        <f t="shared" si="90"/>
        <v>#VALUE!</v>
      </c>
    </row>
    <row r="782" spans="1:17" ht="15" customHeight="1" x14ac:dyDescent="0.25">
      <c r="A782" s="244"/>
      <c r="B782" s="244"/>
      <c r="C782" s="244"/>
      <c r="D782" s="244"/>
      <c r="E782" s="244"/>
      <c r="F782" s="244"/>
      <c r="G782" s="244"/>
      <c r="I782" s="244"/>
      <c r="J782" s="244"/>
      <c r="K782" s="246" t="e">
        <f t="shared" si="84"/>
        <v>#VALUE!</v>
      </c>
      <c r="L782" s="246" t="e">
        <f t="shared" si="85"/>
        <v>#VALUE!</v>
      </c>
      <c r="M782" s="247" t="e">
        <f t="shared" si="86"/>
        <v>#VALUE!</v>
      </c>
      <c r="N782" s="246" t="e">
        <f t="shared" si="87"/>
        <v>#VALUE!</v>
      </c>
      <c r="O782" s="247" t="e">
        <f t="shared" si="88"/>
        <v>#VALUE!</v>
      </c>
      <c r="P782" s="247">
        <f t="shared" si="89"/>
        <v>0</v>
      </c>
      <c r="Q782" s="247" t="e">
        <f t="shared" si="90"/>
        <v>#VALUE!</v>
      </c>
    </row>
    <row r="783" spans="1:17" ht="15" customHeight="1" x14ac:dyDescent="0.25">
      <c r="A783" s="244"/>
      <c r="B783" s="244"/>
      <c r="C783" s="244"/>
      <c r="D783" s="244"/>
      <c r="E783" s="244"/>
      <c r="F783" s="244"/>
      <c r="G783" s="244"/>
      <c r="I783" s="244"/>
      <c r="J783" s="244"/>
      <c r="K783" s="246" t="e">
        <f t="shared" si="84"/>
        <v>#VALUE!</v>
      </c>
      <c r="L783" s="246" t="e">
        <f t="shared" si="85"/>
        <v>#VALUE!</v>
      </c>
      <c r="M783" s="247" t="e">
        <f t="shared" si="86"/>
        <v>#VALUE!</v>
      </c>
      <c r="N783" s="246" t="e">
        <f t="shared" si="87"/>
        <v>#VALUE!</v>
      </c>
      <c r="O783" s="247" t="e">
        <f t="shared" si="88"/>
        <v>#VALUE!</v>
      </c>
      <c r="P783" s="247">
        <f t="shared" si="89"/>
        <v>0</v>
      </c>
      <c r="Q783" s="247" t="e">
        <f t="shared" si="90"/>
        <v>#VALUE!</v>
      </c>
    </row>
    <row r="784" spans="1:17" ht="15" customHeight="1" x14ac:dyDescent="0.25">
      <c r="A784" s="244"/>
      <c r="B784" s="244"/>
      <c r="C784" s="244"/>
      <c r="D784" s="244"/>
      <c r="E784" s="244"/>
      <c r="F784" s="244"/>
      <c r="G784" s="244"/>
      <c r="I784" s="244"/>
      <c r="J784" s="244"/>
      <c r="K784" s="246" t="e">
        <f t="shared" si="84"/>
        <v>#VALUE!</v>
      </c>
      <c r="L784" s="246" t="e">
        <f t="shared" si="85"/>
        <v>#VALUE!</v>
      </c>
      <c r="M784" s="247" t="e">
        <f t="shared" si="86"/>
        <v>#VALUE!</v>
      </c>
      <c r="N784" s="246" t="e">
        <f t="shared" si="87"/>
        <v>#VALUE!</v>
      </c>
      <c r="O784" s="247" t="e">
        <f t="shared" si="88"/>
        <v>#VALUE!</v>
      </c>
      <c r="P784" s="247">
        <f t="shared" si="89"/>
        <v>0</v>
      </c>
      <c r="Q784" s="247" t="e">
        <f t="shared" si="90"/>
        <v>#VALUE!</v>
      </c>
    </row>
    <row r="785" spans="1:17" ht="15" customHeight="1" x14ac:dyDescent="0.25">
      <c r="A785" s="244"/>
      <c r="B785" s="244"/>
      <c r="C785" s="244"/>
      <c r="D785" s="244"/>
      <c r="E785" s="244"/>
      <c r="F785" s="244"/>
      <c r="G785" s="244"/>
      <c r="I785" s="244"/>
      <c r="J785" s="244"/>
      <c r="K785" s="246" t="e">
        <f t="shared" si="84"/>
        <v>#VALUE!</v>
      </c>
      <c r="L785" s="246" t="e">
        <f t="shared" si="85"/>
        <v>#VALUE!</v>
      </c>
      <c r="M785" s="247" t="e">
        <f t="shared" si="86"/>
        <v>#VALUE!</v>
      </c>
      <c r="N785" s="246" t="e">
        <f t="shared" si="87"/>
        <v>#VALUE!</v>
      </c>
      <c r="O785" s="247" t="e">
        <f t="shared" si="88"/>
        <v>#VALUE!</v>
      </c>
      <c r="P785" s="247">
        <f t="shared" si="89"/>
        <v>0</v>
      </c>
      <c r="Q785" s="247" t="e">
        <f t="shared" si="90"/>
        <v>#VALUE!</v>
      </c>
    </row>
    <row r="786" spans="1:17" ht="15" customHeight="1" x14ac:dyDescent="0.25">
      <c r="A786" s="244"/>
      <c r="B786" s="244"/>
      <c r="C786" s="244"/>
      <c r="D786" s="244"/>
      <c r="E786" s="244"/>
      <c r="F786" s="244"/>
      <c r="G786" s="244"/>
      <c r="I786" s="244"/>
      <c r="J786" s="244"/>
      <c r="K786" s="246" t="e">
        <f t="shared" si="84"/>
        <v>#VALUE!</v>
      </c>
      <c r="L786" s="246" t="e">
        <f t="shared" si="85"/>
        <v>#VALUE!</v>
      </c>
      <c r="M786" s="247" t="e">
        <f t="shared" si="86"/>
        <v>#VALUE!</v>
      </c>
      <c r="N786" s="246" t="e">
        <f t="shared" si="87"/>
        <v>#VALUE!</v>
      </c>
      <c r="O786" s="247" t="e">
        <f t="shared" si="88"/>
        <v>#VALUE!</v>
      </c>
      <c r="P786" s="247">
        <f t="shared" si="89"/>
        <v>0</v>
      </c>
      <c r="Q786" s="247" t="e">
        <f t="shared" si="90"/>
        <v>#VALUE!</v>
      </c>
    </row>
    <row r="787" spans="1:17" ht="15" customHeight="1" x14ac:dyDescent="0.25">
      <c r="A787" s="244"/>
      <c r="B787" s="244"/>
      <c r="C787" s="244"/>
      <c r="D787" s="244"/>
      <c r="E787" s="244"/>
      <c r="F787" s="244"/>
      <c r="G787" s="244"/>
      <c r="I787" s="244"/>
      <c r="J787" s="244"/>
      <c r="K787" s="246" t="e">
        <f t="shared" si="84"/>
        <v>#VALUE!</v>
      </c>
      <c r="L787" s="246" t="e">
        <f t="shared" si="85"/>
        <v>#VALUE!</v>
      </c>
      <c r="M787" s="247" t="e">
        <f t="shared" si="86"/>
        <v>#VALUE!</v>
      </c>
      <c r="N787" s="246" t="e">
        <f t="shared" si="87"/>
        <v>#VALUE!</v>
      </c>
      <c r="O787" s="247" t="e">
        <f t="shared" si="88"/>
        <v>#VALUE!</v>
      </c>
      <c r="P787" s="247">
        <f t="shared" si="89"/>
        <v>0</v>
      </c>
      <c r="Q787" s="247" t="e">
        <f t="shared" si="90"/>
        <v>#VALUE!</v>
      </c>
    </row>
    <row r="788" spans="1:17" ht="15" customHeight="1" x14ac:dyDescent="0.25">
      <c r="A788" s="244"/>
      <c r="B788" s="244"/>
      <c r="C788" s="244"/>
      <c r="D788" s="244"/>
      <c r="E788" s="244"/>
      <c r="F788" s="244"/>
      <c r="G788" s="244"/>
      <c r="I788" s="244"/>
      <c r="J788" s="244"/>
      <c r="K788" s="246" t="e">
        <f t="shared" si="84"/>
        <v>#VALUE!</v>
      </c>
      <c r="L788" s="246" t="e">
        <f t="shared" si="85"/>
        <v>#VALUE!</v>
      </c>
      <c r="M788" s="247" t="e">
        <f t="shared" si="86"/>
        <v>#VALUE!</v>
      </c>
      <c r="N788" s="246" t="e">
        <f t="shared" si="87"/>
        <v>#VALUE!</v>
      </c>
      <c r="O788" s="247" t="e">
        <f t="shared" si="88"/>
        <v>#VALUE!</v>
      </c>
      <c r="P788" s="247">
        <f t="shared" si="89"/>
        <v>0</v>
      </c>
      <c r="Q788" s="247" t="e">
        <f t="shared" si="90"/>
        <v>#VALUE!</v>
      </c>
    </row>
    <row r="789" spans="1:17" ht="15" customHeight="1" x14ac:dyDescent="0.25">
      <c r="A789" s="244"/>
      <c r="B789" s="244"/>
      <c r="C789" s="244"/>
      <c r="D789" s="244"/>
      <c r="E789" s="244"/>
      <c r="F789" s="244"/>
      <c r="G789" s="244"/>
      <c r="I789" s="244"/>
      <c r="J789" s="244"/>
      <c r="K789" s="246" t="e">
        <f t="shared" si="84"/>
        <v>#VALUE!</v>
      </c>
      <c r="L789" s="246" t="e">
        <f t="shared" si="85"/>
        <v>#VALUE!</v>
      </c>
      <c r="M789" s="247" t="e">
        <f t="shared" si="86"/>
        <v>#VALUE!</v>
      </c>
      <c r="N789" s="246" t="e">
        <f t="shared" si="87"/>
        <v>#VALUE!</v>
      </c>
      <c r="O789" s="247" t="e">
        <f t="shared" si="88"/>
        <v>#VALUE!</v>
      </c>
      <c r="P789" s="247">
        <f t="shared" si="89"/>
        <v>0</v>
      </c>
      <c r="Q789" s="247" t="e">
        <f t="shared" si="90"/>
        <v>#VALUE!</v>
      </c>
    </row>
    <row r="790" spans="1:17" ht="15" customHeight="1" x14ac:dyDescent="0.25">
      <c r="A790" s="244"/>
      <c r="B790" s="244"/>
      <c r="C790" s="244"/>
      <c r="D790" s="244"/>
      <c r="E790" s="244"/>
      <c r="F790" s="244"/>
      <c r="G790" s="244"/>
      <c r="I790" s="244"/>
      <c r="J790" s="244"/>
      <c r="K790" s="246" t="e">
        <f t="shared" si="84"/>
        <v>#VALUE!</v>
      </c>
      <c r="L790" s="246" t="e">
        <f t="shared" si="85"/>
        <v>#VALUE!</v>
      </c>
      <c r="M790" s="247" t="e">
        <f t="shared" si="86"/>
        <v>#VALUE!</v>
      </c>
      <c r="N790" s="246" t="e">
        <f t="shared" si="87"/>
        <v>#VALUE!</v>
      </c>
      <c r="O790" s="247" t="e">
        <f t="shared" si="88"/>
        <v>#VALUE!</v>
      </c>
      <c r="P790" s="247">
        <f t="shared" si="89"/>
        <v>0</v>
      </c>
      <c r="Q790" s="247" t="e">
        <f t="shared" si="90"/>
        <v>#VALUE!</v>
      </c>
    </row>
    <row r="791" spans="1:17" ht="15" customHeight="1" x14ac:dyDescent="0.25">
      <c r="A791" s="244"/>
      <c r="B791" s="244"/>
      <c r="C791" s="244"/>
      <c r="D791" s="244"/>
      <c r="E791" s="244"/>
      <c r="F791" s="244"/>
      <c r="G791" s="244"/>
      <c r="I791" s="244"/>
      <c r="J791" s="244"/>
      <c r="K791" s="246" t="e">
        <f t="shared" si="84"/>
        <v>#VALUE!</v>
      </c>
      <c r="L791" s="246" t="e">
        <f t="shared" si="85"/>
        <v>#VALUE!</v>
      </c>
      <c r="M791" s="247" t="e">
        <f t="shared" si="86"/>
        <v>#VALUE!</v>
      </c>
      <c r="N791" s="246" t="e">
        <f t="shared" si="87"/>
        <v>#VALUE!</v>
      </c>
      <c r="O791" s="247" t="e">
        <f t="shared" si="88"/>
        <v>#VALUE!</v>
      </c>
      <c r="P791" s="247">
        <f t="shared" si="89"/>
        <v>0</v>
      </c>
      <c r="Q791" s="247" t="e">
        <f t="shared" si="90"/>
        <v>#VALUE!</v>
      </c>
    </row>
    <row r="792" spans="1:17" ht="15" customHeight="1" x14ac:dyDescent="0.25">
      <c r="A792" s="244"/>
      <c r="B792" s="244"/>
      <c r="C792" s="244"/>
      <c r="D792" s="244"/>
      <c r="E792" s="244"/>
      <c r="F792" s="244"/>
      <c r="G792" s="244"/>
      <c r="I792" s="244"/>
      <c r="J792" s="244"/>
      <c r="K792" s="246" t="e">
        <f t="shared" si="84"/>
        <v>#VALUE!</v>
      </c>
      <c r="L792" s="246" t="e">
        <f t="shared" si="85"/>
        <v>#VALUE!</v>
      </c>
      <c r="M792" s="247" t="e">
        <f t="shared" si="86"/>
        <v>#VALUE!</v>
      </c>
      <c r="N792" s="246" t="e">
        <f t="shared" si="87"/>
        <v>#VALUE!</v>
      </c>
      <c r="O792" s="247" t="e">
        <f t="shared" si="88"/>
        <v>#VALUE!</v>
      </c>
      <c r="P792" s="247">
        <f t="shared" si="89"/>
        <v>0</v>
      </c>
      <c r="Q792" s="247" t="e">
        <f t="shared" si="90"/>
        <v>#VALUE!</v>
      </c>
    </row>
    <row r="793" spans="1:17" ht="15" customHeight="1" x14ac:dyDescent="0.25">
      <c r="A793" s="244"/>
      <c r="B793" s="244"/>
      <c r="C793" s="244"/>
      <c r="D793" s="244"/>
      <c r="E793" s="244"/>
      <c r="F793" s="244"/>
      <c r="G793" s="244"/>
      <c r="I793" s="244"/>
      <c r="J793" s="244"/>
      <c r="K793" s="246" t="e">
        <f t="shared" si="84"/>
        <v>#VALUE!</v>
      </c>
      <c r="L793" s="246" t="e">
        <f t="shared" si="85"/>
        <v>#VALUE!</v>
      </c>
      <c r="M793" s="247" t="e">
        <f t="shared" si="86"/>
        <v>#VALUE!</v>
      </c>
      <c r="N793" s="246" t="e">
        <f t="shared" si="87"/>
        <v>#VALUE!</v>
      </c>
      <c r="O793" s="247" t="e">
        <f t="shared" si="88"/>
        <v>#VALUE!</v>
      </c>
      <c r="P793" s="247">
        <f t="shared" si="89"/>
        <v>0</v>
      </c>
      <c r="Q793" s="247" t="e">
        <f t="shared" si="90"/>
        <v>#VALUE!</v>
      </c>
    </row>
    <row r="794" spans="1:17" ht="15" customHeight="1" x14ac:dyDescent="0.25">
      <c r="A794" s="244"/>
      <c r="B794" s="244"/>
      <c r="C794" s="244"/>
      <c r="D794" s="244"/>
      <c r="E794" s="244"/>
      <c r="F794" s="244"/>
      <c r="G794" s="244"/>
      <c r="I794" s="244"/>
      <c r="J794" s="244"/>
      <c r="K794" s="246" t="e">
        <f t="shared" si="84"/>
        <v>#VALUE!</v>
      </c>
      <c r="L794" s="246" t="e">
        <f t="shared" si="85"/>
        <v>#VALUE!</v>
      </c>
      <c r="M794" s="247" t="e">
        <f t="shared" si="86"/>
        <v>#VALUE!</v>
      </c>
      <c r="N794" s="246" t="e">
        <f t="shared" si="87"/>
        <v>#VALUE!</v>
      </c>
      <c r="O794" s="247" t="e">
        <f t="shared" si="88"/>
        <v>#VALUE!</v>
      </c>
      <c r="P794" s="247">
        <f t="shared" si="89"/>
        <v>0</v>
      </c>
      <c r="Q794" s="247" t="e">
        <f t="shared" si="90"/>
        <v>#VALUE!</v>
      </c>
    </row>
    <row r="795" spans="1:17" ht="15" customHeight="1" x14ac:dyDescent="0.25">
      <c r="A795" s="244"/>
      <c r="B795" s="244"/>
      <c r="C795" s="244"/>
      <c r="D795" s="244"/>
      <c r="E795" s="244"/>
      <c r="F795" s="244"/>
      <c r="G795" s="244"/>
      <c r="I795" s="244"/>
      <c r="J795" s="244"/>
      <c r="K795" s="246" t="e">
        <f t="shared" si="84"/>
        <v>#VALUE!</v>
      </c>
      <c r="L795" s="246" t="e">
        <f t="shared" si="85"/>
        <v>#VALUE!</v>
      </c>
      <c r="M795" s="247" t="e">
        <f t="shared" si="86"/>
        <v>#VALUE!</v>
      </c>
      <c r="N795" s="246" t="e">
        <f t="shared" si="87"/>
        <v>#VALUE!</v>
      </c>
      <c r="O795" s="247" t="e">
        <f t="shared" si="88"/>
        <v>#VALUE!</v>
      </c>
      <c r="P795" s="247">
        <f t="shared" si="89"/>
        <v>0</v>
      </c>
      <c r="Q795" s="247" t="e">
        <f t="shared" si="90"/>
        <v>#VALUE!</v>
      </c>
    </row>
    <row r="796" spans="1:17" ht="15" customHeight="1" x14ac:dyDescent="0.25">
      <c r="A796" s="244"/>
      <c r="B796" s="244"/>
      <c r="C796" s="244"/>
      <c r="D796" s="244"/>
      <c r="E796" s="244"/>
      <c r="F796" s="244"/>
      <c r="G796" s="244"/>
      <c r="I796" s="244"/>
      <c r="J796" s="244"/>
      <c r="K796" s="246" t="e">
        <f t="shared" si="84"/>
        <v>#VALUE!</v>
      </c>
      <c r="L796" s="246" t="e">
        <f t="shared" si="85"/>
        <v>#VALUE!</v>
      </c>
      <c r="M796" s="247" t="e">
        <f t="shared" si="86"/>
        <v>#VALUE!</v>
      </c>
      <c r="N796" s="246" t="e">
        <f t="shared" si="87"/>
        <v>#VALUE!</v>
      </c>
      <c r="O796" s="247" t="e">
        <f t="shared" si="88"/>
        <v>#VALUE!</v>
      </c>
      <c r="P796" s="247">
        <f t="shared" si="89"/>
        <v>0</v>
      </c>
      <c r="Q796" s="247" t="e">
        <f t="shared" si="90"/>
        <v>#VALUE!</v>
      </c>
    </row>
    <row r="797" spans="1:17" ht="15" customHeight="1" x14ac:dyDescent="0.25">
      <c r="A797" s="244"/>
      <c r="B797" s="244"/>
      <c r="C797" s="244"/>
      <c r="D797" s="244"/>
      <c r="E797" s="244"/>
      <c r="F797" s="244"/>
      <c r="G797" s="244"/>
      <c r="I797" s="244"/>
      <c r="J797" s="244"/>
      <c r="K797" s="246" t="e">
        <f t="shared" si="84"/>
        <v>#VALUE!</v>
      </c>
      <c r="L797" s="246" t="e">
        <f t="shared" si="85"/>
        <v>#VALUE!</v>
      </c>
      <c r="M797" s="247" t="e">
        <f t="shared" si="86"/>
        <v>#VALUE!</v>
      </c>
      <c r="N797" s="246" t="e">
        <f t="shared" si="87"/>
        <v>#VALUE!</v>
      </c>
      <c r="O797" s="247" t="e">
        <f t="shared" si="88"/>
        <v>#VALUE!</v>
      </c>
      <c r="P797" s="247">
        <f t="shared" si="89"/>
        <v>0</v>
      </c>
      <c r="Q797" s="247" t="e">
        <f t="shared" si="90"/>
        <v>#VALUE!</v>
      </c>
    </row>
    <row r="798" spans="1:17" ht="15" customHeight="1" x14ac:dyDescent="0.25">
      <c r="A798" s="244"/>
      <c r="B798" s="244"/>
      <c r="C798" s="244"/>
      <c r="D798" s="244"/>
      <c r="E798" s="244"/>
      <c r="F798" s="244"/>
      <c r="G798" s="244"/>
      <c r="I798" s="244"/>
      <c r="J798" s="244"/>
      <c r="K798" s="246" t="e">
        <f t="shared" si="84"/>
        <v>#VALUE!</v>
      </c>
      <c r="L798" s="246" t="e">
        <f t="shared" si="85"/>
        <v>#VALUE!</v>
      </c>
      <c r="M798" s="247" t="e">
        <f t="shared" si="86"/>
        <v>#VALUE!</v>
      </c>
      <c r="N798" s="246" t="e">
        <f t="shared" si="87"/>
        <v>#VALUE!</v>
      </c>
      <c r="O798" s="247" t="e">
        <f t="shared" si="88"/>
        <v>#VALUE!</v>
      </c>
      <c r="P798" s="247">
        <f t="shared" si="89"/>
        <v>0</v>
      </c>
      <c r="Q798" s="247" t="e">
        <f t="shared" si="90"/>
        <v>#VALUE!</v>
      </c>
    </row>
    <row r="799" spans="1:17" ht="15" customHeight="1" x14ac:dyDescent="0.25">
      <c r="A799" s="244"/>
      <c r="B799" s="244"/>
      <c r="C799" s="244"/>
      <c r="D799" s="244"/>
      <c r="E799" s="244"/>
      <c r="F799" s="244"/>
      <c r="G799" s="244"/>
      <c r="I799" s="244"/>
      <c r="J799" s="244"/>
      <c r="K799" s="246" t="e">
        <f t="shared" si="84"/>
        <v>#VALUE!</v>
      </c>
      <c r="L799" s="246" t="e">
        <f t="shared" si="85"/>
        <v>#VALUE!</v>
      </c>
      <c r="M799" s="247" t="e">
        <f t="shared" si="86"/>
        <v>#VALUE!</v>
      </c>
      <c r="N799" s="246" t="e">
        <f t="shared" si="87"/>
        <v>#VALUE!</v>
      </c>
      <c r="O799" s="247" t="e">
        <f t="shared" si="88"/>
        <v>#VALUE!</v>
      </c>
      <c r="P799" s="247">
        <f t="shared" si="89"/>
        <v>0</v>
      </c>
      <c r="Q799" s="247" t="e">
        <f t="shared" si="90"/>
        <v>#VALUE!</v>
      </c>
    </row>
    <row r="800" spans="1:17" ht="15" customHeight="1" x14ac:dyDescent="0.25">
      <c r="A800" s="244"/>
      <c r="B800" s="244"/>
      <c r="C800" s="244"/>
      <c r="D800" s="244"/>
      <c r="E800" s="244"/>
      <c r="F800" s="244"/>
      <c r="G800" s="244"/>
      <c r="I800" s="244"/>
      <c r="J800" s="244"/>
      <c r="K800" s="246" t="e">
        <f t="shared" si="84"/>
        <v>#VALUE!</v>
      </c>
      <c r="L800" s="246" t="e">
        <f t="shared" si="85"/>
        <v>#VALUE!</v>
      </c>
      <c r="M800" s="247" t="e">
        <f t="shared" si="86"/>
        <v>#VALUE!</v>
      </c>
      <c r="N800" s="246" t="e">
        <f t="shared" si="87"/>
        <v>#VALUE!</v>
      </c>
      <c r="O800" s="247" t="e">
        <f t="shared" si="88"/>
        <v>#VALUE!</v>
      </c>
      <c r="P800" s="247">
        <f t="shared" si="89"/>
        <v>0</v>
      </c>
      <c r="Q800" s="247" t="e">
        <f t="shared" si="90"/>
        <v>#VALUE!</v>
      </c>
    </row>
    <row r="801" spans="1:17" ht="15" customHeight="1" x14ac:dyDescent="0.25">
      <c r="A801" s="244"/>
      <c r="B801" s="244"/>
      <c r="C801" s="244"/>
      <c r="D801" s="244"/>
      <c r="E801" s="244"/>
      <c r="F801" s="244"/>
      <c r="G801" s="244"/>
      <c r="I801" s="244"/>
      <c r="J801" s="244"/>
      <c r="K801" s="246" t="e">
        <f t="shared" si="84"/>
        <v>#VALUE!</v>
      </c>
      <c r="L801" s="246" t="e">
        <f t="shared" si="85"/>
        <v>#VALUE!</v>
      </c>
      <c r="M801" s="247" t="e">
        <f t="shared" si="86"/>
        <v>#VALUE!</v>
      </c>
      <c r="N801" s="246" t="e">
        <f t="shared" si="87"/>
        <v>#VALUE!</v>
      </c>
      <c r="O801" s="247" t="e">
        <f t="shared" si="88"/>
        <v>#VALUE!</v>
      </c>
      <c r="P801" s="247">
        <f t="shared" si="89"/>
        <v>0</v>
      </c>
      <c r="Q801" s="247" t="e">
        <f t="shared" si="90"/>
        <v>#VALUE!</v>
      </c>
    </row>
    <row r="802" spans="1:17" ht="15" customHeight="1" x14ac:dyDescent="0.25">
      <c r="A802" s="244"/>
      <c r="B802" s="244"/>
      <c r="C802" s="244"/>
      <c r="D802" s="244"/>
      <c r="E802" s="244"/>
      <c r="F802" s="244"/>
      <c r="G802" s="244"/>
      <c r="I802" s="244"/>
      <c r="J802" s="244"/>
      <c r="K802" s="246" t="e">
        <f t="shared" si="84"/>
        <v>#VALUE!</v>
      </c>
      <c r="L802" s="246" t="e">
        <f t="shared" si="85"/>
        <v>#VALUE!</v>
      </c>
      <c r="M802" s="247" t="e">
        <f t="shared" si="86"/>
        <v>#VALUE!</v>
      </c>
      <c r="N802" s="246" t="e">
        <f t="shared" si="87"/>
        <v>#VALUE!</v>
      </c>
      <c r="O802" s="247" t="e">
        <f t="shared" si="88"/>
        <v>#VALUE!</v>
      </c>
      <c r="P802" s="247">
        <f t="shared" si="89"/>
        <v>0</v>
      </c>
      <c r="Q802" s="247" t="e">
        <f t="shared" si="90"/>
        <v>#VALUE!</v>
      </c>
    </row>
    <row r="803" spans="1:17" ht="15" customHeight="1" x14ac:dyDescent="0.25">
      <c r="A803" s="244"/>
      <c r="B803" s="244"/>
      <c r="C803" s="244"/>
      <c r="D803" s="244"/>
      <c r="E803" s="244"/>
      <c r="F803" s="244"/>
      <c r="G803" s="244"/>
      <c r="I803" s="244"/>
      <c r="J803" s="244"/>
      <c r="K803" s="246" t="e">
        <f t="shared" si="84"/>
        <v>#VALUE!</v>
      </c>
      <c r="L803" s="246" t="e">
        <f t="shared" si="85"/>
        <v>#VALUE!</v>
      </c>
      <c r="M803" s="247" t="e">
        <f t="shared" si="86"/>
        <v>#VALUE!</v>
      </c>
      <c r="N803" s="246" t="e">
        <f t="shared" si="87"/>
        <v>#VALUE!</v>
      </c>
      <c r="O803" s="247" t="e">
        <f t="shared" si="88"/>
        <v>#VALUE!</v>
      </c>
      <c r="P803" s="247">
        <f t="shared" si="89"/>
        <v>0</v>
      </c>
      <c r="Q803" s="247" t="e">
        <f t="shared" si="90"/>
        <v>#VALUE!</v>
      </c>
    </row>
    <row r="804" spans="1:17" ht="15" customHeight="1" x14ac:dyDescent="0.25">
      <c r="A804" s="244"/>
      <c r="B804" s="244"/>
      <c r="C804" s="244"/>
      <c r="D804" s="244"/>
      <c r="E804" s="244"/>
      <c r="F804" s="244"/>
      <c r="G804" s="244"/>
      <c r="I804" s="244"/>
      <c r="J804" s="244"/>
      <c r="K804" s="246" t="e">
        <f t="shared" si="84"/>
        <v>#VALUE!</v>
      </c>
      <c r="L804" s="246" t="e">
        <f t="shared" si="85"/>
        <v>#VALUE!</v>
      </c>
      <c r="M804" s="247" t="e">
        <f t="shared" si="86"/>
        <v>#VALUE!</v>
      </c>
      <c r="N804" s="246" t="e">
        <f t="shared" si="87"/>
        <v>#VALUE!</v>
      </c>
      <c r="O804" s="247" t="e">
        <f t="shared" si="88"/>
        <v>#VALUE!</v>
      </c>
      <c r="P804" s="247">
        <f t="shared" si="89"/>
        <v>0</v>
      </c>
      <c r="Q804" s="247" t="e">
        <f t="shared" si="90"/>
        <v>#VALUE!</v>
      </c>
    </row>
    <row r="805" spans="1:17" ht="15" customHeight="1" x14ac:dyDescent="0.25">
      <c r="A805" s="244"/>
      <c r="B805" s="244"/>
      <c r="C805" s="244"/>
      <c r="D805" s="244"/>
      <c r="E805" s="244"/>
      <c r="F805" s="244"/>
      <c r="G805" s="244"/>
      <c r="I805" s="244"/>
      <c r="J805" s="244"/>
      <c r="K805" s="246" t="e">
        <f t="shared" si="84"/>
        <v>#VALUE!</v>
      </c>
      <c r="L805" s="246" t="e">
        <f t="shared" si="85"/>
        <v>#VALUE!</v>
      </c>
      <c r="M805" s="247" t="e">
        <f t="shared" si="86"/>
        <v>#VALUE!</v>
      </c>
      <c r="N805" s="246" t="e">
        <f t="shared" si="87"/>
        <v>#VALUE!</v>
      </c>
      <c r="O805" s="247" t="e">
        <f t="shared" si="88"/>
        <v>#VALUE!</v>
      </c>
      <c r="P805" s="247">
        <f t="shared" si="89"/>
        <v>0</v>
      </c>
      <c r="Q805" s="247" t="e">
        <f t="shared" si="90"/>
        <v>#VALUE!</v>
      </c>
    </row>
    <row r="806" spans="1:17" ht="15" customHeight="1" x14ac:dyDescent="0.25">
      <c r="A806" s="244"/>
      <c r="B806" s="244"/>
      <c r="C806" s="244"/>
      <c r="D806" s="244"/>
      <c r="E806" s="244"/>
      <c r="F806" s="244"/>
      <c r="G806" s="244"/>
      <c r="I806" s="244"/>
      <c r="J806" s="244"/>
      <c r="K806" s="246" t="e">
        <f t="shared" si="84"/>
        <v>#VALUE!</v>
      </c>
      <c r="L806" s="246" t="e">
        <f t="shared" si="85"/>
        <v>#VALUE!</v>
      </c>
      <c r="M806" s="247" t="e">
        <f t="shared" si="86"/>
        <v>#VALUE!</v>
      </c>
      <c r="N806" s="246" t="e">
        <f t="shared" si="87"/>
        <v>#VALUE!</v>
      </c>
      <c r="O806" s="247" t="e">
        <f t="shared" si="88"/>
        <v>#VALUE!</v>
      </c>
      <c r="P806" s="247">
        <f t="shared" si="89"/>
        <v>0</v>
      </c>
      <c r="Q806" s="247" t="e">
        <f t="shared" si="90"/>
        <v>#VALUE!</v>
      </c>
    </row>
    <row r="807" spans="1:17" ht="15" customHeight="1" x14ac:dyDescent="0.25">
      <c r="A807" s="244"/>
      <c r="B807" s="244"/>
      <c r="C807" s="244"/>
      <c r="D807" s="244"/>
      <c r="E807" s="244"/>
      <c r="F807" s="244"/>
      <c r="G807" s="244"/>
      <c r="I807" s="244"/>
      <c r="J807" s="244"/>
      <c r="K807" s="246" t="e">
        <f t="shared" si="84"/>
        <v>#VALUE!</v>
      </c>
      <c r="L807" s="246" t="e">
        <f t="shared" si="85"/>
        <v>#VALUE!</v>
      </c>
      <c r="M807" s="247" t="e">
        <f t="shared" si="86"/>
        <v>#VALUE!</v>
      </c>
      <c r="N807" s="246" t="e">
        <f t="shared" si="87"/>
        <v>#VALUE!</v>
      </c>
      <c r="O807" s="247" t="e">
        <f t="shared" si="88"/>
        <v>#VALUE!</v>
      </c>
      <c r="P807" s="247">
        <f t="shared" si="89"/>
        <v>0</v>
      </c>
      <c r="Q807" s="247" t="e">
        <f t="shared" si="90"/>
        <v>#VALUE!</v>
      </c>
    </row>
    <row r="808" spans="1:17" ht="15" customHeight="1" x14ac:dyDescent="0.25">
      <c r="A808" s="244"/>
      <c r="B808" s="244"/>
      <c r="C808" s="244"/>
      <c r="D808" s="244"/>
      <c r="E808" s="244"/>
      <c r="F808" s="244"/>
      <c r="G808" s="244"/>
      <c r="I808" s="244"/>
      <c r="J808" s="244"/>
      <c r="K808" s="246" t="e">
        <f t="shared" si="84"/>
        <v>#VALUE!</v>
      </c>
      <c r="L808" s="246" t="e">
        <f t="shared" si="85"/>
        <v>#VALUE!</v>
      </c>
      <c r="M808" s="247" t="e">
        <f t="shared" si="86"/>
        <v>#VALUE!</v>
      </c>
      <c r="N808" s="246" t="e">
        <f t="shared" si="87"/>
        <v>#VALUE!</v>
      </c>
      <c r="O808" s="247" t="e">
        <f t="shared" si="88"/>
        <v>#VALUE!</v>
      </c>
      <c r="P808" s="247">
        <f t="shared" si="89"/>
        <v>0</v>
      </c>
      <c r="Q808" s="247" t="e">
        <f t="shared" si="90"/>
        <v>#VALUE!</v>
      </c>
    </row>
    <row r="809" spans="1:17" ht="15" customHeight="1" x14ac:dyDescent="0.25">
      <c r="A809" s="244"/>
      <c r="B809" s="244"/>
      <c r="C809" s="244"/>
      <c r="D809" s="244"/>
      <c r="E809" s="244"/>
      <c r="F809" s="244"/>
      <c r="G809" s="244"/>
      <c r="I809" s="244"/>
      <c r="J809" s="244"/>
      <c r="K809" s="246" t="e">
        <f t="shared" si="84"/>
        <v>#VALUE!</v>
      </c>
      <c r="L809" s="246" t="e">
        <f t="shared" si="85"/>
        <v>#VALUE!</v>
      </c>
      <c r="M809" s="247" t="e">
        <f t="shared" si="86"/>
        <v>#VALUE!</v>
      </c>
      <c r="N809" s="246" t="e">
        <f t="shared" si="87"/>
        <v>#VALUE!</v>
      </c>
      <c r="O809" s="247" t="e">
        <f t="shared" si="88"/>
        <v>#VALUE!</v>
      </c>
      <c r="P809" s="247">
        <f t="shared" si="89"/>
        <v>0</v>
      </c>
      <c r="Q809" s="247" t="e">
        <f t="shared" si="90"/>
        <v>#VALUE!</v>
      </c>
    </row>
    <row r="810" spans="1:17" ht="15" customHeight="1" x14ac:dyDescent="0.25">
      <c r="A810" s="244"/>
      <c r="B810" s="244"/>
      <c r="C810" s="244"/>
      <c r="D810" s="244"/>
      <c r="E810" s="244"/>
      <c r="F810" s="244"/>
      <c r="G810" s="244"/>
      <c r="I810" s="244"/>
      <c r="J810" s="244"/>
      <c r="K810" s="246" t="e">
        <f t="shared" si="84"/>
        <v>#VALUE!</v>
      </c>
      <c r="L810" s="246" t="e">
        <f t="shared" si="85"/>
        <v>#VALUE!</v>
      </c>
      <c r="M810" s="247" t="e">
        <f t="shared" si="86"/>
        <v>#VALUE!</v>
      </c>
      <c r="N810" s="246" t="e">
        <f t="shared" si="87"/>
        <v>#VALUE!</v>
      </c>
      <c r="O810" s="247" t="e">
        <f t="shared" si="88"/>
        <v>#VALUE!</v>
      </c>
      <c r="P810" s="247">
        <f t="shared" si="89"/>
        <v>0</v>
      </c>
      <c r="Q810" s="247" t="e">
        <f t="shared" si="90"/>
        <v>#VALUE!</v>
      </c>
    </row>
    <row r="811" spans="1:17" ht="15" customHeight="1" x14ac:dyDescent="0.25">
      <c r="A811" s="244"/>
      <c r="B811" s="244"/>
      <c r="C811" s="244"/>
      <c r="D811" s="244"/>
      <c r="E811" s="244"/>
      <c r="F811" s="244"/>
      <c r="G811" s="244"/>
      <c r="I811" s="244"/>
      <c r="J811" s="244"/>
      <c r="K811" s="246" t="e">
        <f t="shared" si="84"/>
        <v>#VALUE!</v>
      </c>
      <c r="L811" s="246" t="e">
        <f t="shared" si="85"/>
        <v>#VALUE!</v>
      </c>
      <c r="M811" s="247" t="e">
        <f t="shared" si="86"/>
        <v>#VALUE!</v>
      </c>
      <c r="N811" s="246" t="e">
        <f t="shared" si="87"/>
        <v>#VALUE!</v>
      </c>
      <c r="O811" s="247" t="e">
        <f t="shared" si="88"/>
        <v>#VALUE!</v>
      </c>
      <c r="P811" s="247">
        <f t="shared" si="89"/>
        <v>0</v>
      </c>
      <c r="Q811" s="247" t="e">
        <f t="shared" si="90"/>
        <v>#VALUE!</v>
      </c>
    </row>
    <row r="812" spans="1:17" ht="15" customHeight="1" x14ac:dyDescent="0.25">
      <c r="A812" s="244"/>
      <c r="B812" s="244"/>
      <c r="C812" s="244"/>
      <c r="D812" s="244"/>
      <c r="E812" s="244"/>
      <c r="F812" s="244"/>
      <c r="G812" s="244"/>
      <c r="I812" s="244"/>
      <c r="J812" s="244"/>
      <c r="K812" s="246" t="e">
        <f t="shared" si="84"/>
        <v>#VALUE!</v>
      </c>
      <c r="L812" s="246" t="e">
        <f t="shared" si="85"/>
        <v>#VALUE!</v>
      </c>
      <c r="M812" s="247" t="e">
        <f t="shared" si="86"/>
        <v>#VALUE!</v>
      </c>
      <c r="N812" s="246" t="e">
        <f t="shared" si="87"/>
        <v>#VALUE!</v>
      </c>
      <c r="O812" s="247" t="e">
        <f t="shared" si="88"/>
        <v>#VALUE!</v>
      </c>
      <c r="P812" s="247">
        <f t="shared" si="89"/>
        <v>0</v>
      </c>
      <c r="Q812" s="247" t="e">
        <f t="shared" si="90"/>
        <v>#VALUE!</v>
      </c>
    </row>
    <row r="813" spans="1:17" ht="15" customHeight="1" x14ac:dyDescent="0.25">
      <c r="A813" s="244"/>
      <c r="B813" s="244"/>
      <c r="C813" s="244"/>
      <c r="D813" s="244"/>
      <c r="E813" s="244"/>
      <c r="F813" s="244"/>
      <c r="G813" s="244"/>
      <c r="I813" s="244"/>
      <c r="J813" s="244"/>
      <c r="K813" s="246" t="e">
        <f t="shared" si="84"/>
        <v>#VALUE!</v>
      </c>
      <c r="L813" s="246" t="e">
        <f t="shared" si="85"/>
        <v>#VALUE!</v>
      </c>
      <c r="M813" s="247" t="e">
        <f t="shared" si="86"/>
        <v>#VALUE!</v>
      </c>
      <c r="N813" s="246" t="e">
        <f t="shared" si="87"/>
        <v>#VALUE!</v>
      </c>
      <c r="O813" s="247" t="e">
        <f t="shared" si="88"/>
        <v>#VALUE!</v>
      </c>
      <c r="P813" s="247">
        <f t="shared" si="89"/>
        <v>0</v>
      </c>
      <c r="Q813" s="247" t="e">
        <f t="shared" si="90"/>
        <v>#VALUE!</v>
      </c>
    </row>
    <row r="814" spans="1:17" ht="15" customHeight="1" x14ac:dyDescent="0.25">
      <c r="A814" s="244"/>
      <c r="B814" s="244"/>
      <c r="C814" s="244"/>
      <c r="D814" s="244"/>
      <c r="E814" s="244"/>
      <c r="F814" s="244"/>
      <c r="G814" s="244"/>
      <c r="I814" s="244"/>
      <c r="J814" s="244"/>
      <c r="K814" s="246" t="e">
        <f t="shared" si="84"/>
        <v>#VALUE!</v>
      </c>
      <c r="L814" s="246" t="e">
        <f t="shared" si="85"/>
        <v>#VALUE!</v>
      </c>
      <c r="M814" s="247" t="e">
        <f t="shared" si="86"/>
        <v>#VALUE!</v>
      </c>
      <c r="N814" s="246" t="e">
        <f t="shared" si="87"/>
        <v>#VALUE!</v>
      </c>
      <c r="O814" s="247" t="e">
        <f t="shared" si="88"/>
        <v>#VALUE!</v>
      </c>
      <c r="P814" s="247">
        <f t="shared" si="89"/>
        <v>0</v>
      </c>
      <c r="Q814" s="247" t="e">
        <f t="shared" si="90"/>
        <v>#VALUE!</v>
      </c>
    </row>
    <row r="815" spans="1:17" ht="15" customHeight="1" x14ac:dyDescent="0.25">
      <c r="A815" s="244"/>
      <c r="B815" s="244"/>
      <c r="C815" s="244"/>
      <c r="D815" s="244"/>
      <c r="E815" s="244"/>
      <c r="F815" s="244"/>
      <c r="G815" s="244"/>
      <c r="I815" s="244"/>
      <c r="J815" s="244"/>
      <c r="K815" s="246" t="e">
        <f t="shared" si="84"/>
        <v>#VALUE!</v>
      </c>
      <c r="L815" s="246" t="e">
        <f t="shared" si="85"/>
        <v>#VALUE!</v>
      </c>
      <c r="M815" s="247" t="e">
        <f t="shared" si="86"/>
        <v>#VALUE!</v>
      </c>
      <c r="N815" s="246" t="e">
        <f t="shared" si="87"/>
        <v>#VALUE!</v>
      </c>
      <c r="O815" s="247" t="e">
        <f t="shared" si="88"/>
        <v>#VALUE!</v>
      </c>
      <c r="P815" s="247">
        <f t="shared" si="89"/>
        <v>0</v>
      </c>
      <c r="Q815" s="247" t="e">
        <f t="shared" si="90"/>
        <v>#VALUE!</v>
      </c>
    </row>
    <row r="816" spans="1:17" ht="15" customHeight="1" x14ac:dyDescent="0.25">
      <c r="A816" s="244"/>
      <c r="B816" s="244"/>
      <c r="C816" s="244"/>
      <c r="D816" s="244"/>
      <c r="E816" s="244"/>
      <c r="F816" s="244"/>
      <c r="G816" s="244"/>
      <c r="I816" s="244"/>
      <c r="J816" s="244"/>
      <c r="K816" s="246" t="e">
        <f t="shared" si="84"/>
        <v>#VALUE!</v>
      </c>
      <c r="L816" s="246" t="e">
        <f t="shared" si="85"/>
        <v>#VALUE!</v>
      </c>
      <c r="M816" s="247" t="e">
        <f t="shared" si="86"/>
        <v>#VALUE!</v>
      </c>
      <c r="N816" s="246" t="e">
        <f t="shared" si="87"/>
        <v>#VALUE!</v>
      </c>
      <c r="O816" s="247" t="e">
        <f t="shared" si="88"/>
        <v>#VALUE!</v>
      </c>
      <c r="P816" s="247">
        <f t="shared" si="89"/>
        <v>0</v>
      </c>
      <c r="Q816" s="247" t="e">
        <f t="shared" si="90"/>
        <v>#VALUE!</v>
      </c>
    </row>
    <row r="817" spans="1:17" ht="15" customHeight="1" x14ac:dyDescent="0.25">
      <c r="A817" s="244"/>
      <c r="B817" s="244"/>
      <c r="C817" s="244"/>
      <c r="D817" s="244"/>
      <c r="E817" s="244"/>
      <c r="F817" s="244"/>
      <c r="G817" s="244"/>
      <c r="I817" s="244"/>
      <c r="J817" s="244"/>
      <c r="K817" s="246" t="e">
        <f t="shared" si="84"/>
        <v>#VALUE!</v>
      </c>
      <c r="L817" s="246" t="e">
        <f t="shared" si="85"/>
        <v>#VALUE!</v>
      </c>
      <c r="M817" s="247" t="e">
        <f t="shared" si="86"/>
        <v>#VALUE!</v>
      </c>
      <c r="N817" s="246" t="e">
        <f t="shared" si="87"/>
        <v>#VALUE!</v>
      </c>
      <c r="O817" s="247" t="e">
        <f t="shared" si="88"/>
        <v>#VALUE!</v>
      </c>
      <c r="P817" s="247">
        <f t="shared" si="89"/>
        <v>0</v>
      </c>
      <c r="Q817" s="247" t="e">
        <f t="shared" si="90"/>
        <v>#VALUE!</v>
      </c>
    </row>
    <row r="818" spans="1:17" ht="15" customHeight="1" x14ac:dyDescent="0.25">
      <c r="A818" s="244"/>
      <c r="B818" s="244"/>
      <c r="C818" s="244"/>
      <c r="D818" s="244"/>
      <c r="E818" s="244"/>
      <c r="F818" s="244"/>
      <c r="G818" s="244"/>
      <c r="I818" s="244"/>
      <c r="J818" s="244"/>
      <c r="K818" s="246" t="e">
        <f t="shared" si="84"/>
        <v>#VALUE!</v>
      </c>
      <c r="L818" s="246" t="e">
        <f t="shared" si="85"/>
        <v>#VALUE!</v>
      </c>
      <c r="M818" s="247" t="e">
        <f t="shared" si="86"/>
        <v>#VALUE!</v>
      </c>
      <c r="N818" s="246" t="e">
        <f t="shared" si="87"/>
        <v>#VALUE!</v>
      </c>
      <c r="O818" s="247" t="e">
        <f t="shared" si="88"/>
        <v>#VALUE!</v>
      </c>
      <c r="P818" s="247">
        <f t="shared" si="89"/>
        <v>0</v>
      </c>
      <c r="Q818" s="247" t="e">
        <f t="shared" si="90"/>
        <v>#VALUE!</v>
      </c>
    </row>
    <row r="819" spans="1:17" ht="15" customHeight="1" x14ac:dyDescent="0.25">
      <c r="A819" s="244"/>
      <c r="B819" s="244"/>
      <c r="C819" s="244"/>
      <c r="D819" s="244"/>
      <c r="E819" s="244"/>
      <c r="F819" s="244"/>
      <c r="G819" s="244"/>
      <c r="I819" s="244"/>
      <c r="J819" s="244"/>
      <c r="K819" s="246" t="e">
        <f t="shared" si="84"/>
        <v>#VALUE!</v>
      </c>
      <c r="L819" s="246" t="e">
        <f t="shared" si="85"/>
        <v>#VALUE!</v>
      </c>
      <c r="M819" s="247" t="e">
        <f t="shared" si="86"/>
        <v>#VALUE!</v>
      </c>
      <c r="N819" s="246" t="e">
        <f t="shared" si="87"/>
        <v>#VALUE!</v>
      </c>
      <c r="O819" s="247" t="e">
        <f t="shared" si="88"/>
        <v>#VALUE!</v>
      </c>
      <c r="P819" s="247">
        <f t="shared" si="89"/>
        <v>0</v>
      </c>
      <c r="Q819" s="247" t="e">
        <f t="shared" si="90"/>
        <v>#VALUE!</v>
      </c>
    </row>
    <row r="820" spans="1:17" ht="15" customHeight="1" x14ac:dyDescent="0.25">
      <c r="A820" s="244"/>
      <c r="B820" s="244"/>
      <c r="C820" s="244"/>
      <c r="D820" s="244"/>
      <c r="E820" s="244"/>
      <c r="F820" s="244"/>
      <c r="G820" s="244"/>
      <c r="I820" s="244"/>
      <c r="J820" s="244"/>
      <c r="K820" s="246" t="e">
        <f t="shared" si="84"/>
        <v>#VALUE!</v>
      </c>
      <c r="L820" s="246" t="e">
        <f t="shared" si="85"/>
        <v>#VALUE!</v>
      </c>
      <c r="M820" s="247" t="e">
        <f t="shared" si="86"/>
        <v>#VALUE!</v>
      </c>
      <c r="N820" s="246" t="e">
        <f t="shared" si="87"/>
        <v>#VALUE!</v>
      </c>
      <c r="O820" s="247" t="e">
        <f t="shared" si="88"/>
        <v>#VALUE!</v>
      </c>
      <c r="P820" s="247">
        <f t="shared" si="89"/>
        <v>0</v>
      </c>
      <c r="Q820" s="247" t="e">
        <f t="shared" si="90"/>
        <v>#VALUE!</v>
      </c>
    </row>
    <row r="821" spans="1:17" ht="15" customHeight="1" x14ac:dyDescent="0.25">
      <c r="A821" s="244"/>
      <c r="B821" s="244"/>
      <c r="C821" s="244"/>
      <c r="D821" s="244"/>
      <c r="E821" s="244"/>
      <c r="F821" s="244"/>
      <c r="G821" s="244"/>
      <c r="I821" s="244"/>
      <c r="J821" s="244"/>
      <c r="K821" s="246" t="e">
        <f t="shared" si="84"/>
        <v>#VALUE!</v>
      </c>
      <c r="L821" s="246" t="e">
        <f t="shared" si="85"/>
        <v>#VALUE!</v>
      </c>
      <c r="M821" s="247" t="e">
        <f t="shared" si="86"/>
        <v>#VALUE!</v>
      </c>
      <c r="N821" s="246" t="e">
        <f t="shared" si="87"/>
        <v>#VALUE!</v>
      </c>
      <c r="O821" s="247" t="e">
        <f t="shared" si="88"/>
        <v>#VALUE!</v>
      </c>
      <c r="P821" s="247">
        <f t="shared" si="89"/>
        <v>0</v>
      </c>
      <c r="Q821" s="247" t="e">
        <f t="shared" si="90"/>
        <v>#VALUE!</v>
      </c>
    </row>
    <row r="822" spans="1:17" ht="15" customHeight="1" x14ac:dyDescent="0.25">
      <c r="A822" s="244"/>
      <c r="B822" s="244"/>
      <c r="C822" s="244"/>
      <c r="D822" s="244"/>
      <c r="E822" s="244"/>
      <c r="F822" s="244"/>
      <c r="G822" s="244"/>
      <c r="I822" s="244"/>
      <c r="J822" s="244"/>
      <c r="K822" s="246" t="e">
        <f t="shared" si="84"/>
        <v>#VALUE!</v>
      </c>
      <c r="L822" s="246" t="e">
        <f t="shared" si="85"/>
        <v>#VALUE!</v>
      </c>
      <c r="M822" s="247" t="e">
        <f t="shared" si="86"/>
        <v>#VALUE!</v>
      </c>
      <c r="N822" s="246" t="e">
        <f t="shared" si="87"/>
        <v>#VALUE!</v>
      </c>
      <c r="O822" s="247" t="e">
        <f t="shared" si="88"/>
        <v>#VALUE!</v>
      </c>
      <c r="P822" s="247">
        <f t="shared" si="89"/>
        <v>0</v>
      </c>
      <c r="Q822" s="247" t="e">
        <f t="shared" si="90"/>
        <v>#VALUE!</v>
      </c>
    </row>
    <row r="823" spans="1:17" ht="15" customHeight="1" x14ac:dyDescent="0.25">
      <c r="A823" s="244"/>
      <c r="B823" s="244"/>
      <c r="C823" s="244"/>
      <c r="D823" s="244"/>
      <c r="E823" s="244"/>
      <c r="F823" s="244"/>
      <c r="G823" s="244"/>
      <c r="I823" s="244"/>
      <c r="J823" s="244"/>
      <c r="K823" s="246" t="e">
        <f t="shared" si="84"/>
        <v>#VALUE!</v>
      </c>
      <c r="L823" s="246" t="e">
        <f t="shared" si="85"/>
        <v>#VALUE!</v>
      </c>
      <c r="M823" s="247" t="e">
        <f t="shared" si="86"/>
        <v>#VALUE!</v>
      </c>
      <c r="N823" s="246" t="e">
        <f t="shared" si="87"/>
        <v>#VALUE!</v>
      </c>
      <c r="O823" s="247" t="e">
        <f t="shared" si="88"/>
        <v>#VALUE!</v>
      </c>
      <c r="P823" s="247">
        <f t="shared" si="89"/>
        <v>0</v>
      </c>
      <c r="Q823" s="247" t="e">
        <f t="shared" si="90"/>
        <v>#VALUE!</v>
      </c>
    </row>
    <row r="824" spans="1:17" ht="15" customHeight="1" x14ac:dyDescent="0.25">
      <c r="A824" s="244"/>
      <c r="B824" s="244"/>
      <c r="C824" s="244"/>
      <c r="D824" s="244"/>
      <c r="E824" s="244"/>
      <c r="F824" s="244"/>
      <c r="G824" s="244"/>
      <c r="I824" s="244"/>
      <c r="J824" s="244"/>
      <c r="K824" s="246" t="e">
        <f t="shared" si="84"/>
        <v>#VALUE!</v>
      </c>
      <c r="L824" s="246" t="e">
        <f t="shared" si="85"/>
        <v>#VALUE!</v>
      </c>
      <c r="M824" s="247" t="e">
        <f t="shared" si="86"/>
        <v>#VALUE!</v>
      </c>
      <c r="N824" s="246" t="e">
        <f t="shared" si="87"/>
        <v>#VALUE!</v>
      </c>
      <c r="O824" s="247" t="e">
        <f t="shared" si="88"/>
        <v>#VALUE!</v>
      </c>
      <c r="P824" s="247">
        <f t="shared" si="89"/>
        <v>0</v>
      </c>
      <c r="Q824" s="247" t="e">
        <f t="shared" si="90"/>
        <v>#VALUE!</v>
      </c>
    </row>
    <row r="825" spans="1:17" ht="15" customHeight="1" x14ac:dyDescent="0.25">
      <c r="A825" s="244"/>
      <c r="B825" s="244"/>
      <c r="C825" s="244"/>
      <c r="D825" s="244"/>
      <c r="E825" s="244"/>
      <c r="F825" s="244"/>
      <c r="G825" s="244"/>
      <c r="I825" s="244"/>
      <c r="J825" s="244"/>
      <c r="K825" s="246" t="e">
        <f t="shared" si="84"/>
        <v>#VALUE!</v>
      </c>
      <c r="L825" s="246" t="e">
        <f t="shared" si="85"/>
        <v>#VALUE!</v>
      </c>
      <c r="M825" s="247" t="e">
        <f t="shared" si="86"/>
        <v>#VALUE!</v>
      </c>
      <c r="N825" s="246" t="e">
        <f t="shared" si="87"/>
        <v>#VALUE!</v>
      </c>
      <c r="O825" s="247" t="e">
        <f t="shared" si="88"/>
        <v>#VALUE!</v>
      </c>
      <c r="P825" s="247">
        <f t="shared" si="89"/>
        <v>0</v>
      </c>
      <c r="Q825" s="247" t="e">
        <f t="shared" si="90"/>
        <v>#VALUE!</v>
      </c>
    </row>
    <row r="826" spans="1:17" ht="15" customHeight="1" x14ac:dyDescent="0.25">
      <c r="A826" s="244"/>
      <c r="B826" s="244"/>
      <c r="C826" s="244"/>
      <c r="D826" s="244"/>
      <c r="E826" s="244"/>
      <c r="F826" s="244"/>
      <c r="G826" s="244"/>
      <c r="I826" s="244"/>
      <c r="J826" s="244"/>
      <c r="K826" s="246" t="e">
        <f t="shared" si="84"/>
        <v>#VALUE!</v>
      </c>
      <c r="L826" s="246" t="e">
        <f t="shared" si="85"/>
        <v>#VALUE!</v>
      </c>
      <c r="M826" s="247" t="e">
        <f t="shared" si="86"/>
        <v>#VALUE!</v>
      </c>
      <c r="N826" s="246" t="e">
        <f t="shared" si="87"/>
        <v>#VALUE!</v>
      </c>
      <c r="O826" s="247" t="e">
        <f t="shared" si="88"/>
        <v>#VALUE!</v>
      </c>
      <c r="P826" s="247">
        <f t="shared" si="89"/>
        <v>0</v>
      </c>
      <c r="Q826" s="247" t="e">
        <f t="shared" si="90"/>
        <v>#VALUE!</v>
      </c>
    </row>
    <row r="827" spans="1:17" ht="15" customHeight="1" x14ac:dyDescent="0.25">
      <c r="A827" s="244"/>
      <c r="B827" s="244"/>
      <c r="C827" s="244"/>
      <c r="D827" s="244"/>
      <c r="E827" s="244"/>
      <c r="F827" s="244"/>
      <c r="G827" s="244"/>
      <c r="I827" s="244"/>
      <c r="J827" s="244"/>
      <c r="K827" s="246" t="e">
        <f t="shared" si="84"/>
        <v>#VALUE!</v>
      </c>
      <c r="L827" s="246" t="e">
        <f t="shared" si="85"/>
        <v>#VALUE!</v>
      </c>
      <c r="M827" s="247" t="e">
        <f t="shared" si="86"/>
        <v>#VALUE!</v>
      </c>
      <c r="N827" s="246" t="e">
        <f t="shared" si="87"/>
        <v>#VALUE!</v>
      </c>
      <c r="O827" s="247" t="e">
        <f t="shared" si="88"/>
        <v>#VALUE!</v>
      </c>
      <c r="P827" s="247">
        <f t="shared" si="89"/>
        <v>0</v>
      </c>
      <c r="Q827" s="247" t="e">
        <f t="shared" si="90"/>
        <v>#VALUE!</v>
      </c>
    </row>
    <row r="828" spans="1:17" ht="15" customHeight="1" x14ac:dyDescent="0.25">
      <c r="A828" s="244"/>
      <c r="B828" s="244"/>
      <c r="C828" s="244"/>
      <c r="D828" s="244"/>
      <c r="E828" s="244"/>
      <c r="F828" s="244"/>
      <c r="G828" s="244"/>
      <c r="I828" s="244"/>
      <c r="J828" s="244"/>
      <c r="K828" s="246" t="e">
        <f t="shared" si="84"/>
        <v>#VALUE!</v>
      </c>
      <c r="L828" s="246" t="e">
        <f t="shared" si="85"/>
        <v>#VALUE!</v>
      </c>
      <c r="M828" s="247" t="e">
        <f t="shared" si="86"/>
        <v>#VALUE!</v>
      </c>
      <c r="N828" s="246" t="e">
        <f t="shared" si="87"/>
        <v>#VALUE!</v>
      </c>
      <c r="O828" s="247" t="e">
        <f t="shared" si="88"/>
        <v>#VALUE!</v>
      </c>
      <c r="P828" s="247">
        <f t="shared" si="89"/>
        <v>0</v>
      </c>
      <c r="Q828" s="247" t="e">
        <f t="shared" si="90"/>
        <v>#VALUE!</v>
      </c>
    </row>
    <row r="829" spans="1:17" ht="15" customHeight="1" x14ac:dyDescent="0.25">
      <c r="A829" s="244"/>
      <c r="B829" s="244"/>
      <c r="C829" s="244"/>
      <c r="D829" s="244"/>
      <c r="E829" s="244"/>
      <c r="F829" s="244"/>
      <c r="G829" s="244"/>
      <c r="I829" s="244"/>
      <c r="J829" s="244"/>
      <c r="K829" s="246" t="e">
        <f t="shared" si="84"/>
        <v>#VALUE!</v>
      </c>
      <c r="L829" s="246" t="e">
        <f t="shared" si="85"/>
        <v>#VALUE!</v>
      </c>
      <c r="M829" s="247" t="e">
        <f t="shared" si="86"/>
        <v>#VALUE!</v>
      </c>
      <c r="N829" s="246" t="e">
        <f t="shared" si="87"/>
        <v>#VALUE!</v>
      </c>
      <c r="O829" s="247" t="e">
        <f t="shared" si="88"/>
        <v>#VALUE!</v>
      </c>
      <c r="P829" s="247">
        <f t="shared" si="89"/>
        <v>0</v>
      </c>
      <c r="Q829" s="247" t="e">
        <f t="shared" si="90"/>
        <v>#VALUE!</v>
      </c>
    </row>
    <row r="830" spans="1:17" ht="15" customHeight="1" x14ac:dyDescent="0.25">
      <c r="A830" s="244"/>
      <c r="B830" s="244"/>
      <c r="C830" s="244"/>
      <c r="D830" s="244"/>
      <c r="E830" s="244"/>
      <c r="F830" s="244"/>
      <c r="G830" s="244"/>
      <c r="I830" s="244"/>
      <c r="J830" s="244"/>
      <c r="K830" s="246" t="e">
        <f t="shared" si="84"/>
        <v>#VALUE!</v>
      </c>
      <c r="L830" s="246" t="e">
        <f t="shared" si="85"/>
        <v>#VALUE!</v>
      </c>
      <c r="M830" s="247" t="e">
        <f t="shared" si="86"/>
        <v>#VALUE!</v>
      </c>
      <c r="N830" s="246" t="e">
        <f t="shared" si="87"/>
        <v>#VALUE!</v>
      </c>
      <c r="O830" s="247" t="e">
        <f t="shared" si="88"/>
        <v>#VALUE!</v>
      </c>
      <c r="P830" s="247">
        <f t="shared" si="89"/>
        <v>0</v>
      </c>
      <c r="Q830" s="247" t="e">
        <f t="shared" si="90"/>
        <v>#VALUE!</v>
      </c>
    </row>
    <row r="831" spans="1:17" ht="15" customHeight="1" x14ac:dyDescent="0.25">
      <c r="A831" s="244"/>
      <c r="B831" s="244"/>
      <c r="C831" s="244"/>
      <c r="D831" s="244"/>
      <c r="E831" s="244"/>
      <c r="F831" s="244"/>
      <c r="G831" s="244"/>
      <c r="I831" s="244"/>
      <c r="J831" s="244"/>
      <c r="K831" s="246" t="e">
        <f t="shared" si="84"/>
        <v>#VALUE!</v>
      </c>
      <c r="L831" s="246" t="e">
        <f t="shared" si="85"/>
        <v>#VALUE!</v>
      </c>
      <c r="M831" s="247" t="e">
        <f t="shared" si="86"/>
        <v>#VALUE!</v>
      </c>
      <c r="N831" s="246" t="e">
        <f t="shared" si="87"/>
        <v>#VALUE!</v>
      </c>
      <c r="O831" s="247" t="e">
        <f t="shared" si="88"/>
        <v>#VALUE!</v>
      </c>
      <c r="P831" s="247">
        <f t="shared" si="89"/>
        <v>0</v>
      </c>
      <c r="Q831" s="247" t="e">
        <f t="shared" si="90"/>
        <v>#VALUE!</v>
      </c>
    </row>
    <row r="832" spans="1:17" ht="15" customHeight="1" x14ac:dyDescent="0.25">
      <c r="A832" s="244"/>
      <c r="B832" s="244"/>
      <c r="C832" s="244"/>
      <c r="D832" s="244"/>
      <c r="E832" s="244"/>
      <c r="F832" s="244"/>
      <c r="G832" s="244"/>
      <c r="I832" s="244"/>
      <c r="J832" s="244"/>
      <c r="K832" s="246" t="e">
        <f t="shared" si="84"/>
        <v>#VALUE!</v>
      </c>
      <c r="L832" s="246" t="e">
        <f t="shared" si="85"/>
        <v>#VALUE!</v>
      </c>
      <c r="M832" s="247" t="e">
        <f t="shared" si="86"/>
        <v>#VALUE!</v>
      </c>
      <c r="N832" s="246" t="e">
        <f t="shared" si="87"/>
        <v>#VALUE!</v>
      </c>
      <c r="O832" s="247" t="e">
        <f t="shared" si="88"/>
        <v>#VALUE!</v>
      </c>
      <c r="P832" s="247">
        <f t="shared" si="89"/>
        <v>0</v>
      </c>
      <c r="Q832" s="247" t="e">
        <f t="shared" si="90"/>
        <v>#VALUE!</v>
      </c>
    </row>
    <row r="833" spans="1:17" ht="15" customHeight="1" x14ac:dyDescent="0.25">
      <c r="A833" s="244"/>
      <c r="B833" s="244"/>
      <c r="C833" s="244"/>
      <c r="D833" s="244"/>
      <c r="E833" s="244"/>
      <c r="F833" s="244"/>
      <c r="G833" s="244"/>
      <c r="I833" s="244"/>
      <c r="J833" s="244"/>
      <c r="K833" s="246" t="e">
        <f t="shared" si="84"/>
        <v>#VALUE!</v>
      </c>
      <c r="L833" s="246" t="e">
        <f t="shared" si="85"/>
        <v>#VALUE!</v>
      </c>
      <c r="M833" s="247" t="e">
        <f t="shared" si="86"/>
        <v>#VALUE!</v>
      </c>
      <c r="N833" s="246" t="e">
        <f t="shared" si="87"/>
        <v>#VALUE!</v>
      </c>
      <c r="O833" s="247" t="e">
        <f t="shared" si="88"/>
        <v>#VALUE!</v>
      </c>
      <c r="P833" s="247">
        <f t="shared" si="89"/>
        <v>0</v>
      </c>
      <c r="Q833" s="247" t="e">
        <f t="shared" si="90"/>
        <v>#VALUE!</v>
      </c>
    </row>
    <row r="834" spans="1:17" ht="15" customHeight="1" x14ac:dyDescent="0.25">
      <c r="A834" s="244"/>
      <c r="B834" s="244"/>
      <c r="C834" s="244"/>
      <c r="D834" s="244"/>
      <c r="E834" s="244"/>
      <c r="F834" s="244"/>
      <c r="G834" s="244"/>
      <c r="I834" s="244"/>
      <c r="J834" s="244"/>
      <c r="K834" s="246" t="e">
        <f t="shared" ref="K834:K897" si="91">DATE(VALUE(LEFT(A834,4)),VALUE(MID(A834,5,2)),VALUE(RIGHT(A834,2)))</f>
        <v>#VALUE!</v>
      </c>
      <c r="L834" s="246" t="e">
        <f t="shared" ref="L834:L897" si="92">DATEVALUE(LEFT(F834,10))</f>
        <v>#VALUE!</v>
      </c>
      <c r="M834" s="247" t="e">
        <f t="shared" ref="M834:M897" si="93">TIMEVALUE(MID(F834,12,8))</f>
        <v>#VALUE!</v>
      </c>
      <c r="N834" s="246" t="e">
        <f t="shared" ref="N834:N897" si="94">DATEVALUE(LEFT(G834,10))</f>
        <v>#VALUE!</v>
      </c>
      <c r="O834" s="247" t="e">
        <f t="shared" ref="O834:O897" si="95">TIMEVALUE(MID(G834,12,8))</f>
        <v>#VALUE!</v>
      </c>
      <c r="P834" s="247">
        <f t="shared" ref="P834:P897" si="96">IFERROR(_xlfn.MINIFS($M:$M,$E:$E,$E834,$K:$K,$K834,$M:$M,"&gt;"&amp;$O834),"")</f>
        <v>0</v>
      </c>
      <c r="Q834" s="247" t="e">
        <f t="shared" ref="Q834:Q897" si="97">IF($P834="","",$P834-$O834)</f>
        <v>#VALUE!</v>
      </c>
    </row>
    <row r="835" spans="1:17" ht="15" customHeight="1" x14ac:dyDescent="0.25">
      <c r="A835" s="244"/>
      <c r="B835" s="244"/>
      <c r="C835" s="244"/>
      <c r="D835" s="244"/>
      <c r="E835" s="244"/>
      <c r="F835" s="244"/>
      <c r="G835" s="244"/>
      <c r="I835" s="244"/>
      <c r="J835" s="244"/>
      <c r="K835" s="246" t="e">
        <f t="shared" si="91"/>
        <v>#VALUE!</v>
      </c>
      <c r="L835" s="246" t="e">
        <f t="shared" si="92"/>
        <v>#VALUE!</v>
      </c>
      <c r="M835" s="247" t="e">
        <f t="shared" si="93"/>
        <v>#VALUE!</v>
      </c>
      <c r="N835" s="246" t="e">
        <f t="shared" si="94"/>
        <v>#VALUE!</v>
      </c>
      <c r="O835" s="247" t="e">
        <f t="shared" si="95"/>
        <v>#VALUE!</v>
      </c>
      <c r="P835" s="247">
        <f t="shared" si="96"/>
        <v>0</v>
      </c>
      <c r="Q835" s="247" t="e">
        <f t="shared" si="97"/>
        <v>#VALUE!</v>
      </c>
    </row>
    <row r="836" spans="1:17" ht="15" customHeight="1" x14ac:dyDescent="0.25">
      <c r="A836" s="244"/>
      <c r="B836" s="244"/>
      <c r="C836" s="244"/>
      <c r="D836" s="244"/>
      <c r="E836" s="244"/>
      <c r="F836" s="244"/>
      <c r="G836" s="244"/>
      <c r="I836" s="244"/>
      <c r="J836" s="244"/>
      <c r="K836" s="246" t="e">
        <f t="shared" si="91"/>
        <v>#VALUE!</v>
      </c>
      <c r="L836" s="246" t="e">
        <f t="shared" si="92"/>
        <v>#VALUE!</v>
      </c>
      <c r="M836" s="247" t="e">
        <f t="shared" si="93"/>
        <v>#VALUE!</v>
      </c>
      <c r="N836" s="246" t="e">
        <f t="shared" si="94"/>
        <v>#VALUE!</v>
      </c>
      <c r="O836" s="247" t="e">
        <f t="shared" si="95"/>
        <v>#VALUE!</v>
      </c>
      <c r="P836" s="247">
        <f t="shared" si="96"/>
        <v>0</v>
      </c>
      <c r="Q836" s="247" t="e">
        <f t="shared" si="97"/>
        <v>#VALUE!</v>
      </c>
    </row>
    <row r="837" spans="1:17" ht="15" customHeight="1" x14ac:dyDescent="0.25">
      <c r="A837" s="244"/>
      <c r="B837" s="244"/>
      <c r="C837" s="244"/>
      <c r="D837" s="244"/>
      <c r="E837" s="244"/>
      <c r="F837" s="244"/>
      <c r="G837" s="244"/>
      <c r="I837" s="244"/>
      <c r="J837" s="244"/>
      <c r="K837" s="246" t="e">
        <f t="shared" si="91"/>
        <v>#VALUE!</v>
      </c>
      <c r="L837" s="246" t="e">
        <f t="shared" si="92"/>
        <v>#VALUE!</v>
      </c>
      <c r="M837" s="247" t="e">
        <f t="shared" si="93"/>
        <v>#VALUE!</v>
      </c>
      <c r="N837" s="246" t="e">
        <f t="shared" si="94"/>
        <v>#VALUE!</v>
      </c>
      <c r="O837" s="247" t="e">
        <f t="shared" si="95"/>
        <v>#VALUE!</v>
      </c>
      <c r="P837" s="247">
        <f t="shared" si="96"/>
        <v>0</v>
      </c>
      <c r="Q837" s="247" t="e">
        <f t="shared" si="97"/>
        <v>#VALUE!</v>
      </c>
    </row>
    <row r="838" spans="1:17" ht="15" customHeight="1" x14ac:dyDescent="0.25">
      <c r="A838" s="244"/>
      <c r="B838" s="244"/>
      <c r="C838" s="244"/>
      <c r="D838" s="244"/>
      <c r="E838" s="244"/>
      <c r="F838" s="244"/>
      <c r="G838" s="244"/>
      <c r="I838" s="244"/>
      <c r="J838" s="244"/>
      <c r="K838" s="246" t="e">
        <f t="shared" si="91"/>
        <v>#VALUE!</v>
      </c>
      <c r="L838" s="246" t="e">
        <f t="shared" si="92"/>
        <v>#VALUE!</v>
      </c>
      <c r="M838" s="247" t="e">
        <f t="shared" si="93"/>
        <v>#VALUE!</v>
      </c>
      <c r="N838" s="246" t="e">
        <f t="shared" si="94"/>
        <v>#VALUE!</v>
      </c>
      <c r="O838" s="247" t="e">
        <f t="shared" si="95"/>
        <v>#VALUE!</v>
      </c>
      <c r="P838" s="247">
        <f t="shared" si="96"/>
        <v>0</v>
      </c>
      <c r="Q838" s="247" t="e">
        <f t="shared" si="97"/>
        <v>#VALUE!</v>
      </c>
    </row>
    <row r="839" spans="1:17" ht="15" customHeight="1" x14ac:dyDescent="0.25">
      <c r="A839" s="244"/>
      <c r="B839" s="244"/>
      <c r="C839" s="244"/>
      <c r="D839" s="244"/>
      <c r="E839" s="244"/>
      <c r="F839" s="244"/>
      <c r="G839" s="244"/>
      <c r="I839" s="244"/>
      <c r="J839" s="244"/>
      <c r="K839" s="246" t="e">
        <f t="shared" si="91"/>
        <v>#VALUE!</v>
      </c>
      <c r="L839" s="246" t="e">
        <f t="shared" si="92"/>
        <v>#VALUE!</v>
      </c>
      <c r="M839" s="247" t="e">
        <f t="shared" si="93"/>
        <v>#VALUE!</v>
      </c>
      <c r="N839" s="246" t="e">
        <f t="shared" si="94"/>
        <v>#VALUE!</v>
      </c>
      <c r="O839" s="247" t="e">
        <f t="shared" si="95"/>
        <v>#VALUE!</v>
      </c>
      <c r="P839" s="247">
        <f t="shared" si="96"/>
        <v>0</v>
      </c>
      <c r="Q839" s="247" t="e">
        <f t="shared" si="97"/>
        <v>#VALUE!</v>
      </c>
    </row>
    <row r="840" spans="1:17" ht="15" customHeight="1" x14ac:dyDescent="0.25">
      <c r="A840" s="244"/>
      <c r="B840" s="244"/>
      <c r="C840" s="244"/>
      <c r="D840" s="244"/>
      <c r="E840" s="244"/>
      <c r="F840" s="244"/>
      <c r="G840" s="244"/>
      <c r="I840" s="244"/>
      <c r="J840" s="244"/>
      <c r="K840" s="246" t="e">
        <f t="shared" si="91"/>
        <v>#VALUE!</v>
      </c>
      <c r="L840" s="246" t="e">
        <f t="shared" si="92"/>
        <v>#VALUE!</v>
      </c>
      <c r="M840" s="247" t="e">
        <f t="shared" si="93"/>
        <v>#VALUE!</v>
      </c>
      <c r="N840" s="246" t="e">
        <f t="shared" si="94"/>
        <v>#VALUE!</v>
      </c>
      <c r="O840" s="247" t="e">
        <f t="shared" si="95"/>
        <v>#VALUE!</v>
      </c>
      <c r="P840" s="247">
        <f t="shared" si="96"/>
        <v>0</v>
      </c>
      <c r="Q840" s="247" t="e">
        <f t="shared" si="97"/>
        <v>#VALUE!</v>
      </c>
    </row>
    <row r="841" spans="1:17" ht="15" customHeight="1" x14ac:dyDescent="0.25">
      <c r="A841" s="244"/>
      <c r="B841" s="244"/>
      <c r="C841" s="244"/>
      <c r="D841" s="244"/>
      <c r="E841" s="244"/>
      <c r="F841" s="244"/>
      <c r="G841" s="244"/>
      <c r="I841" s="244"/>
      <c r="J841" s="244"/>
      <c r="K841" s="246" t="e">
        <f t="shared" si="91"/>
        <v>#VALUE!</v>
      </c>
      <c r="L841" s="246" t="e">
        <f t="shared" si="92"/>
        <v>#VALUE!</v>
      </c>
      <c r="M841" s="247" t="e">
        <f t="shared" si="93"/>
        <v>#VALUE!</v>
      </c>
      <c r="N841" s="246" t="e">
        <f t="shared" si="94"/>
        <v>#VALUE!</v>
      </c>
      <c r="O841" s="247" t="e">
        <f t="shared" si="95"/>
        <v>#VALUE!</v>
      </c>
      <c r="P841" s="247">
        <f t="shared" si="96"/>
        <v>0</v>
      </c>
      <c r="Q841" s="247" t="e">
        <f t="shared" si="97"/>
        <v>#VALUE!</v>
      </c>
    </row>
    <row r="842" spans="1:17" ht="15" customHeight="1" x14ac:dyDescent="0.25">
      <c r="A842" s="244"/>
      <c r="B842" s="244"/>
      <c r="C842" s="244"/>
      <c r="D842" s="244"/>
      <c r="E842" s="244"/>
      <c r="F842" s="244"/>
      <c r="G842" s="244"/>
      <c r="I842" s="244"/>
      <c r="J842" s="244"/>
      <c r="K842" s="246" t="e">
        <f t="shared" si="91"/>
        <v>#VALUE!</v>
      </c>
      <c r="L842" s="246" t="e">
        <f t="shared" si="92"/>
        <v>#VALUE!</v>
      </c>
      <c r="M842" s="247" t="e">
        <f t="shared" si="93"/>
        <v>#VALUE!</v>
      </c>
      <c r="N842" s="246" t="e">
        <f t="shared" si="94"/>
        <v>#VALUE!</v>
      </c>
      <c r="O842" s="247" t="e">
        <f t="shared" si="95"/>
        <v>#VALUE!</v>
      </c>
      <c r="P842" s="247">
        <f t="shared" si="96"/>
        <v>0</v>
      </c>
      <c r="Q842" s="247" t="e">
        <f t="shared" si="97"/>
        <v>#VALUE!</v>
      </c>
    </row>
    <row r="843" spans="1:17" ht="15" customHeight="1" x14ac:dyDescent="0.25">
      <c r="A843" s="244"/>
      <c r="B843" s="244"/>
      <c r="C843" s="244"/>
      <c r="D843" s="244"/>
      <c r="E843" s="244"/>
      <c r="F843" s="244"/>
      <c r="G843" s="244"/>
      <c r="I843" s="244"/>
      <c r="J843" s="244"/>
      <c r="K843" s="246" t="e">
        <f t="shared" si="91"/>
        <v>#VALUE!</v>
      </c>
      <c r="L843" s="246" t="e">
        <f t="shared" si="92"/>
        <v>#VALUE!</v>
      </c>
      <c r="M843" s="247" t="e">
        <f t="shared" si="93"/>
        <v>#VALUE!</v>
      </c>
      <c r="N843" s="246" t="e">
        <f t="shared" si="94"/>
        <v>#VALUE!</v>
      </c>
      <c r="O843" s="247" t="e">
        <f t="shared" si="95"/>
        <v>#VALUE!</v>
      </c>
      <c r="P843" s="247">
        <f t="shared" si="96"/>
        <v>0</v>
      </c>
      <c r="Q843" s="247" t="e">
        <f t="shared" si="97"/>
        <v>#VALUE!</v>
      </c>
    </row>
    <row r="844" spans="1:17" ht="15" customHeight="1" x14ac:dyDescent="0.25">
      <c r="A844" s="244"/>
      <c r="B844" s="244"/>
      <c r="C844" s="244"/>
      <c r="D844" s="244"/>
      <c r="E844" s="244"/>
      <c r="F844" s="244"/>
      <c r="G844" s="244"/>
      <c r="I844" s="244"/>
      <c r="J844" s="244"/>
      <c r="K844" s="246" t="e">
        <f t="shared" si="91"/>
        <v>#VALUE!</v>
      </c>
      <c r="L844" s="246" t="e">
        <f t="shared" si="92"/>
        <v>#VALUE!</v>
      </c>
      <c r="M844" s="247" t="e">
        <f t="shared" si="93"/>
        <v>#VALUE!</v>
      </c>
      <c r="N844" s="246" t="e">
        <f t="shared" si="94"/>
        <v>#VALUE!</v>
      </c>
      <c r="O844" s="247" t="e">
        <f t="shared" si="95"/>
        <v>#VALUE!</v>
      </c>
      <c r="P844" s="247">
        <f t="shared" si="96"/>
        <v>0</v>
      </c>
      <c r="Q844" s="247" t="e">
        <f t="shared" si="97"/>
        <v>#VALUE!</v>
      </c>
    </row>
    <row r="845" spans="1:17" ht="15" customHeight="1" x14ac:dyDescent="0.25">
      <c r="A845" s="244"/>
      <c r="B845" s="244"/>
      <c r="C845" s="244"/>
      <c r="D845" s="244"/>
      <c r="E845" s="244"/>
      <c r="F845" s="244"/>
      <c r="G845" s="244"/>
      <c r="I845" s="244"/>
      <c r="J845" s="244"/>
      <c r="K845" s="246" t="e">
        <f t="shared" si="91"/>
        <v>#VALUE!</v>
      </c>
      <c r="L845" s="246" t="e">
        <f t="shared" si="92"/>
        <v>#VALUE!</v>
      </c>
      <c r="M845" s="247" t="e">
        <f t="shared" si="93"/>
        <v>#VALUE!</v>
      </c>
      <c r="N845" s="246" t="e">
        <f t="shared" si="94"/>
        <v>#VALUE!</v>
      </c>
      <c r="O845" s="247" t="e">
        <f t="shared" si="95"/>
        <v>#VALUE!</v>
      </c>
      <c r="P845" s="247">
        <f t="shared" si="96"/>
        <v>0</v>
      </c>
      <c r="Q845" s="247" t="e">
        <f t="shared" si="97"/>
        <v>#VALUE!</v>
      </c>
    </row>
    <row r="846" spans="1:17" ht="15" customHeight="1" x14ac:dyDescent="0.25">
      <c r="A846" s="244"/>
      <c r="B846" s="244"/>
      <c r="C846" s="244"/>
      <c r="D846" s="244"/>
      <c r="E846" s="244"/>
      <c r="F846" s="244"/>
      <c r="G846" s="244"/>
      <c r="I846" s="244"/>
      <c r="J846" s="244"/>
      <c r="K846" s="246" t="e">
        <f t="shared" si="91"/>
        <v>#VALUE!</v>
      </c>
      <c r="L846" s="246" t="e">
        <f t="shared" si="92"/>
        <v>#VALUE!</v>
      </c>
      <c r="M846" s="247" t="e">
        <f t="shared" si="93"/>
        <v>#VALUE!</v>
      </c>
      <c r="N846" s="246" t="e">
        <f t="shared" si="94"/>
        <v>#VALUE!</v>
      </c>
      <c r="O846" s="247" t="e">
        <f t="shared" si="95"/>
        <v>#VALUE!</v>
      </c>
      <c r="P846" s="247">
        <f t="shared" si="96"/>
        <v>0</v>
      </c>
      <c r="Q846" s="247" t="e">
        <f t="shared" si="97"/>
        <v>#VALUE!</v>
      </c>
    </row>
    <row r="847" spans="1:17" ht="15" customHeight="1" x14ac:dyDescent="0.25">
      <c r="A847" s="244"/>
      <c r="B847" s="244"/>
      <c r="C847" s="244"/>
      <c r="D847" s="244"/>
      <c r="E847" s="244"/>
      <c r="F847" s="244"/>
      <c r="G847" s="244"/>
      <c r="I847" s="244"/>
      <c r="J847" s="244"/>
      <c r="K847" s="246" t="e">
        <f t="shared" si="91"/>
        <v>#VALUE!</v>
      </c>
      <c r="L847" s="246" t="e">
        <f t="shared" si="92"/>
        <v>#VALUE!</v>
      </c>
      <c r="M847" s="247" t="e">
        <f t="shared" si="93"/>
        <v>#VALUE!</v>
      </c>
      <c r="N847" s="246" t="e">
        <f t="shared" si="94"/>
        <v>#VALUE!</v>
      </c>
      <c r="O847" s="247" t="e">
        <f t="shared" si="95"/>
        <v>#VALUE!</v>
      </c>
      <c r="P847" s="247">
        <f t="shared" si="96"/>
        <v>0</v>
      </c>
      <c r="Q847" s="247" t="e">
        <f t="shared" si="97"/>
        <v>#VALUE!</v>
      </c>
    </row>
    <row r="848" spans="1:17" ht="15" customHeight="1" x14ac:dyDescent="0.25">
      <c r="A848" s="244"/>
      <c r="B848" s="244"/>
      <c r="C848" s="244"/>
      <c r="D848" s="244"/>
      <c r="E848" s="244"/>
      <c r="F848" s="244"/>
      <c r="G848" s="244"/>
      <c r="I848" s="244"/>
      <c r="J848" s="244"/>
      <c r="K848" s="246" t="e">
        <f t="shared" si="91"/>
        <v>#VALUE!</v>
      </c>
      <c r="L848" s="246" t="e">
        <f t="shared" si="92"/>
        <v>#VALUE!</v>
      </c>
      <c r="M848" s="247" t="e">
        <f t="shared" si="93"/>
        <v>#VALUE!</v>
      </c>
      <c r="N848" s="246" t="e">
        <f t="shared" si="94"/>
        <v>#VALUE!</v>
      </c>
      <c r="O848" s="247" t="e">
        <f t="shared" si="95"/>
        <v>#VALUE!</v>
      </c>
      <c r="P848" s="247">
        <f t="shared" si="96"/>
        <v>0</v>
      </c>
      <c r="Q848" s="247" t="e">
        <f t="shared" si="97"/>
        <v>#VALUE!</v>
      </c>
    </row>
    <row r="849" spans="1:17" ht="15" customHeight="1" x14ac:dyDescent="0.25">
      <c r="A849" s="244"/>
      <c r="B849" s="244"/>
      <c r="C849" s="244"/>
      <c r="D849" s="244"/>
      <c r="E849" s="244"/>
      <c r="F849" s="244"/>
      <c r="G849" s="244"/>
      <c r="I849" s="244"/>
      <c r="J849" s="244"/>
      <c r="K849" s="246" t="e">
        <f t="shared" si="91"/>
        <v>#VALUE!</v>
      </c>
      <c r="L849" s="246" t="e">
        <f t="shared" si="92"/>
        <v>#VALUE!</v>
      </c>
      <c r="M849" s="247" t="e">
        <f t="shared" si="93"/>
        <v>#VALUE!</v>
      </c>
      <c r="N849" s="246" t="e">
        <f t="shared" si="94"/>
        <v>#VALUE!</v>
      </c>
      <c r="O849" s="247" t="e">
        <f t="shared" si="95"/>
        <v>#VALUE!</v>
      </c>
      <c r="P849" s="247">
        <f t="shared" si="96"/>
        <v>0</v>
      </c>
      <c r="Q849" s="247" t="e">
        <f t="shared" si="97"/>
        <v>#VALUE!</v>
      </c>
    </row>
    <row r="850" spans="1:17" ht="15" customHeight="1" x14ac:dyDescent="0.25">
      <c r="A850" s="244"/>
      <c r="B850" s="244"/>
      <c r="C850" s="244"/>
      <c r="D850" s="244"/>
      <c r="E850" s="244"/>
      <c r="F850" s="244"/>
      <c r="G850" s="244"/>
      <c r="I850" s="244"/>
      <c r="J850" s="244"/>
      <c r="K850" s="246" t="e">
        <f t="shared" si="91"/>
        <v>#VALUE!</v>
      </c>
      <c r="L850" s="246" t="e">
        <f t="shared" si="92"/>
        <v>#VALUE!</v>
      </c>
      <c r="M850" s="247" t="e">
        <f t="shared" si="93"/>
        <v>#VALUE!</v>
      </c>
      <c r="N850" s="246" t="e">
        <f t="shared" si="94"/>
        <v>#VALUE!</v>
      </c>
      <c r="O850" s="247" t="e">
        <f t="shared" si="95"/>
        <v>#VALUE!</v>
      </c>
      <c r="P850" s="247">
        <f t="shared" si="96"/>
        <v>0</v>
      </c>
      <c r="Q850" s="247" t="e">
        <f t="shared" si="97"/>
        <v>#VALUE!</v>
      </c>
    </row>
    <row r="851" spans="1:17" ht="15" customHeight="1" x14ac:dyDescent="0.25">
      <c r="A851" s="244"/>
      <c r="B851" s="244"/>
      <c r="C851" s="244"/>
      <c r="D851" s="244"/>
      <c r="E851" s="244"/>
      <c r="F851" s="244"/>
      <c r="G851" s="244"/>
      <c r="I851" s="244"/>
      <c r="J851" s="244"/>
      <c r="K851" s="246" t="e">
        <f t="shared" si="91"/>
        <v>#VALUE!</v>
      </c>
      <c r="L851" s="246" t="e">
        <f t="shared" si="92"/>
        <v>#VALUE!</v>
      </c>
      <c r="M851" s="247" t="e">
        <f t="shared" si="93"/>
        <v>#VALUE!</v>
      </c>
      <c r="N851" s="246" t="e">
        <f t="shared" si="94"/>
        <v>#VALUE!</v>
      </c>
      <c r="O851" s="247" t="e">
        <f t="shared" si="95"/>
        <v>#VALUE!</v>
      </c>
      <c r="P851" s="247">
        <f t="shared" si="96"/>
        <v>0</v>
      </c>
      <c r="Q851" s="247" t="e">
        <f t="shared" si="97"/>
        <v>#VALUE!</v>
      </c>
    </row>
    <row r="852" spans="1:17" ht="15" customHeight="1" x14ac:dyDescent="0.25">
      <c r="A852" s="244"/>
      <c r="B852" s="244"/>
      <c r="C852" s="244"/>
      <c r="D852" s="244"/>
      <c r="E852" s="244"/>
      <c r="F852" s="244"/>
      <c r="G852" s="244"/>
      <c r="I852" s="244"/>
      <c r="J852" s="244"/>
      <c r="K852" s="246" t="e">
        <f t="shared" si="91"/>
        <v>#VALUE!</v>
      </c>
      <c r="L852" s="246" t="e">
        <f t="shared" si="92"/>
        <v>#VALUE!</v>
      </c>
      <c r="M852" s="247" t="e">
        <f t="shared" si="93"/>
        <v>#VALUE!</v>
      </c>
      <c r="N852" s="246" t="e">
        <f t="shared" si="94"/>
        <v>#VALUE!</v>
      </c>
      <c r="O852" s="247" t="e">
        <f t="shared" si="95"/>
        <v>#VALUE!</v>
      </c>
      <c r="P852" s="247">
        <f t="shared" si="96"/>
        <v>0</v>
      </c>
      <c r="Q852" s="247" t="e">
        <f t="shared" si="97"/>
        <v>#VALUE!</v>
      </c>
    </row>
    <row r="853" spans="1:17" ht="15" customHeight="1" x14ac:dyDescent="0.25">
      <c r="A853" s="244"/>
      <c r="B853" s="244"/>
      <c r="C853" s="244"/>
      <c r="D853" s="244"/>
      <c r="E853" s="244"/>
      <c r="F853" s="244"/>
      <c r="G853" s="244"/>
      <c r="I853" s="244"/>
      <c r="J853" s="244"/>
      <c r="K853" s="246" t="e">
        <f t="shared" si="91"/>
        <v>#VALUE!</v>
      </c>
      <c r="L853" s="246" t="e">
        <f t="shared" si="92"/>
        <v>#VALUE!</v>
      </c>
      <c r="M853" s="247" t="e">
        <f t="shared" si="93"/>
        <v>#VALUE!</v>
      </c>
      <c r="N853" s="246" t="e">
        <f t="shared" si="94"/>
        <v>#VALUE!</v>
      </c>
      <c r="O853" s="247" t="e">
        <f t="shared" si="95"/>
        <v>#VALUE!</v>
      </c>
      <c r="P853" s="247">
        <f t="shared" si="96"/>
        <v>0</v>
      </c>
      <c r="Q853" s="247" t="e">
        <f t="shared" si="97"/>
        <v>#VALUE!</v>
      </c>
    </row>
    <row r="854" spans="1:17" ht="15" customHeight="1" x14ac:dyDescent="0.25">
      <c r="A854" s="244"/>
      <c r="B854" s="244"/>
      <c r="C854" s="244"/>
      <c r="D854" s="244"/>
      <c r="E854" s="244"/>
      <c r="F854" s="244"/>
      <c r="G854" s="244"/>
      <c r="I854" s="244"/>
      <c r="J854" s="244"/>
      <c r="K854" s="246" t="e">
        <f t="shared" si="91"/>
        <v>#VALUE!</v>
      </c>
      <c r="L854" s="246" t="e">
        <f t="shared" si="92"/>
        <v>#VALUE!</v>
      </c>
      <c r="M854" s="247" t="e">
        <f t="shared" si="93"/>
        <v>#VALUE!</v>
      </c>
      <c r="N854" s="246" t="e">
        <f t="shared" si="94"/>
        <v>#VALUE!</v>
      </c>
      <c r="O854" s="247" t="e">
        <f t="shared" si="95"/>
        <v>#VALUE!</v>
      </c>
      <c r="P854" s="247">
        <f t="shared" si="96"/>
        <v>0</v>
      </c>
      <c r="Q854" s="247" t="e">
        <f t="shared" si="97"/>
        <v>#VALUE!</v>
      </c>
    </row>
    <row r="855" spans="1:17" ht="15" customHeight="1" x14ac:dyDescent="0.25">
      <c r="A855" s="244"/>
      <c r="B855" s="244"/>
      <c r="C855" s="244"/>
      <c r="D855" s="244"/>
      <c r="E855" s="244"/>
      <c r="F855" s="244"/>
      <c r="G855" s="244"/>
      <c r="I855" s="244"/>
      <c r="J855" s="244"/>
      <c r="K855" s="246" t="e">
        <f t="shared" si="91"/>
        <v>#VALUE!</v>
      </c>
      <c r="L855" s="246" t="e">
        <f t="shared" si="92"/>
        <v>#VALUE!</v>
      </c>
      <c r="M855" s="247" t="e">
        <f t="shared" si="93"/>
        <v>#VALUE!</v>
      </c>
      <c r="N855" s="246" t="e">
        <f t="shared" si="94"/>
        <v>#VALUE!</v>
      </c>
      <c r="O855" s="247" t="e">
        <f t="shared" si="95"/>
        <v>#VALUE!</v>
      </c>
      <c r="P855" s="247">
        <f t="shared" si="96"/>
        <v>0</v>
      </c>
      <c r="Q855" s="247" t="e">
        <f t="shared" si="97"/>
        <v>#VALUE!</v>
      </c>
    </row>
    <row r="856" spans="1:17" ht="15" customHeight="1" x14ac:dyDescent="0.25">
      <c r="A856" s="244"/>
      <c r="B856" s="244"/>
      <c r="C856" s="244"/>
      <c r="D856" s="244"/>
      <c r="E856" s="244"/>
      <c r="F856" s="244"/>
      <c r="G856" s="244"/>
      <c r="I856" s="244"/>
      <c r="J856" s="244"/>
      <c r="K856" s="246" t="e">
        <f t="shared" si="91"/>
        <v>#VALUE!</v>
      </c>
      <c r="L856" s="246" t="e">
        <f t="shared" si="92"/>
        <v>#VALUE!</v>
      </c>
      <c r="M856" s="247" t="e">
        <f t="shared" si="93"/>
        <v>#VALUE!</v>
      </c>
      <c r="N856" s="246" t="e">
        <f t="shared" si="94"/>
        <v>#VALUE!</v>
      </c>
      <c r="O856" s="247" t="e">
        <f t="shared" si="95"/>
        <v>#VALUE!</v>
      </c>
      <c r="P856" s="247">
        <f t="shared" si="96"/>
        <v>0</v>
      </c>
      <c r="Q856" s="247" t="e">
        <f t="shared" si="97"/>
        <v>#VALUE!</v>
      </c>
    </row>
    <row r="857" spans="1:17" ht="15" customHeight="1" x14ac:dyDescent="0.25">
      <c r="A857" s="244"/>
      <c r="B857" s="244"/>
      <c r="C857" s="244"/>
      <c r="D857" s="244"/>
      <c r="E857" s="244"/>
      <c r="F857" s="244"/>
      <c r="G857" s="244"/>
      <c r="I857" s="244"/>
      <c r="J857" s="244"/>
      <c r="K857" s="246" t="e">
        <f t="shared" si="91"/>
        <v>#VALUE!</v>
      </c>
      <c r="L857" s="246" t="e">
        <f t="shared" si="92"/>
        <v>#VALUE!</v>
      </c>
      <c r="M857" s="247" t="e">
        <f t="shared" si="93"/>
        <v>#VALUE!</v>
      </c>
      <c r="N857" s="246" t="e">
        <f t="shared" si="94"/>
        <v>#VALUE!</v>
      </c>
      <c r="O857" s="247" t="e">
        <f t="shared" si="95"/>
        <v>#VALUE!</v>
      </c>
      <c r="P857" s="247">
        <f t="shared" si="96"/>
        <v>0</v>
      </c>
      <c r="Q857" s="247" t="e">
        <f t="shared" si="97"/>
        <v>#VALUE!</v>
      </c>
    </row>
    <row r="858" spans="1:17" ht="15" customHeight="1" x14ac:dyDescent="0.25">
      <c r="A858" s="244"/>
      <c r="B858" s="244"/>
      <c r="C858" s="244"/>
      <c r="D858" s="244"/>
      <c r="E858" s="244"/>
      <c r="F858" s="244"/>
      <c r="G858" s="244"/>
      <c r="I858" s="244"/>
      <c r="J858" s="244"/>
      <c r="K858" s="246" t="e">
        <f t="shared" si="91"/>
        <v>#VALUE!</v>
      </c>
      <c r="L858" s="246" t="e">
        <f t="shared" si="92"/>
        <v>#VALUE!</v>
      </c>
      <c r="M858" s="247" t="e">
        <f t="shared" si="93"/>
        <v>#VALUE!</v>
      </c>
      <c r="N858" s="246" t="e">
        <f t="shared" si="94"/>
        <v>#VALUE!</v>
      </c>
      <c r="O858" s="247" t="e">
        <f t="shared" si="95"/>
        <v>#VALUE!</v>
      </c>
      <c r="P858" s="247">
        <f t="shared" si="96"/>
        <v>0</v>
      </c>
      <c r="Q858" s="247" t="e">
        <f t="shared" si="97"/>
        <v>#VALUE!</v>
      </c>
    </row>
    <row r="859" spans="1:17" ht="15" customHeight="1" x14ac:dyDescent="0.25">
      <c r="A859" s="244"/>
      <c r="B859" s="244"/>
      <c r="C859" s="244"/>
      <c r="D859" s="244"/>
      <c r="E859" s="244"/>
      <c r="F859" s="244"/>
      <c r="G859" s="244"/>
      <c r="I859" s="244"/>
      <c r="J859" s="244"/>
      <c r="K859" s="246" t="e">
        <f t="shared" si="91"/>
        <v>#VALUE!</v>
      </c>
      <c r="L859" s="246" t="e">
        <f t="shared" si="92"/>
        <v>#VALUE!</v>
      </c>
      <c r="M859" s="247" t="e">
        <f t="shared" si="93"/>
        <v>#VALUE!</v>
      </c>
      <c r="N859" s="246" t="e">
        <f t="shared" si="94"/>
        <v>#VALUE!</v>
      </c>
      <c r="O859" s="247" t="e">
        <f t="shared" si="95"/>
        <v>#VALUE!</v>
      </c>
      <c r="P859" s="247">
        <f t="shared" si="96"/>
        <v>0</v>
      </c>
      <c r="Q859" s="247" t="e">
        <f t="shared" si="97"/>
        <v>#VALUE!</v>
      </c>
    </row>
    <row r="860" spans="1:17" ht="15" customHeight="1" x14ac:dyDescent="0.25">
      <c r="A860" s="244"/>
      <c r="B860" s="244"/>
      <c r="C860" s="244"/>
      <c r="D860" s="244"/>
      <c r="E860" s="244"/>
      <c r="F860" s="244"/>
      <c r="G860" s="244"/>
      <c r="I860" s="244"/>
      <c r="J860" s="244"/>
      <c r="K860" s="246" t="e">
        <f t="shared" si="91"/>
        <v>#VALUE!</v>
      </c>
      <c r="L860" s="246" t="e">
        <f t="shared" si="92"/>
        <v>#VALUE!</v>
      </c>
      <c r="M860" s="247" t="e">
        <f t="shared" si="93"/>
        <v>#VALUE!</v>
      </c>
      <c r="N860" s="246" t="e">
        <f t="shared" si="94"/>
        <v>#VALUE!</v>
      </c>
      <c r="O860" s="247" t="e">
        <f t="shared" si="95"/>
        <v>#VALUE!</v>
      </c>
      <c r="P860" s="247">
        <f t="shared" si="96"/>
        <v>0</v>
      </c>
      <c r="Q860" s="247" t="e">
        <f t="shared" si="97"/>
        <v>#VALUE!</v>
      </c>
    </row>
    <row r="861" spans="1:17" ht="15" customHeight="1" x14ac:dyDescent="0.25">
      <c r="A861" s="244"/>
      <c r="B861" s="244"/>
      <c r="C861" s="244"/>
      <c r="D861" s="244"/>
      <c r="E861" s="244"/>
      <c r="F861" s="244"/>
      <c r="G861" s="244"/>
      <c r="I861" s="244"/>
      <c r="J861" s="244"/>
      <c r="K861" s="246" t="e">
        <f t="shared" si="91"/>
        <v>#VALUE!</v>
      </c>
      <c r="L861" s="246" t="e">
        <f t="shared" si="92"/>
        <v>#VALUE!</v>
      </c>
      <c r="M861" s="247" t="e">
        <f t="shared" si="93"/>
        <v>#VALUE!</v>
      </c>
      <c r="N861" s="246" t="e">
        <f t="shared" si="94"/>
        <v>#VALUE!</v>
      </c>
      <c r="O861" s="247" t="e">
        <f t="shared" si="95"/>
        <v>#VALUE!</v>
      </c>
      <c r="P861" s="247">
        <f t="shared" si="96"/>
        <v>0</v>
      </c>
      <c r="Q861" s="247" t="e">
        <f t="shared" si="97"/>
        <v>#VALUE!</v>
      </c>
    </row>
    <row r="862" spans="1:17" ht="15" customHeight="1" x14ac:dyDescent="0.25">
      <c r="A862" s="244"/>
      <c r="B862" s="244"/>
      <c r="C862" s="244"/>
      <c r="D862" s="244"/>
      <c r="E862" s="244"/>
      <c r="F862" s="244"/>
      <c r="G862" s="244"/>
      <c r="I862" s="244"/>
      <c r="J862" s="244"/>
      <c r="K862" s="246" t="e">
        <f t="shared" si="91"/>
        <v>#VALUE!</v>
      </c>
      <c r="L862" s="246" t="e">
        <f t="shared" si="92"/>
        <v>#VALUE!</v>
      </c>
      <c r="M862" s="247" t="e">
        <f t="shared" si="93"/>
        <v>#VALUE!</v>
      </c>
      <c r="N862" s="246" t="e">
        <f t="shared" si="94"/>
        <v>#VALUE!</v>
      </c>
      <c r="O862" s="247" t="e">
        <f t="shared" si="95"/>
        <v>#VALUE!</v>
      </c>
      <c r="P862" s="247">
        <f t="shared" si="96"/>
        <v>0</v>
      </c>
      <c r="Q862" s="247" t="e">
        <f t="shared" si="97"/>
        <v>#VALUE!</v>
      </c>
    </row>
    <row r="863" spans="1:17" ht="15" customHeight="1" x14ac:dyDescent="0.25">
      <c r="A863" s="244"/>
      <c r="B863" s="244"/>
      <c r="C863" s="244"/>
      <c r="D863" s="244"/>
      <c r="E863" s="244"/>
      <c r="F863" s="244"/>
      <c r="G863" s="244"/>
      <c r="I863" s="244"/>
      <c r="J863" s="244"/>
      <c r="K863" s="246" t="e">
        <f t="shared" si="91"/>
        <v>#VALUE!</v>
      </c>
      <c r="L863" s="246" t="e">
        <f t="shared" si="92"/>
        <v>#VALUE!</v>
      </c>
      <c r="M863" s="247" t="e">
        <f t="shared" si="93"/>
        <v>#VALUE!</v>
      </c>
      <c r="N863" s="246" t="e">
        <f t="shared" si="94"/>
        <v>#VALUE!</v>
      </c>
      <c r="O863" s="247" t="e">
        <f t="shared" si="95"/>
        <v>#VALUE!</v>
      </c>
      <c r="P863" s="247">
        <f t="shared" si="96"/>
        <v>0</v>
      </c>
      <c r="Q863" s="247" t="e">
        <f t="shared" si="97"/>
        <v>#VALUE!</v>
      </c>
    </row>
    <row r="864" spans="1:17" ht="15" customHeight="1" x14ac:dyDescent="0.25">
      <c r="A864" s="244"/>
      <c r="B864" s="244"/>
      <c r="C864" s="244"/>
      <c r="D864" s="244"/>
      <c r="E864" s="244"/>
      <c r="F864" s="244"/>
      <c r="G864" s="244"/>
      <c r="I864" s="244"/>
      <c r="J864" s="244"/>
      <c r="K864" s="246" t="e">
        <f t="shared" si="91"/>
        <v>#VALUE!</v>
      </c>
      <c r="L864" s="246" t="e">
        <f t="shared" si="92"/>
        <v>#VALUE!</v>
      </c>
      <c r="M864" s="247" t="e">
        <f t="shared" si="93"/>
        <v>#VALUE!</v>
      </c>
      <c r="N864" s="246" t="e">
        <f t="shared" si="94"/>
        <v>#VALUE!</v>
      </c>
      <c r="O864" s="247" t="e">
        <f t="shared" si="95"/>
        <v>#VALUE!</v>
      </c>
      <c r="P864" s="247">
        <f t="shared" si="96"/>
        <v>0</v>
      </c>
      <c r="Q864" s="247" t="e">
        <f t="shared" si="97"/>
        <v>#VALUE!</v>
      </c>
    </row>
    <row r="865" spans="1:17" ht="15" customHeight="1" x14ac:dyDescent="0.25">
      <c r="A865" s="244"/>
      <c r="B865" s="244"/>
      <c r="C865" s="244"/>
      <c r="D865" s="244"/>
      <c r="E865" s="244"/>
      <c r="F865" s="244"/>
      <c r="G865" s="244"/>
      <c r="I865" s="244"/>
      <c r="J865" s="244"/>
      <c r="K865" s="246" t="e">
        <f t="shared" si="91"/>
        <v>#VALUE!</v>
      </c>
      <c r="L865" s="246" t="e">
        <f t="shared" si="92"/>
        <v>#VALUE!</v>
      </c>
      <c r="M865" s="247" t="e">
        <f t="shared" si="93"/>
        <v>#VALUE!</v>
      </c>
      <c r="N865" s="246" t="e">
        <f t="shared" si="94"/>
        <v>#VALUE!</v>
      </c>
      <c r="O865" s="247" t="e">
        <f t="shared" si="95"/>
        <v>#VALUE!</v>
      </c>
      <c r="P865" s="247">
        <f t="shared" si="96"/>
        <v>0</v>
      </c>
      <c r="Q865" s="247" t="e">
        <f t="shared" si="97"/>
        <v>#VALUE!</v>
      </c>
    </row>
    <row r="866" spans="1:17" ht="15" customHeight="1" x14ac:dyDescent="0.25">
      <c r="A866" s="244"/>
      <c r="B866" s="244"/>
      <c r="C866" s="244"/>
      <c r="D866" s="244"/>
      <c r="E866" s="244"/>
      <c r="F866" s="244"/>
      <c r="G866" s="244"/>
      <c r="I866" s="244"/>
      <c r="J866" s="244"/>
      <c r="K866" s="246" t="e">
        <f t="shared" si="91"/>
        <v>#VALUE!</v>
      </c>
      <c r="L866" s="246" t="e">
        <f t="shared" si="92"/>
        <v>#VALUE!</v>
      </c>
      <c r="M866" s="247" t="e">
        <f t="shared" si="93"/>
        <v>#VALUE!</v>
      </c>
      <c r="N866" s="246" t="e">
        <f t="shared" si="94"/>
        <v>#VALUE!</v>
      </c>
      <c r="O866" s="247" t="e">
        <f t="shared" si="95"/>
        <v>#VALUE!</v>
      </c>
      <c r="P866" s="247">
        <f t="shared" si="96"/>
        <v>0</v>
      </c>
      <c r="Q866" s="247" t="e">
        <f t="shared" si="97"/>
        <v>#VALUE!</v>
      </c>
    </row>
    <row r="867" spans="1:17" ht="15" customHeight="1" x14ac:dyDescent="0.25">
      <c r="A867" s="244"/>
      <c r="B867" s="244"/>
      <c r="C867" s="244"/>
      <c r="D867" s="244"/>
      <c r="E867" s="244"/>
      <c r="F867" s="244"/>
      <c r="G867" s="244"/>
      <c r="I867" s="244"/>
      <c r="J867" s="244"/>
      <c r="K867" s="246" t="e">
        <f t="shared" si="91"/>
        <v>#VALUE!</v>
      </c>
      <c r="L867" s="246" t="e">
        <f t="shared" si="92"/>
        <v>#VALUE!</v>
      </c>
      <c r="M867" s="247" t="e">
        <f t="shared" si="93"/>
        <v>#VALUE!</v>
      </c>
      <c r="N867" s="246" t="e">
        <f t="shared" si="94"/>
        <v>#VALUE!</v>
      </c>
      <c r="O867" s="247" t="e">
        <f t="shared" si="95"/>
        <v>#VALUE!</v>
      </c>
      <c r="P867" s="247">
        <f t="shared" si="96"/>
        <v>0</v>
      </c>
      <c r="Q867" s="247" t="e">
        <f t="shared" si="97"/>
        <v>#VALUE!</v>
      </c>
    </row>
    <row r="868" spans="1:17" ht="15" customHeight="1" x14ac:dyDescent="0.25">
      <c r="A868" s="244"/>
      <c r="B868" s="244"/>
      <c r="C868" s="244"/>
      <c r="D868" s="244"/>
      <c r="E868" s="244"/>
      <c r="F868" s="244"/>
      <c r="G868" s="244"/>
      <c r="I868" s="244"/>
      <c r="J868" s="244"/>
      <c r="K868" s="246" t="e">
        <f t="shared" si="91"/>
        <v>#VALUE!</v>
      </c>
      <c r="L868" s="246" t="e">
        <f t="shared" si="92"/>
        <v>#VALUE!</v>
      </c>
      <c r="M868" s="247" t="e">
        <f t="shared" si="93"/>
        <v>#VALUE!</v>
      </c>
      <c r="N868" s="246" t="e">
        <f t="shared" si="94"/>
        <v>#VALUE!</v>
      </c>
      <c r="O868" s="247" t="e">
        <f t="shared" si="95"/>
        <v>#VALUE!</v>
      </c>
      <c r="P868" s="247">
        <f t="shared" si="96"/>
        <v>0</v>
      </c>
      <c r="Q868" s="247" t="e">
        <f t="shared" si="97"/>
        <v>#VALUE!</v>
      </c>
    </row>
    <row r="869" spans="1:17" ht="15" customHeight="1" x14ac:dyDescent="0.25">
      <c r="A869" s="244"/>
      <c r="B869" s="244"/>
      <c r="C869" s="244"/>
      <c r="D869" s="244"/>
      <c r="E869" s="244"/>
      <c r="F869" s="244"/>
      <c r="G869" s="244"/>
      <c r="I869" s="244"/>
      <c r="J869" s="244"/>
      <c r="K869" s="246" t="e">
        <f t="shared" si="91"/>
        <v>#VALUE!</v>
      </c>
      <c r="L869" s="246" t="e">
        <f t="shared" si="92"/>
        <v>#VALUE!</v>
      </c>
      <c r="M869" s="247" t="e">
        <f t="shared" si="93"/>
        <v>#VALUE!</v>
      </c>
      <c r="N869" s="246" t="e">
        <f t="shared" si="94"/>
        <v>#VALUE!</v>
      </c>
      <c r="O869" s="247" t="e">
        <f t="shared" si="95"/>
        <v>#VALUE!</v>
      </c>
      <c r="P869" s="247">
        <f t="shared" si="96"/>
        <v>0</v>
      </c>
      <c r="Q869" s="247" t="e">
        <f t="shared" si="97"/>
        <v>#VALUE!</v>
      </c>
    </row>
    <row r="870" spans="1:17" ht="15" customHeight="1" x14ac:dyDescent="0.25">
      <c r="A870" s="244"/>
      <c r="B870" s="244"/>
      <c r="C870" s="244"/>
      <c r="D870" s="244"/>
      <c r="E870" s="244"/>
      <c r="F870" s="244"/>
      <c r="G870" s="244"/>
      <c r="I870" s="244"/>
      <c r="J870" s="244"/>
      <c r="K870" s="246" t="e">
        <f t="shared" si="91"/>
        <v>#VALUE!</v>
      </c>
      <c r="L870" s="246" t="e">
        <f t="shared" si="92"/>
        <v>#VALUE!</v>
      </c>
      <c r="M870" s="247" t="e">
        <f t="shared" si="93"/>
        <v>#VALUE!</v>
      </c>
      <c r="N870" s="246" t="e">
        <f t="shared" si="94"/>
        <v>#VALUE!</v>
      </c>
      <c r="O870" s="247" t="e">
        <f t="shared" si="95"/>
        <v>#VALUE!</v>
      </c>
      <c r="P870" s="247">
        <f t="shared" si="96"/>
        <v>0</v>
      </c>
      <c r="Q870" s="247" t="e">
        <f t="shared" si="97"/>
        <v>#VALUE!</v>
      </c>
    </row>
    <row r="871" spans="1:17" ht="15" customHeight="1" x14ac:dyDescent="0.25">
      <c r="A871" s="244"/>
      <c r="B871" s="244"/>
      <c r="C871" s="244"/>
      <c r="D871" s="244"/>
      <c r="E871" s="244"/>
      <c r="F871" s="244"/>
      <c r="G871" s="244"/>
      <c r="I871" s="244"/>
      <c r="J871" s="244"/>
      <c r="K871" s="246" t="e">
        <f t="shared" si="91"/>
        <v>#VALUE!</v>
      </c>
      <c r="L871" s="246" t="e">
        <f t="shared" si="92"/>
        <v>#VALUE!</v>
      </c>
      <c r="M871" s="247" t="e">
        <f t="shared" si="93"/>
        <v>#VALUE!</v>
      </c>
      <c r="N871" s="246" t="e">
        <f t="shared" si="94"/>
        <v>#VALUE!</v>
      </c>
      <c r="O871" s="247" t="e">
        <f t="shared" si="95"/>
        <v>#VALUE!</v>
      </c>
      <c r="P871" s="247">
        <f t="shared" si="96"/>
        <v>0</v>
      </c>
      <c r="Q871" s="247" t="e">
        <f t="shared" si="97"/>
        <v>#VALUE!</v>
      </c>
    </row>
    <row r="872" spans="1:17" ht="15" customHeight="1" x14ac:dyDescent="0.25">
      <c r="A872" s="244"/>
      <c r="B872" s="244"/>
      <c r="C872" s="244"/>
      <c r="D872" s="244"/>
      <c r="E872" s="244"/>
      <c r="F872" s="244"/>
      <c r="G872" s="244"/>
      <c r="I872" s="244"/>
      <c r="J872" s="244"/>
      <c r="K872" s="246" t="e">
        <f t="shared" si="91"/>
        <v>#VALUE!</v>
      </c>
      <c r="L872" s="246" t="e">
        <f t="shared" si="92"/>
        <v>#VALUE!</v>
      </c>
      <c r="M872" s="247" t="e">
        <f t="shared" si="93"/>
        <v>#VALUE!</v>
      </c>
      <c r="N872" s="246" t="e">
        <f t="shared" si="94"/>
        <v>#VALUE!</v>
      </c>
      <c r="O872" s="247" t="e">
        <f t="shared" si="95"/>
        <v>#VALUE!</v>
      </c>
      <c r="P872" s="247">
        <f t="shared" si="96"/>
        <v>0</v>
      </c>
      <c r="Q872" s="247" t="e">
        <f t="shared" si="97"/>
        <v>#VALUE!</v>
      </c>
    </row>
    <row r="873" spans="1:17" ht="15" customHeight="1" x14ac:dyDescent="0.25">
      <c r="A873" s="244"/>
      <c r="B873" s="244"/>
      <c r="C873" s="244"/>
      <c r="D873" s="244"/>
      <c r="E873" s="244"/>
      <c r="F873" s="244"/>
      <c r="G873" s="244"/>
      <c r="I873" s="244"/>
      <c r="J873" s="244"/>
      <c r="K873" s="246" t="e">
        <f t="shared" si="91"/>
        <v>#VALUE!</v>
      </c>
      <c r="L873" s="246" t="e">
        <f t="shared" si="92"/>
        <v>#VALUE!</v>
      </c>
      <c r="M873" s="247" t="e">
        <f t="shared" si="93"/>
        <v>#VALUE!</v>
      </c>
      <c r="N873" s="246" t="e">
        <f t="shared" si="94"/>
        <v>#VALUE!</v>
      </c>
      <c r="O873" s="247" t="e">
        <f t="shared" si="95"/>
        <v>#VALUE!</v>
      </c>
      <c r="P873" s="247">
        <f t="shared" si="96"/>
        <v>0</v>
      </c>
      <c r="Q873" s="247" t="e">
        <f t="shared" si="97"/>
        <v>#VALUE!</v>
      </c>
    </row>
    <row r="874" spans="1:17" ht="15" customHeight="1" x14ac:dyDescent="0.25">
      <c r="A874" s="244"/>
      <c r="B874" s="244"/>
      <c r="C874" s="244"/>
      <c r="D874" s="244"/>
      <c r="E874" s="244"/>
      <c r="F874" s="244"/>
      <c r="G874" s="244"/>
      <c r="I874" s="244"/>
      <c r="J874" s="244"/>
      <c r="K874" s="246" t="e">
        <f t="shared" si="91"/>
        <v>#VALUE!</v>
      </c>
      <c r="L874" s="246" t="e">
        <f t="shared" si="92"/>
        <v>#VALUE!</v>
      </c>
      <c r="M874" s="247" t="e">
        <f t="shared" si="93"/>
        <v>#VALUE!</v>
      </c>
      <c r="N874" s="246" t="e">
        <f t="shared" si="94"/>
        <v>#VALUE!</v>
      </c>
      <c r="O874" s="247" t="e">
        <f t="shared" si="95"/>
        <v>#VALUE!</v>
      </c>
      <c r="P874" s="247">
        <f t="shared" si="96"/>
        <v>0</v>
      </c>
      <c r="Q874" s="247" t="e">
        <f t="shared" si="97"/>
        <v>#VALUE!</v>
      </c>
    </row>
    <row r="875" spans="1:17" ht="15" customHeight="1" x14ac:dyDescent="0.25">
      <c r="A875" s="244"/>
      <c r="B875" s="244"/>
      <c r="C875" s="244"/>
      <c r="D875" s="244"/>
      <c r="E875" s="244"/>
      <c r="F875" s="244"/>
      <c r="G875" s="244"/>
      <c r="I875" s="244"/>
      <c r="J875" s="244"/>
      <c r="K875" s="246" t="e">
        <f t="shared" si="91"/>
        <v>#VALUE!</v>
      </c>
      <c r="L875" s="246" t="e">
        <f t="shared" si="92"/>
        <v>#VALUE!</v>
      </c>
      <c r="M875" s="247" t="e">
        <f t="shared" si="93"/>
        <v>#VALUE!</v>
      </c>
      <c r="N875" s="246" t="e">
        <f t="shared" si="94"/>
        <v>#VALUE!</v>
      </c>
      <c r="O875" s="247" t="e">
        <f t="shared" si="95"/>
        <v>#VALUE!</v>
      </c>
      <c r="P875" s="247">
        <f t="shared" si="96"/>
        <v>0</v>
      </c>
      <c r="Q875" s="247" t="e">
        <f t="shared" si="97"/>
        <v>#VALUE!</v>
      </c>
    </row>
    <row r="876" spans="1:17" ht="15" customHeight="1" x14ac:dyDescent="0.25">
      <c r="A876" s="244"/>
      <c r="B876" s="244"/>
      <c r="C876" s="244"/>
      <c r="D876" s="244"/>
      <c r="E876" s="244"/>
      <c r="F876" s="244"/>
      <c r="G876" s="244"/>
      <c r="I876" s="244"/>
      <c r="J876" s="244"/>
      <c r="K876" s="246" t="e">
        <f t="shared" si="91"/>
        <v>#VALUE!</v>
      </c>
      <c r="L876" s="246" t="e">
        <f t="shared" si="92"/>
        <v>#VALUE!</v>
      </c>
      <c r="M876" s="247" t="e">
        <f t="shared" si="93"/>
        <v>#VALUE!</v>
      </c>
      <c r="N876" s="246" t="e">
        <f t="shared" si="94"/>
        <v>#VALUE!</v>
      </c>
      <c r="O876" s="247" t="e">
        <f t="shared" si="95"/>
        <v>#VALUE!</v>
      </c>
      <c r="P876" s="247">
        <f t="shared" si="96"/>
        <v>0</v>
      </c>
      <c r="Q876" s="247" t="e">
        <f t="shared" si="97"/>
        <v>#VALUE!</v>
      </c>
    </row>
    <row r="877" spans="1:17" ht="15" customHeight="1" x14ac:dyDescent="0.25">
      <c r="A877" s="244"/>
      <c r="B877" s="244"/>
      <c r="C877" s="244"/>
      <c r="D877" s="244"/>
      <c r="E877" s="244"/>
      <c r="F877" s="244"/>
      <c r="G877" s="244"/>
      <c r="I877" s="244"/>
      <c r="J877" s="244"/>
      <c r="K877" s="246" t="e">
        <f t="shared" si="91"/>
        <v>#VALUE!</v>
      </c>
      <c r="L877" s="246" t="e">
        <f t="shared" si="92"/>
        <v>#VALUE!</v>
      </c>
      <c r="M877" s="247" t="e">
        <f t="shared" si="93"/>
        <v>#VALUE!</v>
      </c>
      <c r="N877" s="246" t="e">
        <f t="shared" si="94"/>
        <v>#VALUE!</v>
      </c>
      <c r="O877" s="247" t="e">
        <f t="shared" si="95"/>
        <v>#VALUE!</v>
      </c>
      <c r="P877" s="247">
        <f t="shared" si="96"/>
        <v>0</v>
      </c>
      <c r="Q877" s="247" t="e">
        <f t="shared" si="97"/>
        <v>#VALUE!</v>
      </c>
    </row>
    <row r="878" spans="1:17" ht="15" customHeight="1" x14ac:dyDescent="0.25">
      <c r="A878" s="244"/>
      <c r="B878" s="244"/>
      <c r="C878" s="244"/>
      <c r="D878" s="244"/>
      <c r="E878" s="244"/>
      <c r="F878" s="244"/>
      <c r="G878" s="244"/>
      <c r="I878" s="244"/>
      <c r="J878" s="244"/>
      <c r="K878" s="246" t="e">
        <f t="shared" si="91"/>
        <v>#VALUE!</v>
      </c>
      <c r="L878" s="246" t="e">
        <f t="shared" si="92"/>
        <v>#VALUE!</v>
      </c>
      <c r="M878" s="247" t="e">
        <f t="shared" si="93"/>
        <v>#VALUE!</v>
      </c>
      <c r="N878" s="246" t="e">
        <f t="shared" si="94"/>
        <v>#VALUE!</v>
      </c>
      <c r="O878" s="247" t="e">
        <f t="shared" si="95"/>
        <v>#VALUE!</v>
      </c>
      <c r="P878" s="247">
        <f t="shared" si="96"/>
        <v>0</v>
      </c>
      <c r="Q878" s="247" t="e">
        <f t="shared" si="97"/>
        <v>#VALUE!</v>
      </c>
    </row>
    <row r="879" spans="1:17" ht="15" customHeight="1" x14ac:dyDescent="0.25">
      <c r="A879" s="244"/>
      <c r="B879" s="244"/>
      <c r="C879" s="244"/>
      <c r="D879" s="244"/>
      <c r="E879" s="244"/>
      <c r="F879" s="244"/>
      <c r="G879" s="244"/>
      <c r="I879" s="244"/>
      <c r="J879" s="244"/>
      <c r="K879" s="246" t="e">
        <f t="shared" si="91"/>
        <v>#VALUE!</v>
      </c>
      <c r="L879" s="246" t="e">
        <f t="shared" si="92"/>
        <v>#VALUE!</v>
      </c>
      <c r="M879" s="247" t="e">
        <f t="shared" si="93"/>
        <v>#VALUE!</v>
      </c>
      <c r="N879" s="246" t="e">
        <f t="shared" si="94"/>
        <v>#VALUE!</v>
      </c>
      <c r="O879" s="247" t="e">
        <f t="shared" si="95"/>
        <v>#VALUE!</v>
      </c>
      <c r="P879" s="247">
        <f t="shared" si="96"/>
        <v>0</v>
      </c>
      <c r="Q879" s="247" t="e">
        <f t="shared" si="97"/>
        <v>#VALUE!</v>
      </c>
    </row>
    <row r="880" spans="1:17" ht="15" customHeight="1" x14ac:dyDescent="0.25">
      <c r="A880" s="244"/>
      <c r="B880" s="244"/>
      <c r="C880" s="244"/>
      <c r="D880" s="244"/>
      <c r="E880" s="244"/>
      <c r="F880" s="244"/>
      <c r="G880" s="244"/>
      <c r="I880" s="244"/>
      <c r="J880" s="244"/>
      <c r="K880" s="246" t="e">
        <f t="shared" si="91"/>
        <v>#VALUE!</v>
      </c>
      <c r="L880" s="246" t="e">
        <f t="shared" si="92"/>
        <v>#VALUE!</v>
      </c>
      <c r="M880" s="247" t="e">
        <f t="shared" si="93"/>
        <v>#VALUE!</v>
      </c>
      <c r="N880" s="246" t="e">
        <f t="shared" si="94"/>
        <v>#VALUE!</v>
      </c>
      <c r="O880" s="247" t="e">
        <f t="shared" si="95"/>
        <v>#VALUE!</v>
      </c>
      <c r="P880" s="247">
        <f t="shared" si="96"/>
        <v>0</v>
      </c>
      <c r="Q880" s="247" t="e">
        <f t="shared" si="97"/>
        <v>#VALUE!</v>
      </c>
    </row>
    <row r="881" spans="1:17" ht="15" customHeight="1" x14ac:dyDescent="0.25">
      <c r="A881" s="244"/>
      <c r="B881" s="244"/>
      <c r="C881" s="244"/>
      <c r="D881" s="244"/>
      <c r="E881" s="244"/>
      <c r="F881" s="244"/>
      <c r="G881" s="244"/>
      <c r="I881" s="244"/>
      <c r="J881" s="244"/>
      <c r="K881" s="246" t="e">
        <f t="shared" si="91"/>
        <v>#VALUE!</v>
      </c>
      <c r="L881" s="246" t="e">
        <f t="shared" si="92"/>
        <v>#VALUE!</v>
      </c>
      <c r="M881" s="247" t="e">
        <f t="shared" si="93"/>
        <v>#VALUE!</v>
      </c>
      <c r="N881" s="246" t="e">
        <f t="shared" si="94"/>
        <v>#VALUE!</v>
      </c>
      <c r="O881" s="247" t="e">
        <f t="shared" si="95"/>
        <v>#VALUE!</v>
      </c>
      <c r="P881" s="247">
        <f t="shared" si="96"/>
        <v>0</v>
      </c>
      <c r="Q881" s="247" t="e">
        <f t="shared" si="97"/>
        <v>#VALUE!</v>
      </c>
    </row>
    <row r="882" spans="1:17" ht="15" customHeight="1" x14ac:dyDescent="0.25">
      <c r="A882" s="244"/>
      <c r="B882" s="244"/>
      <c r="C882" s="244"/>
      <c r="D882" s="244"/>
      <c r="E882" s="244"/>
      <c r="F882" s="244"/>
      <c r="G882" s="244"/>
      <c r="I882" s="244"/>
      <c r="J882" s="244"/>
      <c r="K882" s="246" t="e">
        <f t="shared" si="91"/>
        <v>#VALUE!</v>
      </c>
      <c r="L882" s="246" t="e">
        <f t="shared" si="92"/>
        <v>#VALUE!</v>
      </c>
      <c r="M882" s="247" t="e">
        <f t="shared" si="93"/>
        <v>#VALUE!</v>
      </c>
      <c r="N882" s="246" t="e">
        <f t="shared" si="94"/>
        <v>#VALUE!</v>
      </c>
      <c r="O882" s="247" t="e">
        <f t="shared" si="95"/>
        <v>#VALUE!</v>
      </c>
      <c r="P882" s="247">
        <f t="shared" si="96"/>
        <v>0</v>
      </c>
      <c r="Q882" s="247" t="e">
        <f t="shared" si="97"/>
        <v>#VALUE!</v>
      </c>
    </row>
    <row r="883" spans="1:17" ht="15" customHeight="1" x14ac:dyDescent="0.25">
      <c r="A883" s="244"/>
      <c r="B883" s="244"/>
      <c r="C883" s="244"/>
      <c r="D883" s="244"/>
      <c r="E883" s="244"/>
      <c r="F883" s="244"/>
      <c r="G883" s="244"/>
      <c r="I883" s="244"/>
      <c r="J883" s="244"/>
      <c r="K883" s="246" t="e">
        <f t="shared" si="91"/>
        <v>#VALUE!</v>
      </c>
      <c r="L883" s="246" t="e">
        <f t="shared" si="92"/>
        <v>#VALUE!</v>
      </c>
      <c r="M883" s="247" t="e">
        <f t="shared" si="93"/>
        <v>#VALUE!</v>
      </c>
      <c r="N883" s="246" t="e">
        <f t="shared" si="94"/>
        <v>#VALUE!</v>
      </c>
      <c r="O883" s="247" t="e">
        <f t="shared" si="95"/>
        <v>#VALUE!</v>
      </c>
      <c r="P883" s="247">
        <f t="shared" si="96"/>
        <v>0</v>
      </c>
      <c r="Q883" s="247" t="e">
        <f t="shared" si="97"/>
        <v>#VALUE!</v>
      </c>
    </row>
    <row r="884" spans="1:17" ht="15" customHeight="1" x14ac:dyDescent="0.25">
      <c r="A884" s="244"/>
      <c r="B884" s="244"/>
      <c r="C884" s="244"/>
      <c r="D884" s="244"/>
      <c r="E884" s="244"/>
      <c r="F884" s="244"/>
      <c r="G884" s="244"/>
      <c r="I884" s="244"/>
      <c r="J884" s="244"/>
      <c r="K884" s="246" t="e">
        <f t="shared" si="91"/>
        <v>#VALUE!</v>
      </c>
      <c r="L884" s="246" t="e">
        <f t="shared" si="92"/>
        <v>#VALUE!</v>
      </c>
      <c r="M884" s="247" t="e">
        <f t="shared" si="93"/>
        <v>#VALUE!</v>
      </c>
      <c r="N884" s="246" t="e">
        <f t="shared" si="94"/>
        <v>#VALUE!</v>
      </c>
      <c r="O884" s="247" t="e">
        <f t="shared" si="95"/>
        <v>#VALUE!</v>
      </c>
      <c r="P884" s="247">
        <f t="shared" si="96"/>
        <v>0</v>
      </c>
      <c r="Q884" s="247" t="e">
        <f t="shared" si="97"/>
        <v>#VALUE!</v>
      </c>
    </row>
    <row r="885" spans="1:17" ht="15" customHeight="1" x14ac:dyDescent="0.25">
      <c r="A885" s="244"/>
      <c r="B885" s="244"/>
      <c r="C885" s="244"/>
      <c r="D885" s="244"/>
      <c r="E885" s="244"/>
      <c r="F885" s="244"/>
      <c r="G885" s="244"/>
      <c r="I885" s="244"/>
      <c r="J885" s="244"/>
      <c r="K885" s="246" t="e">
        <f t="shared" si="91"/>
        <v>#VALUE!</v>
      </c>
      <c r="L885" s="246" t="e">
        <f t="shared" si="92"/>
        <v>#VALUE!</v>
      </c>
      <c r="M885" s="247" t="e">
        <f t="shared" si="93"/>
        <v>#VALUE!</v>
      </c>
      <c r="N885" s="246" t="e">
        <f t="shared" si="94"/>
        <v>#VALUE!</v>
      </c>
      <c r="O885" s="247" t="e">
        <f t="shared" si="95"/>
        <v>#VALUE!</v>
      </c>
      <c r="P885" s="247">
        <f t="shared" si="96"/>
        <v>0</v>
      </c>
      <c r="Q885" s="247" t="e">
        <f t="shared" si="97"/>
        <v>#VALUE!</v>
      </c>
    </row>
    <row r="886" spans="1:17" ht="15" customHeight="1" x14ac:dyDescent="0.25">
      <c r="A886" s="244"/>
      <c r="B886" s="244"/>
      <c r="C886" s="244"/>
      <c r="D886" s="244"/>
      <c r="E886" s="244"/>
      <c r="F886" s="244"/>
      <c r="G886" s="244"/>
      <c r="I886" s="244"/>
      <c r="J886" s="244"/>
      <c r="K886" s="246" t="e">
        <f t="shared" si="91"/>
        <v>#VALUE!</v>
      </c>
      <c r="L886" s="246" t="e">
        <f t="shared" si="92"/>
        <v>#VALUE!</v>
      </c>
      <c r="M886" s="247" t="e">
        <f t="shared" si="93"/>
        <v>#VALUE!</v>
      </c>
      <c r="N886" s="246" t="e">
        <f t="shared" si="94"/>
        <v>#VALUE!</v>
      </c>
      <c r="O886" s="247" t="e">
        <f t="shared" si="95"/>
        <v>#VALUE!</v>
      </c>
      <c r="P886" s="247">
        <f t="shared" si="96"/>
        <v>0</v>
      </c>
      <c r="Q886" s="247" t="e">
        <f t="shared" si="97"/>
        <v>#VALUE!</v>
      </c>
    </row>
    <row r="887" spans="1:17" ht="15" customHeight="1" x14ac:dyDescent="0.25">
      <c r="A887" s="244"/>
      <c r="B887" s="244"/>
      <c r="C887" s="244"/>
      <c r="D887" s="244"/>
      <c r="E887" s="244"/>
      <c r="F887" s="244"/>
      <c r="G887" s="244"/>
      <c r="I887" s="244"/>
      <c r="J887" s="244"/>
      <c r="K887" s="246" t="e">
        <f t="shared" si="91"/>
        <v>#VALUE!</v>
      </c>
      <c r="L887" s="246" t="e">
        <f t="shared" si="92"/>
        <v>#VALUE!</v>
      </c>
      <c r="M887" s="247" t="e">
        <f t="shared" si="93"/>
        <v>#VALUE!</v>
      </c>
      <c r="N887" s="246" t="e">
        <f t="shared" si="94"/>
        <v>#VALUE!</v>
      </c>
      <c r="O887" s="247" t="e">
        <f t="shared" si="95"/>
        <v>#VALUE!</v>
      </c>
      <c r="P887" s="247">
        <f t="shared" si="96"/>
        <v>0</v>
      </c>
      <c r="Q887" s="247" t="e">
        <f t="shared" si="97"/>
        <v>#VALUE!</v>
      </c>
    </row>
    <row r="888" spans="1:17" ht="15" customHeight="1" x14ac:dyDescent="0.25">
      <c r="A888" s="244"/>
      <c r="B888" s="244"/>
      <c r="C888" s="244"/>
      <c r="D888" s="244"/>
      <c r="E888" s="244"/>
      <c r="F888" s="244"/>
      <c r="G888" s="244"/>
      <c r="I888" s="244"/>
      <c r="J888" s="244"/>
      <c r="K888" s="246" t="e">
        <f t="shared" si="91"/>
        <v>#VALUE!</v>
      </c>
      <c r="L888" s="246" t="e">
        <f t="shared" si="92"/>
        <v>#VALUE!</v>
      </c>
      <c r="M888" s="247" t="e">
        <f t="shared" si="93"/>
        <v>#VALUE!</v>
      </c>
      <c r="N888" s="246" t="e">
        <f t="shared" si="94"/>
        <v>#VALUE!</v>
      </c>
      <c r="O888" s="247" t="e">
        <f t="shared" si="95"/>
        <v>#VALUE!</v>
      </c>
      <c r="P888" s="247">
        <f t="shared" si="96"/>
        <v>0</v>
      </c>
      <c r="Q888" s="247" t="e">
        <f t="shared" si="97"/>
        <v>#VALUE!</v>
      </c>
    </row>
    <row r="889" spans="1:17" ht="15" customHeight="1" x14ac:dyDescent="0.25">
      <c r="A889" s="244"/>
      <c r="B889" s="244"/>
      <c r="C889" s="244"/>
      <c r="D889" s="244"/>
      <c r="E889" s="244"/>
      <c r="F889" s="244"/>
      <c r="G889" s="244"/>
      <c r="I889" s="244"/>
      <c r="J889" s="244"/>
      <c r="K889" s="246" t="e">
        <f t="shared" si="91"/>
        <v>#VALUE!</v>
      </c>
      <c r="L889" s="246" t="e">
        <f t="shared" si="92"/>
        <v>#VALUE!</v>
      </c>
      <c r="M889" s="247" t="e">
        <f t="shared" si="93"/>
        <v>#VALUE!</v>
      </c>
      <c r="N889" s="246" t="e">
        <f t="shared" si="94"/>
        <v>#VALUE!</v>
      </c>
      <c r="O889" s="247" t="e">
        <f t="shared" si="95"/>
        <v>#VALUE!</v>
      </c>
      <c r="P889" s="247">
        <f t="shared" si="96"/>
        <v>0</v>
      </c>
      <c r="Q889" s="247" t="e">
        <f t="shared" si="97"/>
        <v>#VALUE!</v>
      </c>
    </row>
    <row r="890" spans="1:17" ht="15" customHeight="1" x14ac:dyDescent="0.25">
      <c r="A890" s="244"/>
      <c r="B890" s="244"/>
      <c r="C890" s="244"/>
      <c r="D890" s="244"/>
      <c r="E890" s="244"/>
      <c r="F890" s="244"/>
      <c r="G890" s="244"/>
      <c r="I890" s="244"/>
      <c r="J890" s="244"/>
      <c r="K890" s="246" t="e">
        <f t="shared" si="91"/>
        <v>#VALUE!</v>
      </c>
      <c r="L890" s="246" t="e">
        <f t="shared" si="92"/>
        <v>#VALUE!</v>
      </c>
      <c r="M890" s="247" t="e">
        <f t="shared" si="93"/>
        <v>#VALUE!</v>
      </c>
      <c r="N890" s="246" t="e">
        <f t="shared" si="94"/>
        <v>#VALUE!</v>
      </c>
      <c r="O890" s="247" t="e">
        <f t="shared" si="95"/>
        <v>#VALUE!</v>
      </c>
      <c r="P890" s="247">
        <f t="shared" si="96"/>
        <v>0</v>
      </c>
      <c r="Q890" s="247" t="e">
        <f t="shared" si="97"/>
        <v>#VALUE!</v>
      </c>
    </row>
    <row r="891" spans="1:17" ht="15" customHeight="1" x14ac:dyDescent="0.25">
      <c r="A891" s="244"/>
      <c r="B891" s="244"/>
      <c r="C891" s="244"/>
      <c r="D891" s="244"/>
      <c r="E891" s="244"/>
      <c r="F891" s="244"/>
      <c r="G891" s="244"/>
      <c r="I891" s="244"/>
      <c r="J891" s="244"/>
      <c r="K891" s="246" t="e">
        <f t="shared" si="91"/>
        <v>#VALUE!</v>
      </c>
      <c r="L891" s="246" t="e">
        <f t="shared" si="92"/>
        <v>#VALUE!</v>
      </c>
      <c r="M891" s="247" t="e">
        <f t="shared" si="93"/>
        <v>#VALUE!</v>
      </c>
      <c r="N891" s="246" t="e">
        <f t="shared" si="94"/>
        <v>#VALUE!</v>
      </c>
      <c r="O891" s="247" t="e">
        <f t="shared" si="95"/>
        <v>#VALUE!</v>
      </c>
      <c r="P891" s="247">
        <f t="shared" si="96"/>
        <v>0</v>
      </c>
      <c r="Q891" s="247" t="e">
        <f t="shared" si="97"/>
        <v>#VALUE!</v>
      </c>
    </row>
    <row r="892" spans="1:17" ht="15" customHeight="1" x14ac:dyDescent="0.25">
      <c r="A892" s="244"/>
      <c r="B892" s="244"/>
      <c r="C892" s="244"/>
      <c r="D892" s="244"/>
      <c r="E892" s="244"/>
      <c r="F892" s="244"/>
      <c r="G892" s="244"/>
      <c r="I892" s="244"/>
      <c r="J892" s="244"/>
      <c r="K892" s="246" t="e">
        <f t="shared" si="91"/>
        <v>#VALUE!</v>
      </c>
      <c r="L892" s="246" t="e">
        <f t="shared" si="92"/>
        <v>#VALUE!</v>
      </c>
      <c r="M892" s="247" t="e">
        <f t="shared" si="93"/>
        <v>#VALUE!</v>
      </c>
      <c r="N892" s="246" t="e">
        <f t="shared" si="94"/>
        <v>#VALUE!</v>
      </c>
      <c r="O892" s="247" t="e">
        <f t="shared" si="95"/>
        <v>#VALUE!</v>
      </c>
      <c r="P892" s="247">
        <f t="shared" si="96"/>
        <v>0</v>
      </c>
      <c r="Q892" s="247" t="e">
        <f t="shared" si="97"/>
        <v>#VALUE!</v>
      </c>
    </row>
    <row r="893" spans="1:17" ht="15" customHeight="1" x14ac:dyDescent="0.25">
      <c r="A893" s="244"/>
      <c r="B893" s="244"/>
      <c r="C893" s="244"/>
      <c r="D893" s="244"/>
      <c r="E893" s="244"/>
      <c r="F893" s="244"/>
      <c r="G893" s="244"/>
      <c r="I893" s="244"/>
      <c r="J893" s="244"/>
      <c r="K893" s="246" t="e">
        <f t="shared" si="91"/>
        <v>#VALUE!</v>
      </c>
      <c r="L893" s="246" t="e">
        <f t="shared" si="92"/>
        <v>#VALUE!</v>
      </c>
      <c r="M893" s="247" t="e">
        <f t="shared" si="93"/>
        <v>#VALUE!</v>
      </c>
      <c r="N893" s="246" t="e">
        <f t="shared" si="94"/>
        <v>#VALUE!</v>
      </c>
      <c r="O893" s="247" t="e">
        <f t="shared" si="95"/>
        <v>#VALUE!</v>
      </c>
      <c r="P893" s="247">
        <f t="shared" si="96"/>
        <v>0</v>
      </c>
      <c r="Q893" s="247" t="e">
        <f t="shared" si="97"/>
        <v>#VALUE!</v>
      </c>
    </row>
    <row r="894" spans="1:17" ht="15" customHeight="1" x14ac:dyDescent="0.25">
      <c r="A894" s="244"/>
      <c r="B894" s="244"/>
      <c r="C894" s="244"/>
      <c r="D894" s="244"/>
      <c r="E894" s="244"/>
      <c r="F894" s="244"/>
      <c r="G894" s="244"/>
      <c r="I894" s="244"/>
      <c r="J894" s="244"/>
      <c r="K894" s="246" t="e">
        <f t="shared" si="91"/>
        <v>#VALUE!</v>
      </c>
      <c r="L894" s="246" t="e">
        <f t="shared" si="92"/>
        <v>#VALUE!</v>
      </c>
      <c r="M894" s="247" t="e">
        <f t="shared" si="93"/>
        <v>#VALUE!</v>
      </c>
      <c r="N894" s="246" t="e">
        <f t="shared" si="94"/>
        <v>#VALUE!</v>
      </c>
      <c r="O894" s="247" t="e">
        <f t="shared" si="95"/>
        <v>#VALUE!</v>
      </c>
      <c r="P894" s="247">
        <f t="shared" si="96"/>
        <v>0</v>
      </c>
      <c r="Q894" s="247" t="e">
        <f t="shared" si="97"/>
        <v>#VALUE!</v>
      </c>
    </row>
    <row r="895" spans="1:17" ht="15" customHeight="1" x14ac:dyDescent="0.25">
      <c r="A895" s="244"/>
      <c r="B895" s="244"/>
      <c r="C895" s="244"/>
      <c r="D895" s="244"/>
      <c r="E895" s="244"/>
      <c r="F895" s="244"/>
      <c r="G895" s="244"/>
      <c r="I895" s="244"/>
      <c r="J895" s="244"/>
      <c r="K895" s="246" t="e">
        <f t="shared" si="91"/>
        <v>#VALUE!</v>
      </c>
      <c r="L895" s="246" t="e">
        <f t="shared" si="92"/>
        <v>#VALUE!</v>
      </c>
      <c r="M895" s="247" t="e">
        <f t="shared" si="93"/>
        <v>#VALUE!</v>
      </c>
      <c r="N895" s="246" t="e">
        <f t="shared" si="94"/>
        <v>#VALUE!</v>
      </c>
      <c r="O895" s="247" t="e">
        <f t="shared" si="95"/>
        <v>#VALUE!</v>
      </c>
      <c r="P895" s="247">
        <f t="shared" si="96"/>
        <v>0</v>
      </c>
      <c r="Q895" s="247" t="e">
        <f t="shared" si="97"/>
        <v>#VALUE!</v>
      </c>
    </row>
    <row r="896" spans="1:17" ht="15" customHeight="1" x14ac:dyDescent="0.25">
      <c r="A896" s="244"/>
      <c r="B896" s="244"/>
      <c r="C896" s="244"/>
      <c r="D896" s="244"/>
      <c r="E896" s="244"/>
      <c r="F896" s="244"/>
      <c r="G896" s="244"/>
      <c r="I896" s="244"/>
      <c r="J896" s="244"/>
      <c r="K896" s="246" t="e">
        <f t="shared" si="91"/>
        <v>#VALUE!</v>
      </c>
      <c r="L896" s="246" t="e">
        <f t="shared" si="92"/>
        <v>#VALUE!</v>
      </c>
      <c r="M896" s="247" t="e">
        <f t="shared" si="93"/>
        <v>#VALUE!</v>
      </c>
      <c r="N896" s="246" t="e">
        <f t="shared" si="94"/>
        <v>#VALUE!</v>
      </c>
      <c r="O896" s="247" t="e">
        <f t="shared" si="95"/>
        <v>#VALUE!</v>
      </c>
      <c r="P896" s="247">
        <f t="shared" si="96"/>
        <v>0</v>
      </c>
      <c r="Q896" s="247" t="e">
        <f t="shared" si="97"/>
        <v>#VALUE!</v>
      </c>
    </row>
    <row r="897" spans="1:17" ht="15" customHeight="1" x14ac:dyDescent="0.25">
      <c r="A897" s="244"/>
      <c r="B897" s="244"/>
      <c r="C897" s="244"/>
      <c r="D897" s="244"/>
      <c r="E897" s="244"/>
      <c r="F897" s="244"/>
      <c r="G897" s="244"/>
      <c r="I897" s="244"/>
      <c r="J897" s="244"/>
      <c r="K897" s="246" t="e">
        <f t="shared" si="91"/>
        <v>#VALUE!</v>
      </c>
      <c r="L897" s="246" t="e">
        <f t="shared" si="92"/>
        <v>#VALUE!</v>
      </c>
      <c r="M897" s="247" t="e">
        <f t="shared" si="93"/>
        <v>#VALUE!</v>
      </c>
      <c r="N897" s="246" t="e">
        <f t="shared" si="94"/>
        <v>#VALUE!</v>
      </c>
      <c r="O897" s="247" t="e">
        <f t="shared" si="95"/>
        <v>#VALUE!</v>
      </c>
      <c r="P897" s="247">
        <f t="shared" si="96"/>
        <v>0</v>
      </c>
      <c r="Q897" s="247" t="e">
        <f t="shared" si="97"/>
        <v>#VALUE!</v>
      </c>
    </row>
    <row r="898" spans="1:17" ht="15" customHeight="1" x14ac:dyDescent="0.25">
      <c r="A898" s="244"/>
      <c r="B898" s="244"/>
      <c r="C898" s="244"/>
      <c r="D898" s="244"/>
      <c r="E898" s="244"/>
      <c r="F898" s="244"/>
      <c r="G898" s="244"/>
      <c r="I898" s="244"/>
      <c r="J898" s="244"/>
      <c r="K898" s="246" t="e">
        <f t="shared" ref="K898:K961" si="98">DATE(VALUE(LEFT(A898,4)),VALUE(MID(A898,5,2)),VALUE(RIGHT(A898,2)))</f>
        <v>#VALUE!</v>
      </c>
      <c r="L898" s="246" t="e">
        <f t="shared" ref="L898:L961" si="99">DATEVALUE(LEFT(F898,10))</f>
        <v>#VALUE!</v>
      </c>
      <c r="M898" s="247" t="e">
        <f t="shared" ref="M898:M961" si="100">TIMEVALUE(MID(F898,12,8))</f>
        <v>#VALUE!</v>
      </c>
      <c r="N898" s="246" t="e">
        <f t="shared" ref="N898:N961" si="101">DATEVALUE(LEFT(G898,10))</f>
        <v>#VALUE!</v>
      </c>
      <c r="O898" s="247" t="e">
        <f t="shared" ref="O898:O961" si="102">TIMEVALUE(MID(G898,12,8))</f>
        <v>#VALUE!</v>
      </c>
      <c r="P898" s="247">
        <f t="shared" ref="P898:P961" si="103">IFERROR(_xlfn.MINIFS($M:$M,$E:$E,$E898,$K:$K,$K898,$M:$M,"&gt;"&amp;$O898),"")</f>
        <v>0</v>
      </c>
      <c r="Q898" s="247" t="e">
        <f t="shared" ref="Q898:Q961" si="104">IF($P898="","",$P898-$O898)</f>
        <v>#VALUE!</v>
      </c>
    </row>
    <row r="899" spans="1:17" ht="15" customHeight="1" x14ac:dyDescent="0.25">
      <c r="A899" s="244"/>
      <c r="B899" s="244"/>
      <c r="C899" s="244"/>
      <c r="D899" s="244"/>
      <c r="E899" s="244"/>
      <c r="F899" s="244"/>
      <c r="G899" s="244"/>
      <c r="I899" s="244"/>
      <c r="J899" s="244"/>
      <c r="K899" s="246" t="e">
        <f t="shared" si="98"/>
        <v>#VALUE!</v>
      </c>
      <c r="L899" s="246" t="e">
        <f t="shared" si="99"/>
        <v>#VALUE!</v>
      </c>
      <c r="M899" s="247" t="e">
        <f t="shared" si="100"/>
        <v>#VALUE!</v>
      </c>
      <c r="N899" s="246" t="e">
        <f t="shared" si="101"/>
        <v>#VALUE!</v>
      </c>
      <c r="O899" s="247" t="e">
        <f t="shared" si="102"/>
        <v>#VALUE!</v>
      </c>
      <c r="P899" s="247">
        <f t="shared" si="103"/>
        <v>0</v>
      </c>
      <c r="Q899" s="247" t="e">
        <f t="shared" si="104"/>
        <v>#VALUE!</v>
      </c>
    </row>
    <row r="900" spans="1:17" ht="15" customHeight="1" x14ac:dyDescent="0.25">
      <c r="A900" s="244"/>
      <c r="B900" s="244"/>
      <c r="C900" s="244"/>
      <c r="D900" s="244"/>
      <c r="E900" s="244"/>
      <c r="F900" s="244"/>
      <c r="G900" s="244"/>
      <c r="I900" s="244"/>
      <c r="J900" s="244"/>
      <c r="K900" s="246" t="e">
        <f t="shared" si="98"/>
        <v>#VALUE!</v>
      </c>
      <c r="L900" s="246" t="e">
        <f t="shared" si="99"/>
        <v>#VALUE!</v>
      </c>
      <c r="M900" s="247" t="e">
        <f t="shared" si="100"/>
        <v>#VALUE!</v>
      </c>
      <c r="N900" s="246" t="e">
        <f t="shared" si="101"/>
        <v>#VALUE!</v>
      </c>
      <c r="O900" s="247" t="e">
        <f t="shared" si="102"/>
        <v>#VALUE!</v>
      </c>
      <c r="P900" s="247">
        <f t="shared" si="103"/>
        <v>0</v>
      </c>
      <c r="Q900" s="247" t="e">
        <f t="shared" si="104"/>
        <v>#VALUE!</v>
      </c>
    </row>
    <row r="901" spans="1:17" ht="15" customHeight="1" x14ac:dyDescent="0.25">
      <c r="A901" s="244"/>
      <c r="B901" s="244"/>
      <c r="C901" s="244"/>
      <c r="D901" s="244"/>
      <c r="E901" s="244"/>
      <c r="F901" s="244"/>
      <c r="G901" s="244"/>
      <c r="I901" s="244"/>
      <c r="J901" s="244"/>
      <c r="K901" s="246" t="e">
        <f t="shared" si="98"/>
        <v>#VALUE!</v>
      </c>
      <c r="L901" s="246" t="e">
        <f t="shared" si="99"/>
        <v>#VALUE!</v>
      </c>
      <c r="M901" s="247" t="e">
        <f t="shared" si="100"/>
        <v>#VALUE!</v>
      </c>
      <c r="N901" s="246" t="e">
        <f t="shared" si="101"/>
        <v>#VALUE!</v>
      </c>
      <c r="O901" s="247" t="e">
        <f t="shared" si="102"/>
        <v>#VALUE!</v>
      </c>
      <c r="P901" s="247">
        <f t="shared" si="103"/>
        <v>0</v>
      </c>
      <c r="Q901" s="247" t="e">
        <f t="shared" si="104"/>
        <v>#VALUE!</v>
      </c>
    </row>
    <row r="902" spans="1:17" ht="15" customHeight="1" x14ac:dyDescent="0.25">
      <c r="A902" s="244"/>
      <c r="B902" s="244"/>
      <c r="C902" s="244"/>
      <c r="D902" s="244"/>
      <c r="E902" s="244"/>
      <c r="F902" s="244"/>
      <c r="G902" s="244"/>
      <c r="I902" s="244"/>
      <c r="J902" s="244"/>
      <c r="K902" s="246" t="e">
        <f t="shared" si="98"/>
        <v>#VALUE!</v>
      </c>
      <c r="L902" s="246" t="e">
        <f t="shared" si="99"/>
        <v>#VALUE!</v>
      </c>
      <c r="M902" s="247" t="e">
        <f t="shared" si="100"/>
        <v>#VALUE!</v>
      </c>
      <c r="N902" s="246" t="e">
        <f t="shared" si="101"/>
        <v>#VALUE!</v>
      </c>
      <c r="O902" s="247" t="e">
        <f t="shared" si="102"/>
        <v>#VALUE!</v>
      </c>
      <c r="P902" s="247">
        <f t="shared" si="103"/>
        <v>0</v>
      </c>
      <c r="Q902" s="247" t="e">
        <f t="shared" si="104"/>
        <v>#VALUE!</v>
      </c>
    </row>
    <row r="903" spans="1:17" ht="15" customHeight="1" x14ac:dyDescent="0.25">
      <c r="A903" s="244"/>
      <c r="B903" s="244"/>
      <c r="C903" s="244"/>
      <c r="D903" s="244"/>
      <c r="E903" s="244"/>
      <c r="F903" s="244"/>
      <c r="G903" s="244"/>
      <c r="I903" s="244"/>
      <c r="J903" s="244"/>
      <c r="K903" s="246" t="e">
        <f t="shared" si="98"/>
        <v>#VALUE!</v>
      </c>
      <c r="L903" s="246" t="e">
        <f t="shared" si="99"/>
        <v>#VALUE!</v>
      </c>
      <c r="M903" s="247" t="e">
        <f t="shared" si="100"/>
        <v>#VALUE!</v>
      </c>
      <c r="N903" s="246" t="e">
        <f t="shared" si="101"/>
        <v>#VALUE!</v>
      </c>
      <c r="O903" s="247" t="e">
        <f t="shared" si="102"/>
        <v>#VALUE!</v>
      </c>
      <c r="P903" s="247">
        <f t="shared" si="103"/>
        <v>0</v>
      </c>
      <c r="Q903" s="247" t="e">
        <f t="shared" si="104"/>
        <v>#VALUE!</v>
      </c>
    </row>
    <row r="904" spans="1:17" ht="15" customHeight="1" x14ac:dyDescent="0.25">
      <c r="A904" s="244"/>
      <c r="B904" s="244"/>
      <c r="C904" s="244"/>
      <c r="D904" s="244"/>
      <c r="E904" s="244"/>
      <c r="F904" s="244"/>
      <c r="G904" s="244"/>
      <c r="I904" s="244"/>
      <c r="J904" s="244"/>
      <c r="K904" s="246" t="e">
        <f t="shared" si="98"/>
        <v>#VALUE!</v>
      </c>
      <c r="L904" s="246" t="e">
        <f t="shared" si="99"/>
        <v>#VALUE!</v>
      </c>
      <c r="M904" s="247" t="e">
        <f t="shared" si="100"/>
        <v>#VALUE!</v>
      </c>
      <c r="N904" s="246" t="e">
        <f t="shared" si="101"/>
        <v>#VALUE!</v>
      </c>
      <c r="O904" s="247" t="e">
        <f t="shared" si="102"/>
        <v>#VALUE!</v>
      </c>
      <c r="P904" s="247">
        <f t="shared" si="103"/>
        <v>0</v>
      </c>
      <c r="Q904" s="247" t="e">
        <f t="shared" si="104"/>
        <v>#VALUE!</v>
      </c>
    </row>
    <row r="905" spans="1:17" ht="15" customHeight="1" x14ac:dyDescent="0.25">
      <c r="A905" s="244"/>
      <c r="B905" s="244"/>
      <c r="C905" s="244"/>
      <c r="D905" s="244"/>
      <c r="E905" s="244"/>
      <c r="F905" s="244"/>
      <c r="G905" s="244"/>
      <c r="I905" s="244"/>
      <c r="J905" s="244"/>
      <c r="K905" s="246" t="e">
        <f t="shared" si="98"/>
        <v>#VALUE!</v>
      </c>
      <c r="L905" s="246" t="e">
        <f t="shared" si="99"/>
        <v>#VALUE!</v>
      </c>
      <c r="M905" s="247" t="e">
        <f t="shared" si="100"/>
        <v>#VALUE!</v>
      </c>
      <c r="N905" s="246" t="e">
        <f t="shared" si="101"/>
        <v>#VALUE!</v>
      </c>
      <c r="O905" s="247" t="e">
        <f t="shared" si="102"/>
        <v>#VALUE!</v>
      </c>
      <c r="P905" s="247">
        <f t="shared" si="103"/>
        <v>0</v>
      </c>
      <c r="Q905" s="247" t="e">
        <f t="shared" si="104"/>
        <v>#VALUE!</v>
      </c>
    </row>
    <row r="906" spans="1:17" ht="15" customHeight="1" x14ac:dyDescent="0.25">
      <c r="A906" s="244"/>
      <c r="B906" s="244"/>
      <c r="C906" s="244"/>
      <c r="D906" s="244"/>
      <c r="E906" s="244"/>
      <c r="F906" s="244"/>
      <c r="G906" s="244"/>
      <c r="I906" s="244"/>
      <c r="J906" s="244"/>
      <c r="K906" s="246" t="e">
        <f t="shared" si="98"/>
        <v>#VALUE!</v>
      </c>
      <c r="L906" s="246" t="e">
        <f t="shared" si="99"/>
        <v>#VALUE!</v>
      </c>
      <c r="M906" s="247" t="e">
        <f t="shared" si="100"/>
        <v>#VALUE!</v>
      </c>
      <c r="N906" s="246" t="e">
        <f t="shared" si="101"/>
        <v>#VALUE!</v>
      </c>
      <c r="O906" s="247" t="e">
        <f t="shared" si="102"/>
        <v>#VALUE!</v>
      </c>
      <c r="P906" s="247">
        <f t="shared" si="103"/>
        <v>0</v>
      </c>
      <c r="Q906" s="247" t="e">
        <f t="shared" si="104"/>
        <v>#VALUE!</v>
      </c>
    </row>
    <row r="907" spans="1:17" ht="15" customHeight="1" x14ac:dyDescent="0.25">
      <c r="A907" s="244"/>
      <c r="B907" s="244"/>
      <c r="C907" s="244"/>
      <c r="D907" s="244"/>
      <c r="E907" s="244"/>
      <c r="F907" s="244"/>
      <c r="G907" s="244"/>
      <c r="I907" s="244"/>
      <c r="J907" s="244"/>
      <c r="K907" s="246" t="e">
        <f t="shared" si="98"/>
        <v>#VALUE!</v>
      </c>
      <c r="L907" s="246" t="e">
        <f t="shared" si="99"/>
        <v>#VALUE!</v>
      </c>
      <c r="M907" s="247" t="e">
        <f t="shared" si="100"/>
        <v>#VALUE!</v>
      </c>
      <c r="N907" s="246" t="e">
        <f t="shared" si="101"/>
        <v>#VALUE!</v>
      </c>
      <c r="O907" s="247" t="e">
        <f t="shared" si="102"/>
        <v>#VALUE!</v>
      </c>
      <c r="P907" s="247">
        <f t="shared" si="103"/>
        <v>0</v>
      </c>
      <c r="Q907" s="247" t="e">
        <f t="shared" si="104"/>
        <v>#VALUE!</v>
      </c>
    </row>
    <row r="908" spans="1:17" ht="15" customHeight="1" x14ac:dyDescent="0.25">
      <c r="A908" s="244"/>
      <c r="B908" s="244"/>
      <c r="C908" s="244"/>
      <c r="D908" s="244"/>
      <c r="E908" s="244"/>
      <c r="F908" s="244"/>
      <c r="G908" s="244"/>
      <c r="I908" s="244"/>
      <c r="J908" s="244"/>
      <c r="K908" s="246" t="e">
        <f t="shared" si="98"/>
        <v>#VALUE!</v>
      </c>
      <c r="L908" s="246" t="e">
        <f t="shared" si="99"/>
        <v>#VALUE!</v>
      </c>
      <c r="M908" s="247" t="e">
        <f t="shared" si="100"/>
        <v>#VALUE!</v>
      </c>
      <c r="N908" s="246" t="e">
        <f t="shared" si="101"/>
        <v>#VALUE!</v>
      </c>
      <c r="O908" s="247" t="e">
        <f t="shared" si="102"/>
        <v>#VALUE!</v>
      </c>
      <c r="P908" s="247">
        <f t="shared" si="103"/>
        <v>0</v>
      </c>
      <c r="Q908" s="247" t="e">
        <f t="shared" si="104"/>
        <v>#VALUE!</v>
      </c>
    </row>
    <row r="909" spans="1:17" ht="15" customHeight="1" x14ac:dyDescent="0.25">
      <c r="A909" s="244"/>
      <c r="B909" s="244"/>
      <c r="C909" s="244"/>
      <c r="D909" s="244"/>
      <c r="E909" s="244"/>
      <c r="F909" s="244"/>
      <c r="G909" s="244"/>
      <c r="I909" s="244"/>
      <c r="J909" s="244"/>
      <c r="K909" s="246" t="e">
        <f t="shared" si="98"/>
        <v>#VALUE!</v>
      </c>
      <c r="L909" s="246" t="e">
        <f t="shared" si="99"/>
        <v>#VALUE!</v>
      </c>
      <c r="M909" s="247" t="e">
        <f t="shared" si="100"/>
        <v>#VALUE!</v>
      </c>
      <c r="N909" s="246" t="e">
        <f t="shared" si="101"/>
        <v>#VALUE!</v>
      </c>
      <c r="O909" s="247" t="e">
        <f t="shared" si="102"/>
        <v>#VALUE!</v>
      </c>
      <c r="P909" s="247">
        <f t="shared" si="103"/>
        <v>0</v>
      </c>
      <c r="Q909" s="247" t="e">
        <f t="shared" si="104"/>
        <v>#VALUE!</v>
      </c>
    </row>
    <row r="910" spans="1:17" ht="15" customHeight="1" x14ac:dyDescent="0.25">
      <c r="A910" s="244"/>
      <c r="B910" s="244"/>
      <c r="C910" s="244"/>
      <c r="D910" s="244"/>
      <c r="E910" s="244"/>
      <c r="F910" s="244"/>
      <c r="G910" s="244"/>
      <c r="I910" s="244"/>
      <c r="J910" s="244"/>
      <c r="K910" s="246" t="e">
        <f t="shared" si="98"/>
        <v>#VALUE!</v>
      </c>
      <c r="L910" s="246" t="e">
        <f t="shared" si="99"/>
        <v>#VALUE!</v>
      </c>
      <c r="M910" s="247" t="e">
        <f t="shared" si="100"/>
        <v>#VALUE!</v>
      </c>
      <c r="N910" s="246" t="e">
        <f t="shared" si="101"/>
        <v>#VALUE!</v>
      </c>
      <c r="O910" s="247" t="e">
        <f t="shared" si="102"/>
        <v>#VALUE!</v>
      </c>
      <c r="P910" s="247">
        <f t="shared" si="103"/>
        <v>0</v>
      </c>
      <c r="Q910" s="247" t="e">
        <f t="shared" si="104"/>
        <v>#VALUE!</v>
      </c>
    </row>
    <row r="911" spans="1:17" ht="15" customHeight="1" x14ac:dyDescent="0.25">
      <c r="A911" s="244"/>
      <c r="B911" s="244"/>
      <c r="C911" s="244"/>
      <c r="D911" s="244"/>
      <c r="E911" s="244"/>
      <c r="F911" s="244"/>
      <c r="G911" s="244"/>
      <c r="I911" s="244"/>
      <c r="J911" s="244"/>
      <c r="K911" s="246" t="e">
        <f t="shared" si="98"/>
        <v>#VALUE!</v>
      </c>
      <c r="L911" s="246" t="e">
        <f t="shared" si="99"/>
        <v>#VALUE!</v>
      </c>
      <c r="M911" s="247" t="e">
        <f t="shared" si="100"/>
        <v>#VALUE!</v>
      </c>
      <c r="N911" s="246" t="e">
        <f t="shared" si="101"/>
        <v>#VALUE!</v>
      </c>
      <c r="O911" s="247" t="e">
        <f t="shared" si="102"/>
        <v>#VALUE!</v>
      </c>
      <c r="P911" s="247">
        <f t="shared" si="103"/>
        <v>0</v>
      </c>
      <c r="Q911" s="247" t="e">
        <f t="shared" si="104"/>
        <v>#VALUE!</v>
      </c>
    </row>
    <row r="912" spans="1:17" ht="15" customHeight="1" x14ac:dyDescent="0.25">
      <c r="A912" s="244"/>
      <c r="B912" s="244"/>
      <c r="C912" s="244"/>
      <c r="D912" s="244"/>
      <c r="E912" s="244"/>
      <c r="F912" s="244"/>
      <c r="G912" s="244"/>
      <c r="I912" s="244"/>
      <c r="J912" s="244"/>
      <c r="K912" s="246" t="e">
        <f t="shared" si="98"/>
        <v>#VALUE!</v>
      </c>
      <c r="L912" s="246" t="e">
        <f t="shared" si="99"/>
        <v>#VALUE!</v>
      </c>
      <c r="M912" s="247" t="e">
        <f t="shared" si="100"/>
        <v>#VALUE!</v>
      </c>
      <c r="N912" s="246" t="e">
        <f t="shared" si="101"/>
        <v>#VALUE!</v>
      </c>
      <c r="O912" s="247" t="e">
        <f t="shared" si="102"/>
        <v>#VALUE!</v>
      </c>
      <c r="P912" s="247">
        <f t="shared" si="103"/>
        <v>0</v>
      </c>
      <c r="Q912" s="247" t="e">
        <f t="shared" si="104"/>
        <v>#VALUE!</v>
      </c>
    </row>
    <row r="913" spans="1:17" ht="15" customHeight="1" x14ac:dyDescent="0.25">
      <c r="A913" s="244"/>
      <c r="B913" s="244"/>
      <c r="C913" s="244"/>
      <c r="D913" s="244"/>
      <c r="E913" s="244"/>
      <c r="F913" s="244"/>
      <c r="G913" s="244"/>
      <c r="I913" s="244"/>
      <c r="J913" s="244"/>
      <c r="K913" s="246" t="e">
        <f t="shared" si="98"/>
        <v>#VALUE!</v>
      </c>
      <c r="L913" s="246" t="e">
        <f t="shared" si="99"/>
        <v>#VALUE!</v>
      </c>
      <c r="M913" s="247" t="e">
        <f t="shared" si="100"/>
        <v>#VALUE!</v>
      </c>
      <c r="N913" s="246" t="e">
        <f t="shared" si="101"/>
        <v>#VALUE!</v>
      </c>
      <c r="O913" s="247" t="e">
        <f t="shared" si="102"/>
        <v>#VALUE!</v>
      </c>
      <c r="P913" s="247">
        <f t="shared" si="103"/>
        <v>0</v>
      </c>
      <c r="Q913" s="247" t="e">
        <f t="shared" si="104"/>
        <v>#VALUE!</v>
      </c>
    </row>
    <row r="914" spans="1:17" ht="15" customHeight="1" x14ac:dyDescent="0.25">
      <c r="A914" s="244"/>
      <c r="B914" s="244"/>
      <c r="C914" s="244"/>
      <c r="D914" s="244"/>
      <c r="E914" s="244"/>
      <c r="F914" s="244"/>
      <c r="G914" s="244"/>
      <c r="I914" s="244"/>
      <c r="J914" s="244"/>
      <c r="K914" s="246" t="e">
        <f t="shared" si="98"/>
        <v>#VALUE!</v>
      </c>
      <c r="L914" s="246" t="e">
        <f t="shared" si="99"/>
        <v>#VALUE!</v>
      </c>
      <c r="M914" s="247" t="e">
        <f t="shared" si="100"/>
        <v>#VALUE!</v>
      </c>
      <c r="N914" s="246" t="e">
        <f t="shared" si="101"/>
        <v>#VALUE!</v>
      </c>
      <c r="O914" s="247" t="e">
        <f t="shared" si="102"/>
        <v>#VALUE!</v>
      </c>
      <c r="P914" s="247">
        <f t="shared" si="103"/>
        <v>0</v>
      </c>
      <c r="Q914" s="247" t="e">
        <f t="shared" si="104"/>
        <v>#VALUE!</v>
      </c>
    </row>
    <row r="915" spans="1:17" ht="15" customHeight="1" x14ac:dyDescent="0.25">
      <c r="A915" s="244"/>
      <c r="B915" s="244"/>
      <c r="C915" s="244"/>
      <c r="D915" s="244"/>
      <c r="E915" s="244"/>
      <c r="F915" s="244"/>
      <c r="G915" s="244"/>
      <c r="I915" s="244"/>
      <c r="J915" s="244"/>
      <c r="K915" s="246" t="e">
        <f t="shared" si="98"/>
        <v>#VALUE!</v>
      </c>
      <c r="L915" s="246" t="e">
        <f t="shared" si="99"/>
        <v>#VALUE!</v>
      </c>
      <c r="M915" s="247" t="e">
        <f t="shared" si="100"/>
        <v>#VALUE!</v>
      </c>
      <c r="N915" s="246" t="e">
        <f t="shared" si="101"/>
        <v>#VALUE!</v>
      </c>
      <c r="O915" s="247" t="e">
        <f t="shared" si="102"/>
        <v>#VALUE!</v>
      </c>
      <c r="P915" s="247">
        <f t="shared" si="103"/>
        <v>0</v>
      </c>
      <c r="Q915" s="247" t="e">
        <f t="shared" si="104"/>
        <v>#VALUE!</v>
      </c>
    </row>
    <row r="916" spans="1:17" ht="15" customHeight="1" x14ac:dyDescent="0.25">
      <c r="A916" s="244"/>
      <c r="B916" s="244"/>
      <c r="C916" s="244"/>
      <c r="D916" s="244"/>
      <c r="E916" s="244"/>
      <c r="F916" s="244"/>
      <c r="G916" s="244"/>
      <c r="I916" s="244"/>
      <c r="J916" s="244"/>
      <c r="K916" s="246" t="e">
        <f t="shared" si="98"/>
        <v>#VALUE!</v>
      </c>
      <c r="L916" s="246" t="e">
        <f t="shared" si="99"/>
        <v>#VALUE!</v>
      </c>
      <c r="M916" s="247" t="e">
        <f t="shared" si="100"/>
        <v>#VALUE!</v>
      </c>
      <c r="N916" s="246" t="e">
        <f t="shared" si="101"/>
        <v>#VALUE!</v>
      </c>
      <c r="O916" s="247" t="e">
        <f t="shared" si="102"/>
        <v>#VALUE!</v>
      </c>
      <c r="P916" s="247">
        <f t="shared" si="103"/>
        <v>0</v>
      </c>
      <c r="Q916" s="247" t="e">
        <f t="shared" si="104"/>
        <v>#VALUE!</v>
      </c>
    </row>
    <row r="917" spans="1:17" ht="15" customHeight="1" x14ac:dyDescent="0.25">
      <c r="A917" s="244"/>
      <c r="B917" s="244"/>
      <c r="C917" s="244"/>
      <c r="D917" s="244"/>
      <c r="E917" s="244"/>
      <c r="F917" s="244"/>
      <c r="G917" s="244"/>
      <c r="I917" s="244"/>
      <c r="J917" s="244"/>
      <c r="K917" s="246" t="e">
        <f t="shared" si="98"/>
        <v>#VALUE!</v>
      </c>
      <c r="L917" s="246" t="e">
        <f t="shared" si="99"/>
        <v>#VALUE!</v>
      </c>
      <c r="M917" s="247" t="e">
        <f t="shared" si="100"/>
        <v>#VALUE!</v>
      </c>
      <c r="N917" s="246" t="e">
        <f t="shared" si="101"/>
        <v>#VALUE!</v>
      </c>
      <c r="O917" s="247" t="e">
        <f t="shared" si="102"/>
        <v>#VALUE!</v>
      </c>
      <c r="P917" s="247">
        <f t="shared" si="103"/>
        <v>0</v>
      </c>
      <c r="Q917" s="247" t="e">
        <f t="shared" si="104"/>
        <v>#VALUE!</v>
      </c>
    </row>
    <row r="918" spans="1:17" ht="15" customHeight="1" x14ac:dyDescent="0.25">
      <c r="A918" s="244"/>
      <c r="B918" s="244"/>
      <c r="C918" s="244"/>
      <c r="D918" s="244"/>
      <c r="E918" s="244"/>
      <c r="F918" s="244"/>
      <c r="G918" s="244"/>
      <c r="I918" s="244"/>
      <c r="J918" s="244"/>
      <c r="K918" s="246" t="e">
        <f t="shared" si="98"/>
        <v>#VALUE!</v>
      </c>
      <c r="L918" s="246" t="e">
        <f t="shared" si="99"/>
        <v>#VALUE!</v>
      </c>
      <c r="M918" s="247" t="e">
        <f t="shared" si="100"/>
        <v>#VALUE!</v>
      </c>
      <c r="N918" s="246" t="e">
        <f t="shared" si="101"/>
        <v>#VALUE!</v>
      </c>
      <c r="O918" s="247" t="e">
        <f t="shared" si="102"/>
        <v>#VALUE!</v>
      </c>
      <c r="P918" s="247">
        <f t="shared" si="103"/>
        <v>0</v>
      </c>
      <c r="Q918" s="247" t="e">
        <f t="shared" si="104"/>
        <v>#VALUE!</v>
      </c>
    </row>
    <row r="919" spans="1:17" ht="15" customHeight="1" x14ac:dyDescent="0.25">
      <c r="A919" s="244"/>
      <c r="B919" s="244"/>
      <c r="C919" s="244"/>
      <c r="D919" s="244"/>
      <c r="E919" s="244"/>
      <c r="F919" s="244"/>
      <c r="G919" s="244"/>
      <c r="I919" s="244"/>
      <c r="J919" s="244"/>
      <c r="K919" s="246" t="e">
        <f t="shared" si="98"/>
        <v>#VALUE!</v>
      </c>
      <c r="L919" s="246" t="e">
        <f t="shared" si="99"/>
        <v>#VALUE!</v>
      </c>
      <c r="M919" s="247" t="e">
        <f t="shared" si="100"/>
        <v>#VALUE!</v>
      </c>
      <c r="N919" s="246" t="e">
        <f t="shared" si="101"/>
        <v>#VALUE!</v>
      </c>
      <c r="O919" s="247" t="e">
        <f t="shared" si="102"/>
        <v>#VALUE!</v>
      </c>
      <c r="P919" s="247">
        <f t="shared" si="103"/>
        <v>0</v>
      </c>
      <c r="Q919" s="247" t="e">
        <f t="shared" si="104"/>
        <v>#VALUE!</v>
      </c>
    </row>
    <row r="920" spans="1:17" ht="15" customHeight="1" x14ac:dyDescent="0.25">
      <c r="A920" s="244"/>
      <c r="B920" s="244"/>
      <c r="C920" s="244"/>
      <c r="D920" s="244"/>
      <c r="E920" s="244"/>
      <c r="F920" s="244"/>
      <c r="G920" s="244"/>
      <c r="I920" s="244"/>
      <c r="J920" s="244"/>
      <c r="K920" s="246" t="e">
        <f t="shared" si="98"/>
        <v>#VALUE!</v>
      </c>
      <c r="L920" s="246" t="e">
        <f t="shared" si="99"/>
        <v>#VALUE!</v>
      </c>
      <c r="M920" s="247" t="e">
        <f t="shared" si="100"/>
        <v>#VALUE!</v>
      </c>
      <c r="N920" s="246" t="e">
        <f t="shared" si="101"/>
        <v>#VALUE!</v>
      </c>
      <c r="O920" s="247" t="e">
        <f t="shared" si="102"/>
        <v>#VALUE!</v>
      </c>
      <c r="P920" s="247">
        <f t="shared" si="103"/>
        <v>0</v>
      </c>
      <c r="Q920" s="247" t="e">
        <f t="shared" si="104"/>
        <v>#VALUE!</v>
      </c>
    </row>
    <row r="921" spans="1:17" ht="15" customHeight="1" x14ac:dyDescent="0.25">
      <c r="A921" s="244"/>
      <c r="B921" s="244"/>
      <c r="C921" s="244"/>
      <c r="D921" s="244"/>
      <c r="E921" s="244"/>
      <c r="F921" s="244"/>
      <c r="G921" s="244"/>
      <c r="I921" s="244"/>
      <c r="J921" s="244"/>
      <c r="K921" s="246" t="e">
        <f t="shared" si="98"/>
        <v>#VALUE!</v>
      </c>
      <c r="L921" s="246" t="e">
        <f t="shared" si="99"/>
        <v>#VALUE!</v>
      </c>
      <c r="M921" s="247" t="e">
        <f t="shared" si="100"/>
        <v>#VALUE!</v>
      </c>
      <c r="N921" s="246" t="e">
        <f t="shared" si="101"/>
        <v>#VALUE!</v>
      </c>
      <c r="O921" s="247" t="e">
        <f t="shared" si="102"/>
        <v>#VALUE!</v>
      </c>
      <c r="P921" s="247">
        <f t="shared" si="103"/>
        <v>0</v>
      </c>
      <c r="Q921" s="247" t="e">
        <f t="shared" si="104"/>
        <v>#VALUE!</v>
      </c>
    </row>
    <row r="922" spans="1:17" ht="15" customHeight="1" x14ac:dyDescent="0.25">
      <c r="A922" s="244"/>
      <c r="B922" s="244"/>
      <c r="C922" s="244"/>
      <c r="D922" s="244"/>
      <c r="E922" s="244"/>
      <c r="F922" s="244"/>
      <c r="G922" s="244"/>
      <c r="I922" s="244"/>
      <c r="J922" s="244"/>
      <c r="K922" s="246" t="e">
        <f t="shared" si="98"/>
        <v>#VALUE!</v>
      </c>
      <c r="L922" s="246" t="e">
        <f t="shared" si="99"/>
        <v>#VALUE!</v>
      </c>
      <c r="M922" s="247" t="e">
        <f t="shared" si="100"/>
        <v>#VALUE!</v>
      </c>
      <c r="N922" s="246" t="e">
        <f t="shared" si="101"/>
        <v>#VALUE!</v>
      </c>
      <c r="O922" s="247" t="e">
        <f t="shared" si="102"/>
        <v>#VALUE!</v>
      </c>
      <c r="P922" s="247">
        <f t="shared" si="103"/>
        <v>0</v>
      </c>
      <c r="Q922" s="247" t="e">
        <f t="shared" si="104"/>
        <v>#VALUE!</v>
      </c>
    </row>
    <row r="923" spans="1:17" ht="15" customHeight="1" x14ac:dyDescent="0.25">
      <c r="A923" s="244"/>
      <c r="B923" s="244"/>
      <c r="C923" s="244"/>
      <c r="D923" s="244"/>
      <c r="E923" s="244"/>
      <c r="F923" s="244"/>
      <c r="G923" s="244"/>
      <c r="I923" s="244"/>
      <c r="J923" s="244"/>
      <c r="K923" s="246" t="e">
        <f t="shared" si="98"/>
        <v>#VALUE!</v>
      </c>
      <c r="L923" s="246" t="e">
        <f t="shared" si="99"/>
        <v>#VALUE!</v>
      </c>
      <c r="M923" s="247" t="e">
        <f t="shared" si="100"/>
        <v>#VALUE!</v>
      </c>
      <c r="N923" s="246" t="e">
        <f t="shared" si="101"/>
        <v>#VALUE!</v>
      </c>
      <c r="O923" s="247" t="e">
        <f t="shared" si="102"/>
        <v>#VALUE!</v>
      </c>
      <c r="P923" s="247">
        <f t="shared" si="103"/>
        <v>0</v>
      </c>
      <c r="Q923" s="247" t="e">
        <f t="shared" si="104"/>
        <v>#VALUE!</v>
      </c>
    </row>
    <row r="924" spans="1:17" ht="15" customHeight="1" x14ac:dyDescent="0.25">
      <c r="A924" s="244"/>
      <c r="B924" s="244"/>
      <c r="C924" s="244"/>
      <c r="D924" s="244"/>
      <c r="E924" s="244"/>
      <c r="F924" s="244"/>
      <c r="G924" s="244"/>
      <c r="I924" s="244"/>
      <c r="J924" s="244"/>
      <c r="K924" s="246" t="e">
        <f t="shared" si="98"/>
        <v>#VALUE!</v>
      </c>
      <c r="L924" s="246" t="e">
        <f t="shared" si="99"/>
        <v>#VALUE!</v>
      </c>
      <c r="M924" s="247" t="e">
        <f t="shared" si="100"/>
        <v>#VALUE!</v>
      </c>
      <c r="N924" s="246" t="e">
        <f t="shared" si="101"/>
        <v>#VALUE!</v>
      </c>
      <c r="O924" s="247" t="e">
        <f t="shared" si="102"/>
        <v>#VALUE!</v>
      </c>
      <c r="P924" s="247">
        <f t="shared" si="103"/>
        <v>0</v>
      </c>
      <c r="Q924" s="247" t="e">
        <f t="shared" si="104"/>
        <v>#VALUE!</v>
      </c>
    </row>
    <row r="925" spans="1:17" ht="15" customHeight="1" x14ac:dyDescent="0.25">
      <c r="A925" s="244"/>
      <c r="B925" s="244"/>
      <c r="C925" s="244"/>
      <c r="D925" s="244"/>
      <c r="E925" s="244"/>
      <c r="F925" s="244"/>
      <c r="G925" s="244"/>
      <c r="I925" s="244"/>
      <c r="J925" s="244"/>
      <c r="K925" s="246" t="e">
        <f t="shared" si="98"/>
        <v>#VALUE!</v>
      </c>
      <c r="L925" s="246" t="e">
        <f t="shared" si="99"/>
        <v>#VALUE!</v>
      </c>
      <c r="M925" s="247" t="e">
        <f t="shared" si="100"/>
        <v>#VALUE!</v>
      </c>
      <c r="N925" s="246" t="e">
        <f t="shared" si="101"/>
        <v>#VALUE!</v>
      </c>
      <c r="O925" s="247" t="e">
        <f t="shared" si="102"/>
        <v>#VALUE!</v>
      </c>
      <c r="P925" s="247">
        <f t="shared" si="103"/>
        <v>0</v>
      </c>
      <c r="Q925" s="247" t="e">
        <f t="shared" si="104"/>
        <v>#VALUE!</v>
      </c>
    </row>
    <row r="926" spans="1:17" ht="15" customHeight="1" x14ac:dyDescent="0.25">
      <c r="A926" s="244"/>
      <c r="B926" s="244"/>
      <c r="C926" s="244"/>
      <c r="D926" s="244"/>
      <c r="E926" s="244"/>
      <c r="F926" s="244"/>
      <c r="G926" s="244"/>
      <c r="I926" s="244"/>
      <c r="J926" s="244"/>
      <c r="K926" s="246" t="e">
        <f t="shared" si="98"/>
        <v>#VALUE!</v>
      </c>
      <c r="L926" s="246" t="e">
        <f t="shared" si="99"/>
        <v>#VALUE!</v>
      </c>
      <c r="M926" s="247" t="e">
        <f t="shared" si="100"/>
        <v>#VALUE!</v>
      </c>
      <c r="N926" s="246" t="e">
        <f t="shared" si="101"/>
        <v>#VALUE!</v>
      </c>
      <c r="O926" s="247" t="e">
        <f t="shared" si="102"/>
        <v>#VALUE!</v>
      </c>
      <c r="P926" s="247">
        <f t="shared" si="103"/>
        <v>0</v>
      </c>
      <c r="Q926" s="247" t="e">
        <f t="shared" si="104"/>
        <v>#VALUE!</v>
      </c>
    </row>
    <row r="927" spans="1:17" ht="15" customHeight="1" x14ac:dyDescent="0.25">
      <c r="A927" s="244"/>
      <c r="B927" s="244"/>
      <c r="C927" s="244"/>
      <c r="D927" s="244"/>
      <c r="E927" s="244"/>
      <c r="F927" s="244"/>
      <c r="G927" s="244"/>
      <c r="I927" s="244"/>
      <c r="J927" s="244"/>
      <c r="K927" s="246" t="e">
        <f t="shared" si="98"/>
        <v>#VALUE!</v>
      </c>
      <c r="L927" s="246" t="e">
        <f t="shared" si="99"/>
        <v>#VALUE!</v>
      </c>
      <c r="M927" s="247" t="e">
        <f t="shared" si="100"/>
        <v>#VALUE!</v>
      </c>
      <c r="N927" s="246" t="e">
        <f t="shared" si="101"/>
        <v>#VALUE!</v>
      </c>
      <c r="O927" s="247" t="e">
        <f t="shared" si="102"/>
        <v>#VALUE!</v>
      </c>
      <c r="P927" s="247">
        <f t="shared" si="103"/>
        <v>0</v>
      </c>
      <c r="Q927" s="247" t="e">
        <f t="shared" si="104"/>
        <v>#VALUE!</v>
      </c>
    </row>
    <row r="928" spans="1:17" ht="15" customHeight="1" x14ac:dyDescent="0.25">
      <c r="A928" s="244"/>
      <c r="B928" s="244"/>
      <c r="C928" s="244"/>
      <c r="D928" s="244"/>
      <c r="E928" s="244"/>
      <c r="F928" s="244"/>
      <c r="G928" s="244"/>
      <c r="I928" s="244"/>
      <c r="J928" s="244"/>
      <c r="K928" s="246" t="e">
        <f t="shared" si="98"/>
        <v>#VALUE!</v>
      </c>
      <c r="L928" s="246" t="e">
        <f t="shared" si="99"/>
        <v>#VALUE!</v>
      </c>
      <c r="M928" s="247" t="e">
        <f t="shared" si="100"/>
        <v>#VALUE!</v>
      </c>
      <c r="N928" s="246" t="e">
        <f t="shared" si="101"/>
        <v>#VALUE!</v>
      </c>
      <c r="O928" s="247" t="e">
        <f t="shared" si="102"/>
        <v>#VALUE!</v>
      </c>
      <c r="P928" s="247">
        <f t="shared" si="103"/>
        <v>0</v>
      </c>
      <c r="Q928" s="247" t="e">
        <f t="shared" si="104"/>
        <v>#VALUE!</v>
      </c>
    </row>
    <row r="929" spans="1:17" ht="15" customHeight="1" x14ac:dyDescent="0.25">
      <c r="A929" s="244"/>
      <c r="B929" s="244"/>
      <c r="C929" s="244"/>
      <c r="D929" s="244"/>
      <c r="E929" s="244"/>
      <c r="F929" s="244"/>
      <c r="G929" s="244"/>
      <c r="I929" s="244"/>
      <c r="J929" s="244"/>
      <c r="K929" s="246" t="e">
        <f t="shared" si="98"/>
        <v>#VALUE!</v>
      </c>
      <c r="L929" s="246" t="e">
        <f t="shared" si="99"/>
        <v>#VALUE!</v>
      </c>
      <c r="M929" s="247" t="e">
        <f t="shared" si="100"/>
        <v>#VALUE!</v>
      </c>
      <c r="N929" s="246" t="e">
        <f t="shared" si="101"/>
        <v>#VALUE!</v>
      </c>
      <c r="O929" s="247" t="e">
        <f t="shared" si="102"/>
        <v>#VALUE!</v>
      </c>
      <c r="P929" s="247">
        <f t="shared" si="103"/>
        <v>0</v>
      </c>
      <c r="Q929" s="247" t="e">
        <f t="shared" si="104"/>
        <v>#VALUE!</v>
      </c>
    </row>
    <row r="930" spans="1:17" ht="15" customHeight="1" x14ac:dyDescent="0.25">
      <c r="A930" s="244"/>
      <c r="B930" s="244"/>
      <c r="C930" s="244"/>
      <c r="D930" s="244"/>
      <c r="E930" s="244"/>
      <c r="F930" s="244"/>
      <c r="G930" s="244"/>
      <c r="I930" s="244"/>
      <c r="J930" s="244"/>
      <c r="K930" s="246" t="e">
        <f t="shared" si="98"/>
        <v>#VALUE!</v>
      </c>
      <c r="L930" s="246" t="e">
        <f t="shared" si="99"/>
        <v>#VALUE!</v>
      </c>
      <c r="M930" s="247" t="e">
        <f t="shared" si="100"/>
        <v>#VALUE!</v>
      </c>
      <c r="N930" s="246" t="e">
        <f t="shared" si="101"/>
        <v>#VALUE!</v>
      </c>
      <c r="O930" s="247" t="e">
        <f t="shared" si="102"/>
        <v>#VALUE!</v>
      </c>
      <c r="P930" s="247">
        <f t="shared" si="103"/>
        <v>0</v>
      </c>
      <c r="Q930" s="247" t="e">
        <f t="shared" si="104"/>
        <v>#VALUE!</v>
      </c>
    </row>
    <row r="931" spans="1:17" ht="15" customHeight="1" x14ac:dyDescent="0.25">
      <c r="A931" s="244"/>
      <c r="B931" s="244"/>
      <c r="C931" s="244"/>
      <c r="D931" s="244"/>
      <c r="E931" s="244"/>
      <c r="F931" s="244"/>
      <c r="G931" s="244"/>
      <c r="I931" s="244"/>
      <c r="J931" s="244"/>
      <c r="K931" s="246" t="e">
        <f t="shared" si="98"/>
        <v>#VALUE!</v>
      </c>
      <c r="L931" s="246" t="e">
        <f t="shared" si="99"/>
        <v>#VALUE!</v>
      </c>
      <c r="M931" s="247" t="e">
        <f t="shared" si="100"/>
        <v>#VALUE!</v>
      </c>
      <c r="N931" s="246" t="e">
        <f t="shared" si="101"/>
        <v>#VALUE!</v>
      </c>
      <c r="O931" s="247" t="e">
        <f t="shared" si="102"/>
        <v>#VALUE!</v>
      </c>
      <c r="P931" s="247">
        <f t="shared" si="103"/>
        <v>0</v>
      </c>
      <c r="Q931" s="247" t="e">
        <f t="shared" si="104"/>
        <v>#VALUE!</v>
      </c>
    </row>
    <row r="932" spans="1:17" ht="15" customHeight="1" x14ac:dyDescent="0.25">
      <c r="A932" s="244"/>
      <c r="B932" s="244"/>
      <c r="C932" s="244"/>
      <c r="D932" s="244"/>
      <c r="E932" s="244"/>
      <c r="F932" s="244"/>
      <c r="G932" s="244"/>
      <c r="I932" s="244"/>
      <c r="J932" s="244"/>
      <c r="K932" s="246" t="e">
        <f t="shared" si="98"/>
        <v>#VALUE!</v>
      </c>
      <c r="L932" s="246" t="e">
        <f t="shared" si="99"/>
        <v>#VALUE!</v>
      </c>
      <c r="M932" s="247" t="e">
        <f t="shared" si="100"/>
        <v>#VALUE!</v>
      </c>
      <c r="N932" s="246" t="e">
        <f t="shared" si="101"/>
        <v>#VALUE!</v>
      </c>
      <c r="O932" s="247" t="e">
        <f t="shared" si="102"/>
        <v>#VALUE!</v>
      </c>
      <c r="P932" s="247">
        <f t="shared" si="103"/>
        <v>0</v>
      </c>
      <c r="Q932" s="247" t="e">
        <f t="shared" si="104"/>
        <v>#VALUE!</v>
      </c>
    </row>
    <row r="933" spans="1:17" ht="15" customHeight="1" x14ac:dyDescent="0.25">
      <c r="A933" s="244"/>
      <c r="B933" s="244"/>
      <c r="C933" s="244"/>
      <c r="D933" s="244"/>
      <c r="E933" s="244"/>
      <c r="F933" s="244"/>
      <c r="G933" s="244"/>
      <c r="I933" s="244"/>
      <c r="J933" s="244"/>
      <c r="K933" s="246" t="e">
        <f t="shared" si="98"/>
        <v>#VALUE!</v>
      </c>
      <c r="L933" s="246" t="e">
        <f t="shared" si="99"/>
        <v>#VALUE!</v>
      </c>
      <c r="M933" s="247" t="e">
        <f t="shared" si="100"/>
        <v>#VALUE!</v>
      </c>
      <c r="N933" s="246" t="e">
        <f t="shared" si="101"/>
        <v>#VALUE!</v>
      </c>
      <c r="O933" s="247" t="e">
        <f t="shared" si="102"/>
        <v>#VALUE!</v>
      </c>
      <c r="P933" s="247">
        <f t="shared" si="103"/>
        <v>0</v>
      </c>
      <c r="Q933" s="247" t="e">
        <f t="shared" si="104"/>
        <v>#VALUE!</v>
      </c>
    </row>
    <row r="934" spans="1:17" ht="15" customHeight="1" x14ac:dyDescent="0.25">
      <c r="A934" s="244"/>
      <c r="B934" s="244"/>
      <c r="C934" s="244"/>
      <c r="D934" s="244"/>
      <c r="E934" s="244"/>
      <c r="F934" s="244"/>
      <c r="G934" s="244"/>
      <c r="I934" s="244"/>
      <c r="J934" s="244"/>
      <c r="K934" s="246" t="e">
        <f t="shared" si="98"/>
        <v>#VALUE!</v>
      </c>
      <c r="L934" s="246" t="e">
        <f t="shared" si="99"/>
        <v>#VALUE!</v>
      </c>
      <c r="M934" s="247" t="e">
        <f t="shared" si="100"/>
        <v>#VALUE!</v>
      </c>
      <c r="N934" s="246" t="e">
        <f t="shared" si="101"/>
        <v>#VALUE!</v>
      </c>
      <c r="O934" s="247" t="e">
        <f t="shared" si="102"/>
        <v>#VALUE!</v>
      </c>
      <c r="P934" s="247">
        <f t="shared" si="103"/>
        <v>0</v>
      </c>
      <c r="Q934" s="247" t="e">
        <f t="shared" si="104"/>
        <v>#VALUE!</v>
      </c>
    </row>
    <row r="935" spans="1:17" ht="15" customHeight="1" x14ac:dyDescent="0.25">
      <c r="A935" s="244"/>
      <c r="B935" s="244"/>
      <c r="C935" s="244"/>
      <c r="D935" s="244"/>
      <c r="E935" s="244"/>
      <c r="F935" s="244"/>
      <c r="G935" s="244"/>
      <c r="I935" s="244"/>
      <c r="J935" s="244"/>
      <c r="K935" s="246" t="e">
        <f t="shared" si="98"/>
        <v>#VALUE!</v>
      </c>
      <c r="L935" s="246" t="e">
        <f t="shared" si="99"/>
        <v>#VALUE!</v>
      </c>
      <c r="M935" s="247" t="e">
        <f t="shared" si="100"/>
        <v>#VALUE!</v>
      </c>
      <c r="N935" s="246" t="e">
        <f t="shared" si="101"/>
        <v>#VALUE!</v>
      </c>
      <c r="O935" s="247" t="e">
        <f t="shared" si="102"/>
        <v>#VALUE!</v>
      </c>
      <c r="P935" s="247">
        <f t="shared" si="103"/>
        <v>0</v>
      </c>
      <c r="Q935" s="247" t="e">
        <f t="shared" si="104"/>
        <v>#VALUE!</v>
      </c>
    </row>
    <row r="936" spans="1:17" ht="15" customHeight="1" x14ac:dyDescent="0.25">
      <c r="A936" s="244"/>
      <c r="B936" s="244"/>
      <c r="C936" s="244"/>
      <c r="D936" s="244"/>
      <c r="E936" s="244"/>
      <c r="F936" s="244"/>
      <c r="G936" s="244"/>
      <c r="I936" s="244"/>
      <c r="J936" s="244"/>
      <c r="K936" s="246" t="e">
        <f t="shared" si="98"/>
        <v>#VALUE!</v>
      </c>
      <c r="L936" s="246" t="e">
        <f t="shared" si="99"/>
        <v>#VALUE!</v>
      </c>
      <c r="M936" s="247" t="e">
        <f t="shared" si="100"/>
        <v>#VALUE!</v>
      </c>
      <c r="N936" s="246" t="e">
        <f t="shared" si="101"/>
        <v>#VALUE!</v>
      </c>
      <c r="O936" s="247" t="e">
        <f t="shared" si="102"/>
        <v>#VALUE!</v>
      </c>
      <c r="P936" s="247">
        <f t="shared" si="103"/>
        <v>0</v>
      </c>
      <c r="Q936" s="247" t="e">
        <f t="shared" si="104"/>
        <v>#VALUE!</v>
      </c>
    </row>
    <row r="937" spans="1:17" ht="15" customHeight="1" x14ac:dyDescent="0.25">
      <c r="A937" s="244"/>
      <c r="B937" s="244"/>
      <c r="C937" s="244"/>
      <c r="D937" s="244"/>
      <c r="E937" s="244"/>
      <c r="F937" s="244"/>
      <c r="G937" s="244"/>
      <c r="I937" s="244"/>
      <c r="J937" s="244"/>
      <c r="K937" s="246" t="e">
        <f t="shared" si="98"/>
        <v>#VALUE!</v>
      </c>
      <c r="L937" s="246" t="e">
        <f t="shared" si="99"/>
        <v>#VALUE!</v>
      </c>
      <c r="M937" s="247" t="e">
        <f t="shared" si="100"/>
        <v>#VALUE!</v>
      </c>
      <c r="N937" s="246" t="e">
        <f t="shared" si="101"/>
        <v>#VALUE!</v>
      </c>
      <c r="O937" s="247" t="e">
        <f t="shared" si="102"/>
        <v>#VALUE!</v>
      </c>
      <c r="P937" s="247">
        <f t="shared" si="103"/>
        <v>0</v>
      </c>
      <c r="Q937" s="247" t="e">
        <f t="shared" si="104"/>
        <v>#VALUE!</v>
      </c>
    </row>
    <row r="938" spans="1:17" ht="15" customHeight="1" x14ac:dyDescent="0.25">
      <c r="A938" s="244"/>
      <c r="B938" s="244"/>
      <c r="C938" s="244"/>
      <c r="D938" s="244"/>
      <c r="E938" s="244"/>
      <c r="F938" s="244"/>
      <c r="G938" s="244"/>
      <c r="I938" s="244"/>
      <c r="J938" s="244"/>
      <c r="K938" s="246" t="e">
        <f t="shared" si="98"/>
        <v>#VALUE!</v>
      </c>
      <c r="L938" s="246" t="e">
        <f t="shared" si="99"/>
        <v>#VALUE!</v>
      </c>
      <c r="M938" s="247" t="e">
        <f t="shared" si="100"/>
        <v>#VALUE!</v>
      </c>
      <c r="N938" s="246" t="e">
        <f t="shared" si="101"/>
        <v>#VALUE!</v>
      </c>
      <c r="O938" s="247" t="e">
        <f t="shared" si="102"/>
        <v>#VALUE!</v>
      </c>
      <c r="P938" s="247">
        <f t="shared" si="103"/>
        <v>0</v>
      </c>
      <c r="Q938" s="247" t="e">
        <f t="shared" si="104"/>
        <v>#VALUE!</v>
      </c>
    </row>
    <row r="939" spans="1:17" ht="15" customHeight="1" x14ac:dyDescent="0.25">
      <c r="A939" s="244"/>
      <c r="B939" s="244"/>
      <c r="C939" s="244"/>
      <c r="D939" s="244"/>
      <c r="E939" s="244"/>
      <c r="F939" s="244"/>
      <c r="G939" s="244"/>
      <c r="I939" s="244"/>
      <c r="J939" s="244"/>
      <c r="K939" s="246" t="e">
        <f t="shared" si="98"/>
        <v>#VALUE!</v>
      </c>
      <c r="L939" s="246" t="e">
        <f t="shared" si="99"/>
        <v>#VALUE!</v>
      </c>
      <c r="M939" s="247" t="e">
        <f t="shared" si="100"/>
        <v>#VALUE!</v>
      </c>
      <c r="N939" s="246" t="e">
        <f t="shared" si="101"/>
        <v>#VALUE!</v>
      </c>
      <c r="O939" s="247" t="e">
        <f t="shared" si="102"/>
        <v>#VALUE!</v>
      </c>
      <c r="P939" s="247">
        <f t="shared" si="103"/>
        <v>0</v>
      </c>
      <c r="Q939" s="247" t="e">
        <f t="shared" si="104"/>
        <v>#VALUE!</v>
      </c>
    </row>
    <row r="940" spans="1:17" ht="15" customHeight="1" x14ac:dyDescent="0.25">
      <c r="A940" s="244"/>
      <c r="B940" s="244"/>
      <c r="C940" s="244"/>
      <c r="D940" s="244"/>
      <c r="E940" s="244"/>
      <c r="F940" s="244"/>
      <c r="G940" s="244"/>
      <c r="I940" s="244"/>
      <c r="J940" s="244"/>
      <c r="K940" s="246" t="e">
        <f t="shared" si="98"/>
        <v>#VALUE!</v>
      </c>
      <c r="L940" s="246" t="e">
        <f t="shared" si="99"/>
        <v>#VALUE!</v>
      </c>
      <c r="M940" s="247" t="e">
        <f t="shared" si="100"/>
        <v>#VALUE!</v>
      </c>
      <c r="N940" s="246" t="e">
        <f t="shared" si="101"/>
        <v>#VALUE!</v>
      </c>
      <c r="O940" s="247" t="e">
        <f t="shared" si="102"/>
        <v>#VALUE!</v>
      </c>
      <c r="P940" s="247">
        <f t="shared" si="103"/>
        <v>0</v>
      </c>
      <c r="Q940" s="247" t="e">
        <f t="shared" si="104"/>
        <v>#VALUE!</v>
      </c>
    </row>
    <row r="941" spans="1:17" ht="15" customHeight="1" x14ac:dyDescent="0.25">
      <c r="A941" s="244"/>
      <c r="B941" s="244"/>
      <c r="C941" s="244"/>
      <c r="D941" s="244"/>
      <c r="E941" s="244"/>
      <c r="F941" s="244"/>
      <c r="G941" s="244"/>
      <c r="I941" s="244"/>
      <c r="J941" s="244"/>
      <c r="K941" s="246" t="e">
        <f t="shared" si="98"/>
        <v>#VALUE!</v>
      </c>
      <c r="L941" s="246" t="e">
        <f t="shared" si="99"/>
        <v>#VALUE!</v>
      </c>
      <c r="M941" s="247" t="e">
        <f t="shared" si="100"/>
        <v>#VALUE!</v>
      </c>
      <c r="N941" s="246" t="e">
        <f t="shared" si="101"/>
        <v>#VALUE!</v>
      </c>
      <c r="O941" s="247" t="e">
        <f t="shared" si="102"/>
        <v>#VALUE!</v>
      </c>
      <c r="P941" s="247">
        <f t="shared" si="103"/>
        <v>0</v>
      </c>
      <c r="Q941" s="247" t="e">
        <f t="shared" si="104"/>
        <v>#VALUE!</v>
      </c>
    </row>
    <row r="942" spans="1:17" ht="15" customHeight="1" x14ac:dyDescent="0.25">
      <c r="A942" s="244"/>
      <c r="B942" s="244"/>
      <c r="C942" s="244"/>
      <c r="D942" s="244"/>
      <c r="E942" s="244"/>
      <c r="F942" s="244"/>
      <c r="G942" s="244"/>
      <c r="I942" s="244"/>
      <c r="J942" s="244"/>
      <c r="K942" s="246" t="e">
        <f t="shared" si="98"/>
        <v>#VALUE!</v>
      </c>
      <c r="L942" s="246" t="e">
        <f t="shared" si="99"/>
        <v>#VALUE!</v>
      </c>
      <c r="M942" s="247" t="e">
        <f t="shared" si="100"/>
        <v>#VALUE!</v>
      </c>
      <c r="N942" s="246" t="e">
        <f t="shared" si="101"/>
        <v>#VALUE!</v>
      </c>
      <c r="O942" s="247" t="e">
        <f t="shared" si="102"/>
        <v>#VALUE!</v>
      </c>
      <c r="P942" s="247">
        <f t="shared" si="103"/>
        <v>0</v>
      </c>
      <c r="Q942" s="247" t="e">
        <f t="shared" si="104"/>
        <v>#VALUE!</v>
      </c>
    </row>
    <row r="943" spans="1:17" ht="15" customHeight="1" x14ac:dyDescent="0.25">
      <c r="A943" s="244"/>
      <c r="B943" s="244"/>
      <c r="C943" s="244"/>
      <c r="D943" s="244"/>
      <c r="E943" s="244"/>
      <c r="F943" s="244"/>
      <c r="G943" s="244"/>
      <c r="I943" s="244"/>
      <c r="J943" s="244"/>
      <c r="K943" s="246" t="e">
        <f t="shared" si="98"/>
        <v>#VALUE!</v>
      </c>
      <c r="L943" s="246" t="e">
        <f t="shared" si="99"/>
        <v>#VALUE!</v>
      </c>
      <c r="M943" s="247" t="e">
        <f t="shared" si="100"/>
        <v>#VALUE!</v>
      </c>
      <c r="N943" s="246" t="e">
        <f t="shared" si="101"/>
        <v>#VALUE!</v>
      </c>
      <c r="O943" s="247" t="e">
        <f t="shared" si="102"/>
        <v>#VALUE!</v>
      </c>
      <c r="P943" s="247">
        <f t="shared" si="103"/>
        <v>0</v>
      </c>
      <c r="Q943" s="247" t="e">
        <f t="shared" si="104"/>
        <v>#VALUE!</v>
      </c>
    </row>
    <row r="944" spans="1:17" ht="15" customHeight="1" x14ac:dyDescent="0.25">
      <c r="A944" s="244"/>
      <c r="B944" s="244"/>
      <c r="C944" s="244"/>
      <c r="D944" s="244"/>
      <c r="E944" s="244"/>
      <c r="F944" s="244"/>
      <c r="G944" s="244"/>
      <c r="I944" s="244"/>
      <c r="J944" s="244"/>
      <c r="K944" s="246" t="e">
        <f t="shared" si="98"/>
        <v>#VALUE!</v>
      </c>
      <c r="L944" s="246" t="e">
        <f t="shared" si="99"/>
        <v>#VALUE!</v>
      </c>
      <c r="M944" s="247" t="e">
        <f t="shared" si="100"/>
        <v>#VALUE!</v>
      </c>
      <c r="N944" s="246" t="e">
        <f t="shared" si="101"/>
        <v>#VALUE!</v>
      </c>
      <c r="O944" s="247" t="e">
        <f t="shared" si="102"/>
        <v>#VALUE!</v>
      </c>
      <c r="P944" s="247">
        <f t="shared" si="103"/>
        <v>0</v>
      </c>
      <c r="Q944" s="247" t="e">
        <f t="shared" si="104"/>
        <v>#VALUE!</v>
      </c>
    </row>
    <row r="945" spans="1:17" ht="15" customHeight="1" x14ac:dyDescent="0.25">
      <c r="A945" s="244"/>
      <c r="B945" s="244"/>
      <c r="C945" s="244"/>
      <c r="D945" s="244"/>
      <c r="E945" s="244"/>
      <c r="F945" s="244"/>
      <c r="G945" s="244"/>
      <c r="I945" s="244"/>
      <c r="J945" s="244"/>
      <c r="K945" s="246" t="e">
        <f t="shared" si="98"/>
        <v>#VALUE!</v>
      </c>
      <c r="L945" s="246" t="e">
        <f t="shared" si="99"/>
        <v>#VALUE!</v>
      </c>
      <c r="M945" s="247" t="e">
        <f t="shared" si="100"/>
        <v>#VALUE!</v>
      </c>
      <c r="N945" s="246" t="e">
        <f t="shared" si="101"/>
        <v>#VALUE!</v>
      </c>
      <c r="O945" s="247" t="e">
        <f t="shared" si="102"/>
        <v>#VALUE!</v>
      </c>
      <c r="P945" s="247">
        <f t="shared" si="103"/>
        <v>0</v>
      </c>
      <c r="Q945" s="247" t="e">
        <f t="shared" si="104"/>
        <v>#VALUE!</v>
      </c>
    </row>
    <row r="946" spans="1:17" ht="15" customHeight="1" x14ac:dyDescent="0.25">
      <c r="A946" s="244"/>
      <c r="B946" s="244"/>
      <c r="C946" s="244"/>
      <c r="D946" s="244"/>
      <c r="E946" s="244"/>
      <c r="F946" s="244"/>
      <c r="G946" s="244"/>
      <c r="I946" s="244"/>
      <c r="J946" s="244"/>
      <c r="K946" s="246" t="e">
        <f t="shared" si="98"/>
        <v>#VALUE!</v>
      </c>
      <c r="L946" s="246" t="e">
        <f t="shared" si="99"/>
        <v>#VALUE!</v>
      </c>
      <c r="M946" s="247" t="e">
        <f t="shared" si="100"/>
        <v>#VALUE!</v>
      </c>
      <c r="N946" s="246" t="e">
        <f t="shared" si="101"/>
        <v>#VALUE!</v>
      </c>
      <c r="O946" s="247" t="e">
        <f t="shared" si="102"/>
        <v>#VALUE!</v>
      </c>
      <c r="P946" s="247">
        <f t="shared" si="103"/>
        <v>0</v>
      </c>
      <c r="Q946" s="247" t="e">
        <f t="shared" si="104"/>
        <v>#VALUE!</v>
      </c>
    </row>
    <row r="947" spans="1:17" ht="15" customHeight="1" x14ac:dyDescent="0.25">
      <c r="A947" s="244"/>
      <c r="B947" s="244"/>
      <c r="C947" s="244"/>
      <c r="D947" s="244"/>
      <c r="E947" s="244"/>
      <c r="F947" s="244"/>
      <c r="G947" s="244"/>
      <c r="I947" s="244"/>
      <c r="J947" s="244"/>
      <c r="K947" s="246" t="e">
        <f t="shared" si="98"/>
        <v>#VALUE!</v>
      </c>
      <c r="L947" s="246" t="e">
        <f t="shared" si="99"/>
        <v>#VALUE!</v>
      </c>
      <c r="M947" s="247" t="e">
        <f t="shared" si="100"/>
        <v>#VALUE!</v>
      </c>
      <c r="N947" s="246" t="e">
        <f t="shared" si="101"/>
        <v>#VALUE!</v>
      </c>
      <c r="O947" s="247" t="e">
        <f t="shared" si="102"/>
        <v>#VALUE!</v>
      </c>
      <c r="P947" s="247">
        <f t="shared" si="103"/>
        <v>0</v>
      </c>
      <c r="Q947" s="247" t="e">
        <f t="shared" si="104"/>
        <v>#VALUE!</v>
      </c>
    </row>
    <row r="948" spans="1:17" ht="15" customHeight="1" x14ac:dyDescent="0.25">
      <c r="A948" s="244"/>
      <c r="B948" s="244"/>
      <c r="C948" s="244"/>
      <c r="D948" s="244"/>
      <c r="E948" s="244"/>
      <c r="F948" s="244"/>
      <c r="G948" s="244"/>
      <c r="I948" s="244"/>
      <c r="J948" s="244"/>
      <c r="K948" s="246" t="e">
        <f t="shared" si="98"/>
        <v>#VALUE!</v>
      </c>
      <c r="L948" s="246" t="e">
        <f t="shared" si="99"/>
        <v>#VALUE!</v>
      </c>
      <c r="M948" s="247" t="e">
        <f t="shared" si="100"/>
        <v>#VALUE!</v>
      </c>
      <c r="N948" s="246" t="e">
        <f t="shared" si="101"/>
        <v>#VALUE!</v>
      </c>
      <c r="O948" s="247" t="e">
        <f t="shared" si="102"/>
        <v>#VALUE!</v>
      </c>
      <c r="P948" s="247">
        <f t="shared" si="103"/>
        <v>0</v>
      </c>
      <c r="Q948" s="247" t="e">
        <f t="shared" si="104"/>
        <v>#VALUE!</v>
      </c>
    </row>
    <row r="949" spans="1:17" ht="15" customHeight="1" x14ac:dyDescent="0.25">
      <c r="A949" s="244"/>
      <c r="B949" s="244"/>
      <c r="C949" s="244"/>
      <c r="D949" s="244"/>
      <c r="E949" s="244"/>
      <c r="F949" s="244"/>
      <c r="G949" s="244"/>
      <c r="I949" s="244"/>
      <c r="J949" s="244"/>
      <c r="K949" s="246" t="e">
        <f t="shared" si="98"/>
        <v>#VALUE!</v>
      </c>
      <c r="L949" s="246" t="e">
        <f t="shared" si="99"/>
        <v>#VALUE!</v>
      </c>
      <c r="M949" s="247" t="e">
        <f t="shared" si="100"/>
        <v>#VALUE!</v>
      </c>
      <c r="N949" s="246" t="e">
        <f t="shared" si="101"/>
        <v>#VALUE!</v>
      </c>
      <c r="O949" s="247" t="e">
        <f t="shared" si="102"/>
        <v>#VALUE!</v>
      </c>
      <c r="P949" s="247">
        <f t="shared" si="103"/>
        <v>0</v>
      </c>
      <c r="Q949" s="247" t="e">
        <f t="shared" si="104"/>
        <v>#VALUE!</v>
      </c>
    </row>
    <row r="950" spans="1:17" ht="15" customHeight="1" x14ac:dyDescent="0.25">
      <c r="A950" s="244"/>
      <c r="B950" s="244"/>
      <c r="C950" s="244"/>
      <c r="D950" s="244"/>
      <c r="E950" s="244"/>
      <c r="F950" s="244"/>
      <c r="G950" s="244"/>
      <c r="I950" s="244"/>
      <c r="J950" s="244"/>
      <c r="K950" s="246" t="e">
        <f t="shared" si="98"/>
        <v>#VALUE!</v>
      </c>
      <c r="L950" s="246" t="e">
        <f t="shared" si="99"/>
        <v>#VALUE!</v>
      </c>
      <c r="M950" s="247" t="e">
        <f t="shared" si="100"/>
        <v>#VALUE!</v>
      </c>
      <c r="N950" s="246" t="e">
        <f t="shared" si="101"/>
        <v>#VALUE!</v>
      </c>
      <c r="O950" s="247" t="e">
        <f t="shared" si="102"/>
        <v>#VALUE!</v>
      </c>
      <c r="P950" s="247">
        <f t="shared" si="103"/>
        <v>0</v>
      </c>
      <c r="Q950" s="247" t="e">
        <f t="shared" si="104"/>
        <v>#VALUE!</v>
      </c>
    </row>
    <row r="951" spans="1:17" ht="15" customHeight="1" x14ac:dyDescent="0.25">
      <c r="A951" s="244"/>
      <c r="B951" s="244"/>
      <c r="C951" s="244"/>
      <c r="D951" s="244"/>
      <c r="E951" s="244"/>
      <c r="F951" s="244"/>
      <c r="G951" s="244"/>
      <c r="I951" s="244"/>
      <c r="J951" s="244"/>
      <c r="K951" s="246" t="e">
        <f t="shared" si="98"/>
        <v>#VALUE!</v>
      </c>
      <c r="L951" s="246" t="e">
        <f t="shared" si="99"/>
        <v>#VALUE!</v>
      </c>
      <c r="M951" s="247" t="e">
        <f t="shared" si="100"/>
        <v>#VALUE!</v>
      </c>
      <c r="N951" s="246" t="e">
        <f t="shared" si="101"/>
        <v>#VALUE!</v>
      </c>
      <c r="O951" s="247" t="e">
        <f t="shared" si="102"/>
        <v>#VALUE!</v>
      </c>
      <c r="P951" s="247">
        <f t="shared" si="103"/>
        <v>0</v>
      </c>
      <c r="Q951" s="247" t="e">
        <f t="shared" si="104"/>
        <v>#VALUE!</v>
      </c>
    </row>
    <row r="952" spans="1:17" ht="15" customHeight="1" x14ac:dyDescent="0.25">
      <c r="A952" s="244"/>
      <c r="B952" s="244"/>
      <c r="C952" s="244"/>
      <c r="D952" s="244"/>
      <c r="E952" s="244"/>
      <c r="F952" s="244"/>
      <c r="G952" s="244"/>
      <c r="I952" s="244"/>
      <c r="J952" s="244"/>
      <c r="K952" s="246" t="e">
        <f t="shared" si="98"/>
        <v>#VALUE!</v>
      </c>
      <c r="L952" s="246" t="e">
        <f t="shared" si="99"/>
        <v>#VALUE!</v>
      </c>
      <c r="M952" s="247" t="e">
        <f t="shared" si="100"/>
        <v>#VALUE!</v>
      </c>
      <c r="N952" s="246" t="e">
        <f t="shared" si="101"/>
        <v>#VALUE!</v>
      </c>
      <c r="O952" s="247" t="e">
        <f t="shared" si="102"/>
        <v>#VALUE!</v>
      </c>
      <c r="P952" s="247">
        <f t="shared" si="103"/>
        <v>0</v>
      </c>
      <c r="Q952" s="247" t="e">
        <f t="shared" si="104"/>
        <v>#VALUE!</v>
      </c>
    </row>
    <row r="953" spans="1:17" ht="15" customHeight="1" x14ac:dyDescent="0.25">
      <c r="A953" s="244"/>
      <c r="B953" s="244"/>
      <c r="C953" s="244"/>
      <c r="D953" s="244"/>
      <c r="E953" s="244"/>
      <c r="F953" s="244"/>
      <c r="G953" s="244"/>
      <c r="I953" s="244"/>
      <c r="J953" s="244"/>
      <c r="K953" s="246" t="e">
        <f t="shared" si="98"/>
        <v>#VALUE!</v>
      </c>
      <c r="L953" s="246" t="e">
        <f t="shared" si="99"/>
        <v>#VALUE!</v>
      </c>
      <c r="M953" s="247" t="e">
        <f t="shared" si="100"/>
        <v>#VALUE!</v>
      </c>
      <c r="N953" s="246" t="e">
        <f t="shared" si="101"/>
        <v>#VALUE!</v>
      </c>
      <c r="O953" s="247" t="e">
        <f t="shared" si="102"/>
        <v>#VALUE!</v>
      </c>
      <c r="P953" s="247">
        <f t="shared" si="103"/>
        <v>0</v>
      </c>
      <c r="Q953" s="247" t="e">
        <f t="shared" si="104"/>
        <v>#VALUE!</v>
      </c>
    </row>
    <row r="954" spans="1:17" ht="15" customHeight="1" x14ac:dyDescent="0.25">
      <c r="A954" s="244"/>
      <c r="B954" s="244"/>
      <c r="C954" s="244"/>
      <c r="D954" s="244"/>
      <c r="E954" s="244"/>
      <c r="F954" s="244"/>
      <c r="G954" s="244"/>
      <c r="I954" s="244"/>
      <c r="J954" s="244"/>
      <c r="K954" s="246" t="e">
        <f t="shared" si="98"/>
        <v>#VALUE!</v>
      </c>
      <c r="L954" s="246" t="e">
        <f t="shared" si="99"/>
        <v>#VALUE!</v>
      </c>
      <c r="M954" s="247" t="e">
        <f t="shared" si="100"/>
        <v>#VALUE!</v>
      </c>
      <c r="N954" s="246" t="e">
        <f t="shared" si="101"/>
        <v>#VALUE!</v>
      </c>
      <c r="O954" s="247" t="e">
        <f t="shared" si="102"/>
        <v>#VALUE!</v>
      </c>
      <c r="P954" s="247">
        <f t="shared" si="103"/>
        <v>0</v>
      </c>
      <c r="Q954" s="247" t="e">
        <f t="shared" si="104"/>
        <v>#VALUE!</v>
      </c>
    </row>
    <row r="955" spans="1:17" ht="15" customHeight="1" x14ac:dyDescent="0.25">
      <c r="A955" s="244"/>
      <c r="B955" s="244"/>
      <c r="C955" s="244"/>
      <c r="D955" s="244"/>
      <c r="E955" s="244"/>
      <c r="F955" s="244"/>
      <c r="G955" s="244"/>
      <c r="I955" s="244"/>
      <c r="J955" s="244"/>
      <c r="K955" s="246" t="e">
        <f t="shared" si="98"/>
        <v>#VALUE!</v>
      </c>
      <c r="L955" s="246" t="e">
        <f t="shared" si="99"/>
        <v>#VALUE!</v>
      </c>
      <c r="M955" s="247" t="e">
        <f t="shared" si="100"/>
        <v>#VALUE!</v>
      </c>
      <c r="N955" s="246" t="e">
        <f t="shared" si="101"/>
        <v>#VALUE!</v>
      </c>
      <c r="O955" s="247" t="e">
        <f t="shared" si="102"/>
        <v>#VALUE!</v>
      </c>
      <c r="P955" s="247">
        <f t="shared" si="103"/>
        <v>0</v>
      </c>
      <c r="Q955" s="247" t="e">
        <f t="shared" si="104"/>
        <v>#VALUE!</v>
      </c>
    </row>
    <row r="956" spans="1:17" ht="15" customHeight="1" x14ac:dyDescent="0.25">
      <c r="A956" s="244"/>
      <c r="B956" s="244"/>
      <c r="C956" s="244"/>
      <c r="D956" s="244"/>
      <c r="E956" s="244"/>
      <c r="F956" s="244"/>
      <c r="G956" s="244"/>
      <c r="I956" s="244"/>
      <c r="J956" s="244"/>
      <c r="K956" s="246" t="e">
        <f t="shared" si="98"/>
        <v>#VALUE!</v>
      </c>
      <c r="L956" s="246" t="e">
        <f t="shared" si="99"/>
        <v>#VALUE!</v>
      </c>
      <c r="M956" s="247" t="e">
        <f t="shared" si="100"/>
        <v>#VALUE!</v>
      </c>
      <c r="N956" s="246" t="e">
        <f t="shared" si="101"/>
        <v>#VALUE!</v>
      </c>
      <c r="O956" s="247" t="e">
        <f t="shared" si="102"/>
        <v>#VALUE!</v>
      </c>
      <c r="P956" s="247">
        <f t="shared" si="103"/>
        <v>0</v>
      </c>
      <c r="Q956" s="247" t="e">
        <f t="shared" si="104"/>
        <v>#VALUE!</v>
      </c>
    </row>
    <row r="957" spans="1:17" ht="15" customHeight="1" x14ac:dyDescent="0.25">
      <c r="A957" s="244"/>
      <c r="B957" s="244"/>
      <c r="C957" s="244"/>
      <c r="D957" s="244"/>
      <c r="E957" s="244"/>
      <c r="F957" s="244"/>
      <c r="G957" s="244"/>
      <c r="I957" s="244"/>
      <c r="J957" s="244"/>
      <c r="K957" s="246" t="e">
        <f t="shared" si="98"/>
        <v>#VALUE!</v>
      </c>
      <c r="L957" s="246" t="e">
        <f t="shared" si="99"/>
        <v>#VALUE!</v>
      </c>
      <c r="M957" s="247" t="e">
        <f t="shared" si="100"/>
        <v>#VALUE!</v>
      </c>
      <c r="N957" s="246" t="e">
        <f t="shared" si="101"/>
        <v>#VALUE!</v>
      </c>
      <c r="O957" s="247" t="e">
        <f t="shared" si="102"/>
        <v>#VALUE!</v>
      </c>
      <c r="P957" s="247">
        <f t="shared" si="103"/>
        <v>0</v>
      </c>
      <c r="Q957" s="247" t="e">
        <f t="shared" si="104"/>
        <v>#VALUE!</v>
      </c>
    </row>
    <row r="958" spans="1:17" ht="15" customHeight="1" x14ac:dyDescent="0.25">
      <c r="A958" s="244"/>
      <c r="B958" s="244"/>
      <c r="C958" s="244"/>
      <c r="D958" s="244"/>
      <c r="E958" s="244"/>
      <c r="F958" s="244"/>
      <c r="G958" s="244"/>
      <c r="I958" s="244"/>
      <c r="J958" s="244"/>
      <c r="K958" s="246" t="e">
        <f t="shared" si="98"/>
        <v>#VALUE!</v>
      </c>
      <c r="L958" s="246" t="e">
        <f t="shared" si="99"/>
        <v>#VALUE!</v>
      </c>
      <c r="M958" s="247" t="e">
        <f t="shared" si="100"/>
        <v>#VALUE!</v>
      </c>
      <c r="N958" s="246" t="e">
        <f t="shared" si="101"/>
        <v>#VALUE!</v>
      </c>
      <c r="O958" s="247" t="e">
        <f t="shared" si="102"/>
        <v>#VALUE!</v>
      </c>
      <c r="P958" s="247">
        <f t="shared" si="103"/>
        <v>0</v>
      </c>
      <c r="Q958" s="247" t="e">
        <f t="shared" si="104"/>
        <v>#VALUE!</v>
      </c>
    </row>
    <row r="959" spans="1:17" ht="15" customHeight="1" x14ac:dyDescent="0.25">
      <c r="A959" s="244"/>
      <c r="B959" s="244"/>
      <c r="C959" s="244"/>
      <c r="D959" s="244"/>
      <c r="E959" s="244"/>
      <c r="F959" s="244"/>
      <c r="G959" s="244"/>
      <c r="I959" s="244"/>
      <c r="J959" s="244"/>
      <c r="K959" s="246" t="e">
        <f t="shared" si="98"/>
        <v>#VALUE!</v>
      </c>
      <c r="L959" s="246" t="e">
        <f t="shared" si="99"/>
        <v>#VALUE!</v>
      </c>
      <c r="M959" s="247" t="e">
        <f t="shared" si="100"/>
        <v>#VALUE!</v>
      </c>
      <c r="N959" s="246" t="e">
        <f t="shared" si="101"/>
        <v>#VALUE!</v>
      </c>
      <c r="O959" s="247" t="e">
        <f t="shared" si="102"/>
        <v>#VALUE!</v>
      </c>
      <c r="P959" s="247">
        <f t="shared" si="103"/>
        <v>0</v>
      </c>
      <c r="Q959" s="247" t="e">
        <f t="shared" si="104"/>
        <v>#VALUE!</v>
      </c>
    </row>
    <row r="960" spans="1:17" ht="15" customHeight="1" x14ac:dyDescent="0.25">
      <c r="A960" s="244"/>
      <c r="B960" s="244"/>
      <c r="C960" s="244"/>
      <c r="D960" s="244"/>
      <c r="E960" s="244"/>
      <c r="F960" s="244"/>
      <c r="G960" s="244"/>
      <c r="I960" s="244"/>
      <c r="J960" s="244"/>
      <c r="K960" s="246" t="e">
        <f t="shared" si="98"/>
        <v>#VALUE!</v>
      </c>
      <c r="L960" s="246" t="e">
        <f t="shared" si="99"/>
        <v>#VALUE!</v>
      </c>
      <c r="M960" s="247" t="e">
        <f t="shared" si="100"/>
        <v>#VALUE!</v>
      </c>
      <c r="N960" s="246" t="e">
        <f t="shared" si="101"/>
        <v>#VALUE!</v>
      </c>
      <c r="O960" s="247" t="e">
        <f t="shared" si="102"/>
        <v>#VALUE!</v>
      </c>
      <c r="P960" s="247">
        <f t="shared" si="103"/>
        <v>0</v>
      </c>
      <c r="Q960" s="247" t="e">
        <f t="shared" si="104"/>
        <v>#VALUE!</v>
      </c>
    </row>
    <row r="961" spans="1:17" ht="15" customHeight="1" x14ac:dyDescent="0.25">
      <c r="A961" s="244"/>
      <c r="B961" s="244"/>
      <c r="C961" s="244"/>
      <c r="D961" s="244"/>
      <c r="E961" s="244"/>
      <c r="F961" s="244"/>
      <c r="G961" s="244"/>
      <c r="I961" s="244"/>
      <c r="J961" s="244"/>
      <c r="K961" s="246" t="e">
        <f t="shared" si="98"/>
        <v>#VALUE!</v>
      </c>
      <c r="L961" s="246" t="e">
        <f t="shared" si="99"/>
        <v>#VALUE!</v>
      </c>
      <c r="M961" s="247" t="e">
        <f t="shared" si="100"/>
        <v>#VALUE!</v>
      </c>
      <c r="N961" s="246" t="e">
        <f t="shared" si="101"/>
        <v>#VALUE!</v>
      </c>
      <c r="O961" s="247" t="e">
        <f t="shared" si="102"/>
        <v>#VALUE!</v>
      </c>
      <c r="P961" s="247">
        <f t="shared" si="103"/>
        <v>0</v>
      </c>
      <c r="Q961" s="247" t="e">
        <f t="shared" si="104"/>
        <v>#VALUE!</v>
      </c>
    </row>
    <row r="962" spans="1:17" ht="15" customHeight="1" x14ac:dyDescent="0.25">
      <c r="A962" s="244"/>
      <c r="B962" s="244"/>
      <c r="C962" s="244"/>
      <c r="D962" s="244"/>
      <c r="E962" s="244"/>
      <c r="F962" s="244"/>
      <c r="G962" s="244"/>
      <c r="I962" s="244"/>
      <c r="J962" s="244"/>
      <c r="K962" s="246" t="e">
        <f t="shared" ref="K962:K1025" si="105">DATE(VALUE(LEFT(A962,4)),VALUE(MID(A962,5,2)),VALUE(RIGHT(A962,2)))</f>
        <v>#VALUE!</v>
      </c>
      <c r="L962" s="246" t="e">
        <f t="shared" ref="L962:L1025" si="106">DATEVALUE(LEFT(F962,10))</f>
        <v>#VALUE!</v>
      </c>
      <c r="M962" s="247" t="e">
        <f t="shared" ref="M962:M1025" si="107">TIMEVALUE(MID(F962,12,8))</f>
        <v>#VALUE!</v>
      </c>
      <c r="N962" s="246" t="e">
        <f t="shared" ref="N962:N1025" si="108">DATEVALUE(LEFT(G962,10))</f>
        <v>#VALUE!</v>
      </c>
      <c r="O962" s="247" t="e">
        <f t="shared" ref="O962:O1025" si="109">TIMEVALUE(MID(G962,12,8))</f>
        <v>#VALUE!</v>
      </c>
      <c r="P962" s="247">
        <f t="shared" ref="P962:P1025" si="110">IFERROR(_xlfn.MINIFS($M:$M,$E:$E,$E962,$K:$K,$K962,$M:$M,"&gt;"&amp;$O962),"")</f>
        <v>0</v>
      </c>
      <c r="Q962" s="247" t="e">
        <f t="shared" ref="Q962:Q1025" si="111">IF($P962="","",$P962-$O962)</f>
        <v>#VALUE!</v>
      </c>
    </row>
    <row r="963" spans="1:17" ht="15" customHeight="1" x14ac:dyDescent="0.25">
      <c r="A963" s="244"/>
      <c r="B963" s="244"/>
      <c r="C963" s="244"/>
      <c r="D963" s="244"/>
      <c r="E963" s="244"/>
      <c r="F963" s="244"/>
      <c r="G963" s="244"/>
      <c r="I963" s="244"/>
      <c r="J963" s="244"/>
      <c r="K963" s="246" t="e">
        <f t="shared" si="105"/>
        <v>#VALUE!</v>
      </c>
      <c r="L963" s="246" t="e">
        <f t="shared" si="106"/>
        <v>#VALUE!</v>
      </c>
      <c r="M963" s="247" t="e">
        <f t="shared" si="107"/>
        <v>#VALUE!</v>
      </c>
      <c r="N963" s="246" t="e">
        <f t="shared" si="108"/>
        <v>#VALUE!</v>
      </c>
      <c r="O963" s="247" t="e">
        <f t="shared" si="109"/>
        <v>#VALUE!</v>
      </c>
      <c r="P963" s="247">
        <f t="shared" si="110"/>
        <v>0</v>
      </c>
      <c r="Q963" s="247" t="e">
        <f t="shared" si="111"/>
        <v>#VALUE!</v>
      </c>
    </row>
    <row r="964" spans="1:17" ht="15" customHeight="1" x14ac:dyDescent="0.25">
      <c r="A964" s="244"/>
      <c r="B964" s="244"/>
      <c r="C964" s="244"/>
      <c r="D964" s="244"/>
      <c r="E964" s="244"/>
      <c r="F964" s="244"/>
      <c r="G964" s="244"/>
      <c r="I964" s="244"/>
      <c r="J964" s="244"/>
      <c r="K964" s="246" t="e">
        <f t="shared" si="105"/>
        <v>#VALUE!</v>
      </c>
      <c r="L964" s="246" t="e">
        <f t="shared" si="106"/>
        <v>#VALUE!</v>
      </c>
      <c r="M964" s="247" t="e">
        <f t="shared" si="107"/>
        <v>#VALUE!</v>
      </c>
      <c r="N964" s="246" t="e">
        <f t="shared" si="108"/>
        <v>#VALUE!</v>
      </c>
      <c r="O964" s="247" t="e">
        <f t="shared" si="109"/>
        <v>#VALUE!</v>
      </c>
      <c r="P964" s="247">
        <f t="shared" si="110"/>
        <v>0</v>
      </c>
      <c r="Q964" s="247" t="e">
        <f t="shared" si="111"/>
        <v>#VALUE!</v>
      </c>
    </row>
    <row r="965" spans="1:17" ht="15" customHeight="1" x14ac:dyDescent="0.25">
      <c r="A965" s="244"/>
      <c r="B965" s="244"/>
      <c r="C965" s="244"/>
      <c r="D965" s="244"/>
      <c r="E965" s="244"/>
      <c r="F965" s="244"/>
      <c r="G965" s="244"/>
      <c r="I965" s="244"/>
      <c r="J965" s="244"/>
      <c r="K965" s="246" t="e">
        <f t="shared" si="105"/>
        <v>#VALUE!</v>
      </c>
      <c r="L965" s="246" t="e">
        <f t="shared" si="106"/>
        <v>#VALUE!</v>
      </c>
      <c r="M965" s="247" t="e">
        <f t="shared" si="107"/>
        <v>#VALUE!</v>
      </c>
      <c r="N965" s="246" t="e">
        <f t="shared" si="108"/>
        <v>#VALUE!</v>
      </c>
      <c r="O965" s="247" t="e">
        <f t="shared" si="109"/>
        <v>#VALUE!</v>
      </c>
      <c r="P965" s="247">
        <f t="shared" si="110"/>
        <v>0</v>
      </c>
      <c r="Q965" s="247" t="e">
        <f t="shared" si="111"/>
        <v>#VALUE!</v>
      </c>
    </row>
    <row r="966" spans="1:17" ht="15" customHeight="1" x14ac:dyDescent="0.25">
      <c r="A966" s="244"/>
      <c r="B966" s="244"/>
      <c r="C966" s="244"/>
      <c r="D966" s="244"/>
      <c r="E966" s="244"/>
      <c r="F966" s="244"/>
      <c r="G966" s="244"/>
      <c r="I966" s="244"/>
      <c r="J966" s="244"/>
      <c r="K966" s="246" t="e">
        <f t="shared" si="105"/>
        <v>#VALUE!</v>
      </c>
      <c r="L966" s="246" t="e">
        <f t="shared" si="106"/>
        <v>#VALUE!</v>
      </c>
      <c r="M966" s="247" t="e">
        <f t="shared" si="107"/>
        <v>#VALUE!</v>
      </c>
      <c r="N966" s="246" t="e">
        <f t="shared" si="108"/>
        <v>#VALUE!</v>
      </c>
      <c r="O966" s="247" t="e">
        <f t="shared" si="109"/>
        <v>#VALUE!</v>
      </c>
      <c r="P966" s="247">
        <f t="shared" si="110"/>
        <v>0</v>
      </c>
      <c r="Q966" s="247" t="e">
        <f t="shared" si="111"/>
        <v>#VALUE!</v>
      </c>
    </row>
    <row r="967" spans="1:17" ht="15" customHeight="1" x14ac:dyDescent="0.25">
      <c r="A967" s="244"/>
      <c r="B967" s="244"/>
      <c r="C967" s="244"/>
      <c r="D967" s="244"/>
      <c r="E967" s="244"/>
      <c r="F967" s="244"/>
      <c r="G967" s="244"/>
      <c r="I967" s="244"/>
      <c r="J967" s="244"/>
      <c r="K967" s="246" t="e">
        <f t="shared" si="105"/>
        <v>#VALUE!</v>
      </c>
      <c r="L967" s="246" t="e">
        <f t="shared" si="106"/>
        <v>#VALUE!</v>
      </c>
      <c r="M967" s="247" t="e">
        <f t="shared" si="107"/>
        <v>#VALUE!</v>
      </c>
      <c r="N967" s="246" t="e">
        <f t="shared" si="108"/>
        <v>#VALUE!</v>
      </c>
      <c r="O967" s="247" t="e">
        <f t="shared" si="109"/>
        <v>#VALUE!</v>
      </c>
      <c r="P967" s="247">
        <f t="shared" si="110"/>
        <v>0</v>
      </c>
      <c r="Q967" s="247" t="e">
        <f t="shared" si="111"/>
        <v>#VALUE!</v>
      </c>
    </row>
    <row r="968" spans="1:17" ht="15" customHeight="1" x14ac:dyDescent="0.25">
      <c r="A968" s="244"/>
      <c r="B968" s="244"/>
      <c r="C968" s="244"/>
      <c r="D968" s="244"/>
      <c r="E968" s="244"/>
      <c r="F968" s="244"/>
      <c r="G968" s="244"/>
      <c r="I968" s="244"/>
      <c r="J968" s="244"/>
      <c r="K968" s="246" t="e">
        <f t="shared" si="105"/>
        <v>#VALUE!</v>
      </c>
      <c r="L968" s="246" t="e">
        <f t="shared" si="106"/>
        <v>#VALUE!</v>
      </c>
      <c r="M968" s="247" t="e">
        <f t="shared" si="107"/>
        <v>#VALUE!</v>
      </c>
      <c r="N968" s="246" t="e">
        <f t="shared" si="108"/>
        <v>#VALUE!</v>
      </c>
      <c r="O968" s="247" t="e">
        <f t="shared" si="109"/>
        <v>#VALUE!</v>
      </c>
      <c r="P968" s="247">
        <f t="shared" si="110"/>
        <v>0</v>
      </c>
      <c r="Q968" s="247" t="e">
        <f t="shared" si="111"/>
        <v>#VALUE!</v>
      </c>
    </row>
    <row r="969" spans="1:17" ht="15" customHeight="1" x14ac:dyDescent="0.25">
      <c r="A969" s="244"/>
      <c r="B969" s="244"/>
      <c r="C969" s="244"/>
      <c r="D969" s="244"/>
      <c r="E969" s="244"/>
      <c r="F969" s="244"/>
      <c r="G969" s="244"/>
      <c r="I969" s="244"/>
      <c r="J969" s="244"/>
      <c r="K969" s="246" t="e">
        <f t="shared" si="105"/>
        <v>#VALUE!</v>
      </c>
      <c r="L969" s="246" t="e">
        <f t="shared" si="106"/>
        <v>#VALUE!</v>
      </c>
      <c r="M969" s="247" t="e">
        <f t="shared" si="107"/>
        <v>#VALUE!</v>
      </c>
      <c r="N969" s="246" t="e">
        <f t="shared" si="108"/>
        <v>#VALUE!</v>
      </c>
      <c r="O969" s="247" t="e">
        <f t="shared" si="109"/>
        <v>#VALUE!</v>
      </c>
      <c r="P969" s="247">
        <f t="shared" si="110"/>
        <v>0</v>
      </c>
      <c r="Q969" s="247" t="e">
        <f t="shared" si="111"/>
        <v>#VALUE!</v>
      </c>
    </row>
    <row r="970" spans="1:17" ht="15" customHeight="1" x14ac:dyDescent="0.25">
      <c r="A970" s="244"/>
      <c r="B970" s="244"/>
      <c r="C970" s="244"/>
      <c r="D970" s="244"/>
      <c r="E970" s="244"/>
      <c r="F970" s="244"/>
      <c r="G970" s="244"/>
      <c r="I970" s="244"/>
      <c r="J970" s="244"/>
      <c r="K970" s="246" t="e">
        <f t="shared" si="105"/>
        <v>#VALUE!</v>
      </c>
      <c r="L970" s="246" t="e">
        <f t="shared" si="106"/>
        <v>#VALUE!</v>
      </c>
      <c r="M970" s="247" t="e">
        <f t="shared" si="107"/>
        <v>#VALUE!</v>
      </c>
      <c r="N970" s="246" t="e">
        <f t="shared" si="108"/>
        <v>#VALUE!</v>
      </c>
      <c r="O970" s="247" t="e">
        <f t="shared" si="109"/>
        <v>#VALUE!</v>
      </c>
      <c r="P970" s="247">
        <f t="shared" si="110"/>
        <v>0</v>
      </c>
      <c r="Q970" s="247" t="e">
        <f t="shared" si="111"/>
        <v>#VALUE!</v>
      </c>
    </row>
    <row r="971" spans="1:17" ht="15" customHeight="1" x14ac:dyDescent="0.25">
      <c r="A971" s="244"/>
      <c r="B971" s="244"/>
      <c r="C971" s="244"/>
      <c r="D971" s="244"/>
      <c r="E971" s="244"/>
      <c r="F971" s="244"/>
      <c r="G971" s="244"/>
      <c r="I971" s="244"/>
      <c r="J971" s="244"/>
      <c r="K971" s="246" t="e">
        <f t="shared" si="105"/>
        <v>#VALUE!</v>
      </c>
      <c r="L971" s="246" t="e">
        <f t="shared" si="106"/>
        <v>#VALUE!</v>
      </c>
      <c r="M971" s="247" t="e">
        <f t="shared" si="107"/>
        <v>#VALUE!</v>
      </c>
      <c r="N971" s="246" t="e">
        <f t="shared" si="108"/>
        <v>#VALUE!</v>
      </c>
      <c r="O971" s="247" t="e">
        <f t="shared" si="109"/>
        <v>#VALUE!</v>
      </c>
      <c r="P971" s="247">
        <f t="shared" si="110"/>
        <v>0</v>
      </c>
      <c r="Q971" s="247" t="e">
        <f t="shared" si="111"/>
        <v>#VALUE!</v>
      </c>
    </row>
    <row r="972" spans="1:17" ht="15" customHeight="1" x14ac:dyDescent="0.25">
      <c r="A972" s="244"/>
      <c r="B972" s="244"/>
      <c r="C972" s="244"/>
      <c r="D972" s="244"/>
      <c r="E972" s="244"/>
      <c r="F972" s="244"/>
      <c r="G972" s="244"/>
      <c r="I972" s="244"/>
      <c r="J972" s="244"/>
      <c r="K972" s="246" t="e">
        <f t="shared" si="105"/>
        <v>#VALUE!</v>
      </c>
      <c r="L972" s="246" t="e">
        <f t="shared" si="106"/>
        <v>#VALUE!</v>
      </c>
      <c r="M972" s="247" t="e">
        <f t="shared" si="107"/>
        <v>#VALUE!</v>
      </c>
      <c r="N972" s="246" t="e">
        <f t="shared" si="108"/>
        <v>#VALUE!</v>
      </c>
      <c r="O972" s="247" t="e">
        <f t="shared" si="109"/>
        <v>#VALUE!</v>
      </c>
      <c r="P972" s="247">
        <f t="shared" si="110"/>
        <v>0</v>
      </c>
      <c r="Q972" s="247" t="e">
        <f t="shared" si="111"/>
        <v>#VALUE!</v>
      </c>
    </row>
    <row r="973" spans="1:17" ht="15" customHeight="1" x14ac:dyDescent="0.25">
      <c r="A973" s="244"/>
      <c r="B973" s="244"/>
      <c r="C973" s="244"/>
      <c r="D973" s="244"/>
      <c r="E973" s="244"/>
      <c r="F973" s="244"/>
      <c r="G973" s="244"/>
      <c r="I973" s="244"/>
      <c r="J973" s="244"/>
      <c r="K973" s="246" t="e">
        <f t="shared" si="105"/>
        <v>#VALUE!</v>
      </c>
      <c r="L973" s="246" t="e">
        <f t="shared" si="106"/>
        <v>#VALUE!</v>
      </c>
      <c r="M973" s="247" t="e">
        <f t="shared" si="107"/>
        <v>#VALUE!</v>
      </c>
      <c r="N973" s="246" t="e">
        <f t="shared" si="108"/>
        <v>#VALUE!</v>
      </c>
      <c r="O973" s="247" t="e">
        <f t="shared" si="109"/>
        <v>#VALUE!</v>
      </c>
      <c r="P973" s="247">
        <f t="shared" si="110"/>
        <v>0</v>
      </c>
      <c r="Q973" s="247" t="e">
        <f t="shared" si="111"/>
        <v>#VALUE!</v>
      </c>
    </row>
    <row r="974" spans="1:17" ht="15" customHeight="1" x14ac:dyDescent="0.25">
      <c r="A974" s="244"/>
      <c r="B974" s="244"/>
      <c r="C974" s="244"/>
      <c r="D974" s="244"/>
      <c r="E974" s="244"/>
      <c r="F974" s="244"/>
      <c r="G974" s="244"/>
      <c r="I974" s="244"/>
      <c r="J974" s="244"/>
      <c r="K974" s="246" t="e">
        <f t="shared" si="105"/>
        <v>#VALUE!</v>
      </c>
      <c r="L974" s="246" t="e">
        <f t="shared" si="106"/>
        <v>#VALUE!</v>
      </c>
      <c r="M974" s="247" t="e">
        <f t="shared" si="107"/>
        <v>#VALUE!</v>
      </c>
      <c r="N974" s="246" t="e">
        <f t="shared" si="108"/>
        <v>#VALUE!</v>
      </c>
      <c r="O974" s="247" t="e">
        <f t="shared" si="109"/>
        <v>#VALUE!</v>
      </c>
      <c r="P974" s="247">
        <f t="shared" si="110"/>
        <v>0</v>
      </c>
      <c r="Q974" s="247" t="e">
        <f t="shared" si="111"/>
        <v>#VALUE!</v>
      </c>
    </row>
    <row r="975" spans="1:17" ht="15" customHeight="1" x14ac:dyDescent="0.25">
      <c r="A975" s="244"/>
      <c r="B975" s="244"/>
      <c r="C975" s="244"/>
      <c r="D975" s="244"/>
      <c r="E975" s="244"/>
      <c r="F975" s="244"/>
      <c r="G975" s="244"/>
      <c r="I975" s="244"/>
      <c r="J975" s="244"/>
      <c r="K975" s="246" t="e">
        <f t="shared" si="105"/>
        <v>#VALUE!</v>
      </c>
      <c r="L975" s="246" t="e">
        <f t="shared" si="106"/>
        <v>#VALUE!</v>
      </c>
      <c r="M975" s="247" t="e">
        <f t="shared" si="107"/>
        <v>#VALUE!</v>
      </c>
      <c r="N975" s="246" t="e">
        <f t="shared" si="108"/>
        <v>#VALUE!</v>
      </c>
      <c r="O975" s="247" t="e">
        <f t="shared" si="109"/>
        <v>#VALUE!</v>
      </c>
      <c r="P975" s="247">
        <f t="shared" si="110"/>
        <v>0</v>
      </c>
      <c r="Q975" s="247" t="e">
        <f t="shared" si="111"/>
        <v>#VALUE!</v>
      </c>
    </row>
    <row r="976" spans="1:17" ht="15" customHeight="1" x14ac:dyDescent="0.25">
      <c r="A976" s="244"/>
      <c r="B976" s="244"/>
      <c r="C976" s="244"/>
      <c r="D976" s="244"/>
      <c r="E976" s="244"/>
      <c r="F976" s="244"/>
      <c r="G976" s="244"/>
      <c r="I976" s="244"/>
      <c r="J976" s="244"/>
      <c r="K976" s="246" t="e">
        <f t="shared" si="105"/>
        <v>#VALUE!</v>
      </c>
      <c r="L976" s="246" t="e">
        <f t="shared" si="106"/>
        <v>#VALUE!</v>
      </c>
      <c r="M976" s="247" t="e">
        <f t="shared" si="107"/>
        <v>#VALUE!</v>
      </c>
      <c r="N976" s="246" t="e">
        <f t="shared" si="108"/>
        <v>#VALUE!</v>
      </c>
      <c r="O976" s="247" t="e">
        <f t="shared" si="109"/>
        <v>#VALUE!</v>
      </c>
      <c r="P976" s="247">
        <f t="shared" si="110"/>
        <v>0</v>
      </c>
      <c r="Q976" s="247" t="e">
        <f t="shared" si="111"/>
        <v>#VALUE!</v>
      </c>
    </row>
    <row r="977" spans="1:17" ht="15" customHeight="1" x14ac:dyDescent="0.25">
      <c r="A977" s="244"/>
      <c r="B977" s="244"/>
      <c r="C977" s="244"/>
      <c r="D977" s="244"/>
      <c r="E977" s="244"/>
      <c r="F977" s="244"/>
      <c r="G977" s="244"/>
      <c r="I977" s="244"/>
      <c r="J977" s="244"/>
      <c r="K977" s="246" t="e">
        <f t="shared" si="105"/>
        <v>#VALUE!</v>
      </c>
      <c r="L977" s="246" t="e">
        <f t="shared" si="106"/>
        <v>#VALUE!</v>
      </c>
      <c r="M977" s="247" t="e">
        <f t="shared" si="107"/>
        <v>#VALUE!</v>
      </c>
      <c r="N977" s="246" t="e">
        <f t="shared" si="108"/>
        <v>#VALUE!</v>
      </c>
      <c r="O977" s="247" t="e">
        <f t="shared" si="109"/>
        <v>#VALUE!</v>
      </c>
      <c r="P977" s="247">
        <f t="shared" si="110"/>
        <v>0</v>
      </c>
      <c r="Q977" s="247" t="e">
        <f t="shared" si="111"/>
        <v>#VALUE!</v>
      </c>
    </row>
    <row r="978" spans="1:17" ht="15" customHeight="1" x14ac:dyDescent="0.25">
      <c r="A978" s="244"/>
      <c r="B978" s="244"/>
      <c r="C978" s="244"/>
      <c r="D978" s="244"/>
      <c r="E978" s="244"/>
      <c r="F978" s="244"/>
      <c r="G978" s="244"/>
      <c r="I978" s="244"/>
      <c r="J978" s="244"/>
      <c r="K978" s="246" t="e">
        <f t="shared" si="105"/>
        <v>#VALUE!</v>
      </c>
      <c r="L978" s="246" t="e">
        <f t="shared" si="106"/>
        <v>#VALUE!</v>
      </c>
      <c r="M978" s="247" t="e">
        <f t="shared" si="107"/>
        <v>#VALUE!</v>
      </c>
      <c r="N978" s="246" t="e">
        <f t="shared" si="108"/>
        <v>#VALUE!</v>
      </c>
      <c r="O978" s="247" t="e">
        <f t="shared" si="109"/>
        <v>#VALUE!</v>
      </c>
      <c r="P978" s="247">
        <f t="shared" si="110"/>
        <v>0</v>
      </c>
      <c r="Q978" s="247" t="e">
        <f t="shared" si="111"/>
        <v>#VALUE!</v>
      </c>
    </row>
    <row r="979" spans="1:17" ht="15" customHeight="1" x14ac:dyDescent="0.25">
      <c r="A979" s="244"/>
      <c r="B979" s="244"/>
      <c r="C979" s="244"/>
      <c r="D979" s="244"/>
      <c r="E979" s="244"/>
      <c r="F979" s="244"/>
      <c r="G979" s="244"/>
      <c r="I979" s="244"/>
      <c r="J979" s="244"/>
      <c r="K979" s="246" t="e">
        <f t="shared" si="105"/>
        <v>#VALUE!</v>
      </c>
      <c r="L979" s="246" t="e">
        <f t="shared" si="106"/>
        <v>#VALUE!</v>
      </c>
      <c r="M979" s="247" t="e">
        <f t="shared" si="107"/>
        <v>#VALUE!</v>
      </c>
      <c r="N979" s="246" t="e">
        <f t="shared" si="108"/>
        <v>#VALUE!</v>
      </c>
      <c r="O979" s="247" t="e">
        <f t="shared" si="109"/>
        <v>#VALUE!</v>
      </c>
      <c r="P979" s="247">
        <f t="shared" si="110"/>
        <v>0</v>
      </c>
      <c r="Q979" s="247" t="e">
        <f t="shared" si="111"/>
        <v>#VALUE!</v>
      </c>
    </row>
    <row r="980" spans="1:17" ht="15" customHeight="1" x14ac:dyDescent="0.25">
      <c r="A980" s="244"/>
      <c r="B980" s="244"/>
      <c r="C980" s="244"/>
      <c r="D980" s="244"/>
      <c r="E980" s="244"/>
      <c r="F980" s="244"/>
      <c r="G980" s="244"/>
      <c r="I980" s="244"/>
      <c r="J980" s="244"/>
      <c r="K980" s="246" t="e">
        <f t="shared" si="105"/>
        <v>#VALUE!</v>
      </c>
      <c r="L980" s="246" t="e">
        <f t="shared" si="106"/>
        <v>#VALUE!</v>
      </c>
      <c r="M980" s="247" t="e">
        <f t="shared" si="107"/>
        <v>#VALUE!</v>
      </c>
      <c r="N980" s="246" t="e">
        <f t="shared" si="108"/>
        <v>#VALUE!</v>
      </c>
      <c r="O980" s="247" t="e">
        <f t="shared" si="109"/>
        <v>#VALUE!</v>
      </c>
      <c r="P980" s="247">
        <f t="shared" si="110"/>
        <v>0</v>
      </c>
      <c r="Q980" s="247" t="e">
        <f t="shared" si="111"/>
        <v>#VALUE!</v>
      </c>
    </row>
    <row r="981" spans="1:17" ht="15" customHeight="1" x14ac:dyDescent="0.25">
      <c r="A981" s="244"/>
      <c r="B981" s="244"/>
      <c r="C981" s="244"/>
      <c r="D981" s="244"/>
      <c r="E981" s="244"/>
      <c r="F981" s="244"/>
      <c r="G981" s="244"/>
      <c r="I981" s="244"/>
      <c r="J981" s="244"/>
      <c r="K981" s="246" t="e">
        <f t="shared" si="105"/>
        <v>#VALUE!</v>
      </c>
      <c r="L981" s="246" t="e">
        <f t="shared" si="106"/>
        <v>#VALUE!</v>
      </c>
      <c r="M981" s="247" t="e">
        <f t="shared" si="107"/>
        <v>#VALUE!</v>
      </c>
      <c r="N981" s="246" t="e">
        <f t="shared" si="108"/>
        <v>#VALUE!</v>
      </c>
      <c r="O981" s="247" t="e">
        <f t="shared" si="109"/>
        <v>#VALUE!</v>
      </c>
      <c r="P981" s="247">
        <f t="shared" si="110"/>
        <v>0</v>
      </c>
      <c r="Q981" s="247" t="e">
        <f t="shared" si="111"/>
        <v>#VALUE!</v>
      </c>
    </row>
    <row r="982" spans="1:17" ht="15" customHeight="1" x14ac:dyDescent="0.25">
      <c r="A982" s="244"/>
      <c r="B982" s="244"/>
      <c r="C982" s="244"/>
      <c r="D982" s="244"/>
      <c r="E982" s="244"/>
      <c r="F982" s="244"/>
      <c r="G982" s="244"/>
      <c r="I982" s="244"/>
      <c r="J982" s="244"/>
      <c r="K982" s="246" t="e">
        <f t="shared" si="105"/>
        <v>#VALUE!</v>
      </c>
      <c r="L982" s="246" t="e">
        <f t="shared" si="106"/>
        <v>#VALUE!</v>
      </c>
      <c r="M982" s="247" t="e">
        <f t="shared" si="107"/>
        <v>#VALUE!</v>
      </c>
      <c r="N982" s="246" t="e">
        <f t="shared" si="108"/>
        <v>#VALUE!</v>
      </c>
      <c r="O982" s="247" t="e">
        <f t="shared" si="109"/>
        <v>#VALUE!</v>
      </c>
      <c r="P982" s="247">
        <f t="shared" si="110"/>
        <v>0</v>
      </c>
      <c r="Q982" s="247" t="e">
        <f t="shared" si="111"/>
        <v>#VALUE!</v>
      </c>
    </row>
    <row r="983" spans="1:17" ht="15" customHeight="1" x14ac:dyDescent="0.25">
      <c r="A983" s="244"/>
      <c r="B983" s="244"/>
      <c r="C983" s="244"/>
      <c r="D983" s="244"/>
      <c r="E983" s="244"/>
      <c r="F983" s="244"/>
      <c r="G983" s="244"/>
      <c r="I983" s="244"/>
      <c r="J983" s="244"/>
      <c r="K983" s="246" t="e">
        <f t="shared" si="105"/>
        <v>#VALUE!</v>
      </c>
      <c r="L983" s="246" t="e">
        <f t="shared" si="106"/>
        <v>#VALUE!</v>
      </c>
      <c r="M983" s="247" t="e">
        <f t="shared" si="107"/>
        <v>#VALUE!</v>
      </c>
      <c r="N983" s="246" t="e">
        <f t="shared" si="108"/>
        <v>#VALUE!</v>
      </c>
      <c r="O983" s="247" t="e">
        <f t="shared" si="109"/>
        <v>#VALUE!</v>
      </c>
      <c r="P983" s="247">
        <f t="shared" si="110"/>
        <v>0</v>
      </c>
      <c r="Q983" s="247" t="e">
        <f t="shared" si="111"/>
        <v>#VALUE!</v>
      </c>
    </row>
    <row r="984" spans="1:17" ht="15" customHeight="1" x14ac:dyDescent="0.25">
      <c r="A984" s="244"/>
      <c r="B984" s="244"/>
      <c r="C984" s="244"/>
      <c r="D984" s="244"/>
      <c r="E984" s="244"/>
      <c r="F984" s="244"/>
      <c r="G984" s="244"/>
      <c r="I984" s="244"/>
      <c r="J984" s="244"/>
      <c r="K984" s="246" t="e">
        <f t="shared" si="105"/>
        <v>#VALUE!</v>
      </c>
      <c r="L984" s="246" t="e">
        <f t="shared" si="106"/>
        <v>#VALUE!</v>
      </c>
      <c r="M984" s="247" t="e">
        <f t="shared" si="107"/>
        <v>#VALUE!</v>
      </c>
      <c r="N984" s="246" t="e">
        <f t="shared" si="108"/>
        <v>#VALUE!</v>
      </c>
      <c r="O984" s="247" t="e">
        <f t="shared" si="109"/>
        <v>#VALUE!</v>
      </c>
      <c r="P984" s="247">
        <f t="shared" si="110"/>
        <v>0</v>
      </c>
      <c r="Q984" s="247" t="e">
        <f t="shared" si="111"/>
        <v>#VALUE!</v>
      </c>
    </row>
    <row r="985" spans="1:17" ht="15" customHeight="1" x14ac:dyDescent="0.25">
      <c r="A985" s="244"/>
      <c r="B985" s="244"/>
      <c r="C985" s="244"/>
      <c r="D985" s="244"/>
      <c r="E985" s="244"/>
      <c r="F985" s="244"/>
      <c r="G985" s="244"/>
      <c r="I985" s="244"/>
      <c r="J985" s="244"/>
      <c r="K985" s="246" t="e">
        <f t="shared" si="105"/>
        <v>#VALUE!</v>
      </c>
      <c r="L985" s="246" t="e">
        <f t="shared" si="106"/>
        <v>#VALUE!</v>
      </c>
      <c r="M985" s="247" t="e">
        <f t="shared" si="107"/>
        <v>#VALUE!</v>
      </c>
      <c r="N985" s="246" t="e">
        <f t="shared" si="108"/>
        <v>#VALUE!</v>
      </c>
      <c r="O985" s="247" t="e">
        <f t="shared" si="109"/>
        <v>#VALUE!</v>
      </c>
      <c r="P985" s="247">
        <f t="shared" si="110"/>
        <v>0</v>
      </c>
      <c r="Q985" s="247" t="e">
        <f t="shared" si="111"/>
        <v>#VALUE!</v>
      </c>
    </row>
    <row r="986" spans="1:17" ht="15" customHeight="1" x14ac:dyDescent="0.25">
      <c r="A986" s="244"/>
      <c r="B986" s="244"/>
      <c r="C986" s="244"/>
      <c r="D986" s="244"/>
      <c r="E986" s="244"/>
      <c r="F986" s="244"/>
      <c r="G986" s="244"/>
      <c r="I986" s="244"/>
      <c r="J986" s="244"/>
      <c r="K986" s="246" t="e">
        <f t="shared" si="105"/>
        <v>#VALUE!</v>
      </c>
      <c r="L986" s="246" t="e">
        <f t="shared" si="106"/>
        <v>#VALUE!</v>
      </c>
      <c r="M986" s="247" t="e">
        <f t="shared" si="107"/>
        <v>#VALUE!</v>
      </c>
      <c r="N986" s="246" t="e">
        <f t="shared" si="108"/>
        <v>#VALUE!</v>
      </c>
      <c r="O986" s="247" t="e">
        <f t="shared" si="109"/>
        <v>#VALUE!</v>
      </c>
      <c r="P986" s="247">
        <f t="shared" si="110"/>
        <v>0</v>
      </c>
      <c r="Q986" s="247" t="e">
        <f t="shared" si="111"/>
        <v>#VALUE!</v>
      </c>
    </row>
    <row r="987" spans="1:17" ht="15" customHeight="1" x14ac:dyDescent="0.25">
      <c r="A987" s="244"/>
      <c r="B987" s="244"/>
      <c r="C987" s="244"/>
      <c r="D987" s="244"/>
      <c r="E987" s="244"/>
      <c r="F987" s="244"/>
      <c r="G987" s="244"/>
      <c r="I987" s="244"/>
      <c r="J987" s="244"/>
      <c r="K987" s="246" t="e">
        <f t="shared" si="105"/>
        <v>#VALUE!</v>
      </c>
      <c r="L987" s="246" t="e">
        <f t="shared" si="106"/>
        <v>#VALUE!</v>
      </c>
      <c r="M987" s="247" t="e">
        <f t="shared" si="107"/>
        <v>#VALUE!</v>
      </c>
      <c r="N987" s="246" t="e">
        <f t="shared" si="108"/>
        <v>#VALUE!</v>
      </c>
      <c r="O987" s="247" t="e">
        <f t="shared" si="109"/>
        <v>#VALUE!</v>
      </c>
      <c r="P987" s="247">
        <f t="shared" si="110"/>
        <v>0</v>
      </c>
      <c r="Q987" s="247" t="e">
        <f t="shared" si="111"/>
        <v>#VALUE!</v>
      </c>
    </row>
    <row r="988" spans="1:17" ht="15" customHeight="1" x14ac:dyDescent="0.25">
      <c r="A988" s="244"/>
      <c r="B988" s="244"/>
      <c r="C988" s="244"/>
      <c r="D988" s="244"/>
      <c r="E988" s="244"/>
      <c r="F988" s="244"/>
      <c r="G988" s="244"/>
      <c r="I988" s="244"/>
      <c r="J988" s="244"/>
      <c r="K988" s="246" t="e">
        <f t="shared" si="105"/>
        <v>#VALUE!</v>
      </c>
      <c r="L988" s="246" t="e">
        <f t="shared" si="106"/>
        <v>#VALUE!</v>
      </c>
      <c r="M988" s="247" t="e">
        <f t="shared" si="107"/>
        <v>#VALUE!</v>
      </c>
      <c r="N988" s="246" t="e">
        <f t="shared" si="108"/>
        <v>#VALUE!</v>
      </c>
      <c r="O988" s="247" t="e">
        <f t="shared" si="109"/>
        <v>#VALUE!</v>
      </c>
      <c r="P988" s="247">
        <f t="shared" si="110"/>
        <v>0</v>
      </c>
      <c r="Q988" s="247" t="e">
        <f t="shared" si="111"/>
        <v>#VALUE!</v>
      </c>
    </row>
    <row r="989" spans="1:17" ht="15" customHeight="1" x14ac:dyDescent="0.25">
      <c r="A989" s="244"/>
      <c r="B989" s="244"/>
      <c r="C989" s="244"/>
      <c r="D989" s="244"/>
      <c r="E989" s="244"/>
      <c r="F989" s="244"/>
      <c r="G989" s="244"/>
      <c r="I989" s="244"/>
      <c r="J989" s="244"/>
      <c r="K989" s="246" t="e">
        <f t="shared" si="105"/>
        <v>#VALUE!</v>
      </c>
      <c r="L989" s="246" t="e">
        <f t="shared" si="106"/>
        <v>#VALUE!</v>
      </c>
      <c r="M989" s="247" t="e">
        <f t="shared" si="107"/>
        <v>#VALUE!</v>
      </c>
      <c r="N989" s="246" t="e">
        <f t="shared" si="108"/>
        <v>#VALUE!</v>
      </c>
      <c r="O989" s="247" t="e">
        <f t="shared" si="109"/>
        <v>#VALUE!</v>
      </c>
      <c r="P989" s="247">
        <f t="shared" si="110"/>
        <v>0</v>
      </c>
      <c r="Q989" s="247" t="e">
        <f t="shared" si="111"/>
        <v>#VALUE!</v>
      </c>
    </row>
    <row r="990" spans="1:17" ht="15" customHeight="1" x14ac:dyDescent="0.25">
      <c r="A990" s="244"/>
      <c r="B990" s="244"/>
      <c r="C990" s="244"/>
      <c r="D990" s="244"/>
      <c r="E990" s="244"/>
      <c r="F990" s="244"/>
      <c r="G990" s="244"/>
      <c r="I990" s="244"/>
      <c r="J990" s="244"/>
      <c r="K990" s="246" t="e">
        <f t="shared" si="105"/>
        <v>#VALUE!</v>
      </c>
      <c r="L990" s="246" t="e">
        <f t="shared" si="106"/>
        <v>#VALUE!</v>
      </c>
      <c r="M990" s="247" t="e">
        <f t="shared" si="107"/>
        <v>#VALUE!</v>
      </c>
      <c r="N990" s="246" t="e">
        <f t="shared" si="108"/>
        <v>#VALUE!</v>
      </c>
      <c r="O990" s="247" t="e">
        <f t="shared" si="109"/>
        <v>#VALUE!</v>
      </c>
      <c r="P990" s="247">
        <f t="shared" si="110"/>
        <v>0</v>
      </c>
      <c r="Q990" s="247" t="e">
        <f t="shared" si="111"/>
        <v>#VALUE!</v>
      </c>
    </row>
    <row r="991" spans="1:17" ht="15" customHeight="1" x14ac:dyDescent="0.25">
      <c r="A991" s="244"/>
      <c r="B991" s="244"/>
      <c r="C991" s="244"/>
      <c r="D991" s="244"/>
      <c r="E991" s="244"/>
      <c r="F991" s="244"/>
      <c r="G991" s="244"/>
      <c r="I991" s="244"/>
      <c r="J991" s="244"/>
      <c r="K991" s="246" t="e">
        <f t="shared" si="105"/>
        <v>#VALUE!</v>
      </c>
      <c r="L991" s="246" t="e">
        <f t="shared" si="106"/>
        <v>#VALUE!</v>
      </c>
      <c r="M991" s="247" t="e">
        <f t="shared" si="107"/>
        <v>#VALUE!</v>
      </c>
      <c r="N991" s="246" t="e">
        <f t="shared" si="108"/>
        <v>#VALUE!</v>
      </c>
      <c r="O991" s="247" t="e">
        <f t="shared" si="109"/>
        <v>#VALUE!</v>
      </c>
      <c r="P991" s="247">
        <f t="shared" si="110"/>
        <v>0</v>
      </c>
      <c r="Q991" s="247" t="e">
        <f t="shared" si="111"/>
        <v>#VALUE!</v>
      </c>
    </row>
    <row r="992" spans="1:17" ht="15" customHeight="1" x14ac:dyDescent="0.25">
      <c r="A992" s="244"/>
      <c r="B992" s="244"/>
      <c r="C992" s="244"/>
      <c r="D992" s="244"/>
      <c r="E992" s="244"/>
      <c r="F992" s="244"/>
      <c r="G992" s="244"/>
      <c r="I992" s="244"/>
      <c r="J992" s="244"/>
      <c r="K992" s="246" t="e">
        <f t="shared" si="105"/>
        <v>#VALUE!</v>
      </c>
      <c r="L992" s="246" t="e">
        <f t="shared" si="106"/>
        <v>#VALUE!</v>
      </c>
      <c r="M992" s="247" t="e">
        <f t="shared" si="107"/>
        <v>#VALUE!</v>
      </c>
      <c r="N992" s="246" t="e">
        <f t="shared" si="108"/>
        <v>#VALUE!</v>
      </c>
      <c r="O992" s="247" t="e">
        <f t="shared" si="109"/>
        <v>#VALUE!</v>
      </c>
      <c r="P992" s="247">
        <f t="shared" si="110"/>
        <v>0</v>
      </c>
      <c r="Q992" s="247" t="e">
        <f t="shared" si="111"/>
        <v>#VALUE!</v>
      </c>
    </row>
    <row r="993" spans="1:17" ht="15" customHeight="1" x14ac:dyDescent="0.25">
      <c r="A993" s="244"/>
      <c r="B993" s="244"/>
      <c r="C993" s="244"/>
      <c r="D993" s="244"/>
      <c r="E993" s="244"/>
      <c r="F993" s="244"/>
      <c r="G993" s="244"/>
      <c r="I993" s="244"/>
      <c r="J993" s="244"/>
      <c r="K993" s="246" t="e">
        <f t="shared" si="105"/>
        <v>#VALUE!</v>
      </c>
      <c r="L993" s="246" t="e">
        <f t="shared" si="106"/>
        <v>#VALUE!</v>
      </c>
      <c r="M993" s="247" t="e">
        <f t="shared" si="107"/>
        <v>#VALUE!</v>
      </c>
      <c r="N993" s="246" t="e">
        <f t="shared" si="108"/>
        <v>#VALUE!</v>
      </c>
      <c r="O993" s="247" t="e">
        <f t="shared" si="109"/>
        <v>#VALUE!</v>
      </c>
      <c r="P993" s="247">
        <f t="shared" si="110"/>
        <v>0</v>
      </c>
      <c r="Q993" s="247" t="e">
        <f t="shared" si="111"/>
        <v>#VALUE!</v>
      </c>
    </row>
    <row r="994" spans="1:17" ht="15" customHeight="1" x14ac:dyDescent="0.25">
      <c r="A994" s="244"/>
      <c r="B994" s="244"/>
      <c r="C994" s="244"/>
      <c r="D994" s="244"/>
      <c r="E994" s="244"/>
      <c r="F994" s="244"/>
      <c r="G994" s="244"/>
      <c r="I994" s="244"/>
      <c r="J994" s="244"/>
      <c r="K994" s="246" t="e">
        <f t="shared" si="105"/>
        <v>#VALUE!</v>
      </c>
      <c r="L994" s="246" t="e">
        <f t="shared" si="106"/>
        <v>#VALUE!</v>
      </c>
      <c r="M994" s="247" t="e">
        <f t="shared" si="107"/>
        <v>#VALUE!</v>
      </c>
      <c r="N994" s="246" t="e">
        <f t="shared" si="108"/>
        <v>#VALUE!</v>
      </c>
      <c r="O994" s="247" t="e">
        <f t="shared" si="109"/>
        <v>#VALUE!</v>
      </c>
      <c r="P994" s="247">
        <f t="shared" si="110"/>
        <v>0</v>
      </c>
      <c r="Q994" s="247" t="e">
        <f t="shared" si="111"/>
        <v>#VALUE!</v>
      </c>
    </row>
    <row r="995" spans="1:17" ht="15" customHeight="1" x14ac:dyDescent="0.25">
      <c r="A995" s="244"/>
      <c r="B995" s="244"/>
      <c r="C995" s="244"/>
      <c r="D995" s="244"/>
      <c r="E995" s="244"/>
      <c r="F995" s="244"/>
      <c r="G995" s="244"/>
      <c r="I995" s="244"/>
      <c r="J995" s="244"/>
      <c r="K995" s="246" t="e">
        <f t="shared" si="105"/>
        <v>#VALUE!</v>
      </c>
      <c r="L995" s="246" t="e">
        <f t="shared" si="106"/>
        <v>#VALUE!</v>
      </c>
      <c r="M995" s="247" t="e">
        <f t="shared" si="107"/>
        <v>#VALUE!</v>
      </c>
      <c r="N995" s="246" t="e">
        <f t="shared" si="108"/>
        <v>#VALUE!</v>
      </c>
      <c r="O995" s="247" t="e">
        <f t="shared" si="109"/>
        <v>#VALUE!</v>
      </c>
      <c r="P995" s="247">
        <f t="shared" si="110"/>
        <v>0</v>
      </c>
      <c r="Q995" s="247" t="e">
        <f t="shared" si="111"/>
        <v>#VALUE!</v>
      </c>
    </row>
    <row r="996" spans="1:17" ht="15" customHeight="1" x14ac:dyDescent="0.25">
      <c r="A996" s="244"/>
      <c r="B996" s="244"/>
      <c r="C996" s="244"/>
      <c r="D996" s="244"/>
      <c r="E996" s="244"/>
      <c r="F996" s="244"/>
      <c r="G996" s="244"/>
      <c r="I996" s="244"/>
      <c r="J996" s="244"/>
      <c r="K996" s="246" t="e">
        <f t="shared" si="105"/>
        <v>#VALUE!</v>
      </c>
      <c r="L996" s="246" t="e">
        <f t="shared" si="106"/>
        <v>#VALUE!</v>
      </c>
      <c r="M996" s="247" t="e">
        <f t="shared" si="107"/>
        <v>#VALUE!</v>
      </c>
      <c r="N996" s="246" t="e">
        <f t="shared" si="108"/>
        <v>#VALUE!</v>
      </c>
      <c r="O996" s="247" t="e">
        <f t="shared" si="109"/>
        <v>#VALUE!</v>
      </c>
      <c r="P996" s="247">
        <f t="shared" si="110"/>
        <v>0</v>
      </c>
      <c r="Q996" s="247" t="e">
        <f t="shared" si="111"/>
        <v>#VALUE!</v>
      </c>
    </row>
    <row r="997" spans="1:17" ht="15" customHeight="1" x14ac:dyDescent="0.25">
      <c r="A997" s="244"/>
      <c r="B997" s="244"/>
      <c r="C997" s="244"/>
      <c r="D997" s="244"/>
      <c r="E997" s="244"/>
      <c r="F997" s="244"/>
      <c r="G997" s="244"/>
      <c r="I997" s="244"/>
      <c r="J997" s="244"/>
      <c r="K997" s="246" t="e">
        <f t="shared" si="105"/>
        <v>#VALUE!</v>
      </c>
      <c r="L997" s="246" t="e">
        <f t="shared" si="106"/>
        <v>#VALUE!</v>
      </c>
      <c r="M997" s="247" t="e">
        <f t="shared" si="107"/>
        <v>#VALUE!</v>
      </c>
      <c r="N997" s="246" t="e">
        <f t="shared" si="108"/>
        <v>#VALUE!</v>
      </c>
      <c r="O997" s="247" t="e">
        <f t="shared" si="109"/>
        <v>#VALUE!</v>
      </c>
      <c r="P997" s="247">
        <f t="shared" si="110"/>
        <v>0</v>
      </c>
      <c r="Q997" s="247" t="e">
        <f t="shared" si="111"/>
        <v>#VALUE!</v>
      </c>
    </row>
    <row r="998" spans="1:17" ht="15" customHeight="1" x14ac:dyDescent="0.25">
      <c r="A998" s="244"/>
      <c r="B998" s="244"/>
      <c r="C998" s="244"/>
      <c r="D998" s="244"/>
      <c r="E998" s="244"/>
      <c r="F998" s="244"/>
      <c r="G998" s="244"/>
      <c r="I998" s="244"/>
      <c r="J998" s="244"/>
      <c r="K998" s="246" t="e">
        <f t="shared" si="105"/>
        <v>#VALUE!</v>
      </c>
      <c r="L998" s="246" t="e">
        <f t="shared" si="106"/>
        <v>#VALUE!</v>
      </c>
      <c r="M998" s="247" t="e">
        <f t="shared" si="107"/>
        <v>#VALUE!</v>
      </c>
      <c r="N998" s="246" t="e">
        <f t="shared" si="108"/>
        <v>#VALUE!</v>
      </c>
      <c r="O998" s="247" t="e">
        <f t="shared" si="109"/>
        <v>#VALUE!</v>
      </c>
      <c r="P998" s="247">
        <f t="shared" si="110"/>
        <v>0</v>
      </c>
      <c r="Q998" s="247" t="e">
        <f t="shared" si="111"/>
        <v>#VALUE!</v>
      </c>
    </row>
    <row r="999" spans="1:17" ht="15" customHeight="1" x14ac:dyDescent="0.25">
      <c r="A999" s="244"/>
      <c r="B999" s="244"/>
      <c r="C999" s="244"/>
      <c r="D999" s="244"/>
      <c r="E999" s="244"/>
      <c r="F999" s="244"/>
      <c r="G999" s="244"/>
      <c r="I999" s="244"/>
      <c r="J999" s="244"/>
      <c r="K999" s="246" t="e">
        <f t="shared" si="105"/>
        <v>#VALUE!</v>
      </c>
      <c r="L999" s="246" t="e">
        <f t="shared" si="106"/>
        <v>#VALUE!</v>
      </c>
      <c r="M999" s="247" t="e">
        <f t="shared" si="107"/>
        <v>#VALUE!</v>
      </c>
      <c r="N999" s="246" t="e">
        <f t="shared" si="108"/>
        <v>#VALUE!</v>
      </c>
      <c r="O999" s="247" t="e">
        <f t="shared" si="109"/>
        <v>#VALUE!</v>
      </c>
      <c r="P999" s="247">
        <f t="shared" si="110"/>
        <v>0</v>
      </c>
      <c r="Q999" s="247" t="e">
        <f t="shared" si="111"/>
        <v>#VALUE!</v>
      </c>
    </row>
    <row r="1000" spans="1:17" ht="15" customHeight="1" x14ac:dyDescent="0.25">
      <c r="A1000" s="244"/>
      <c r="B1000" s="244"/>
      <c r="C1000" s="244"/>
      <c r="D1000" s="244"/>
      <c r="E1000" s="244"/>
      <c r="F1000" s="244"/>
      <c r="G1000" s="244"/>
      <c r="I1000" s="244"/>
      <c r="J1000" s="244"/>
      <c r="K1000" s="246" t="e">
        <f t="shared" si="105"/>
        <v>#VALUE!</v>
      </c>
      <c r="L1000" s="246" t="e">
        <f t="shared" si="106"/>
        <v>#VALUE!</v>
      </c>
      <c r="M1000" s="247" t="e">
        <f t="shared" si="107"/>
        <v>#VALUE!</v>
      </c>
      <c r="N1000" s="246" t="e">
        <f t="shared" si="108"/>
        <v>#VALUE!</v>
      </c>
      <c r="O1000" s="247" t="e">
        <f t="shared" si="109"/>
        <v>#VALUE!</v>
      </c>
      <c r="P1000" s="247">
        <f t="shared" si="110"/>
        <v>0</v>
      </c>
      <c r="Q1000" s="247" t="e">
        <f t="shared" si="111"/>
        <v>#VALUE!</v>
      </c>
    </row>
    <row r="1001" spans="1:17" ht="15" customHeight="1" x14ac:dyDescent="0.25">
      <c r="A1001" s="244"/>
      <c r="B1001" s="244"/>
      <c r="C1001" s="244"/>
      <c r="D1001" s="244"/>
      <c r="E1001" s="244"/>
      <c r="F1001" s="244"/>
      <c r="G1001" s="244"/>
      <c r="I1001" s="244"/>
      <c r="J1001" s="244"/>
      <c r="K1001" s="246" t="e">
        <f t="shared" si="105"/>
        <v>#VALUE!</v>
      </c>
      <c r="L1001" s="246" t="e">
        <f t="shared" si="106"/>
        <v>#VALUE!</v>
      </c>
      <c r="M1001" s="247" t="e">
        <f t="shared" si="107"/>
        <v>#VALUE!</v>
      </c>
      <c r="N1001" s="246" t="e">
        <f t="shared" si="108"/>
        <v>#VALUE!</v>
      </c>
      <c r="O1001" s="247" t="e">
        <f t="shared" si="109"/>
        <v>#VALUE!</v>
      </c>
      <c r="P1001" s="247">
        <f t="shared" si="110"/>
        <v>0</v>
      </c>
      <c r="Q1001" s="247" t="e">
        <f t="shared" si="111"/>
        <v>#VALUE!</v>
      </c>
    </row>
    <row r="1002" spans="1:17" ht="15" customHeight="1" x14ac:dyDescent="0.25">
      <c r="A1002" s="244"/>
      <c r="B1002" s="244"/>
      <c r="C1002" s="244"/>
      <c r="D1002" s="244"/>
      <c r="E1002" s="244"/>
      <c r="F1002" s="244"/>
      <c r="G1002" s="244"/>
      <c r="I1002" s="244"/>
      <c r="J1002" s="244"/>
      <c r="K1002" s="246" t="e">
        <f t="shared" si="105"/>
        <v>#VALUE!</v>
      </c>
      <c r="L1002" s="246" t="e">
        <f t="shared" si="106"/>
        <v>#VALUE!</v>
      </c>
      <c r="M1002" s="247" t="e">
        <f t="shared" si="107"/>
        <v>#VALUE!</v>
      </c>
      <c r="N1002" s="246" t="e">
        <f t="shared" si="108"/>
        <v>#VALUE!</v>
      </c>
      <c r="O1002" s="247" t="e">
        <f t="shared" si="109"/>
        <v>#VALUE!</v>
      </c>
      <c r="P1002" s="247">
        <f t="shared" si="110"/>
        <v>0</v>
      </c>
      <c r="Q1002" s="247" t="e">
        <f t="shared" si="111"/>
        <v>#VALUE!</v>
      </c>
    </row>
    <row r="1003" spans="1:17" ht="15" customHeight="1" x14ac:dyDescent="0.25">
      <c r="A1003" s="244"/>
      <c r="B1003" s="244"/>
      <c r="C1003" s="244"/>
      <c r="D1003" s="244"/>
      <c r="E1003" s="244"/>
      <c r="F1003" s="244"/>
      <c r="G1003" s="244"/>
      <c r="I1003" s="244"/>
      <c r="J1003" s="244"/>
      <c r="K1003" s="246" t="e">
        <f t="shared" si="105"/>
        <v>#VALUE!</v>
      </c>
      <c r="L1003" s="246" t="e">
        <f t="shared" si="106"/>
        <v>#VALUE!</v>
      </c>
      <c r="M1003" s="247" t="e">
        <f t="shared" si="107"/>
        <v>#VALUE!</v>
      </c>
      <c r="N1003" s="246" t="e">
        <f t="shared" si="108"/>
        <v>#VALUE!</v>
      </c>
      <c r="O1003" s="247" t="e">
        <f t="shared" si="109"/>
        <v>#VALUE!</v>
      </c>
      <c r="P1003" s="247">
        <f t="shared" si="110"/>
        <v>0</v>
      </c>
      <c r="Q1003" s="247" t="e">
        <f t="shared" si="111"/>
        <v>#VALUE!</v>
      </c>
    </row>
    <row r="1004" spans="1:17" ht="15" customHeight="1" x14ac:dyDescent="0.25">
      <c r="A1004" s="244"/>
      <c r="B1004" s="244"/>
      <c r="C1004" s="244"/>
      <c r="D1004" s="244"/>
      <c r="E1004" s="244"/>
      <c r="F1004" s="244"/>
      <c r="G1004" s="244"/>
      <c r="I1004" s="244"/>
      <c r="J1004" s="244"/>
      <c r="K1004" s="246" t="e">
        <f t="shared" si="105"/>
        <v>#VALUE!</v>
      </c>
      <c r="L1004" s="246" t="e">
        <f t="shared" si="106"/>
        <v>#VALUE!</v>
      </c>
      <c r="M1004" s="247" t="e">
        <f t="shared" si="107"/>
        <v>#VALUE!</v>
      </c>
      <c r="N1004" s="246" t="e">
        <f t="shared" si="108"/>
        <v>#VALUE!</v>
      </c>
      <c r="O1004" s="247" t="e">
        <f t="shared" si="109"/>
        <v>#VALUE!</v>
      </c>
      <c r="P1004" s="247">
        <f t="shared" si="110"/>
        <v>0</v>
      </c>
      <c r="Q1004" s="247" t="e">
        <f t="shared" si="111"/>
        <v>#VALUE!</v>
      </c>
    </row>
    <row r="1005" spans="1:17" ht="15" customHeight="1" x14ac:dyDescent="0.25">
      <c r="A1005" s="244"/>
      <c r="B1005" s="244"/>
      <c r="C1005" s="244"/>
      <c r="D1005" s="244"/>
      <c r="E1005" s="244"/>
      <c r="F1005" s="244"/>
      <c r="G1005" s="244"/>
      <c r="I1005" s="244"/>
      <c r="J1005" s="244"/>
      <c r="K1005" s="246" t="e">
        <f t="shared" si="105"/>
        <v>#VALUE!</v>
      </c>
      <c r="L1005" s="246" t="e">
        <f t="shared" si="106"/>
        <v>#VALUE!</v>
      </c>
      <c r="M1005" s="247" t="e">
        <f t="shared" si="107"/>
        <v>#VALUE!</v>
      </c>
      <c r="N1005" s="246" t="e">
        <f t="shared" si="108"/>
        <v>#VALUE!</v>
      </c>
      <c r="O1005" s="247" t="e">
        <f t="shared" si="109"/>
        <v>#VALUE!</v>
      </c>
      <c r="P1005" s="247">
        <f t="shared" si="110"/>
        <v>0</v>
      </c>
      <c r="Q1005" s="247" t="e">
        <f t="shared" si="111"/>
        <v>#VALUE!</v>
      </c>
    </row>
    <row r="1006" spans="1:17" ht="15" customHeight="1" x14ac:dyDescent="0.25">
      <c r="A1006" s="244"/>
      <c r="B1006" s="244"/>
      <c r="C1006" s="244"/>
      <c r="D1006" s="244"/>
      <c r="E1006" s="244"/>
      <c r="F1006" s="244"/>
      <c r="G1006" s="244"/>
      <c r="I1006" s="244"/>
      <c r="J1006" s="244"/>
      <c r="K1006" s="246" t="e">
        <f t="shared" si="105"/>
        <v>#VALUE!</v>
      </c>
      <c r="L1006" s="246" t="e">
        <f t="shared" si="106"/>
        <v>#VALUE!</v>
      </c>
      <c r="M1006" s="247" t="e">
        <f t="shared" si="107"/>
        <v>#VALUE!</v>
      </c>
      <c r="N1006" s="246" t="e">
        <f t="shared" si="108"/>
        <v>#VALUE!</v>
      </c>
      <c r="O1006" s="247" t="e">
        <f t="shared" si="109"/>
        <v>#VALUE!</v>
      </c>
      <c r="P1006" s="247">
        <f t="shared" si="110"/>
        <v>0</v>
      </c>
      <c r="Q1006" s="247" t="e">
        <f t="shared" si="111"/>
        <v>#VALUE!</v>
      </c>
    </row>
    <row r="1007" spans="1:17" ht="15" customHeight="1" x14ac:dyDescent="0.25">
      <c r="A1007" s="244"/>
      <c r="B1007" s="244"/>
      <c r="C1007" s="244"/>
      <c r="D1007" s="244"/>
      <c r="E1007" s="244"/>
      <c r="F1007" s="244"/>
      <c r="G1007" s="244"/>
      <c r="I1007" s="244"/>
      <c r="J1007" s="244"/>
      <c r="K1007" s="246" t="e">
        <f t="shared" si="105"/>
        <v>#VALUE!</v>
      </c>
      <c r="L1007" s="246" t="e">
        <f t="shared" si="106"/>
        <v>#VALUE!</v>
      </c>
      <c r="M1007" s="247" t="e">
        <f t="shared" si="107"/>
        <v>#VALUE!</v>
      </c>
      <c r="N1007" s="246" t="e">
        <f t="shared" si="108"/>
        <v>#VALUE!</v>
      </c>
      <c r="O1007" s="247" t="e">
        <f t="shared" si="109"/>
        <v>#VALUE!</v>
      </c>
      <c r="P1007" s="247">
        <f t="shared" si="110"/>
        <v>0</v>
      </c>
      <c r="Q1007" s="247" t="e">
        <f t="shared" si="111"/>
        <v>#VALUE!</v>
      </c>
    </row>
    <row r="1008" spans="1:17" ht="15" customHeight="1" x14ac:dyDescent="0.25">
      <c r="A1008" s="244"/>
      <c r="B1008" s="244"/>
      <c r="C1008" s="244"/>
      <c r="D1008" s="244"/>
      <c r="E1008" s="244"/>
      <c r="F1008" s="244"/>
      <c r="G1008" s="244"/>
      <c r="I1008" s="244"/>
      <c r="J1008" s="244"/>
      <c r="K1008" s="246" t="e">
        <f t="shared" si="105"/>
        <v>#VALUE!</v>
      </c>
      <c r="L1008" s="246" t="e">
        <f t="shared" si="106"/>
        <v>#VALUE!</v>
      </c>
      <c r="M1008" s="247" t="e">
        <f t="shared" si="107"/>
        <v>#VALUE!</v>
      </c>
      <c r="N1008" s="246" t="e">
        <f t="shared" si="108"/>
        <v>#VALUE!</v>
      </c>
      <c r="O1008" s="247" t="e">
        <f t="shared" si="109"/>
        <v>#VALUE!</v>
      </c>
      <c r="P1008" s="247">
        <f t="shared" si="110"/>
        <v>0</v>
      </c>
      <c r="Q1008" s="247" t="e">
        <f t="shared" si="111"/>
        <v>#VALUE!</v>
      </c>
    </row>
    <row r="1009" spans="1:17" ht="15" customHeight="1" x14ac:dyDescent="0.25">
      <c r="A1009" s="244"/>
      <c r="B1009" s="244"/>
      <c r="C1009" s="244"/>
      <c r="D1009" s="244"/>
      <c r="E1009" s="244"/>
      <c r="F1009" s="244"/>
      <c r="G1009" s="244"/>
      <c r="I1009" s="244"/>
      <c r="J1009" s="244"/>
      <c r="K1009" s="246" t="e">
        <f t="shared" si="105"/>
        <v>#VALUE!</v>
      </c>
      <c r="L1009" s="246" t="e">
        <f t="shared" si="106"/>
        <v>#VALUE!</v>
      </c>
      <c r="M1009" s="247" t="e">
        <f t="shared" si="107"/>
        <v>#VALUE!</v>
      </c>
      <c r="N1009" s="246" t="e">
        <f t="shared" si="108"/>
        <v>#VALUE!</v>
      </c>
      <c r="O1009" s="247" t="e">
        <f t="shared" si="109"/>
        <v>#VALUE!</v>
      </c>
      <c r="P1009" s="247">
        <f t="shared" si="110"/>
        <v>0</v>
      </c>
      <c r="Q1009" s="247" t="e">
        <f t="shared" si="111"/>
        <v>#VALUE!</v>
      </c>
    </row>
    <row r="1010" spans="1:17" ht="15" customHeight="1" x14ac:dyDescent="0.25">
      <c r="A1010" s="244"/>
      <c r="B1010" s="244"/>
      <c r="C1010" s="244"/>
      <c r="D1010" s="244"/>
      <c r="E1010" s="244"/>
      <c r="F1010" s="244"/>
      <c r="G1010" s="244"/>
      <c r="I1010" s="244"/>
      <c r="J1010" s="244"/>
      <c r="K1010" s="246" t="e">
        <f t="shared" si="105"/>
        <v>#VALUE!</v>
      </c>
      <c r="L1010" s="246" t="e">
        <f t="shared" si="106"/>
        <v>#VALUE!</v>
      </c>
      <c r="M1010" s="247" t="e">
        <f t="shared" si="107"/>
        <v>#VALUE!</v>
      </c>
      <c r="N1010" s="246" t="e">
        <f t="shared" si="108"/>
        <v>#VALUE!</v>
      </c>
      <c r="O1010" s="247" t="e">
        <f t="shared" si="109"/>
        <v>#VALUE!</v>
      </c>
      <c r="P1010" s="247">
        <f t="shared" si="110"/>
        <v>0</v>
      </c>
      <c r="Q1010" s="247" t="e">
        <f t="shared" si="111"/>
        <v>#VALUE!</v>
      </c>
    </row>
    <row r="1011" spans="1:17" ht="15" customHeight="1" x14ac:dyDescent="0.25">
      <c r="A1011" s="244"/>
      <c r="B1011" s="244"/>
      <c r="C1011" s="244"/>
      <c r="D1011" s="244"/>
      <c r="E1011" s="244"/>
      <c r="F1011" s="244"/>
      <c r="G1011" s="244"/>
      <c r="I1011" s="244"/>
      <c r="J1011" s="244"/>
      <c r="K1011" s="246" t="e">
        <f t="shared" si="105"/>
        <v>#VALUE!</v>
      </c>
      <c r="L1011" s="246" t="e">
        <f t="shared" si="106"/>
        <v>#VALUE!</v>
      </c>
      <c r="M1011" s="247" t="e">
        <f t="shared" si="107"/>
        <v>#VALUE!</v>
      </c>
      <c r="N1011" s="246" t="e">
        <f t="shared" si="108"/>
        <v>#VALUE!</v>
      </c>
      <c r="O1011" s="247" t="e">
        <f t="shared" si="109"/>
        <v>#VALUE!</v>
      </c>
      <c r="P1011" s="247">
        <f t="shared" si="110"/>
        <v>0</v>
      </c>
      <c r="Q1011" s="247" t="e">
        <f t="shared" si="111"/>
        <v>#VALUE!</v>
      </c>
    </row>
    <row r="1012" spans="1:17" ht="15" customHeight="1" x14ac:dyDescent="0.25">
      <c r="A1012" s="244"/>
      <c r="B1012" s="244"/>
      <c r="C1012" s="244"/>
      <c r="D1012" s="244"/>
      <c r="E1012" s="244"/>
      <c r="F1012" s="244"/>
      <c r="G1012" s="244"/>
      <c r="I1012" s="244"/>
      <c r="J1012" s="244"/>
      <c r="K1012" s="246" t="e">
        <f t="shared" si="105"/>
        <v>#VALUE!</v>
      </c>
      <c r="L1012" s="246" t="e">
        <f t="shared" si="106"/>
        <v>#VALUE!</v>
      </c>
      <c r="M1012" s="247" t="e">
        <f t="shared" si="107"/>
        <v>#VALUE!</v>
      </c>
      <c r="N1012" s="246" t="e">
        <f t="shared" si="108"/>
        <v>#VALUE!</v>
      </c>
      <c r="O1012" s="247" t="e">
        <f t="shared" si="109"/>
        <v>#VALUE!</v>
      </c>
      <c r="P1012" s="247">
        <f t="shared" si="110"/>
        <v>0</v>
      </c>
      <c r="Q1012" s="247" t="e">
        <f t="shared" si="111"/>
        <v>#VALUE!</v>
      </c>
    </row>
    <row r="1013" spans="1:17" ht="15" customHeight="1" x14ac:dyDescent="0.25">
      <c r="A1013" s="244"/>
      <c r="B1013" s="244"/>
      <c r="C1013" s="244"/>
      <c r="D1013" s="244"/>
      <c r="E1013" s="244"/>
      <c r="F1013" s="244"/>
      <c r="G1013" s="244"/>
      <c r="I1013" s="244"/>
      <c r="J1013" s="244"/>
      <c r="K1013" s="246" t="e">
        <f t="shared" si="105"/>
        <v>#VALUE!</v>
      </c>
      <c r="L1013" s="246" t="e">
        <f t="shared" si="106"/>
        <v>#VALUE!</v>
      </c>
      <c r="M1013" s="247" t="e">
        <f t="shared" si="107"/>
        <v>#VALUE!</v>
      </c>
      <c r="N1013" s="246" t="e">
        <f t="shared" si="108"/>
        <v>#VALUE!</v>
      </c>
      <c r="O1013" s="247" t="e">
        <f t="shared" si="109"/>
        <v>#VALUE!</v>
      </c>
      <c r="P1013" s="247">
        <f t="shared" si="110"/>
        <v>0</v>
      </c>
      <c r="Q1013" s="247" t="e">
        <f t="shared" si="111"/>
        <v>#VALUE!</v>
      </c>
    </row>
    <row r="1014" spans="1:17" ht="15" customHeight="1" x14ac:dyDescent="0.25">
      <c r="A1014" s="244"/>
      <c r="B1014" s="244"/>
      <c r="C1014" s="244"/>
      <c r="D1014" s="244"/>
      <c r="E1014" s="244"/>
      <c r="F1014" s="244"/>
      <c r="G1014" s="244"/>
      <c r="I1014" s="244"/>
      <c r="J1014" s="244"/>
      <c r="K1014" s="246" t="e">
        <f t="shared" si="105"/>
        <v>#VALUE!</v>
      </c>
      <c r="L1014" s="246" t="e">
        <f t="shared" si="106"/>
        <v>#VALUE!</v>
      </c>
      <c r="M1014" s="247" t="e">
        <f t="shared" si="107"/>
        <v>#VALUE!</v>
      </c>
      <c r="N1014" s="246" t="e">
        <f t="shared" si="108"/>
        <v>#VALUE!</v>
      </c>
      <c r="O1014" s="247" t="e">
        <f t="shared" si="109"/>
        <v>#VALUE!</v>
      </c>
      <c r="P1014" s="247">
        <f t="shared" si="110"/>
        <v>0</v>
      </c>
      <c r="Q1014" s="247" t="e">
        <f t="shared" si="111"/>
        <v>#VALUE!</v>
      </c>
    </row>
    <row r="1015" spans="1:17" ht="15" customHeight="1" x14ac:dyDescent="0.25">
      <c r="A1015" s="244"/>
      <c r="B1015" s="244"/>
      <c r="C1015" s="244"/>
      <c r="D1015" s="244"/>
      <c r="E1015" s="244"/>
      <c r="F1015" s="244"/>
      <c r="G1015" s="244"/>
      <c r="I1015" s="244"/>
      <c r="J1015" s="244"/>
      <c r="K1015" s="246" t="e">
        <f t="shared" si="105"/>
        <v>#VALUE!</v>
      </c>
      <c r="L1015" s="246" t="e">
        <f t="shared" si="106"/>
        <v>#VALUE!</v>
      </c>
      <c r="M1015" s="247" t="e">
        <f t="shared" si="107"/>
        <v>#VALUE!</v>
      </c>
      <c r="N1015" s="246" t="e">
        <f t="shared" si="108"/>
        <v>#VALUE!</v>
      </c>
      <c r="O1015" s="247" t="e">
        <f t="shared" si="109"/>
        <v>#VALUE!</v>
      </c>
      <c r="P1015" s="247">
        <f t="shared" si="110"/>
        <v>0</v>
      </c>
      <c r="Q1015" s="247" t="e">
        <f t="shared" si="111"/>
        <v>#VALUE!</v>
      </c>
    </row>
    <row r="1016" spans="1:17" ht="15" customHeight="1" x14ac:dyDescent="0.25">
      <c r="A1016" s="244"/>
      <c r="B1016" s="244"/>
      <c r="C1016" s="244"/>
      <c r="D1016" s="244"/>
      <c r="E1016" s="244"/>
      <c r="F1016" s="244"/>
      <c r="G1016" s="244"/>
      <c r="I1016" s="244"/>
      <c r="J1016" s="244"/>
      <c r="K1016" s="246" t="e">
        <f t="shared" si="105"/>
        <v>#VALUE!</v>
      </c>
      <c r="L1016" s="246" t="e">
        <f t="shared" si="106"/>
        <v>#VALUE!</v>
      </c>
      <c r="M1016" s="247" t="e">
        <f t="shared" si="107"/>
        <v>#VALUE!</v>
      </c>
      <c r="N1016" s="246" t="e">
        <f t="shared" si="108"/>
        <v>#VALUE!</v>
      </c>
      <c r="O1016" s="247" t="e">
        <f t="shared" si="109"/>
        <v>#VALUE!</v>
      </c>
      <c r="P1016" s="247">
        <f t="shared" si="110"/>
        <v>0</v>
      </c>
      <c r="Q1016" s="247" t="e">
        <f t="shared" si="111"/>
        <v>#VALUE!</v>
      </c>
    </row>
    <row r="1017" spans="1:17" ht="15" customHeight="1" x14ac:dyDescent="0.25">
      <c r="A1017" s="244"/>
      <c r="B1017" s="244"/>
      <c r="C1017" s="244"/>
      <c r="D1017" s="244"/>
      <c r="E1017" s="244"/>
      <c r="F1017" s="244"/>
      <c r="G1017" s="244"/>
      <c r="I1017" s="244"/>
      <c r="J1017" s="244"/>
      <c r="K1017" s="246" t="e">
        <f t="shared" si="105"/>
        <v>#VALUE!</v>
      </c>
      <c r="L1017" s="246" t="e">
        <f t="shared" si="106"/>
        <v>#VALUE!</v>
      </c>
      <c r="M1017" s="247" t="e">
        <f t="shared" si="107"/>
        <v>#VALUE!</v>
      </c>
      <c r="N1017" s="246" t="e">
        <f t="shared" si="108"/>
        <v>#VALUE!</v>
      </c>
      <c r="O1017" s="247" t="e">
        <f t="shared" si="109"/>
        <v>#VALUE!</v>
      </c>
      <c r="P1017" s="247">
        <f t="shared" si="110"/>
        <v>0</v>
      </c>
      <c r="Q1017" s="247" t="e">
        <f t="shared" si="111"/>
        <v>#VALUE!</v>
      </c>
    </row>
    <row r="1018" spans="1:17" ht="15" customHeight="1" x14ac:dyDescent="0.25">
      <c r="A1018" s="244"/>
      <c r="B1018" s="244"/>
      <c r="C1018" s="244"/>
      <c r="D1018" s="244"/>
      <c r="E1018" s="244"/>
      <c r="F1018" s="244"/>
      <c r="G1018" s="244"/>
      <c r="I1018" s="244"/>
      <c r="J1018" s="244"/>
      <c r="K1018" s="246" t="e">
        <f t="shared" si="105"/>
        <v>#VALUE!</v>
      </c>
      <c r="L1018" s="246" t="e">
        <f t="shared" si="106"/>
        <v>#VALUE!</v>
      </c>
      <c r="M1018" s="247" t="e">
        <f t="shared" si="107"/>
        <v>#VALUE!</v>
      </c>
      <c r="N1018" s="246" t="e">
        <f t="shared" si="108"/>
        <v>#VALUE!</v>
      </c>
      <c r="O1018" s="247" t="e">
        <f t="shared" si="109"/>
        <v>#VALUE!</v>
      </c>
      <c r="P1018" s="247">
        <f t="shared" si="110"/>
        <v>0</v>
      </c>
      <c r="Q1018" s="247" t="e">
        <f t="shared" si="111"/>
        <v>#VALUE!</v>
      </c>
    </row>
    <row r="1019" spans="1:17" ht="15" customHeight="1" x14ac:dyDescent="0.25">
      <c r="A1019" s="244"/>
      <c r="B1019" s="244"/>
      <c r="C1019" s="244"/>
      <c r="D1019" s="244"/>
      <c r="E1019" s="244"/>
      <c r="F1019" s="244"/>
      <c r="G1019" s="244"/>
      <c r="I1019" s="244"/>
      <c r="J1019" s="244"/>
      <c r="K1019" s="246" t="e">
        <f t="shared" si="105"/>
        <v>#VALUE!</v>
      </c>
      <c r="L1019" s="246" t="e">
        <f t="shared" si="106"/>
        <v>#VALUE!</v>
      </c>
      <c r="M1019" s="247" t="e">
        <f t="shared" si="107"/>
        <v>#VALUE!</v>
      </c>
      <c r="N1019" s="246" t="e">
        <f t="shared" si="108"/>
        <v>#VALUE!</v>
      </c>
      <c r="O1019" s="247" t="e">
        <f t="shared" si="109"/>
        <v>#VALUE!</v>
      </c>
      <c r="P1019" s="247">
        <f t="shared" si="110"/>
        <v>0</v>
      </c>
      <c r="Q1019" s="247" t="e">
        <f t="shared" si="111"/>
        <v>#VALUE!</v>
      </c>
    </row>
    <row r="1020" spans="1:17" ht="15" customHeight="1" x14ac:dyDescent="0.25">
      <c r="A1020" s="244"/>
      <c r="B1020" s="244"/>
      <c r="C1020" s="244"/>
      <c r="D1020" s="244"/>
      <c r="E1020" s="244"/>
      <c r="F1020" s="244"/>
      <c r="G1020" s="244"/>
      <c r="I1020" s="244"/>
      <c r="J1020" s="244"/>
      <c r="K1020" s="246" t="e">
        <f t="shared" si="105"/>
        <v>#VALUE!</v>
      </c>
      <c r="L1020" s="246" t="e">
        <f t="shared" si="106"/>
        <v>#VALUE!</v>
      </c>
      <c r="M1020" s="247" t="e">
        <f t="shared" si="107"/>
        <v>#VALUE!</v>
      </c>
      <c r="N1020" s="246" t="e">
        <f t="shared" si="108"/>
        <v>#VALUE!</v>
      </c>
      <c r="O1020" s="247" t="e">
        <f t="shared" si="109"/>
        <v>#VALUE!</v>
      </c>
      <c r="P1020" s="247">
        <f t="shared" si="110"/>
        <v>0</v>
      </c>
      <c r="Q1020" s="247" t="e">
        <f t="shared" si="111"/>
        <v>#VALUE!</v>
      </c>
    </row>
    <row r="1021" spans="1:17" ht="15" customHeight="1" x14ac:dyDescent="0.25">
      <c r="A1021" s="244"/>
      <c r="B1021" s="244"/>
      <c r="C1021" s="244"/>
      <c r="D1021" s="244"/>
      <c r="E1021" s="244"/>
      <c r="F1021" s="244"/>
      <c r="G1021" s="244"/>
      <c r="I1021" s="244"/>
      <c r="J1021" s="244"/>
      <c r="K1021" s="246" t="e">
        <f t="shared" si="105"/>
        <v>#VALUE!</v>
      </c>
      <c r="L1021" s="246" t="e">
        <f t="shared" si="106"/>
        <v>#VALUE!</v>
      </c>
      <c r="M1021" s="247" t="e">
        <f t="shared" si="107"/>
        <v>#VALUE!</v>
      </c>
      <c r="N1021" s="246" t="e">
        <f t="shared" si="108"/>
        <v>#VALUE!</v>
      </c>
      <c r="O1021" s="247" t="e">
        <f t="shared" si="109"/>
        <v>#VALUE!</v>
      </c>
      <c r="P1021" s="247">
        <f t="shared" si="110"/>
        <v>0</v>
      </c>
      <c r="Q1021" s="247" t="e">
        <f t="shared" si="111"/>
        <v>#VALUE!</v>
      </c>
    </row>
    <row r="1022" spans="1:17" ht="15" customHeight="1" x14ac:dyDescent="0.25">
      <c r="A1022" s="244"/>
      <c r="B1022" s="244"/>
      <c r="C1022" s="244"/>
      <c r="D1022" s="244"/>
      <c r="E1022" s="244"/>
      <c r="F1022" s="244"/>
      <c r="G1022" s="244"/>
      <c r="I1022" s="244"/>
      <c r="J1022" s="244"/>
      <c r="K1022" s="246" t="e">
        <f t="shared" si="105"/>
        <v>#VALUE!</v>
      </c>
      <c r="L1022" s="246" t="e">
        <f t="shared" si="106"/>
        <v>#VALUE!</v>
      </c>
      <c r="M1022" s="247" t="e">
        <f t="shared" si="107"/>
        <v>#VALUE!</v>
      </c>
      <c r="N1022" s="246" t="e">
        <f t="shared" si="108"/>
        <v>#VALUE!</v>
      </c>
      <c r="O1022" s="247" t="e">
        <f t="shared" si="109"/>
        <v>#VALUE!</v>
      </c>
      <c r="P1022" s="247">
        <f t="shared" si="110"/>
        <v>0</v>
      </c>
      <c r="Q1022" s="247" t="e">
        <f t="shared" si="111"/>
        <v>#VALUE!</v>
      </c>
    </row>
    <row r="1023" spans="1:17" ht="15" customHeight="1" x14ac:dyDescent="0.25">
      <c r="A1023" s="244"/>
      <c r="B1023" s="244"/>
      <c r="C1023" s="244"/>
      <c r="D1023" s="244"/>
      <c r="E1023" s="244"/>
      <c r="F1023" s="244"/>
      <c r="G1023" s="244"/>
      <c r="I1023" s="244"/>
      <c r="J1023" s="244"/>
      <c r="K1023" s="246" t="e">
        <f t="shared" si="105"/>
        <v>#VALUE!</v>
      </c>
      <c r="L1023" s="246" t="e">
        <f t="shared" si="106"/>
        <v>#VALUE!</v>
      </c>
      <c r="M1023" s="247" t="e">
        <f t="shared" si="107"/>
        <v>#VALUE!</v>
      </c>
      <c r="N1023" s="246" t="e">
        <f t="shared" si="108"/>
        <v>#VALUE!</v>
      </c>
      <c r="O1023" s="247" t="e">
        <f t="shared" si="109"/>
        <v>#VALUE!</v>
      </c>
      <c r="P1023" s="247">
        <f t="shared" si="110"/>
        <v>0</v>
      </c>
      <c r="Q1023" s="247" t="e">
        <f t="shared" si="111"/>
        <v>#VALUE!</v>
      </c>
    </row>
    <row r="1024" spans="1:17" ht="15" customHeight="1" x14ac:dyDescent="0.25">
      <c r="A1024" s="244"/>
      <c r="B1024" s="244"/>
      <c r="C1024" s="244"/>
      <c r="D1024" s="244"/>
      <c r="E1024" s="244"/>
      <c r="F1024" s="244"/>
      <c r="G1024" s="244"/>
      <c r="I1024" s="244"/>
      <c r="J1024" s="244"/>
      <c r="K1024" s="246" t="e">
        <f t="shared" si="105"/>
        <v>#VALUE!</v>
      </c>
      <c r="L1024" s="246" t="e">
        <f t="shared" si="106"/>
        <v>#VALUE!</v>
      </c>
      <c r="M1024" s="247" t="e">
        <f t="shared" si="107"/>
        <v>#VALUE!</v>
      </c>
      <c r="N1024" s="246" t="e">
        <f t="shared" si="108"/>
        <v>#VALUE!</v>
      </c>
      <c r="O1024" s="247" t="e">
        <f t="shared" si="109"/>
        <v>#VALUE!</v>
      </c>
      <c r="P1024" s="247">
        <f t="shared" si="110"/>
        <v>0</v>
      </c>
      <c r="Q1024" s="247" t="e">
        <f t="shared" si="111"/>
        <v>#VALUE!</v>
      </c>
    </row>
    <row r="1025" spans="1:17" ht="15" customHeight="1" x14ac:dyDescent="0.25">
      <c r="A1025" s="244"/>
      <c r="B1025" s="244"/>
      <c r="C1025" s="244"/>
      <c r="D1025" s="244"/>
      <c r="E1025" s="244"/>
      <c r="F1025" s="244"/>
      <c r="G1025" s="244"/>
      <c r="I1025" s="244"/>
      <c r="J1025" s="244"/>
      <c r="K1025" s="246" t="e">
        <f t="shared" si="105"/>
        <v>#VALUE!</v>
      </c>
      <c r="L1025" s="246" t="e">
        <f t="shared" si="106"/>
        <v>#VALUE!</v>
      </c>
      <c r="M1025" s="247" t="e">
        <f t="shared" si="107"/>
        <v>#VALUE!</v>
      </c>
      <c r="N1025" s="246" t="e">
        <f t="shared" si="108"/>
        <v>#VALUE!</v>
      </c>
      <c r="O1025" s="247" t="e">
        <f t="shared" si="109"/>
        <v>#VALUE!</v>
      </c>
      <c r="P1025" s="247">
        <f t="shared" si="110"/>
        <v>0</v>
      </c>
      <c r="Q1025" s="247" t="e">
        <f t="shared" si="111"/>
        <v>#VALUE!</v>
      </c>
    </row>
    <row r="1026" spans="1:17" ht="15" customHeight="1" x14ac:dyDescent="0.25">
      <c r="A1026" s="244"/>
      <c r="B1026" s="244"/>
      <c r="C1026" s="244"/>
      <c r="D1026" s="244"/>
      <c r="E1026" s="244"/>
      <c r="F1026" s="244"/>
      <c r="G1026" s="244"/>
      <c r="I1026" s="244"/>
      <c r="J1026" s="244"/>
      <c r="K1026" s="246" t="e">
        <f t="shared" ref="K1026:K1089" si="112">DATE(VALUE(LEFT(A1026,4)),VALUE(MID(A1026,5,2)),VALUE(RIGHT(A1026,2)))</f>
        <v>#VALUE!</v>
      </c>
      <c r="L1026" s="246" t="e">
        <f t="shared" ref="L1026:L1089" si="113">DATEVALUE(LEFT(F1026,10))</f>
        <v>#VALUE!</v>
      </c>
      <c r="M1026" s="247" t="e">
        <f t="shared" ref="M1026:M1089" si="114">TIMEVALUE(MID(F1026,12,8))</f>
        <v>#VALUE!</v>
      </c>
      <c r="N1026" s="246" t="e">
        <f t="shared" ref="N1026:N1089" si="115">DATEVALUE(LEFT(G1026,10))</f>
        <v>#VALUE!</v>
      </c>
      <c r="O1026" s="247" t="e">
        <f t="shared" ref="O1026:O1089" si="116">TIMEVALUE(MID(G1026,12,8))</f>
        <v>#VALUE!</v>
      </c>
      <c r="P1026" s="247">
        <f t="shared" ref="P1026:P1089" si="117">IFERROR(_xlfn.MINIFS($M:$M,$E:$E,$E1026,$K:$K,$K1026,$M:$M,"&gt;"&amp;$O1026),"")</f>
        <v>0</v>
      </c>
      <c r="Q1026" s="247" t="e">
        <f t="shared" ref="Q1026:Q1089" si="118">IF($P1026="","",$P1026-$O1026)</f>
        <v>#VALUE!</v>
      </c>
    </row>
    <row r="1027" spans="1:17" ht="15" customHeight="1" x14ac:dyDescent="0.25">
      <c r="A1027" s="244"/>
      <c r="B1027" s="244"/>
      <c r="C1027" s="244"/>
      <c r="D1027" s="244"/>
      <c r="E1027" s="244"/>
      <c r="F1027" s="244"/>
      <c r="G1027" s="244"/>
      <c r="I1027" s="244"/>
      <c r="J1027" s="244"/>
      <c r="K1027" s="246" t="e">
        <f t="shared" si="112"/>
        <v>#VALUE!</v>
      </c>
      <c r="L1027" s="246" t="e">
        <f t="shared" si="113"/>
        <v>#VALUE!</v>
      </c>
      <c r="M1027" s="247" t="e">
        <f t="shared" si="114"/>
        <v>#VALUE!</v>
      </c>
      <c r="N1027" s="246" t="e">
        <f t="shared" si="115"/>
        <v>#VALUE!</v>
      </c>
      <c r="O1027" s="247" t="e">
        <f t="shared" si="116"/>
        <v>#VALUE!</v>
      </c>
      <c r="P1027" s="247">
        <f t="shared" si="117"/>
        <v>0</v>
      </c>
      <c r="Q1027" s="247" t="e">
        <f t="shared" si="118"/>
        <v>#VALUE!</v>
      </c>
    </row>
    <row r="1028" spans="1:17" ht="15" customHeight="1" x14ac:dyDescent="0.25">
      <c r="A1028" s="244"/>
      <c r="B1028" s="244"/>
      <c r="C1028" s="244"/>
      <c r="D1028" s="244"/>
      <c r="E1028" s="244"/>
      <c r="F1028" s="244"/>
      <c r="G1028" s="244"/>
      <c r="I1028" s="244"/>
      <c r="J1028" s="244"/>
      <c r="K1028" s="246" t="e">
        <f t="shared" si="112"/>
        <v>#VALUE!</v>
      </c>
      <c r="L1028" s="246" t="e">
        <f t="shared" si="113"/>
        <v>#VALUE!</v>
      </c>
      <c r="M1028" s="247" t="e">
        <f t="shared" si="114"/>
        <v>#VALUE!</v>
      </c>
      <c r="N1028" s="246" t="e">
        <f t="shared" si="115"/>
        <v>#VALUE!</v>
      </c>
      <c r="O1028" s="247" t="e">
        <f t="shared" si="116"/>
        <v>#VALUE!</v>
      </c>
      <c r="P1028" s="247">
        <f t="shared" si="117"/>
        <v>0</v>
      </c>
      <c r="Q1028" s="247" t="e">
        <f t="shared" si="118"/>
        <v>#VALUE!</v>
      </c>
    </row>
    <row r="1029" spans="1:17" ht="15" customHeight="1" x14ac:dyDescent="0.25">
      <c r="A1029" s="244"/>
      <c r="B1029" s="244"/>
      <c r="C1029" s="244"/>
      <c r="D1029" s="244"/>
      <c r="E1029" s="244"/>
      <c r="F1029" s="244"/>
      <c r="G1029" s="244"/>
      <c r="I1029" s="244"/>
      <c r="J1029" s="244"/>
      <c r="K1029" s="246" t="e">
        <f t="shared" si="112"/>
        <v>#VALUE!</v>
      </c>
      <c r="L1029" s="246" t="e">
        <f t="shared" si="113"/>
        <v>#VALUE!</v>
      </c>
      <c r="M1029" s="247" t="e">
        <f t="shared" si="114"/>
        <v>#VALUE!</v>
      </c>
      <c r="N1029" s="246" t="e">
        <f t="shared" si="115"/>
        <v>#VALUE!</v>
      </c>
      <c r="O1029" s="247" t="e">
        <f t="shared" si="116"/>
        <v>#VALUE!</v>
      </c>
      <c r="P1029" s="247">
        <f t="shared" si="117"/>
        <v>0</v>
      </c>
      <c r="Q1029" s="247" t="e">
        <f t="shared" si="118"/>
        <v>#VALUE!</v>
      </c>
    </row>
    <row r="1030" spans="1:17" ht="15" customHeight="1" x14ac:dyDescent="0.25">
      <c r="A1030" s="244"/>
      <c r="B1030" s="244"/>
      <c r="C1030" s="244"/>
      <c r="D1030" s="244"/>
      <c r="E1030" s="244"/>
      <c r="F1030" s="244"/>
      <c r="G1030" s="244"/>
      <c r="I1030" s="244"/>
      <c r="J1030" s="244"/>
      <c r="K1030" s="246" t="e">
        <f t="shared" si="112"/>
        <v>#VALUE!</v>
      </c>
      <c r="L1030" s="246" t="e">
        <f t="shared" si="113"/>
        <v>#VALUE!</v>
      </c>
      <c r="M1030" s="247" t="e">
        <f t="shared" si="114"/>
        <v>#VALUE!</v>
      </c>
      <c r="N1030" s="246" t="e">
        <f t="shared" si="115"/>
        <v>#VALUE!</v>
      </c>
      <c r="O1030" s="247" t="e">
        <f t="shared" si="116"/>
        <v>#VALUE!</v>
      </c>
      <c r="P1030" s="247">
        <f t="shared" si="117"/>
        <v>0</v>
      </c>
      <c r="Q1030" s="247" t="e">
        <f t="shared" si="118"/>
        <v>#VALUE!</v>
      </c>
    </row>
    <row r="1031" spans="1:17" ht="15" customHeight="1" x14ac:dyDescent="0.25">
      <c r="A1031" s="244"/>
      <c r="B1031" s="244"/>
      <c r="C1031" s="244"/>
      <c r="D1031" s="244"/>
      <c r="E1031" s="244"/>
      <c r="F1031" s="244"/>
      <c r="G1031" s="244"/>
      <c r="I1031" s="244"/>
      <c r="J1031" s="244"/>
      <c r="K1031" s="246" t="e">
        <f t="shared" si="112"/>
        <v>#VALUE!</v>
      </c>
      <c r="L1031" s="246" t="e">
        <f t="shared" si="113"/>
        <v>#VALUE!</v>
      </c>
      <c r="M1031" s="247" t="e">
        <f t="shared" si="114"/>
        <v>#VALUE!</v>
      </c>
      <c r="N1031" s="246" t="e">
        <f t="shared" si="115"/>
        <v>#VALUE!</v>
      </c>
      <c r="O1031" s="247" t="e">
        <f t="shared" si="116"/>
        <v>#VALUE!</v>
      </c>
      <c r="P1031" s="247">
        <f t="shared" si="117"/>
        <v>0</v>
      </c>
      <c r="Q1031" s="247" t="e">
        <f t="shared" si="118"/>
        <v>#VALUE!</v>
      </c>
    </row>
    <row r="1032" spans="1:17" ht="15" customHeight="1" x14ac:dyDescent="0.25">
      <c r="A1032" s="244"/>
      <c r="B1032" s="244"/>
      <c r="C1032" s="244"/>
      <c r="D1032" s="244"/>
      <c r="E1032" s="244"/>
      <c r="F1032" s="244"/>
      <c r="G1032" s="244"/>
      <c r="I1032" s="244"/>
      <c r="J1032" s="244"/>
      <c r="K1032" s="246" t="e">
        <f t="shared" si="112"/>
        <v>#VALUE!</v>
      </c>
      <c r="L1032" s="246" t="e">
        <f t="shared" si="113"/>
        <v>#VALUE!</v>
      </c>
      <c r="M1032" s="247" t="e">
        <f t="shared" si="114"/>
        <v>#VALUE!</v>
      </c>
      <c r="N1032" s="246" t="e">
        <f t="shared" si="115"/>
        <v>#VALUE!</v>
      </c>
      <c r="O1032" s="247" t="e">
        <f t="shared" si="116"/>
        <v>#VALUE!</v>
      </c>
      <c r="P1032" s="247">
        <f t="shared" si="117"/>
        <v>0</v>
      </c>
      <c r="Q1032" s="247" t="e">
        <f t="shared" si="118"/>
        <v>#VALUE!</v>
      </c>
    </row>
    <row r="1033" spans="1:17" ht="15" customHeight="1" x14ac:dyDescent="0.25">
      <c r="A1033" s="244"/>
      <c r="B1033" s="244"/>
      <c r="C1033" s="244"/>
      <c r="D1033" s="244"/>
      <c r="E1033" s="244"/>
      <c r="F1033" s="244"/>
      <c r="G1033" s="244"/>
      <c r="I1033" s="244"/>
      <c r="J1033" s="244"/>
      <c r="K1033" s="246" t="e">
        <f t="shared" si="112"/>
        <v>#VALUE!</v>
      </c>
      <c r="L1033" s="246" t="e">
        <f t="shared" si="113"/>
        <v>#VALUE!</v>
      </c>
      <c r="M1033" s="247" t="e">
        <f t="shared" si="114"/>
        <v>#VALUE!</v>
      </c>
      <c r="N1033" s="246" t="e">
        <f t="shared" si="115"/>
        <v>#VALUE!</v>
      </c>
      <c r="O1033" s="247" t="e">
        <f t="shared" si="116"/>
        <v>#VALUE!</v>
      </c>
      <c r="P1033" s="247">
        <f t="shared" si="117"/>
        <v>0</v>
      </c>
      <c r="Q1033" s="247" t="e">
        <f t="shared" si="118"/>
        <v>#VALUE!</v>
      </c>
    </row>
    <row r="1034" spans="1:17" ht="15" customHeight="1" x14ac:dyDescent="0.25">
      <c r="A1034" s="244"/>
      <c r="B1034" s="244"/>
      <c r="C1034" s="244"/>
      <c r="D1034" s="244"/>
      <c r="E1034" s="244"/>
      <c r="F1034" s="244"/>
      <c r="G1034" s="244"/>
      <c r="I1034" s="244"/>
      <c r="J1034" s="244"/>
      <c r="K1034" s="246" t="e">
        <f t="shared" si="112"/>
        <v>#VALUE!</v>
      </c>
      <c r="L1034" s="246" t="e">
        <f t="shared" si="113"/>
        <v>#VALUE!</v>
      </c>
      <c r="M1034" s="247" t="e">
        <f t="shared" si="114"/>
        <v>#VALUE!</v>
      </c>
      <c r="N1034" s="246" t="e">
        <f t="shared" si="115"/>
        <v>#VALUE!</v>
      </c>
      <c r="O1034" s="247" t="e">
        <f t="shared" si="116"/>
        <v>#VALUE!</v>
      </c>
      <c r="P1034" s="247">
        <f t="shared" si="117"/>
        <v>0</v>
      </c>
      <c r="Q1034" s="247" t="e">
        <f t="shared" si="118"/>
        <v>#VALUE!</v>
      </c>
    </row>
    <row r="1035" spans="1:17" ht="15" customHeight="1" x14ac:dyDescent="0.25">
      <c r="A1035" s="244"/>
      <c r="B1035" s="244"/>
      <c r="C1035" s="244"/>
      <c r="D1035" s="244"/>
      <c r="E1035" s="244"/>
      <c r="F1035" s="244"/>
      <c r="G1035" s="244"/>
      <c r="I1035" s="244"/>
      <c r="J1035" s="244"/>
      <c r="K1035" s="246" t="e">
        <f t="shared" si="112"/>
        <v>#VALUE!</v>
      </c>
      <c r="L1035" s="246" t="e">
        <f t="shared" si="113"/>
        <v>#VALUE!</v>
      </c>
      <c r="M1035" s="247" t="e">
        <f t="shared" si="114"/>
        <v>#VALUE!</v>
      </c>
      <c r="N1035" s="246" t="e">
        <f t="shared" si="115"/>
        <v>#VALUE!</v>
      </c>
      <c r="O1035" s="247" t="e">
        <f t="shared" si="116"/>
        <v>#VALUE!</v>
      </c>
      <c r="P1035" s="247">
        <f t="shared" si="117"/>
        <v>0</v>
      </c>
      <c r="Q1035" s="247" t="e">
        <f t="shared" si="118"/>
        <v>#VALUE!</v>
      </c>
    </row>
    <row r="1036" spans="1:17" ht="15" customHeight="1" x14ac:dyDescent="0.25">
      <c r="A1036" s="244"/>
      <c r="B1036" s="244"/>
      <c r="C1036" s="244"/>
      <c r="D1036" s="244"/>
      <c r="E1036" s="244"/>
      <c r="F1036" s="244"/>
      <c r="G1036" s="244"/>
      <c r="I1036" s="244"/>
      <c r="J1036" s="244"/>
      <c r="K1036" s="246" t="e">
        <f t="shared" si="112"/>
        <v>#VALUE!</v>
      </c>
      <c r="L1036" s="246" t="e">
        <f t="shared" si="113"/>
        <v>#VALUE!</v>
      </c>
      <c r="M1036" s="247" t="e">
        <f t="shared" si="114"/>
        <v>#VALUE!</v>
      </c>
      <c r="N1036" s="246" t="e">
        <f t="shared" si="115"/>
        <v>#VALUE!</v>
      </c>
      <c r="O1036" s="247" t="e">
        <f t="shared" si="116"/>
        <v>#VALUE!</v>
      </c>
      <c r="P1036" s="247">
        <f t="shared" si="117"/>
        <v>0</v>
      </c>
      <c r="Q1036" s="247" t="e">
        <f t="shared" si="118"/>
        <v>#VALUE!</v>
      </c>
    </row>
    <row r="1037" spans="1:17" ht="15" customHeight="1" x14ac:dyDescent="0.25">
      <c r="A1037" s="244"/>
      <c r="B1037" s="244"/>
      <c r="C1037" s="244"/>
      <c r="D1037" s="244"/>
      <c r="E1037" s="244"/>
      <c r="F1037" s="244"/>
      <c r="G1037" s="244"/>
      <c r="I1037" s="244"/>
      <c r="J1037" s="244"/>
      <c r="K1037" s="246" t="e">
        <f t="shared" si="112"/>
        <v>#VALUE!</v>
      </c>
      <c r="L1037" s="246" t="e">
        <f t="shared" si="113"/>
        <v>#VALUE!</v>
      </c>
      <c r="M1037" s="247" t="e">
        <f t="shared" si="114"/>
        <v>#VALUE!</v>
      </c>
      <c r="N1037" s="246" t="e">
        <f t="shared" si="115"/>
        <v>#VALUE!</v>
      </c>
      <c r="O1037" s="247" t="e">
        <f t="shared" si="116"/>
        <v>#VALUE!</v>
      </c>
      <c r="P1037" s="247">
        <f t="shared" si="117"/>
        <v>0</v>
      </c>
      <c r="Q1037" s="247" t="e">
        <f t="shared" si="118"/>
        <v>#VALUE!</v>
      </c>
    </row>
    <row r="1038" spans="1:17" ht="15" customHeight="1" x14ac:dyDescent="0.25">
      <c r="A1038" s="244"/>
      <c r="B1038" s="244"/>
      <c r="C1038" s="244"/>
      <c r="D1038" s="244"/>
      <c r="E1038" s="244"/>
      <c r="F1038" s="244"/>
      <c r="G1038" s="244"/>
      <c r="I1038" s="244"/>
      <c r="J1038" s="244"/>
      <c r="K1038" s="246" t="e">
        <f t="shared" si="112"/>
        <v>#VALUE!</v>
      </c>
      <c r="L1038" s="246" t="e">
        <f t="shared" si="113"/>
        <v>#VALUE!</v>
      </c>
      <c r="M1038" s="247" t="e">
        <f t="shared" si="114"/>
        <v>#VALUE!</v>
      </c>
      <c r="N1038" s="246" t="e">
        <f t="shared" si="115"/>
        <v>#VALUE!</v>
      </c>
      <c r="O1038" s="247" t="e">
        <f t="shared" si="116"/>
        <v>#VALUE!</v>
      </c>
      <c r="P1038" s="247">
        <f t="shared" si="117"/>
        <v>0</v>
      </c>
      <c r="Q1038" s="247" t="e">
        <f t="shared" si="118"/>
        <v>#VALUE!</v>
      </c>
    </row>
    <row r="1039" spans="1:17" ht="15" customHeight="1" x14ac:dyDescent="0.25">
      <c r="A1039" s="244"/>
      <c r="B1039" s="244"/>
      <c r="C1039" s="244"/>
      <c r="D1039" s="244"/>
      <c r="E1039" s="244"/>
      <c r="F1039" s="244"/>
      <c r="G1039" s="244"/>
      <c r="I1039" s="244"/>
      <c r="J1039" s="244"/>
      <c r="K1039" s="246" t="e">
        <f t="shared" si="112"/>
        <v>#VALUE!</v>
      </c>
      <c r="L1039" s="246" t="e">
        <f t="shared" si="113"/>
        <v>#VALUE!</v>
      </c>
      <c r="M1039" s="247" t="e">
        <f t="shared" si="114"/>
        <v>#VALUE!</v>
      </c>
      <c r="N1039" s="246" t="e">
        <f t="shared" si="115"/>
        <v>#VALUE!</v>
      </c>
      <c r="O1039" s="247" t="e">
        <f t="shared" si="116"/>
        <v>#VALUE!</v>
      </c>
      <c r="P1039" s="247">
        <f t="shared" si="117"/>
        <v>0</v>
      </c>
      <c r="Q1039" s="247" t="e">
        <f t="shared" si="118"/>
        <v>#VALUE!</v>
      </c>
    </row>
    <row r="1040" spans="1:17" ht="15" customHeight="1" x14ac:dyDescent="0.25">
      <c r="A1040" s="244"/>
      <c r="B1040" s="244"/>
      <c r="C1040" s="244"/>
      <c r="D1040" s="244"/>
      <c r="E1040" s="244"/>
      <c r="F1040" s="244"/>
      <c r="G1040" s="244"/>
      <c r="I1040" s="244"/>
      <c r="J1040" s="244"/>
      <c r="K1040" s="246" t="e">
        <f t="shared" si="112"/>
        <v>#VALUE!</v>
      </c>
      <c r="L1040" s="246" t="e">
        <f t="shared" si="113"/>
        <v>#VALUE!</v>
      </c>
      <c r="M1040" s="247" t="e">
        <f t="shared" si="114"/>
        <v>#VALUE!</v>
      </c>
      <c r="N1040" s="246" t="e">
        <f t="shared" si="115"/>
        <v>#VALUE!</v>
      </c>
      <c r="O1040" s="247" t="e">
        <f t="shared" si="116"/>
        <v>#VALUE!</v>
      </c>
      <c r="P1040" s="247">
        <f t="shared" si="117"/>
        <v>0</v>
      </c>
      <c r="Q1040" s="247" t="e">
        <f t="shared" si="118"/>
        <v>#VALUE!</v>
      </c>
    </row>
    <row r="1041" spans="1:17" ht="15" customHeight="1" x14ac:dyDescent="0.25">
      <c r="A1041" s="244"/>
      <c r="B1041" s="244"/>
      <c r="C1041" s="244"/>
      <c r="D1041" s="244"/>
      <c r="E1041" s="244"/>
      <c r="F1041" s="244"/>
      <c r="G1041" s="244"/>
      <c r="I1041" s="244"/>
      <c r="J1041" s="244"/>
      <c r="K1041" s="246" t="e">
        <f t="shared" si="112"/>
        <v>#VALUE!</v>
      </c>
      <c r="L1041" s="246" t="e">
        <f t="shared" si="113"/>
        <v>#VALUE!</v>
      </c>
      <c r="M1041" s="247" t="e">
        <f t="shared" si="114"/>
        <v>#VALUE!</v>
      </c>
      <c r="N1041" s="246" t="e">
        <f t="shared" si="115"/>
        <v>#VALUE!</v>
      </c>
      <c r="O1041" s="247" t="e">
        <f t="shared" si="116"/>
        <v>#VALUE!</v>
      </c>
      <c r="P1041" s="247">
        <f t="shared" si="117"/>
        <v>0</v>
      </c>
      <c r="Q1041" s="247" t="e">
        <f t="shared" si="118"/>
        <v>#VALUE!</v>
      </c>
    </row>
    <row r="1042" spans="1:17" ht="15" customHeight="1" x14ac:dyDescent="0.25">
      <c r="A1042" s="244"/>
      <c r="B1042" s="244"/>
      <c r="C1042" s="244"/>
      <c r="D1042" s="244"/>
      <c r="E1042" s="244"/>
      <c r="F1042" s="244"/>
      <c r="G1042" s="244"/>
      <c r="I1042" s="244"/>
      <c r="J1042" s="244"/>
      <c r="K1042" s="246" t="e">
        <f t="shared" si="112"/>
        <v>#VALUE!</v>
      </c>
      <c r="L1042" s="246" t="e">
        <f t="shared" si="113"/>
        <v>#VALUE!</v>
      </c>
      <c r="M1042" s="247" t="e">
        <f t="shared" si="114"/>
        <v>#VALUE!</v>
      </c>
      <c r="N1042" s="246" t="e">
        <f t="shared" si="115"/>
        <v>#VALUE!</v>
      </c>
      <c r="O1042" s="247" t="e">
        <f t="shared" si="116"/>
        <v>#VALUE!</v>
      </c>
      <c r="P1042" s="247">
        <f t="shared" si="117"/>
        <v>0</v>
      </c>
      <c r="Q1042" s="247" t="e">
        <f t="shared" si="118"/>
        <v>#VALUE!</v>
      </c>
    </row>
    <row r="1043" spans="1:17" ht="15" customHeight="1" x14ac:dyDescent="0.25">
      <c r="A1043" s="244"/>
      <c r="B1043" s="244"/>
      <c r="C1043" s="244"/>
      <c r="D1043" s="244"/>
      <c r="E1043" s="244"/>
      <c r="F1043" s="244"/>
      <c r="G1043" s="244"/>
      <c r="I1043" s="244"/>
      <c r="J1043" s="244"/>
      <c r="K1043" s="246" t="e">
        <f t="shared" si="112"/>
        <v>#VALUE!</v>
      </c>
      <c r="L1043" s="246" t="e">
        <f t="shared" si="113"/>
        <v>#VALUE!</v>
      </c>
      <c r="M1043" s="247" t="e">
        <f t="shared" si="114"/>
        <v>#VALUE!</v>
      </c>
      <c r="N1043" s="246" t="e">
        <f t="shared" si="115"/>
        <v>#VALUE!</v>
      </c>
      <c r="O1043" s="247" t="e">
        <f t="shared" si="116"/>
        <v>#VALUE!</v>
      </c>
      <c r="P1043" s="247">
        <f t="shared" si="117"/>
        <v>0</v>
      </c>
      <c r="Q1043" s="247" t="e">
        <f t="shared" si="118"/>
        <v>#VALUE!</v>
      </c>
    </row>
    <row r="1044" spans="1:17" ht="15" customHeight="1" x14ac:dyDescent="0.25">
      <c r="A1044" s="244"/>
      <c r="B1044" s="244"/>
      <c r="C1044" s="244"/>
      <c r="D1044" s="244"/>
      <c r="E1044" s="244"/>
      <c r="F1044" s="244"/>
      <c r="G1044" s="244"/>
      <c r="I1044" s="244"/>
      <c r="J1044" s="244"/>
      <c r="K1044" s="246" t="e">
        <f t="shared" si="112"/>
        <v>#VALUE!</v>
      </c>
      <c r="L1044" s="246" t="e">
        <f t="shared" si="113"/>
        <v>#VALUE!</v>
      </c>
      <c r="M1044" s="247" t="e">
        <f t="shared" si="114"/>
        <v>#VALUE!</v>
      </c>
      <c r="N1044" s="246" t="e">
        <f t="shared" si="115"/>
        <v>#VALUE!</v>
      </c>
      <c r="O1044" s="247" t="e">
        <f t="shared" si="116"/>
        <v>#VALUE!</v>
      </c>
      <c r="P1044" s="247">
        <f t="shared" si="117"/>
        <v>0</v>
      </c>
      <c r="Q1044" s="247" t="e">
        <f t="shared" si="118"/>
        <v>#VALUE!</v>
      </c>
    </row>
    <row r="1045" spans="1:17" ht="15" customHeight="1" x14ac:dyDescent="0.25">
      <c r="A1045" s="244"/>
      <c r="B1045" s="244"/>
      <c r="C1045" s="244"/>
      <c r="D1045" s="244"/>
      <c r="E1045" s="244"/>
      <c r="F1045" s="244"/>
      <c r="G1045" s="244"/>
      <c r="I1045" s="244"/>
      <c r="J1045" s="244"/>
      <c r="K1045" s="246" t="e">
        <f t="shared" si="112"/>
        <v>#VALUE!</v>
      </c>
      <c r="L1045" s="246" t="e">
        <f t="shared" si="113"/>
        <v>#VALUE!</v>
      </c>
      <c r="M1045" s="247" t="e">
        <f t="shared" si="114"/>
        <v>#VALUE!</v>
      </c>
      <c r="N1045" s="246" t="e">
        <f t="shared" si="115"/>
        <v>#VALUE!</v>
      </c>
      <c r="O1045" s="247" t="e">
        <f t="shared" si="116"/>
        <v>#VALUE!</v>
      </c>
      <c r="P1045" s="247">
        <f t="shared" si="117"/>
        <v>0</v>
      </c>
      <c r="Q1045" s="247" t="e">
        <f t="shared" si="118"/>
        <v>#VALUE!</v>
      </c>
    </row>
    <row r="1046" spans="1:17" ht="15" customHeight="1" x14ac:dyDescent="0.25">
      <c r="A1046" s="244"/>
      <c r="B1046" s="244"/>
      <c r="C1046" s="244"/>
      <c r="D1046" s="244"/>
      <c r="E1046" s="244"/>
      <c r="F1046" s="244"/>
      <c r="G1046" s="244"/>
      <c r="I1046" s="244"/>
      <c r="J1046" s="244"/>
      <c r="K1046" s="246" t="e">
        <f t="shared" si="112"/>
        <v>#VALUE!</v>
      </c>
      <c r="L1046" s="246" t="e">
        <f t="shared" si="113"/>
        <v>#VALUE!</v>
      </c>
      <c r="M1046" s="247" t="e">
        <f t="shared" si="114"/>
        <v>#VALUE!</v>
      </c>
      <c r="N1046" s="246" t="e">
        <f t="shared" si="115"/>
        <v>#VALUE!</v>
      </c>
      <c r="O1046" s="247" t="e">
        <f t="shared" si="116"/>
        <v>#VALUE!</v>
      </c>
      <c r="P1046" s="247">
        <f t="shared" si="117"/>
        <v>0</v>
      </c>
      <c r="Q1046" s="247" t="e">
        <f t="shared" si="118"/>
        <v>#VALUE!</v>
      </c>
    </row>
    <row r="1047" spans="1:17" ht="15" customHeight="1" x14ac:dyDescent="0.25">
      <c r="A1047" s="244"/>
      <c r="B1047" s="244"/>
      <c r="C1047" s="244"/>
      <c r="D1047" s="244"/>
      <c r="E1047" s="244"/>
      <c r="F1047" s="244"/>
      <c r="G1047" s="244"/>
      <c r="I1047" s="244"/>
      <c r="J1047" s="244"/>
      <c r="K1047" s="246" t="e">
        <f t="shared" si="112"/>
        <v>#VALUE!</v>
      </c>
      <c r="L1047" s="246" t="e">
        <f t="shared" si="113"/>
        <v>#VALUE!</v>
      </c>
      <c r="M1047" s="247" t="e">
        <f t="shared" si="114"/>
        <v>#VALUE!</v>
      </c>
      <c r="N1047" s="246" t="e">
        <f t="shared" si="115"/>
        <v>#VALUE!</v>
      </c>
      <c r="O1047" s="247" t="e">
        <f t="shared" si="116"/>
        <v>#VALUE!</v>
      </c>
      <c r="P1047" s="247">
        <f t="shared" si="117"/>
        <v>0</v>
      </c>
      <c r="Q1047" s="247" t="e">
        <f t="shared" si="118"/>
        <v>#VALUE!</v>
      </c>
    </row>
    <row r="1048" spans="1:17" ht="15" customHeight="1" x14ac:dyDescent="0.25">
      <c r="A1048" s="244"/>
      <c r="B1048" s="244"/>
      <c r="C1048" s="244"/>
      <c r="D1048" s="244"/>
      <c r="E1048" s="244"/>
      <c r="F1048" s="244"/>
      <c r="G1048" s="244"/>
      <c r="I1048" s="244"/>
      <c r="J1048" s="244"/>
      <c r="K1048" s="246" t="e">
        <f t="shared" si="112"/>
        <v>#VALUE!</v>
      </c>
      <c r="L1048" s="246" t="e">
        <f t="shared" si="113"/>
        <v>#VALUE!</v>
      </c>
      <c r="M1048" s="247" t="e">
        <f t="shared" si="114"/>
        <v>#VALUE!</v>
      </c>
      <c r="N1048" s="246" t="e">
        <f t="shared" si="115"/>
        <v>#VALUE!</v>
      </c>
      <c r="O1048" s="247" t="e">
        <f t="shared" si="116"/>
        <v>#VALUE!</v>
      </c>
      <c r="P1048" s="247">
        <f t="shared" si="117"/>
        <v>0</v>
      </c>
      <c r="Q1048" s="247" t="e">
        <f t="shared" si="118"/>
        <v>#VALUE!</v>
      </c>
    </row>
    <row r="1049" spans="1:17" ht="15" customHeight="1" x14ac:dyDescent="0.25">
      <c r="A1049" s="244"/>
      <c r="B1049" s="244"/>
      <c r="C1049" s="244"/>
      <c r="D1049" s="244"/>
      <c r="E1049" s="244"/>
      <c r="F1049" s="244"/>
      <c r="G1049" s="244"/>
      <c r="I1049" s="244"/>
      <c r="J1049" s="244"/>
      <c r="K1049" s="246" t="e">
        <f t="shared" si="112"/>
        <v>#VALUE!</v>
      </c>
      <c r="L1049" s="246" t="e">
        <f t="shared" si="113"/>
        <v>#VALUE!</v>
      </c>
      <c r="M1049" s="247" t="e">
        <f t="shared" si="114"/>
        <v>#VALUE!</v>
      </c>
      <c r="N1049" s="246" t="e">
        <f t="shared" si="115"/>
        <v>#VALUE!</v>
      </c>
      <c r="O1049" s="247" t="e">
        <f t="shared" si="116"/>
        <v>#VALUE!</v>
      </c>
      <c r="P1049" s="247">
        <f t="shared" si="117"/>
        <v>0</v>
      </c>
      <c r="Q1049" s="247" t="e">
        <f t="shared" si="118"/>
        <v>#VALUE!</v>
      </c>
    </row>
    <row r="1050" spans="1:17" ht="15" customHeight="1" x14ac:dyDescent="0.25">
      <c r="A1050" s="244"/>
      <c r="B1050" s="244"/>
      <c r="C1050" s="244"/>
      <c r="D1050" s="244"/>
      <c r="E1050" s="244"/>
      <c r="F1050" s="244"/>
      <c r="G1050" s="244"/>
      <c r="I1050" s="244"/>
      <c r="J1050" s="244"/>
      <c r="K1050" s="246" t="e">
        <f t="shared" si="112"/>
        <v>#VALUE!</v>
      </c>
      <c r="L1050" s="246" t="e">
        <f t="shared" si="113"/>
        <v>#VALUE!</v>
      </c>
      <c r="M1050" s="247" t="e">
        <f t="shared" si="114"/>
        <v>#VALUE!</v>
      </c>
      <c r="N1050" s="246" t="e">
        <f t="shared" si="115"/>
        <v>#VALUE!</v>
      </c>
      <c r="O1050" s="247" t="e">
        <f t="shared" si="116"/>
        <v>#VALUE!</v>
      </c>
      <c r="P1050" s="247">
        <f t="shared" si="117"/>
        <v>0</v>
      </c>
      <c r="Q1050" s="247" t="e">
        <f t="shared" si="118"/>
        <v>#VALUE!</v>
      </c>
    </row>
    <row r="1051" spans="1:17" ht="15" customHeight="1" x14ac:dyDescent="0.25">
      <c r="A1051" s="244"/>
      <c r="B1051" s="244"/>
      <c r="C1051" s="244"/>
      <c r="D1051" s="244"/>
      <c r="E1051" s="244"/>
      <c r="F1051" s="244"/>
      <c r="G1051" s="244"/>
      <c r="I1051" s="244"/>
      <c r="J1051" s="244"/>
      <c r="K1051" s="246" t="e">
        <f t="shared" si="112"/>
        <v>#VALUE!</v>
      </c>
      <c r="L1051" s="246" t="e">
        <f t="shared" si="113"/>
        <v>#VALUE!</v>
      </c>
      <c r="M1051" s="247" t="e">
        <f t="shared" si="114"/>
        <v>#VALUE!</v>
      </c>
      <c r="N1051" s="246" t="e">
        <f t="shared" si="115"/>
        <v>#VALUE!</v>
      </c>
      <c r="O1051" s="247" t="e">
        <f t="shared" si="116"/>
        <v>#VALUE!</v>
      </c>
      <c r="P1051" s="247">
        <f t="shared" si="117"/>
        <v>0</v>
      </c>
      <c r="Q1051" s="247" t="e">
        <f t="shared" si="118"/>
        <v>#VALUE!</v>
      </c>
    </row>
    <row r="1052" spans="1:17" ht="15" customHeight="1" x14ac:dyDescent="0.25">
      <c r="A1052" s="244"/>
      <c r="B1052" s="244"/>
      <c r="C1052" s="244"/>
      <c r="D1052" s="244"/>
      <c r="E1052" s="244"/>
      <c r="F1052" s="244"/>
      <c r="G1052" s="244"/>
      <c r="I1052" s="244"/>
      <c r="J1052" s="244"/>
      <c r="K1052" s="246" t="e">
        <f t="shared" si="112"/>
        <v>#VALUE!</v>
      </c>
      <c r="L1052" s="246" t="e">
        <f t="shared" si="113"/>
        <v>#VALUE!</v>
      </c>
      <c r="M1052" s="247" t="e">
        <f t="shared" si="114"/>
        <v>#VALUE!</v>
      </c>
      <c r="N1052" s="246" t="e">
        <f t="shared" si="115"/>
        <v>#VALUE!</v>
      </c>
      <c r="O1052" s="247" t="e">
        <f t="shared" si="116"/>
        <v>#VALUE!</v>
      </c>
      <c r="P1052" s="247">
        <f t="shared" si="117"/>
        <v>0</v>
      </c>
      <c r="Q1052" s="247" t="e">
        <f t="shared" si="118"/>
        <v>#VALUE!</v>
      </c>
    </row>
    <row r="1053" spans="1:17" ht="15" customHeight="1" x14ac:dyDescent="0.25">
      <c r="A1053" s="244"/>
      <c r="B1053" s="244"/>
      <c r="C1053" s="244"/>
      <c r="D1053" s="244"/>
      <c r="E1053" s="244"/>
      <c r="F1053" s="244"/>
      <c r="G1053" s="244"/>
      <c r="I1053" s="244"/>
      <c r="J1053" s="244"/>
      <c r="K1053" s="246" t="e">
        <f t="shared" si="112"/>
        <v>#VALUE!</v>
      </c>
      <c r="L1053" s="246" t="e">
        <f t="shared" si="113"/>
        <v>#VALUE!</v>
      </c>
      <c r="M1053" s="247" t="e">
        <f t="shared" si="114"/>
        <v>#VALUE!</v>
      </c>
      <c r="N1053" s="246" t="e">
        <f t="shared" si="115"/>
        <v>#VALUE!</v>
      </c>
      <c r="O1053" s="247" t="e">
        <f t="shared" si="116"/>
        <v>#VALUE!</v>
      </c>
      <c r="P1053" s="247">
        <f t="shared" si="117"/>
        <v>0</v>
      </c>
      <c r="Q1053" s="247" t="e">
        <f t="shared" si="118"/>
        <v>#VALUE!</v>
      </c>
    </row>
    <row r="1054" spans="1:17" ht="15" customHeight="1" x14ac:dyDescent="0.25">
      <c r="A1054" s="244"/>
      <c r="B1054" s="244"/>
      <c r="C1054" s="244"/>
      <c r="D1054" s="244"/>
      <c r="E1054" s="244"/>
      <c r="F1054" s="244"/>
      <c r="G1054" s="244"/>
      <c r="I1054" s="244"/>
      <c r="J1054" s="244"/>
      <c r="K1054" s="246" t="e">
        <f t="shared" si="112"/>
        <v>#VALUE!</v>
      </c>
      <c r="L1054" s="246" t="e">
        <f t="shared" si="113"/>
        <v>#VALUE!</v>
      </c>
      <c r="M1054" s="247" t="e">
        <f t="shared" si="114"/>
        <v>#VALUE!</v>
      </c>
      <c r="N1054" s="246" t="e">
        <f t="shared" si="115"/>
        <v>#VALUE!</v>
      </c>
      <c r="O1054" s="247" t="e">
        <f t="shared" si="116"/>
        <v>#VALUE!</v>
      </c>
      <c r="P1054" s="247">
        <f t="shared" si="117"/>
        <v>0</v>
      </c>
      <c r="Q1054" s="247" t="e">
        <f t="shared" si="118"/>
        <v>#VALUE!</v>
      </c>
    </row>
    <row r="1055" spans="1:17" ht="15" customHeight="1" x14ac:dyDescent="0.25">
      <c r="A1055" s="244"/>
      <c r="B1055" s="244"/>
      <c r="C1055" s="244"/>
      <c r="D1055" s="244"/>
      <c r="E1055" s="244"/>
      <c r="F1055" s="244"/>
      <c r="G1055" s="244"/>
      <c r="I1055" s="244"/>
      <c r="J1055" s="244"/>
      <c r="K1055" s="246" t="e">
        <f t="shared" si="112"/>
        <v>#VALUE!</v>
      </c>
      <c r="L1055" s="246" t="e">
        <f t="shared" si="113"/>
        <v>#VALUE!</v>
      </c>
      <c r="M1055" s="247" t="e">
        <f t="shared" si="114"/>
        <v>#VALUE!</v>
      </c>
      <c r="N1055" s="246" t="e">
        <f t="shared" si="115"/>
        <v>#VALUE!</v>
      </c>
      <c r="O1055" s="247" t="e">
        <f t="shared" si="116"/>
        <v>#VALUE!</v>
      </c>
      <c r="P1055" s="247">
        <f t="shared" si="117"/>
        <v>0</v>
      </c>
      <c r="Q1055" s="247" t="e">
        <f t="shared" si="118"/>
        <v>#VALUE!</v>
      </c>
    </row>
    <row r="1056" spans="1:17" ht="15" customHeight="1" x14ac:dyDescent="0.25">
      <c r="A1056" s="244"/>
      <c r="B1056" s="244"/>
      <c r="C1056" s="244"/>
      <c r="D1056" s="244"/>
      <c r="E1056" s="244"/>
      <c r="F1056" s="244"/>
      <c r="G1056" s="244"/>
      <c r="I1056" s="244"/>
      <c r="J1056" s="244"/>
      <c r="K1056" s="246" t="e">
        <f t="shared" si="112"/>
        <v>#VALUE!</v>
      </c>
      <c r="L1056" s="246" t="e">
        <f t="shared" si="113"/>
        <v>#VALUE!</v>
      </c>
      <c r="M1056" s="247" t="e">
        <f t="shared" si="114"/>
        <v>#VALUE!</v>
      </c>
      <c r="N1056" s="246" t="e">
        <f t="shared" si="115"/>
        <v>#VALUE!</v>
      </c>
      <c r="O1056" s="247" t="e">
        <f t="shared" si="116"/>
        <v>#VALUE!</v>
      </c>
      <c r="P1056" s="247">
        <f t="shared" si="117"/>
        <v>0</v>
      </c>
      <c r="Q1056" s="247" t="e">
        <f t="shared" si="118"/>
        <v>#VALUE!</v>
      </c>
    </row>
    <row r="1057" spans="1:17" ht="15" customHeight="1" x14ac:dyDescent="0.25">
      <c r="A1057" s="244"/>
      <c r="B1057" s="244"/>
      <c r="C1057" s="244"/>
      <c r="D1057" s="244"/>
      <c r="E1057" s="244"/>
      <c r="F1057" s="244"/>
      <c r="G1057" s="244"/>
      <c r="I1057" s="244"/>
      <c r="J1057" s="244"/>
      <c r="K1057" s="246" t="e">
        <f t="shared" si="112"/>
        <v>#VALUE!</v>
      </c>
      <c r="L1057" s="246" t="e">
        <f t="shared" si="113"/>
        <v>#VALUE!</v>
      </c>
      <c r="M1057" s="247" t="e">
        <f t="shared" si="114"/>
        <v>#VALUE!</v>
      </c>
      <c r="N1057" s="246" t="e">
        <f t="shared" si="115"/>
        <v>#VALUE!</v>
      </c>
      <c r="O1057" s="247" t="e">
        <f t="shared" si="116"/>
        <v>#VALUE!</v>
      </c>
      <c r="P1057" s="247">
        <f t="shared" si="117"/>
        <v>0</v>
      </c>
      <c r="Q1057" s="247" t="e">
        <f t="shared" si="118"/>
        <v>#VALUE!</v>
      </c>
    </row>
    <row r="1058" spans="1:17" ht="15" customHeight="1" x14ac:dyDescent="0.25">
      <c r="A1058" s="244"/>
      <c r="B1058" s="244"/>
      <c r="C1058" s="244"/>
      <c r="D1058" s="244"/>
      <c r="E1058" s="244"/>
      <c r="F1058" s="244"/>
      <c r="G1058" s="244"/>
      <c r="I1058" s="244"/>
      <c r="J1058" s="244"/>
      <c r="K1058" s="246" t="e">
        <f t="shared" si="112"/>
        <v>#VALUE!</v>
      </c>
      <c r="L1058" s="246" t="e">
        <f t="shared" si="113"/>
        <v>#VALUE!</v>
      </c>
      <c r="M1058" s="247" t="e">
        <f t="shared" si="114"/>
        <v>#VALUE!</v>
      </c>
      <c r="N1058" s="246" t="e">
        <f t="shared" si="115"/>
        <v>#VALUE!</v>
      </c>
      <c r="O1058" s="247" t="e">
        <f t="shared" si="116"/>
        <v>#VALUE!</v>
      </c>
      <c r="P1058" s="247">
        <f t="shared" si="117"/>
        <v>0</v>
      </c>
      <c r="Q1058" s="247" t="e">
        <f t="shared" si="118"/>
        <v>#VALUE!</v>
      </c>
    </row>
    <row r="1059" spans="1:17" ht="15" customHeight="1" x14ac:dyDescent="0.25">
      <c r="A1059" s="244"/>
      <c r="B1059" s="244"/>
      <c r="C1059" s="244"/>
      <c r="D1059" s="244"/>
      <c r="E1059" s="244"/>
      <c r="F1059" s="244"/>
      <c r="G1059" s="244"/>
      <c r="I1059" s="244"/>
      <c r="J1059" s="244"/>
      <c r="K1059" s="246" t="e">
        <f t="shared" si="112"/>
        <v>#VALUE!</v>
      </c>
      <c r="L1059" s="246" t="e">
        <f t="shared" si="113"/>
        <v>#VALUE!</v>
      </c>
      <c r="M1059" s="247" t="e">
        <f t="shared" si="114"/>
        <v>#VALUE!</v>
      </c>
      <c r="N1059" s="246" t="e">
        <f t="shared" si="115"/>
        <v>#VALUE!</v>
      </c>
      <c r="O1059" s="247" t="e">
        <f t="shared" si="116"/>
        <v>#VALUE!</v>
      </c>
      <c r="P1059" s="247">
        <f t="shared" si="117"/>
        <v>0</v>
      </c>
      <c r="Q1059" s="247" t="e">
        <f t="shared" si="118"/>
        <v>#VALUE!</v>
      </c>
    </row>
    <row r="1060" spans="1:17" ht="15" customHeight="1" x14ac:dyDescent="0.25">
      <c r="A1060" s="244"/>
      <c r="B1060" s="244"/>
      <c r="C1060" s="244"/>
      <c r="D1060" s="244"/>
      <c r="E1060" s="244"/>
      <c r="F1060" s="244"/>
      <c r="G1060" s="244"/>
      <c r="I1060" s="244"/>
      <c r="J1060" s="244"/>
      <c r="K1060" s="246" t="e">
        <f t="shared" si="112"/>
        <v>#VALUE!</v>
      </c>
      <c r="L1060" s="246" t="e">
        <f t="shared" si="113"/>
        <v>#VALUE!</v>
      </c>
      <c r="M1060" s="247" t="e">
        <f t="shared" si="114"/>
        <v>#VALUE!</v>
      </c>
      <c r="N1060" s="246" t="e">
        <f t="shared" si="115"/>
        <v>#VALUE!</v>
      </c>
      <c r="O1060" s="247" t="e">
        <f t="shared" si="116"/>
        <v>#VALUE!</v>
      </c>
      <c r="P1060" s="247">
        <f t="shared" si="117"/>
        <v>0</v>
      </c>
      <c r="Q1060" s="247" t="e">
        <f t="shared" si="118"/>
        <v>#VALUE!</v>
      </c>
    </row>
    <row r="1061" spans="1:17" ht="15" customHeight="1" x14ac:dyDescent="0.25">
      <c r="A1061" s="244"/>
      <c r="B1061" s="244"/>
      <c r="C1061" s="244"/>
      <c r="D1061" s="244"/>
      <c r="E1061" s="244"/>
      <c r="F1061" s="244"/>
      <c r="G1061" s="244"/>
      <c r="I1061" s="244"/>
      <c r="J1061" s="244"/>
      <c r="K1061" s="246" t="e">
        <f t="shared" si="112"/>
        <v>#VALUE!</v>
      </c>
      <c r="L1061" s="246" t="e">
        <f t="shared" si="113"/>
        <v>#VALUE!</v>
      </c>
      <c r="M1061" s="247" t="e">
        <f t="shared" si="114"/>
        <v>#VALUE!</v>
      </c>
      <c r="N1061" s="246" t="e">
        <f t="shared" si="115"/>
        <v>#VALUE!</v>
      </c>
      <c r="O1061" s="247" t="e">
        <f t="shared" si="116"/>
        <v>#VALUE!</v>
      </c>
      <c r="P1061" s="247">
        <f t="shared" si="117"/>
        <v>0</v>
      </c>
      <c r="Q1061" s="247" t="e">
        <f t="shared" si="118"/>
        <v>#VALUE!</v>
      </c>
    </row>
    <row r="1062" spans="1:17" ht="15" customHeight="1" x14ac:dyDescent="0.25">
      <c r="A1062" s="244"/>
      <c r="B1062" s="244"/>
      <c r="C1062" s="244"/>
      <c r="D1062" s="244"/>
      <c r="E1062" s="244"/>
      <c r="F1062" s="244"/>
      <c r="G1062" s="244"/>
      <c r="I1062" s="244"/>
      <c r="J1062" s="244"/>
      <c r="K1062" s="246" t="e">
        <f t="shared" si="112"/>
        <v>#VALUE!</v>
      </c>
      <c r="L1062" s="246" t="e">
        <f t="shared" si="113"/>
        <v>#VALUE!</v>
      </c>
      <c r="M1062" s="247" t="e">
        <f t="shared" si="114"/>
        <v>#VALUE!</v>
      </c>
      <c r="N1062" s="246" t="e">
        <f t="shared" si="115"/>
        <v>#VALUE!</v>
      </c>
      <c r="O1062" s="247" t="e">
        <f t="shared" si="116"/>
        <v>#VALUE!</v>
      </c>
      <c r="P1062" s="247">
        <f t="shared" si="117"/>
        <v>0</v>
      </c>
      <c r="Q1062" s="247" t="e">
        <f t="shared" si="118"/>
        <v>#VALUE!</v>
      </c>
    </row>
    <row r="1063" spans="1:17" ht="15" customHeight="1" x14ac:dyDescent="0.25">
      <c r="A1063" s="244"/>
      <c r="B1063" s="244"/>
      <c r="C1063" s="244"/>
      <c r="D1063" s="244"/>
      <c r="E1063" s="244"/>
      <c r="F1063" s="244"/>
      <c r="G1063" s="244"/>
      <c r="I1063" s="244"/>
      <c r="J1063" s="244"/>
      <c r="K1063" s="246" t="e">
        <f t="shared" si="112"/>
        <v>#VALUE!</v>
      </c>
      <c r="L1063" s="246" t="e">
        <f t="shared" si="113"/>
        <v>#VALUE!</v>
      </c>
      <c r="M1063" s="247" t="e">
        <f t="shared" si="114"/>
        <v>#VALUE!</v>
      </c>
      <c r="N1063" s="246" t="e">
        <f t="shared" si="115"/>
        <v>#VALUE!</v>
      </c>
      <c r="O1063" s="247" t="e">
        <f t="shared" si="116"/>
        <v>#VALUE!</v>
      </c>
      <c r="P1063" s="247">
        <f t="shared" si="117"/>
        <v>0</v>
      </c>
      <c r="Q1063" s="247" t="e">
        <f t="shared" si="118"/>
        <v>#VALUE!</v>
      </c>
    </row>
    <row r="1064" spans="1:17" ht="15" customHeight="1" x14ac:dyDescent="0.25">
      <c r="A1064" s="244"/>
      <c r="B1064" s="244"/>
      <c r="C1064" s="244"/>
      <c r="D1064" s="244"/>
      <c r="E1064" s="244"/>
      <c r="F1064" s="244"/>
      <c r="G1064" s="244"/>
      <c r="I1064" s="244"/>
      <c r="J1064" s="244"/>
      <c r="K1064" s="246" t="e">
        <f t="shared" si="112"/>
        <v>#VALUE!</v>
      </c>
      <c r="L1064" s="246" t="e">
        <f t="shared" si="113"/>
        <v>#VALUE!</v>
      </c>
      <c r="M1064" s="247" t="e">
        <f t="shared" si="114"/>
        <v>#VALUE!</v>
      </c>
      <c r="N1064" s="246" t="e">
        <f t="shared" si="115"/>
        <v>#VALUE!</v>
      </c>
      <c r="O1064" s="247" t="e">
        <f t="shared" si="116"/>
        <v>#VALUE!</v>
      </c>
      <c r="P1064" s="247">
        <f t="shared" si="117"/>
        <v>0</v>
      </c>
      <c r="Q1064" s="247" t="e">
        <f t="shared" si="118"/>
        <v>#VALUE!</v>
      </c>
    </row>
    <row r="1065" spans="1:17" ht="15" customHeight="1" x14ac:dyDescent="0.25">
      <c r="A1065" s="244"/>
      <c r="B1065" s="244"/>
      <c r="C1065" s="244"/>
      <c r="D1065" s="244"/>
      <c r="E1065" s="244"/>
      <c r="F1065" s="244"/>
      <c r="G1065" s="244"/>
      <c r="I1065" s="244"/>
      <c r="J1065" s="244"/>
      <c r="K1065" s="246" t="e">
        <f t="shared" si="112"/>
        <v>#VALUE!</v>
      </c>
      <c r="L1065" s="246" t="e">
        <f t="shared" si="113"/>
        <v>#VALUE!</v>
      </c>
      <c r="M1065" s="247" t="e">
        <f t="shared" si="114"/>
        <v>#VALUE!</v>
      </c>
      <c r="N1065" s="246" t="e">
        <f t="shared" si="115"/>
        <v>#VALUE!</v>
      </c>
      <c r="O1065" s="247" t="e">
        <f t="shared" si="116"/>
        <v>#VALUE!</v>
      </c>
      <c r="P1065" s="247">
        <f t="shared" si="117"/>
        <v>0</v>
      </c>
      <c r="Q1065" s="247" t="e">
        <f t="shared" si="118"/>
        <v>#VALUE!</v>
      </c>
    </row>
    <row r="1066" spans="1:17" ht="15" customHeight="1" x14ac:dyDescent="0.25">
      <c r="A1066" s="244"/>
      <c r="B1066" s="244"/>
      <c r="C1066" s="244"/>
      <c r="D1066" s="244"/>
      <c r="E1066" s="244"/>
      <c r="F1066" s="244"/>
      <c r="G1066" s="244"/>
      <c r="I1066" s="244"/>
      <c r="J1066" s="244"/>
      <c r="K1066" s="246" t="e">
        <f t="shared" si="112"/>
        <v>#VALUE!</v>
      </c>
      <c r="L1066" s="246" t="e">
        <f t="shared" si="113"/>
        <v>#VALUE!</v>
      </c>
      <c r="M1066" s="247" t="e">
        <f t="shared" si="114"/>
        <v>#VALUE!</v>
      </c>
      <c r="N1066" s="246" t="e">
        <f t="shared" si="115"/>
        <v>#VALUE!</v>
      </c>
      <c r="O1066" s="247" t="e">
        <f t="shared" si="116"/>
        <v>#VALUE!</v>
      </c>
      <c r="P1066" s="247">
        <f t="shared" si="117"/>
        <v>0</v>
      </c>
      <c r="Q1066" s="247" t="e">
        <f t="shared" si="118"/>
        <v>#VALUE!</v>
      </c>
    </row>
    <row r="1067" spans="1:17" ht="15" customHeight="1" x14ac:dyDescent="0.25">
      <c r="A1067" s="244"/>
      <c r="B1067" s="244"/>
      <c r="C1067" s="244"/>
      <c r="D1067" s="244"/>
      <c r="E1067" s="244"/>
      <c r="F1067" s="244"/>
      <c r="G1067" s="244"/>
      <c r="I1067" s="244"/>
      <c r="J1067" s="244"/>
      <c r="K1067" s="246" t="e">
        <f t="shared" si="112"/>
        <v>#VALUE!</v>
      </c>
      <c r="L1067" s="246" t="e">
        <f t="shared" si="113"/>
        <v>#VALUE!</v>
      </c>
      <c r="M1067" s="247" t="e">
        <f t="shared" si="114"/>
        <v>#VALUE!</v>
      </c>
      <c r="N1067" s="246" t="e">
        <f t="shared" si="115"/>
        <v>#VALUE!</v>
      </c>
      <c r="O1067" s="247" t="e">
        <f t="shared" si="116"/>
        <v>#VALUE!</v>
      </c>
      <c r="P1067" s="247">
        <f t="shared" si="117"/>
        <v>0</v>
      </c>
      <c r="Q1067" s="247" t="e">
        <f t="shared" si="118"/>
        <v>#VALUE!</v>
      </c>
    </row>
    <row r="1068" spans="1:17" ht="15" customHeight="1" x14ac:dyDescent="0.25">
      <c r="A1068" s="244"/>
      <c r="B1068" s="244"/>
      <c r="C1068" s="244"/>
      <c r="D1068" s="244"/>
      <c r="E1068" s="244"/>
      <c r="F1068" s="244"/>
      <c r="G1068" s="244"/>
      <c r="I1068" s="244"/>
      <c r="J1068" s="244"/>
      <c r="K1068" s="246" t="e">
        <f t="shared" si="112"/>
        <v>#VALUE!</v>
      </c>
      <c r="L1068" s="246" t="e">
        <f t="shared" si="113"/>
        <v>#VALUE!</v>
      </c>
      <c r="M1068" s="247" t="e">
        <f t="shared" si="114"/>
        <v>#VALUE!</v>
      </c>
      <c r="N1068" s="246" t="e">
        <f t="shared" si="115"/>
        <v>#VALUE!</v>
      </c>
      <c r="O1068" s="247" t="e">
        <f t="shared" si="116"/>
        <v>#VALUE!</v>
      </c>
      <c r="P1068" s="247">
        <f t="shared" si="117"/>
        <v>0</v>
      </c>
      <c r="Q1068" s="247" t="e">
        <f t="shared" si="118"/>
        <v>#VALUE!</v>
      </c>
    </row>
    <row r="1069" spans="1:17" ht="15" customHeight="1" x14ac:dyDescent="0.25">
      <c r="A1069" s="244"/>
      <c r="B1069" s="244"/>
      <c r="C1069" s="244"/>
      <c r="D1069" s="244"/>
      <c r="E1069" s="244"/>
      <c r="F1069" s="244"/>
      <c r="G1069" s="244"/>
      <c r="I1069" s="244"/>
      <c r="J1069" s="244"/>
      <c r="K1069" s="246" t="e">
        <f t="shared" si="112"/>
        <v>#VALUE!</v>
      </c>
      <c r="L1069" s="246" t="e">
        <f t="shared" si="113"/>
        <v>#VALUE!</v>
      </c>
      <c r="M1069" s="247" t="e">
        <f t="shared" si="114"/>
        <v>#VALUE!</v>
      </c>
      <c r="N1069" s="246" t="e">
        <f t="shared" si="115"/>
        <v>#VALUE!</v>
      </c>
      <c r="O1069" s="247" t="e">
        <f t="shared" si="116"/>
        <v>#VALUE!</v>
      </c>
      <c r="P1069" s="247">
        <f t="shared" si="117"/>
        <v>0</v>
      </c>
      <c r="Q1069" s="247" t="e">
        <f t="shared" si="118"/>
        <v>#VALUE!</v>
      </c>
    </row>
    <row r="1070" spans="1:17" ht="15" customHeight="1" x14ac:dyDescent="0.25">
      <c r="A1070" s="244"/>
      <c r="B1070" s="244"/>
      <c r="C1070" s="244"/>
      <c r="D1070" s="244"/>
      <c r="E1070" s="244"/>
      <c r="F1070" s="244"/>
      <c r="G1070" s="244"/>
      <c r="I1070" s="244"/>
      <c r="J1070" s="244"/>
      <c r="K1070" s="246" t="e">
        <f t="shared" si="112"/>
        <v>#VALUE!</v>
      </c>
      <c r="L1070" s="246" t="e">
        <f t="shared" si="113"/>
        <v>#VALUE!</v>
      </c>
      <c r="M1070" s="247" t="e">
        <f t="shared" si="114"/>
        <v>#VALUE!</v>
      </c>
      <c r="N1070" s="246" t="e">
        <f t="shared" si="115"/>
        <v>#VALUE!</v>
      </c>
      <c r="O1070" s="247" t="e">
        <f t="shared" si="116"/>
        <v>#VALUE!</v>
      </c>
      <c r="P1070" s="247">
        <f t="shared" si="117"/>
        <v>0</v>
      </c>
      <c r="Q1070" s="247" t="e">
        <f t="shared" si="118"/>
        <v>#VALUE!</v>
      </c>
    </row>
    <row r="1071" spans="1:17" ht="15" customHeight="1" x14ac:dyDescent="0.25">
      <c r="A1071" s="244"/>
      <c r="B1071" s="244"/>
      <c r="C1071" s="244"/>
      <c r="D1071" s="244"/>
      <c r="E1071" s="244"/>
      <c r="F1071" s="244"/>
      <c r="G1071" s="244"/>
      <c r="I1071" s="244"/>
      <c r="J1071" s="244"/>
      <c r="K1071" s="246" t="e">
        <f t="shared" si="112"/>
        <v>#VALUE!</v>
      </c>
      <c r="L1071" s="246" t="e">
        <f t="shared" si="113"/>
        <v>#VALUE!</v>
      </c>
      <c r="M1071" s="247" t="e">
        <f t="shared" si="114"/>
        <v>#VALUE!</v>
      </c>
      <c r="N1071" s="246" t="e">
        <f t="shared" si="115"/>
        <v>#VALUE!</v>
      </c>
      <c r="O1071" s="247" t="e">
        <f t="shared" si="116"/>
        <v>#VALUE!</v>
      </c>
      <c r="P1071" s="247">
        <f t="shared" si="117"/>
        <v>0</v>
      </c>
      <c r="Q1071" s="247" t="e">
        <f t="shared" si="118"/>
        <v>#VALUE!</v>
      </c>
    </row>
    <row r="1072" spans="1:17" ht="15" customHeight="1" x14ac:dyDescent="0.25">
      <c r="A1072" s="244"/>
      <c r="B1072" s="244"/>
      <c r="C1072" s="244"/>
      <c r="D1072" s="244"/>
      <c r="E1072" s="244"/>
      <c r="F1072" s="244"/>
      <c r="G1072" s="244"/>
      <c r="I1072" s="244"/>
      <c r="J1072" s="244"/>
      <c r="K1072" s="246" t="e">
        <f t="shared" si="112"/>
        <v>#VALUE!</v>
      </c>
      <c r="L1072" s="246" t="e">
        <f t="shared" si="113"/>
        <v>#VALUE!</v>
      </c>
      <c r="M1072" s="247" t="e">
        <f t="shared" si="114"/>
        <v>#VALUE!</v>
      </c>
      <c r="N1072" s="246" t="e">
        <f t="shared" si="115"/>
        <v>#VALUE!</v>
      </c>
      <c r="O1072" s="247" t="e">
        <f t="shared" si="116"/>
        <v>#VALUE!</v>
      </c>
      <c r="P1072" s="247">
        <f t="shared" si="117"/>
        <v>0</v>
      </c>
      <c r="Q1072" s="247" t="e">
        <f t="shared" si="118"/>
        <v>#VALUE!</v>
      </c>
    </row>
    <row r="1073" spans="1:17" ht="15" customHeight="1" x14ac:dyDescent="0.25">
      <c r="A1073" s="244"/>
      <c r="B1073" s="244"/>
      <c r="C1073" s="244"/>
      <c r="D1073" s="244"/>
      <c r="E1073" s="244"/>
      <c r="F1073" s="244"/>
      <c r="G1073" s="244"/>
      <c r="I1073" s="244"/>
      <c r="J1073" s="244"/>
      <c r="K1073" s="246" t="e">
        <f t="shared" si="112"/>
        <v>#VALUE!</v>
      </c>
      <c r="L1073" s="246" t="e">
        <f t="shared" si="113"/>
        <v>#VALUE!</v>
      </c>
      <c r="M1073" s="247" t="e">
        <f t="shared" si="114"/>
        <v>#VALUE!</v>
      </c>
      <c r="N1073" s="246" t="e">
        <f t="shared" si="115"/>
        <v>#VALUE!</v>
      </c>
      <c r="O1073" s="247" t="e">
        <f t="shared" si="116"/>
        <v>#VALUE!</v>
      </c>
      <c r="P1073" s="247">
        <f t="shared" si="117"/>
        <v>0</v>
      </c>
      <c r="Q1073" s="247" t="e">
        <f t="shared" si="118"/>
        <v>#VALUE!</v>
      </c>
    </row>
    <row r="1074" spans="1:17" ht="15" customHeight="1" x14ac:dyDescent="0.25">
      <c r="A1074" s="244"/>
      <c r="B1074" s="244"/>
      <c r="C1074" s="244"/>
      <c r="D1074" s="244"/>
      <c r="E1074" s="244"/>
      <c r="F1074" s="244"/>
      <c r="G1074" s="244"/>
      <c r="I1074" s="244"/>
      <c r="J1074" s="244"/>
      <c r="K1074" s="246" t="e">
        <f t="shared" si="112"/>
        <v>#VALUE!</v>
      </c>
      <c r="L1074" s="246" t="e">
        <f t="shared" si="113"/>
        <v>#VALUE!</v>
      </c>
      <c r="M1074" s="247" t="e">
        <f t="shared" si="114"/>
        <v>#VALUE!</v>
      </c>
      <c r="N1074" s="246" t="e">
        <f t="shared" si="115"/>
        <v>#VALUE!</v>
      </c>
      <c r="O1074" s="247" t="e">
        <f t="shared" si="116"/>
        <v>#VALUE!</v>
      </c>
      <c r="P1074" s="247">
        <f t="shared" si="117"/>
        <v>0</v>
      </c>
      <c r="Q1074" s="247" t="e">
        <f t="shared" si="118"/>
        <v>#VALUE!</v>
      </c>
    </row>
    <row r="1075" spans="1:17" ht="15" customHeight="1" x14ac:dyDescent="0.25">
      <c r="A1075" s="244"/>
      <c r="B1075" s="244"/>
      <c r="C1075" s="244"/>
      <c r="D1075" s="244"/>
      <c r="E1075" s="244"/>
      <c r="F1075" s="244"/>
      <c r="G1075" s="244"/>
      <c r="I1075" s="244"/>
      <c r="J1075" s="244"/>
      <c r="K1075" s="246" t="e">
        <f t="shared" si="112"/>
        <v>#VALUE!</v>
      </c>
      <c r="L1075" s="246" t="e">
        <f t="shared" si="113"/>
        <v>#VALUE!</v>
      </c>
      <c r="M1075" s="247" t="e">
        <f t="shared" si="114"/>
        <v>#VALUE!</v>
      </c>
      <c r="N1075" s="246" t="e">
        <f t="shared" si="115"/>
        <v>#VALUE!</v>
      </c>
      <c r="O1075" s="247" t="e">
        <f t="shared" si="116"/>
        <v>#VALUE!</v>
      </c>
      <c r="P1075" s="247">
        <f t="shared" si="117"/>
        <v>0</v>
      </c>
      <c r="Q1075" s="247" t="e">
        <f t="shared" si="118"/>
        <v>#VALUE!</v>
      </c>
    </row>
    <row r="1076" spans="1:17" ht="15" customHeight="1" x14ac:dyDescent="0.25">
      <c r="A1076" s="244"/>
      <c r="B1076" s="244"/>
      <c r="C1076" s="244"/>
      <c r="D1076" s="244"/>
      <c r="E1076" s="244"/>
      <c r="F1076" s="244"/>
      <c r="G1076" s="244"/>
      <c r="I1076" s="244"/>
      <c r="J1076" s="244"/>
      <c r="K1076" s="246" t="e">
        <f t="shared" si="112"/>
        <v>#VALUE!</v>
      </c>
      <c r="L1076" s="246" t="e">
        <f t="shared" si="113"/>
        <v>#VALUE!</v>
      </c>
      <c r="M1076" s="247" t="e">
        <f t="shared" si="114"/>
        <v>#VALUE!</v>
      </c>
      <c r="N1076" s="246" t="e">
        <f t="shared" si="115"/>
        <v>#VALUE!</v>
      </c>
      <c r="O1076" s="247" t="e">
        <f t="shared" si="116"/>
        <v>#VALUE!</v>
      </c>
      <c r="P1076" s="247">
        <f t="shared" si="117"/>
        <v>0</v>
      </c>
      <c r="Q1076" s="247" t="e">
        <f t="shared" si="118"/>
        <v>#VALUE!</v>
      </c>
    </row>
    <row r="1077" spans="1:17" ht="15" customHeight="1" x14ac:dyDescent="0.25">
      <c r="A1077" s="244"/>
      <c r="B1077" s="244"/>
      <c r="C1077" s="244"/>
      <c r="D1077" s="244"/>
      <c r="E1077" s="244"/>
      <c r="F1077" s="244"/>
      <c r="G1077" s="244"/>
      <c r="I1077" s="244"/>
      <c r="J1077" s="244"/>
      <c r="K1077" s="246" t="e">
        <f t="shared" si="112"/>
        <v>#VALUE!</v>
      </c>
      <c r="L1077" s="246" t="e">
        <f t="shared" si="113"/>
        <v>#VALUE!</v>
      </c>
      <c r="M1077" s="247" t="e">
        <f t="shared" si="114"/>
        <v>#VALUE!</v>
      </c>
      <c r="N1077" s="246" t="e">
        <f t="shared" si="115"/>
        <v>#VALUE!</v>
      </c>
      <c r="O1077" s="247" t="e">
        <f t="shared" si="116"/>
        <v>#VALUE!</v>
      </c>
      <c r="P1077" s="247">
        <f t="shared" si="117"/>
        <v>0</v>
      </c>
      <c r="Q1077" s="247" t="e">
        <f t="shared" si="118"/>
        <v>#VALUE!</v>
      </c>
    </row>
    <row r="1078" spans="1:17" ht="15" customHeight="1" x14ac:dyDescent="0.25">
      <c r="A1078" s="244"/>
      <c r="B1078" s="244"/>
      <c r="C1078" s="244"/>
      <c r="D1078" s="244"/>
      <c r="E1078" s="244"/>
      <c r="F1078" s="244"/>
      <c r="G1078" s="244"/>
      <c r="I1078" s="244"/>
      <c r="J1078" s="244"/>
      <c r="K1078" s="246" t="e">
        <f t="shared" si="112"/>
        <v>#VALUE!</v>
      </c>
      <c r="L1078" s="246" t="e">
        <f t="shared" si="113"/>
        <v>#VALUE!</v>
      </c>
      <c r="M1078" s="247" t="e">
        <f t="shared" si="114"/>
        <v>#VALUE!</v>
      </c>
      <c r="N1078" s="246" t="e">
        <f t="shared" si="115"/>
        <v>#VALUE!</v>
      </c>
      <c r="O1078" s="247" t="e">
        <f t="shared" si="116"/>
        <v>#VALUE!</v>
      </c>
      <c r="P1078" s="247">
        <f t="shared" si="117"/>
        <v>0</v>
      </c>
      <c r="Q1078" s="247" t="e">
        <f t="shared" si="118"/>
        <v>#VALUE!</v>
      </c>
    </row>
    <row r="1079" spans="1:17" ht="15" customHeight="1" x14ac:dyDescent="0.25">
      <c r="A1079" s="244"/>
      <c r="B1079" s="244"/>
      <c r="C1079" s="244"/>
      <c r="D1079" s="244"/>
      <c r="E1079" s="244"/>
      <c r="F1079" s="244"/>
      <c r="G1079" s="244"/>
      <c r="I1079" s="244"/>
      <c r="J1079" s="244"/>
      <c r="K1079" s="246" t="e">
        <f t="shared" si="112"/>
        <v>#VALUE!</v>
      </c>
      <c r="L1079" s="246" t="e">
        <f t="shared" si="113"/>
        <v>#VALUE!</v>
      </c>
      <c r="M1079" s="247" t="e">
        <f t="shared" si="114"/>
        <v>#VALUE!</v>
      </c>
      <c r="N1079" s="246" t="e">
        <f t="shared" si="115"/>
        <v>#VALUE!</v>
      </c>
      <c r="O1079" s="247" t="e">
        <f t="shared" si="116"/>
        <v>#VALUE!</v>
      </c>
      <c r="P1079" s="247">
        <f t="shared" si="117"/>
        <v>0</v>
      </c>
      <c r="Q1079" s="247" t="e">
        <f t="shared" si="118"/>
        <v>#VALUE!</v>
      </c>
    </row>
    <row r="1080" spans="1:17" ht="15" customHeight="1" x14ac:dyDescent="0.25">
      <c r="A1080" s="244"/>
      <c r="B1080" s="244"/>
      <c r="C1080" s="244"/>
      <c r="D1080" s="244"/>
      <c r="E1080" s="244"/>
      <c r="F1080" s="244"/>
      <c r="G1080" s="244"/>
      <c r="I1080" s="244"/>
      <c r="J1080" s="244"/>
      <c r="K1080" s="246" t="e">
        <f t="shared" si="112"/>
        <v>#VALUE!</v>
      </c>
      <c r="L1080" s="246" t="e">
        <f t="shared" si="113"/>
        <v>#VALUE!</v>
      </c>
      <c r="M1080" s="247" t="e">
        <f t="shared" si="114"/>
        <v>#VALUE!</v>
      </c>
      <c r="N1080" s="246" t="e">
        <f t="shared" si="115"/>
        <v>#VALUE!</v>
      </c>
      <c r="O1080" s="247" t="e">
        <f t="shared" si="116"/>
        <v>#VALUE!</v>
      </c>
      <c r="P1080" s="247">
        <f t="shared" si="117"/>
        <v>0</v>
      </c>
      <c r="Q1080" s="247" t="e">
        <f t="shared" si="118"/>
        <v>#VALUE!</v>
      </c>
    </row>
    <row r="1081" spans="1:17" ht="15" customHeight="1" x14ac:dyDescent="0.25">
      <c r="A1081" s="244"/>
      <c r="B1081" s="244"/>
      <c r="C1081" s="244"/>
      <c r="D1081" s="244"/>
      <c r="E1081" s="244"/>
      <c r="F1081" s="244"/>
      <c r="G1081" s="244"/>
      <c r="I1081" s="244"/>
      <c r="J1081" s="244"/>
      <c r="K1081" s="246" t="e">
        <f t="shared" si="112"/>
        <v>#VALUE!</v>
      </c>
      <c r="L1081" s="246" t="e">
        <f t="shared" si="113"/>
        <v>#VALUE!</v>
      </c>
      <c r="M1081" s="247" t="e">
        <f t="shared" si="114"/>
        <v>#VALUE!</v>
      </c>
      <c r="N1081" s="246" t="e">
        <f t="shared" si="115"/>
        <v>#VALUE!</v>
      </c>
      <c r="O1081" s="247" t="e">
        <f t="shared" si="116"/>
        <v>#VALUE!</v>
      </c>
      <c r="P1081" s="247">
        <f t="shared" si="117"/>
        <v>0</v>
      </c>
      <c r="Q1081" s="247" t="e">
        <f t="shared" si="118"/>
        <v>#VALUE!</v>
      </c>
    </row>
    <row r="1082" spans="1:17" ht="15" customHeight="1" x14ac:dyDescent="0.25">
      <c r="A1082" s="244"/>
      <c r="B1082" s="244"/>
      <c r="C1082" s="244"/>
      <c r="D1082" s="244"/>
      <c r="E1082" s="244"/>
      <c r="F1082" s="244"/>
      <c r="G1082" s="244"/>
      <c r="I1082" s="244"/>
      <c r="J1082" s="244"/>
      <c r="K1082" s="246" t="e">
        <f t="shared" si="112"/>
        <v>#VALUE!</v>
      </c>
      <c r="L1082" s="246" t="e">
        <f t="shared" si="113"/>
        <v>#VALUE!</v>
      </c>
      <c r="M1082" s="247" t="e">
        <f t="shared" si="114"/>
        <v>#VALUE!</v>
      </c>
      <c r="N1082" s="246" t="e">
        <f t="shared" si="115"/>
        <v>#VALUE!</v>
      </c>
      <c r="O1082" s="247" t="e">
        <f t="shared" si="116"/>
        <v>#VALUE!</v>
      </c>
      <c r="P1082" s="247">
        <f t="shared" si="117"/>
        <v>0</v>
      </c>
      <c r="Q1082" s="247" t="e">
        <f t="shared" si="118"/>
        <v>#VALUE!</v>
      </c>
    </row>
    <row r="1083" spans="1:17" ht="15" customHeight="1" x14ac:dyDescent="0.25">
      <c r="A1083" s="244"/>
      <c r="B1083" s="244"/>
      <c r="C1083" s="244"/>
      <c r="D1083" s="244"/>
      <c r="E1083" s="244"/>
      <c r="F1083" s="244"/>
      <c r="G1083" s="244"/>
      <c r="I1083" s="244"/>
      <c r="J1083" s="244"/>
      <c r="K1083" s="246" t="e">
        <f t="shared" si="112"/>
        <v>#VALUE!</v>
      </c>
      <c r="L1083" s="246" t="e">
        <f t="shared" si="113"/>
        <v>#VALUE!</v>
      </c>
      <c r="M1083" s="247" t="e">
        <f t="shared" si="114"/>
        <v>#VALUE!</v>
      </c>
      <c r="N1083" s="246" t="e">
        <f t="shared" si="115"/>
        <v>#VALUE!</v>
      </c>
      <c r="O1083" s="247" t="e">
        <f t="shared" si="116"/>
        <v>#VALUE!</v>
      </c>
      <c r="P1083" s="247">
        <f t="shared" si="117"/>
        <v>0</v>
      </c>
      <c r="Q1083" s="247" t="e">
        <f t="shared" si="118"/>
        <v>#VALUE!</v>
      </c>
    </row>
    <row r="1084" spans="1:17" ht="15" customHeight="1" x14ac:dyDescent="0.25">
      <c r="A1084" s="244"/>
      <c r="B1084" s="244"/>
      <c r="C1084" s="244"/>
      <c r="D1084" s="244"/>
      <c r="E1084" s="244"/>
      <c r="F1084" s="244"/>
      <c r="G1084" s="244"/>
      <c r="I1084" s="244"/>
      <c r="J1084" s="244"/>
      <c r="K1084" s="246" t="e">
        <f t="shared" si="112"/>
        <v>#VALUE!</v>
      </c>
      <c r="L1084" s="246" t="e">
        <f t="shared" si="113"/>
        <v>#VALUE!</v>
      </c>
      <c r="M1084" s="247" t="e">
        <f t="shared" si="114"/>
        <v>#VALUE!</v>
      </c>
      <c r="N1084" s="246" t="e">
        <f t="shared" si="115"/>
        <v>#VALUE!</v>
      </c>
      <c r="O1084" s="247" t="e">
        <f t="shared" si="116"/>
        <v>#VALUE!</v>
      </c>
      <c r="P1084" s="247">
        <f t="shared" si="117"/>
        <v>0</v>
      </c>
      <c r="Q1084" s="247" t="e">
        <f t="shared" si="118"/>
        <v>#VALUE!</v>
      </c>
    </row>
    <row r="1085" spans="1:17" ht="15" customHeight="1" x14ac:dyDescent="0.25">
      <c r="A1085" s="244"/>
      <c r="B1085" s="244"/>
      <c r="C1085" s="244"/>
      <c r="D1085" s="244"/>
      <c r="E1085" s="244"/>
      <c r="F1085" s="244"/>
      <c r="G1085" s="244"/>
      <c r="I1085" s="244"/>
      <c r="J1085" s="244"/>
      <c r="K1085" s="246" t="e">
        <f t="shared" si="112"/>
        <v>#VALUE!</v>
      </c>
      <c r="L1085" s="246" t="e">
        <f t="shared" si="113"/>
        <v>#VALUE!</v>
      </c>
      <c r="M1085" s="247" t="e">
        <f t="shared" si="114"/>
        <v>#VALUE!</v>
      </c>
      <c r="N1085" s="246" t="e">
        <f t="shared" si="115"/>
        <v>#VALUE!</v>
      </c>
      <c r="O1085" s="247" t="e">
        <f t="shared" si="116"/>
        <v>#VALUE!</v>
      </c>
      <c r="P1085" s="247">
        <f t="shared" si="117"/>
        <v>0</v>
      </c>
      <c r="Q1085" s="247" t="e">
        <f t="shared" si="118"/>
        <v>#VALUE!</v>
      </c>
    </row>
    <row r="1086" spans="1:17" ht="15" customHeight="1" x14ac:dyDescent="0.25">
      <c r="A1086" s="244"/>
      <c r="B1086" s="244"/>
      <c r="C1086" s="244"/>
      <c r="D1086" s="244"/>
      <c r="E1086" s="244"/>
      <c r="F1086" s="244"/>
      <c r="G1086" s="244"/>
      <c r="I1086" s="244"/>
      <c r="J1086" s="244"/>
      <c r="K1086" s="246" t="e">
        <f t="shared" si="112"/>
        <v>#VALUE!</v>
      </c>
      <c r="L1086" s="246" t="e">
        <f t="shared" si="113"/>
        <v>#VALUE!</v>
      </c>
      <c r="M1086" s="247" t="e">
        <f t="shared" si="114"/>
        <v>#VALUE!</v>
      </c>
      <c r="N1086" s="246" t="e">
        <f t="shared" si="115"/>
        <v>#VALUE!</v>
      </c>
      <c r="O1086" s="247" t="e">
        <f t="shared" si="116"/>
        <v>#VALUE!</v>
      </c>
      <c r="P1086" s="247">
        <f t="shared" si="117"/>
        <v>0</v>
      </c>
      <c r="Q1086" s="247" t="e">
        <f t="shared" si="118"/>
        <v>#VALUE!</v>
      </c>
    </row>
    <row r="1087" spans="1:17" ht="15" customHeight="1" x14ac:dyDescent="0.25">
      <c r="A1087" s="244"/>
      <c r="B1087" s="244"/>
      <c r="C1087" s="244"/>
      <c r="D1087" s="244"/>
      <c r="E1087" s="244"/>
      <c r="F1087" s="244"/>
      <c r="G1087" s="244"/>
      <c r="I1087" s="244"/>
      <c r="J1087" s="244"/>
      <c r="K1087" s="246" t="e">
        <f t="shared" si="112"/>
        <v>#VALUE!</v>
      </c>
      <c r="L1087" s="246" t="e">
        <f t="shared" si="113"/>
        <v>#VALUE!</v>
      </c>
      <c r="M1087" s="247" t="e">
        <f t="shared" si="114"/>
        <v>#VALUE!</v>
      </c>
      <c r="N1087" s="246" t="e">
        <f t="shared" si="115"/>
        <v>#VALUE!</v>
      </c>
      <c r="O1087" s="247" t="e">
        <f t="shared" si="116"/>
        <v>#VALUE!</v>
      </c>
      <c r="P1087" s="247">
        <f t="shared" si="117"/>
        <v>0</v>
      </c>
      <c r="Q1087" s="247" t="e">
        <f t="shared" si="118"/>
        <v>#VALUE!</v>
      </c>
    </row>
    <row r="1088" spans="1:17" ht="15" customHeight="1" x14ac:dyDescent="0.25">
      <c r="A1088" s="244"/>
      <c r="B1088" s="244"/>
      <c r="C1088" s="244"/>
      <c r="D1088" s="244"/>
      <c r="E1088" s="244"/>
      <c r="F1088" s="244"/>
      <c r="G1088" s="244"/>
      <c r="I1088" s="244"/>
      <c r="J1088" s="244"/>
      <c r="K1088" s="246" t="e">
        <f t="shared" si="112"/>
        <v>#VALUE!</v>
      </c>
      <c r="L1088" s="246" t="e">
        <f t="shared" si="113"/>
        <v>#VALUE!</v>
      </c>
      <c r="M1088" s="247" t="e">
        <f t="shared" si="114"/>
        <v>#VALUE!</v>
      </c>
      <c r="N1088" s="246" t="e">
        <f t="shared" si="115"/>
        <v>#VALUE!</v>
      </c>
      <c r="O1088" s="247" t="e">
        <f t="shared" si="116"/>
        <v>#VALUE!</v>
      </c>
      <c r="P1088" s="247">
        <f t="shared" si="117"/>
        <v>0</v>
      </c>
      <c r="Q1088" s="247" t="e">
        <f t="shared" si="118"/>
        <v>#VALUE!</v>
      </c>
    </row>
    <row r="1089" spans="1:17" ht="15" customHeight="1" x14ac:dyDescent="0.25">
      <c r="A1089" s="244"/>
      <c r="B1089" s="244"/>
      <c r="C1089" s="244"/>
      <c r="D1089" s="244"/>
      <c r="E1089" s="244"/>
      <c r="F1089" s="244"/>
      <c r="G1089" s="244"/>
      <c r="I1089" s="244"/>
      <c r="J1089" s="244"/>
      <c r="K1089" s="246" t="e">
        <f t="shared" si="112"/>
        <v>#VALUE!</v>
      </c>
      <c r="L1089" s="246" t="e">
        <f t="shared" si="113"/>
        <v>#VALUE!</v>
      </c>
      <c r="M1089" s="247" t="e">
        <f t="shared" si="114"/>
        <v>#VALUE!</v>
      </c>
      <c r="N1089" s="246" t="e">
        <f t="shared" si="115"/>
        <v>#VALUE!</v>
      </c>
      <c r="O1089" s="247" t="e">
        <f t="shared" si="116"/>
        <v>#VALUE!</v>
      </c>
      <c r="P1089" s="247">
        <f t="shared" si="117"/>
        <v>0</v>
      </c>
      <c r="Q1089" s="247" t="e">
        <f t="shared" si="118"/>
        <v>#VALUE!</v>
      </c>
    </row>
    <row r="1090" spans="1:17" ht="15" customHeight="1" x14ac:dyDescent="0.25">
      <c r="A1090" s="244"/>
      <c r="B1090" s="244"/>
      <c r="C1090" s="244"/>
      <c r="D1090" s="244"/>
      <c r="E1090" s="244"/>
      <c r="F1090" s="244"/>
      <c r="G1090" s="244"/>
      <c r="I1090" s="244"/>
      <c r="J1090" s="244"/>
      <c r="K1090" s="246" t="e">
        <f t="shared" ref="K1090:K1153" si="119">DATE(VALUE(LEFT(A1090,4)),VALUE(MID(A1090,5,2)),VALUE(RIGHT(A1090,2)))</f>
        <v>#VALUE!</v>
      </c>
      <c r="L1090" s="246" t="e">
        <f t="shared" ref="L1090:L1153" si="120">DATEVALUE(LEFT(F1090,10))</f>
        <v>#VALUE!</v>
      </c>
      <c r="M1090" s="247" t="e">
        <f t="shared" ref="M1090:M1153" si="121">TIMEVALUE(MID(F1090,12,8))</f>
        <v>#VALUE!</v>
      </c>
      <c r="N1090" s="246" t="e">
        <f t="shared" ref="N1090:N1153" si="122">DATEVALUE(LEFT(G1090,10))</f>
        <v>#VALUE!</v>
      </c>
      <c r="O1090" s="247" t="e">
        <f t="shared" ref="O1090:O1153" si="123">TIMEVALUE(MID(G1090,12,8))</f>
        <v>#VALUE!</v>
      </c>
      <c r="P1090" s="247">
        <f t="shared" ref="P1090:P1153" si="124">IFERROR(_xlfn.MINIFS($M:$M,$E:$E,$E1090,$K:$K,$K1090,$M:$M,"&gt;"&amp;$O1090),"")</f>
        <v>0</v>
      </c>
      <c r="Q1090" s="247" t="e">
        <f t="shared" ref="Q1090:Q1153" si="125">IF($P1090="","",$P1090-$O1090)</f>
        <v>#VALUE!</v>
      </c>
    </row>
    <row r="1091" spans="1:17" ht="15" customHeight="1" x14ac:dyDescent="0.25">
      <c r="A1091" s="244"/>
      <c r="B1091" s="244"/>
      <c r="C1091" s="244"/>
      <c r="D1091" s="244"/>
      <c r="E1091" s="244"/>
      <c r="F1091" s="244"/>
      <c r="G1091" s="244"/>
      <c r="I1091" s="244"/>
      <c r="J1091" s="244"/>
      <c r="K1091" s="246" t="e">
        <f t="shared" si="119"/>
        <v>#VALUE!</v>
      </c>
      <c r="L1091" s="246" t="e">
        <f t="shared" si="120"/>
        <v>#VALUE!</v>
      </c>
      <c r="M1091" s="247" t="e">
        <f t="shared" si="121"/>
        <v>#VALUE!</v>
      </c>
      <c r="N1091" s="246" t="e">
        <f t="shared" si="122"/>
        <v>#VALUE!</v>
      </c>
      <c r="O1091" s="247" t="e">
        <f t="shared" si="123"/>
        <v>#VALUE!</v>
      </c>
      <c r="P1091" s="247">
        <f t="shared" si="124"/>
        <v>0</v>
      </c>
      <c r="Q1091" s="247" t="e">
        <f t="shared" si="125"/>
        <v>#VALUE!</v>
      </c>
    </row>
    <row r="1092" spans="1:17" ht="15" customHeight="1" x14ac:dyDescent="0.25">
      <c r="A1092" s="244"/>
      <c r="B1092" s="244"/>
      <c r="C1092" s="244"/>
      <c r="D1092" s="244"/>
      <c r="E1092" s="244"/>
      <c r="F1092" s="244"/>
      <c r="G1092" s="244"/>
      <c r="I1092" s="244"/>
      <c r="J1092" s="244"/>
      <c r="K1092" s="246" t="e">
        <f t="shared" si="119"/>
        <v>#VALUE!</v>
      </c>
      <c r="L1092" s="246" t="e">
        <f t="shared" si="120"/>
        <v>#VALUE!</v>
      </c>
      <c r="M1092" s="247" t="e">
        <f t="shared" si="121"/>
        <v>#VALUE!</v>
      </c>
      <c r="N1092" s="246" t="e">
        <f t="shared" si="122"/>
        <v>#VALUE!</v>
      </c>
      <c r="O1092" s="247" t="e">
        <f t="shared" si="123"/>
        <v>#VALUE!</v>
      </c>
      <c r="P1092" s="247">
        <f t="shared" si="124"/>
        <v>0</v>
      </c>
      <c r="Q1092" s="247" t="e">
        <f t="shared" si="125"/>
        <v>#VALUE!</v>
      </c>
    </row>
    <row r="1093" spans="1:17" ht="15" customHeight="1" x14ac:dyDescent="0.25">
      <c r="A1093" s="244"/>
      <c r="B1093" s="244"/>
      <c r="C1093" s="244"/>
      <c r="D1093" s="244"/>
      <c r="E1093" s="244"/>
      <c r="F1093" s="244"/>
      <c r="G1093" s="244"/>
      <c r="I1093" s="244"/>
      <c r="J1093" s="244"/>
      <c r="K1093" s="246" t="e">
        <f t="shared" si="119"/>
        <v>#VALUE!</v>
      </c>
      <c r="L1093" s="246" t="e">
        <f t="shared" si="120"/>
        <v>#VALUE!</v>
      </c>
      <c r="M1093" s="247" t="e">
        <f t="shared" si="121"/>
        <v>#VALUE!</v>
      </c>
      <c r="N1093" s="246" t="e">
        <f t="shared" si="122"/>
        <v>#VALUE!</v>
      </c>
      <c r="O1093" s="247" t="e">
        <f t="shared" si="123"/>
        <v>#VALUE!</v>
      </c>
      <c r="P1093" s="247">
        <f t="shared" si="124"/>
        <v>0</v>
      </c>
      <c r="Q1093" s="247" t="e">
        <f t="shared" si="125"/>
        <v>#VALUE!</v>
      </c>
    </row>
    <row r="1094" spans="1:17" ht="15" customHeight="1" x14ac:dyDescent="0.25">
      <c r="A1094" s="244"/>
      <c r="B1094" s="244"/>
      <c r="C1094" s="244"/>
      <c r="D1094" s="244"/>
      <c r="E1094" s="244"/>
      <c r="F1094" s="244"/>
      <c r="G1094" s="244"/>
      <c r="I1094" s="244"/>
      <c r="J1094" s="244"/>
      <c r="K1094" s="246" t="e">
        <f t="shared" si="119"/>
        <v>#VALUE!</v>
      </c>
      <c r="L1094" s="246" t="e">
        <f t="shared" si="120"/>
        <v>#VALUE!</v>
      </c>
      <c r="M1094" s="247" t="e">
        <f t="shared" si="121"/>
        <v>#VALUE!</v>
      </c>
      <c r="N1094" s="246" t="e">
        <f t="shared" si="122"/>
        <v>#VALUE!</v>
      </c>
      <c r="O1094" s="247" t="e">
        <f t="shared" si="123"/>
        <v>#VALUE!</v>
      </c>
      <c r="P1094" s="247">
        <f t="shared" si="124"/>
        <v>0</v>
      </c>
      <c r="Q1094" s="247" t="e">
        <f t="shared" si="125"/>
        <v>#VALUE!</v>
      </c>
    </row>
    <row r="1095" spans="1:17" ht="15" customHeight="1" x14ac:dyDescent="0.25">
      <c r="A1095" s="244"/>
      <c r="B1095" s="244"/>
      <c r="C1095" s="244"/>
      <c r="D1095" s="244"/>
      <c r="E1095" s="244"/>
      <c r="F1095" s="244"/>
      <c r="G1095" s="244"/>
      <c r="I1095" s="244"/>
      <c r="J1095" s="244"/>
      <c r="K1095" s="246" t="e">
        <f t="shared" si="119"/>
        <v>#VALUE!</v>
      </c>
      <c r="L1095" s="246" t="e">
        <f t="shared" si="120"/>
        <v>#VALUE!</v>
      </c>
      <c r="M1095" s="247" t="e">
        <f t="shared" si="121"/>
        <v>#VALUE!</v>
      </c>
      <c r="N1095" s="246" t="e">
        <f t="shared" si="122"/>
        <v>#VALUE!</v>
      </c>
      <c r="O1095" s="247" t="e">
        <f t="shared" si="123"/>
        <v>#VALUE!</v>
      </c>
      <c r="P1095" s="247">
        <f t="shared" si="124"/>
        <v>0</v>
      </c>
      <c r="Q1095" s="247" t="e">
        <f t="shared" si="125"/>
        <v>#VALUE!</v>
      </c>
    </row>
    <row r="1096" spans="1:17" ht="15" customHeight="1" x14ac:dyDescent="0.25">
      <c r="A1096" s="244"/>
      <c r="B1096" s="244"/>
      <c r="C1096" s="244"/>
      <c r="D1096" s="244"/>
      <c r="E1096" s="244"/>
      <c r="F1096" s="244"/>
      <c r="G1096" s="244"/>
      <c r="I1096" s="244"/>
      <c r="J1096" s="244"/>
      <c r="K1096" s="246" t="e">
        <f t="shared" si="119"/>
        <v>#VALUE!</v>
      </c>
      <c r="L1096" s="246" t="e">
        <f t="shared" si="120"/>
        <v>#VALUE!</v>
      </c>
      <c r="M1096" s="247" t="e">
        <f t="shared" si="121"/>
        <v>#VALUE!</v>
      </c>
      <c r="N1096" s="246" t="e">
        <f t="shared" si="122"/>
        <v>#VALUE!</v>
      </c>
      <c r="O1096" s="247" t="e">
        <f t="shared" si="123"/>
        <v>#VALUE!</v>
      </c>
      <c r="P1096" s="247">
        <f t="shared" si="124"/>
        <v>0</v>
      </c>
      <c r="Q1096" s="247" t="e">
        <f t="shared" si="125"/>
        <v>#VALUE!</v>
      </c>
    </row>
    <row r="1097" spans="1:17" ht="15" customHeight="1" x14ac:dyDescent="0.25">
      <c r="A1097" s="244"/>
      <c r="B1097" s="244"/>
      <c r="C1097" s="244"/>
      <c r="D1097" s="244"/>
      <c r="E1097" s="244"/>
      <c r="F1097" s="244"/>
      <c r="G1097" s="244"/>
      <c r="I1097" s="244"/>
      <c r="J1097" s="244"/>
      <c r="K1097" s="246" t="e">
        <f t="shared" si="119"/>
        <v>#VALUE!</v>
      </c>
      <c r="L1097" s="246" t="e">
        <f t="shared" si="120"/>
        <v>#VALUE!</v>
      </c>
      <c r="M1097" s="247" t="e">
        <f t="shared" si="121"/>
        <v>#VALUE!</v>
      </c>
      <c r="N1097" s="246" t="e">
        <f t="shared" si="122"/>
        <v>#VALUE!</v>
      </c>
      <c r="O1097" s="247" t="e">
        <f t="shared" si="123"/>
        <v>#VALUE!</v>
      </c>
      <c r="P1097" s="247">
        <f t="shared" si="124"/>
        <v>0</v>
      </c>
      <c r="Q1097" s="247" t="e">
        <f t="shared" si="125"/>
        <v>#VALUE!</v>
      </c>
    </row>
    <row r="1098" spans="1:17" ht="15" customHeight="1" x14ac:dyDescent="0.25">
      <c r="A1098" s="244"/>
      <c r="B1098" s="244"/>
      <c r="C1098" s="244"/>
      <c r="D1098" s="244"/>
      <c r="E1098" s="244"/>
      <c r="F1098" s="244"/>
      <c r="G1098" s="244"/>
      <c r="I1098" s="244"/>
      <c r="J1098" s="244"/>
      <c r="K1098" s="246" t="e">
        <f t="shared" si="119"/>
        <v>#VALUE!</v>
      </c>
      <c r="L1098" s="246" t="e">
        <f t="shared" si="120"/>
        <v>#VALUE!</v>
      </c>
      <c r="M1098" s="247" t="e">
        <f t="shared" si="121"/>
        <v>#VALUE!</v>
      </c>
      <c r="N1098" s="246" t="e">
        <f t="shared" si="122"/>
        <v>#VALUE!</v>
      </c>
      <c r="O1098" s="247" t="e">
        <f t="shared" si="123"/>
        <v>#VALUE!</v>
      </c>
      <c r="P1098" s="247">
        <f t="shared" si="124"/>
        <v>0</v>
      </c>
      <c r="Q1098" s="247" t="e">
        <f t="shared" si="125"/>
        <v>#VALUE!</v>
      </c>
    </row>
    <row r="1099" spans="1:17" ht="15" customHeight="1" x14ac:dyDescent="0.25">
      <c r="A1099" s="244"/>
      <c r="B1099" s="244"/>
      <c r="C1099" s="244"/>
      <c r="D1099" s="244"/>
      <c r="E1099" s="244"/>
      <c r="F1099" s="244"/>
      <c r="G1099" s="244"/>
      <c r="I1099" s="244"/>
      <c r="J1099" s="244"/>
      <c r="K1099" s="246" t="e">
        <f t="shared" si="119"/>
        <v>#VALUE!</v>
      </c>
      <c r="L1099" s="246" t="e">
        <f t="shared" si="120"/>
        <v>#VALUE!</v>
      </c>
      <c r="M1099" s="247" t="e">
        <f t="shared" si="121"/>
        <v>#VALUE!</v>
      </c>
      <c r="N1099" s="246" t="e">
        <f t="shared" si="122"/>
        <v>#VALUE!</v>
      </c>
      <c r="O1099" s="247" t="e">
        <f t="shared" si="123"/>
        <v>#VALUE!</v>
      </c>
      <c r="P1099" s="247">
        <f t="shared" si="124"/>
        <v>0</v>
      </c>
      <c r="Q1099" s="247" t="e">
        <f t="shared" si="125"/>
        <v>#VALUE!</v>
      </c>
    </row>
    <row r="1100" spans="1:17" ht="15" customHeight="1" x14ac:dyDescent="0.25">
      <c r="A1100" s="244"/>
      <c r="B1100" s="244"/>
      <c r="C1100" s="244"/>
      <c r="D1100" s="244"/>
      <c r="E1100" s="244"/>
      <c r="F1100" s="244"/>
      <c r="G1100" s="244"/>
      <c r="I1100" s="244"/>
      <c r="J1100" s="244"/>
      <c r="K1100" s="246" t="e">
        <f t="shared" si="119"/>
        <v>#VALUE!</v>
      </c>
      <c r="L1100" s="246" t="e">
        <f t="shared" si="120"/>
        <v>#VALUE!</v>
      </c>
      <c r="M1100" s="247" t="e">
        <f t="shared" si="121"/>
        <v>#VALUE!</v>
      </c>
      <c r="N1100" s="246" t="e">
        <f t="shared" si="122"/>
        <v>#VALUE!</v>
      </c>
      <c r="O1100" s="247" t="e">
        <f t="shared" si="123"/>
        <v>#VALUE!</v>
      </c>
      <c r="P1100" s="247">
        <f t="shared" si="124"/>
        <v>0</v>
      </c>
      <c r="Q1100" s="247" t="e">
        <f t="shared" si="125"/>
        <v>#VALUE!</v>
      </c>
    </row>
    <row r="1101" spans="1:17" ht="15" customHeight="1" x14ac:dyDescent="0.25">
      <c r="A1101" s="244"/>
      <c r="B1101" s="244"/>
      <c r="C1101" s="244"/>
      <c r="D1101" s="244"/>
      <c r="E1101" s="244"/>
      <c r="F1101" s="244"/>
      <c r="G1101" s="244"/>
      <c r="I1101" s="244"/>
      <c r="J1101" s="244"/>
      <c r="K1101" s="246" t="e">
        <f t="shared" si="119"/>
        <v>#VALUE!</v>
      </c>
      <c r="L1101" s="246" t="e">
        <f t="shared" si="120"/>
        <v>#VALUE!</v>
      </c>
      <c r="M1101" s="247" t="e">
        <f t="shared" si="121"/>
        <v>#VALUE!</v>
      </c>
      <c r="N1101" s="246" t="e">
        <f t="shared" si="122"/>
        <v>#VALUE!</v>
      </c>
      <c r="O1101" s="247" t="e">
        <f t="shared" si="123"/>
        <v>#VALUE!</v>
      </c>
      <c r="P1101" s="247">
        <f t="shared" si="124"/>
        <v>0</v>
      </c>
      <c r="Q1101" s="247" t="e">
        <f t="shared" si="125"/>
        <v>#VALUE!</v>
      </c>
    </row>
    <row r="1102" spans="1:17" ht="15" customHeight="1" x14ac:dyDescent="0.25">
      <c r="A1102" s="244"/>
      <c r="B1102" s="244"/>
      <c r="C1102" s="244"/>
      <c r="D1102" s="244"/>
      <c r="E1102" s="244"/>
      <c r="F1102" s="244"/>
      <c r="G1102" s="244"/>
      <c r="I1102" s="244"/>
      <c r="J1102" s="244"/>
      <c r="K1102" s="246" t="e">
        <f t="shared" si="119"/>
        <v>#VALUE!</v>
      </c>
      <c r="L1102" s="246" t="e">
        <f t="shared" si="120"/>
        <v>#VALUE!</v>
      </c>
      <c r="M1102" s="247" t="e">
        <f t="shared" si="121"/>
        <v>#VALUE!</v>
      </c>
      <c r="N1102" s="246" t="e">
        <f t="shared" si="122"/>
        <v>#VALUE!</v>
      </c>
      <c r="O1102" s="247" t="e">
        <f t="shared" si="123"/>
        <v>#VALUE!</v>
      </c>
      <c r="P1102" s="247">
        <f t="shared" si="124"/>
        <v>0</v>
      </c>
      <c r="Q1102" s="247" t="e">
        <f t="shared" si="125"/>
        <v>#VALUE!</v>
      </c>
    </row>
    <row r="1103" spans="1:17" ht="15" customHeight="1" x14ac:dyDescent="0.25">
      <c r="A1103" s="244"/>
      <c r="B1103" s="244"/>
      <c r="C1103" s="244"/>
      <c r="D1103" s="244"/>
      <c r="E1103" s="244"/>
      <c r="F1103" s="244"/>
      <c r="G1103" s="244"/>
      <c r="I1103" s="244"/>
      <c r="J1103" s="244"/>
      <c r="K1103" s="246" t="e">
        <f t="shared" si="119"/>
        <v>#VALUE!</v>
      </c>
      <c r="L1103" s="246" t="e">
        <f t="shared" si="120"/>
        <v>#VALUE!</v>
      </c>
      <c r="M1103" s="247" t="e">
        <f t="shared" si="121"/>
        <v>#VALUE!</v>
      </c>
      <c r="N1103" s="246" t="e">
        <f t="shared" si="122"/>
        <v>#VALUE!</v>
      </c>
      <c r="O1103" s="247" t="e">
        <f t="shared" si="123"/>
        <v>#VALUE!</v>
      </c>
      <c r="P1103" s="247">
        <f t="shared" si="124"/>
        <v>0</v>
      </c>
      <c r="Q1103" s="247" t="e">
        <f t="shared" si="125"/>
        <v>#VALUE!</v>
      </c>
    </row>
    <row r="1104" spans="1:17" ht="15" customHeight="1" x14ac:dyDescent="0.25">
      <c r="A1104" s="244"/>
      <c r="B1104" s="244"/>
      <c r="C1104" s="244"/>
      <c r="D1104" s="244"/>
      <c r="E1104" s="244"/>
      <c r="F1104" s="244"/>
      <c r="G1104" s="244"/>
      <c r="I1104" s="244"/>
      <c r="J1104" s="244"/>
      <c r="K1104" s="246" t="e">
        <f t="shared" si="119"/>
        <v>#VALUE!</v>
      </c>
      <c r="L1104" s="246" t="e">
        <f t="shared" si="120"/>
        <v>#VALUE!</v>
      </c>
      <c r="M1104" s="247" t="e">
        <f t="shared" si="121"/>
        <v>#VALUE!</v>
      </c>
      <c r="N1104" s="246" t="e">
        <f t="shared" si="122"/>
        <v>#VALUE!</v>
      </c>
      <c r="O1104" s="247" t="e">
        <f t="shared" si="123"/>
        <v>#VALUE!</v>
      </c>
      <c r="P1104" s="247">
        <f t="shared" si="124"/>
        <v>0</v>
      </c>
      <c r="Q1104" s="247" t="e">
        <f t="shared" si="125"/>
        <v>#VALUE!</v>
      </c>
    </row>
    <row r="1105" spans="1:17" ht="15" customHeight="1" x14ac:dyDescent="0.25">
      <c r="A1105" s="244"/>
      <c r="B1105" s="244"/>
      <c r="C1105" s="244"/>
      <c r="D1105" s="244"/>
      <c r="E1105" s="244"/>
      <c r="F1105" s="244"/>
      <c r="G1105" s="244"/>
      <c r="I1105" s="244"/>
      <c r="J1105" s="244"/>
      <c r="K1105" s="246" t="e">
        <f t="shared" si="119"/>
        <v>#VALUE!</v>
      </c>
      <c r="L1105" s="246" t="e">
        <f t="shared" si="120"/>
        <v>#VALUE!</v>
      </c>
      <c r="M1105" s="247" t="e">
        <f t="shared" si="121"/>
        <v>#VALUE!</v>
      </c>
      <c r="N1105" s="246" t="e">
        <f t="shared" si="122"/>
        <v>#VALUE!</v>
      </c>
      <c r="O1105" s="247" t="e">
        <f t="shared" si="123"/>
        <v>#VALUE!</v>
      </c>
      <c r="P1105" s="247">
        <f t="shared" si="124"/>
        <v>0</v>
      </c>
      <c r="Q1105" s="247" t="e">
        <f t="shared" si="125"/>
        <v>#VALUE!</v>
      </c>
    </row>
    <row r="1106" spans="1:17" ht="15" customHeight="1" x14ac:dyDescent="0.25">
      <c r="A1106" s="244"/>
      <c r="B1106" s="244"/>
      <c r="C1106" s="244"/>
      <c r="D1106" s="244"/>
      <c r="E1106" s="244"/>
      <c r="F1106" s="244"/>
      <c r="G1106" s="244"/>
      <c r="I1106" s="244"/>
      <c r="J1106" s="244"/>
      <c r="K1106" s="246" t="e">
        <f t="shared" si="119"/>
        <v>#VALUE!</v>
      </c>
      <c r="L1106" s="246" t="e">
        <f t="shared" si="120"/>
        <v>#VALUE!</v>
      </c>
      <c r="M1106" s="247" t="e">
        <f t="shared" si="121"/>
        <v>#VALUE!</v>
      </c>
      <c r="N1106" s="246" t="e">
        <f t="shared" si="122"/>
        <v>#VALUE!</v>
      </c>
      <c r="O1106" s="247" t="e">
        <f t="shared" si="123"/>
        <v>#VALUE!</v>
      </c>
      <c r="P1106" s="247">
        <f t="shared" si="124"/>
        <v>0</v>
      </c>
      <c r="Q1106" s="247" t="e">
        <f t="shared" si="125"/>
        <v>#VALUE!</v>
      </c>
    </row>
    <row r="1107" spans="1:17" ht="15" customHeight="1" x14ac:dyDescent="0.25">
      <c r="A1107" s="244"/>
      <c r="B1107" s="244"/>
      <c r="C1107" s="244"/>
      <c r="D1107" s="244"/>
      <c r="E1107" s="244"/>
      <c r="F1107" s="244"/>
      <c r="G1107" s="244"/>
      <c r="I1107" s="244"/>
      <c r="J1107" s="244"/>
      <c r="K1107" s="246" t="e">
        <f t="shared" si="119"/>
        <v>#VALUE!</v>
      </c>
      <c r="L1107" s="246" t="e">
        <f t="shared" si="120"/>
        <v>#VALUE!</v>
      </c>
      <c r="M1107" s="247" t="e">
        <f t="shared" si="121"/>
        <v>#VALUE!</v>
      </c>
      <c r="N1107" s="246" t="e">
        <f t="shared" si="122"/>
        <v>#VALUE!</v>
      </c>
      <c r="O1107" s="247" t="e">
        <f t="shared" si="123"/>
        <v>#VALUE!</v>
      </c>
      <c r="P1107" s="247">
        <f t="shared" si="124"/>
        <v>0</v>
      </c>
      <c r="Q1107" s="247" t="e">
        <f t="shared" si="125"/>
        <v>#VALUE!</v>
      </c>
    </row>
    <row r="1108" spans="1:17" ht="15" customHeight="1" x14ac:dyDescent="0.25">
      <c r="A1108" s="244"/>
      <c r="B1108" s="244"/>
      <c r="C1108" s="244"/>
      <c r="D1108" s="244"/>
      <c r="E1108" s="244"/>
      <c r="F1108" s="244"/>
      <c r="G1108" s="244"/>
      <c r="I1108" s="244"/>
      <c r="J1108" s="244"/>
      <c r="K1108" s="246" t="e">
        <f t="shared" si="119"/>
        <v>#VALUE!</v>
      </c>
      <c r="L1108" s="246" t="e">
        <f t="shared" si="120"/>
        <v>#VALUE!</v>
      </c>
      <c r="M1108" s="247" t="e">
        <f t="shared" si="121"/>
        <v>#VALUE!</v>
      </c>
      <c r="N1108" s="246" t="e">
        <f t="shared" si="122"/>
        <v>#VALUE!</v>
      </c>
      <c r="O1108" s="247" t="e">
        <f t="shared" si="123"/>
        <v>#VALUE!</v>
      </c>
      <c r="P1108" s="247">
        <f t="shared" si="124"/>
        <v>0</v>
      </c>
      <c r="Q1108" s="247" t="e">
        <f t="shared" si="125"/>
        <v>#VALUE!</v>
      </c>
    </row>
    <row r="1109" spans="1:17" ht="15" customHeight="1" x14ac:dyDescent="0.25">
      <c r="A1109" s="244"/>
      <c r="B1109" s="244"/>
      <c r="C1109" s="244"/>
      <c r="D1109" s="244"/>
      <c r="E1109" s="244"/>
      <c r="F1109" s="244"/>
      <c r="G1109" s="244"/>
      <c r="I1109" s="244"/>
      <c r="J1109" s="244"/>
      <c r="K1109" s="246" t="e">
        <f t="shared" si="119"/>
        <v>#VALUE!</v>
      </c>
      <c r="L1109" s="246" t="e">
        <f t="shared" si="120"/>
        <v>#VALUE!</v>
      </c>
      <c r="M1109" s="247" t="e">
        <f t="shared" si="121"/>
        <v>#VALUE!</v>
      </c>
      <c r="N1109" s="246" t="e">
        <f t="shared" si="122"/>
        <v>#VALUE!</v>
      </c>
      <c r="O1109" s="247" t="e">
        <f t="shared" si="123"/>
        <v>#VALUE!</v>
      </c>
      <c r="P1109" s="247">
        <f t="shared" si="124"/>
        <v>0</v>
      </c>
      <c r="Q1109" s="247" t="e">
        <f t="shared" si="125"/>
        <v>#VALUE!</v>
      </c>
    </row>
    <row r="1110" spans="1:17" ht="15" customHeight="1" x14ac:dyDescent="0.25">
      <c r="A1110" s="244"/>
      <c r="B1110" s="244"/>
      <c r="C1110" s="244"/>
      <c r="D1110" s="244"/>
      <c r="E1110" s="244"/>
      <c r="F1110" s="244"/>
      <c r="G1110" s="244"/>
      <c r="I1110" s="244"/>
      <c r="J1110" s="244"/>
      <c r="K1110" s="246" t="e">
        <f t="shared" si="119"/>
        <v>#VALUE!</v>
      </c>
      <c r="L1110" s="246" t="e">
        <f t="shared" si="120"/>
        <v>#VALUE!</v>
      </c>
      <c r="M1110" s="247" t="e">
        <f t="shared" si="121"/>
        <v>#VALUE!</v>
      </c>
      <c r="N1110" s="246" t="e">
        <f t="shared" si="122"/>
        <v>#VALUE!</v>
      </c>
      <c r="O1110" s="247" t="e">
        <f t="shared" si="123"/>
        <v>#VALUE!</v>
      </c>
      <c r="P1110" s="247">
        <f t="shared" si="124"/>
        <v>0</v>
      </c>
      <c r="Q1110" s="247" t="e">
        <f t="shared" si="125"/>
        <v>#VALUE!</v>
      </c>
    </row>
    <row r="1111" spans="1:17" ht="15" customHeight="1" x14ac:dyDescent="0.25">
      <c r="A1111" s="244"/>
      <c r="B1111" s="244"/>
      <c r="C1111" s="244"/>
      <c r="D1111" s="244"/>
      <c r="E1111" s="244"/>
      <c r="F1111" s="244"/>
      <c r="G1111" s="244"/>
      <c r="I1111" s="244"/>
      <c r="J1111" s="244"/>
      <c r="K1111" s="246" t="e">
        <f t="shared" si="119"/>
        <v>#VALUE!</v>
      </c>
      <c r="L1111" s="246" t="e">
        <f t="shared" si="120"/>
        <v>#VALUE!</v>
      </c>
      <c r="M1111" s="247" t="e">
        <f t="shared" si="121"/>
        <v>#VALUE!</v>
      </c>
      <c r="N1111" s="246" t="e">
        <f t="shared" si="122"/>
        <v>#VALUE!</v>
      </c>
      <c r="O1111" s="247" t="e">
        <f t="shared" si="123"/>
        <v>#VALUE!</v>
      </c>
      <c r="P1111" s="247">
        <f t="shared" si="124"/>
        <v>0</v>
      </c>
      <c r="Q1111" s="247" t="e">
        <f t="shared" si="125"/>
        <v>#VALUE!</v>
      </c>
    </row>
    <row r="1112" spans="1:17" ht="15" customHeight="1" x14ac:dyDescent="0.25">
      <c r="A1112" s="244"/>
      <c r="B1112" s="244"/>
      <c r="C1112" s="244"/>
      <c r="D1112" s="244"/>
      <c r="E1112" s="244"/>
      <c r="F1112" s="244"/>
      <c r="G1112" s="244"/>
      <c r="I1112" s="244"/>
      <c r="J1112" s="244"/>
      <c r="K1112" s="246" t="e">
        <f t="shared" si="119"/>
        <v>#VALUE!</v>
      </c>
      <c r="L1112" s="246" t="e">
        <f t="shared" si="120"/>
        <v>#VALUE!</v>
      </c>
      <c r="M1112" s="247" t="e">
        <f t="shared" si="121"/>
        <v>#VALUE!</v>
      </c>
      <c r="N1112" s="246" t="e">
        <f t="shared" si="122"/>
        <v>#VALUE!</v>
      </c>
      <c r="O1112" s="247" t="e">
        <f t="shared" si="123"/>
        <v>#VALUE!</v>
      </c>
      <c r="P1112" s="247">
        <f t="shared" si="124"/>
        <v>0</v>
      </c>
      <c r="Q1112" s="247" t="e">
        <f t="shared" si="125"/>
        <v>#VALUE!</v>
      </c>
    </row>
    <row r="1113" spans="1:17" ht="15" customHeight="1" x14ac:dyDescent="0.25">
      <c r="A1113" s="244"/>
      <c r="B1113" s="244"/>
      <c r="C1113" s="244"/>
      <c r="D1113" s="244"/>
      <c r="E1113" s="244"/>
      <c r="F1113" s="244"/>
      <c r="G1113" s="244"/>
      <c r="I1113" s="244"/>
      <c r="J1113" s="244"/>
      <c r="K1113" s="246" t="e">
        <f t="shared" si="119"/>
        <v>#VALUE!</v>
      </c>
      <c r="L1113" s="246" t="e">
        <f t="shared" si="120"/>
        <v>#VALUE!</v>
      </c>
      <c r="M1113" s="247" t="e">
        <f t="shared" si="121"/>
        <v>#VALUE!</v>
      </c>
      <c r="N1113" s="246" t="e">
        <f t="shared" si="122"/>
        <v>#VALUE!</v>
      </c>
      <c r="O1113" s="247" t="e">
        <f t="shared" si="123"/>
        <v>#VALUE!</v>
      </c>
      <c r="P1113" s="247">
        <f t="shared" si="124"/>
        <v>0</v>
      </c>
      <c r="Q1113" s="247" t="e">
        <f t="shared" si="125"/>
        <v>#VALUE!</v>
      </c>
    </row>
    <row r="1114" spans="1:17" ht="15" customHeight="1" x14ac:dyDescent="0.25">
      <c r="A1114" s="244"/>
      <c r="B1114" s="244"/>
      <c r="C1114" s="244"/>
      <c r="D1114" s="244"/>
      <c r="E1114" s="244"/>
      <c r="F1114" s="244"/>
      <c r="G1114" s="244"/>
      <c r="I1114" s="244"/>
      <c r="J1114" s="244"/>
      <c r="K1114" s="246" t="e">
        <f t="shared" si="119"/>
        <v>#VALUE!</v>
      </c>
      <c r="L1114" s="246" t="e">
        <f t="shared" si="120"/>
        <v>#VALUE!</v>
      </c>
      <c r="M1114" s="247" t="e">
        <f t="shared" si="121"/>
        <v>#VALUE!</v>
      </c>
      <c r="N1114" s="246" t="e">
        <f t="shared" si="122"/>
        <v>#VALUE!</v>
      </c>
      <c r="O1114" s="247" t="e">
        <f t="shared" si="123"/>
        <v>#VALUE!</v>
      </c>
      <c r="P1114" s="247">
        <f t="shared" si="124"/>
        <v>0</v>
      </c>
      <c r="Q1114" s="247" t="e">
        <f t="shared" si="125"/>
        <v>#VALUE!</v>
      </c>
    </row>
    <row r="1115" spans="1:17" ht="15" customHeight="1" x14ac:dyDescent="0.25">
      <c r="A1115" s="244"/>
      <c r="B1115" s="244"/>
      <c r="C1115" s="244"/>
      <c r="D1115" s="244"/>
      <c r="E1115" s="244"/>
      <c r="F1115" s="244"/>
      <c r="G1115" s="244"/>
      <c r="I1115" s="244"/>
      <c r="J1115" s="244"/>
      <c r="K1115" s="246" t="e">
        <f t="shared" si="119"/>
        <v>#VALUE!</v>
      </c>
      <c r="L1115" s="246" t="e">
        <f t="shared" si="120"/>
        <v>#VALUE!</v>
      </c>
      <c r="M1115" s="247" t="e">
        <f t="shared" si="121"/>
        <v>#VALUE!</v>
      </c>
      <c r="N1115" s="246" t="e">
        <f t="shared" si="122"/>
        <v>#VALUE!</v>
      </c>
      <c r="O1115" s="247" t="e">
        <f t="shared" si="123"/>
        <v>#VALUE!</v>
      </c>
      <c r="P1115" s="247">
        <f t="shared" si="124"/>
        <v>0</v>
      </c>
      <c r="Q1115" s="247" t="e">
        <f t="shared" si="125"/>
        <v>#VALUE!</v>
      </c>
    </row>
    <row r="1116" spans="1:17" ht="15" customHeight="1" x14ac:dyDescent="0.25">
      <c r="A1116" s="244"/>
      <c r="B1116" s="244"/>
      <c r="C1116" s="244"/>
      <c r="D1116" s="244"/>
      <c r="E1116" s="244"/>
      <c r="F1116" s="244"/>
      <c r="G1116" s="244"/>
      <c r="I1116" s="244"/>
      <c r="J1116" s="244"/>
      <c r="K1116" s="246" t="e">
        <f t="shared" si="119"/>
        <v>#VALUE!</v>
      </c>
      <c r="L1116" s="246" t="e">
        <f t="shared" si="120"/>
        <v>#VALUE!</v>
      </c>
      <c r="M1116" s="247" t="e">
        <f t="shared" si="121"/>
        <v>#VALUE!</v>
      </c>
      <c r="N1116" s="246" t="e">
        <f t="shared" si="122"/>
        <v>#VALUE!</v>
      </c>
      <c r="O1116" s="247" t="e">
        <f t="shared" si="123"/>
        <v>#VALUE!</v>
      </c>
      <c r="P1116" s="247">
        <f t="shared" si="124"/>
        <v>0</v>
      </c>
      <c r="Q1116" s="247" t="e">
        <f t="shared" si="125"/>
        <v>#VALUE!</v>
      </c>
    </row>
    <row r="1117" spans="1:17" ht="15" customHeight="1" x14ac:dyDescent="0.25">
      <c r="A1117" s="244"/>
      <c r="B1117" s="244"/>
      <c r="C1117" s="244"/>
      <c r="D1117" s="244"/>
      <c r="E1117" s="244"/>
      <c r="F1117" s="244"/>
      <c r="G1117" s="244"/>
      <c r="I1117" s="244"/>
      <c r="J1117" s="244"/>
      <c r="K1117" s="246" t="e">
        <f t="shared" si="119"/>
        <v>#VALUE!</v>
      </c>
      <c r="L1117" s="246" t="e">
        <f t="shared" si="120"/>
        <v>#VALUE!</v>
      </c>
      <c r="M1117" s="247" t="e">
        <f t="shared" si="121"/>
        <v>#VALUE!</v>
      </c>
      <c r="N1117" s="246" t="e">
        <f t="shared" si="122"/>
        <v>#VALUE!</v>
      </c>
      <c r="O1117" s="247" t="e">
        <f t="shared" si="123"/>
        <v>#VALUE!</v>
      </c>
      <c r="P1117" s="247">
        <f t="shared" si="124"/>
        <v>0</v>
      </c>
      <c r="Q1117" s="247" t="e">
        <f t="shared" si="125"/>
        <v>#VALUE!</v>
      </c>
    </row>
    <row r="1118" spans="1:17" ht="15" customHeight="1" x14ac:dyDescent="0.25">
      <c r="A1118" s="244"/>
      <c r="B1118" s="244"/>
      <c r="C1118" s="244"/>
      <c r="D1118" s="244"/>
      <c r="E1118" s="244"/>
      <c r="F1118" s="244"/>
      <c r="G1118" s="244"/>
      <c r="I1118" s="244"/>
      <c r="J1118" s="244"/>
      <c r="K1118" s="246" t="e">
        <f t="shared" si="119"/>
        <v>#VALUE!</v>
      </c>
      <c r="L1118" s="246" t="e">
        <f t="shared" si="120"/>
        <v>#VALUE!</v>
      </c>
      <c r="M1118" s="247" t="e">
        <f t="shared" si="121"/>
        <v>#VALUE!</v>
      </c>
      <c r="N1118" s="246" t="e">
        <f t="shared" si="122"/>
        <v>#VALUE!</v>
      </c>
      <c r="O1118" s="247" t="e">
        <f t="shared" si="123"/>
        <v>#VALUE!</v>
      </c>
      <c r="P1118" s="247">
        <f t="shared" si="124"/>
        <v>0</v>
      </c>
      <c r="Q1118" s="247" t="e">
        <f t="shared" si="125"/>
        <v>#VALUE!</v>
      </c>
    </row>
    <row r="1119" spans="1:17" ht="15" customHeight="1" x14ac:dyDescent="0.25">
      <c r="A1119" s="244"/>
      <c r="B1119" s="244"/>
      <c r="C1119" s="244"/>
      <c r="D1119" s="244"/>
      <c r="E1119" s="244"/>
      <c r="F1119" s="244"/>
      <c r="G1119" s="244"/>
      <c r="I1119" s="244"/>
      <c r="J1119" s="244"/>
      <c r="K1119" s="246" t="e">
        <f t="shared" si="119"/>
        <v>#VALUE!</v>
      </c>
      <c r="L1119" s="246" t="e">
        <f t="shared" si="120"/>
        <v>#VALUE!</v>
      </c>
      <c r="M1119" s="247" t="e">
        <f t="shared" si="121"/>
        <v>#VALUE!</v>
      </c>
      <c r="N1119" s="246" t="e">
        <f t="shared" si="122"/>
        <v>#VALUE!</v>
      </c>
      <c r="O1119" s="247" t="e">
        <f t="shared" si="123"/>
        <v>#VALUE!</v>
      </c>
      <c r="P1119" s="247">
        <f t="shared" si="124"/>
        <v>0</v>
      </c>
      <c r="Q1119" s="247" t="e">
        <f t="shared" si="125"/>
        <v>#VALUE!</v>
      </c>
    </row>
    <row r="1120" spans="1:17" ht="15" customHeight="1" x14ac:dyDescent="0.25">
      <c r="A1120" s="244"/>
      <c r="B1120" s="244"/>
      <c r="C1120" s="244"/>
      <c r="D1120" s="244"/>
      <c r="E1120" s="244"/>
      <c r="F1120" s="244"/>
      <c r="G1120" s="244"/>
      <c r="I1120" s="244"/>
      <c r="J1120" s="244"/>
      <c r="K1120" s="246" t="e">
        <f t="shared" si="119"/>
        <v>#VALUE!</v>
      </c>
      <c r="L1120" s="246" t="e">
        <f t="shared" si="120"/>
        <v>#VALUE!</v>
      </c>
      <c r="M1120" s="247" t="e">
        <f t="shared" si="121"/>
        <v>#VALUE!</v>
      </c>
      <c r="N1120" s="246" t="e">
        <f t="shared" si="122"/>
        <v>#VALUE!</v>
      </c>
      <c r="O1120" s="247" t="e">
        <f t="shared" si="123"/>
        <v>#VALUE!</v>
      </c>
      <c r="P1120" s="247">
        <f t="shared" si="124"/>
        <v>0</v>
      </c>
      <c r="Q1120" s="247" t="e">
        <f t="shared" si="125"/>
        <v>#VALUE!</v>
      </c>
    </row>
    <row r="1121" spans="1:17" ht="15" customHeight="1" x14ac:dyDescent="0.25">
      <c r="A1121" s="244"/>
      <c r="B1121" s="244"/>
      <c r="C1121" s="244"/>
      <c r="D1121" s="244"/>
      <c r="E1121" s="244"/>
      <c r="F1121" s="244"/>
      <c r="G1121" s="244"/>
      <c r="I1121" s="244"/>
      <c r="J1121" s="244"/>
      <c r="K1121" s="246" t="e">
        <f t="shared" si="119"/>
        <v>#VALUE!</v>
      </c>
      <c r="L1121" s="246" t="e">
        <f t="shared" si="120"/>
        <v>#VALUE!</v>
      </c>
      <c r="M1121" s="247" t="e">
        <f t="shared" si="121"/>
        <v>#VALUE!</v>
      </c>
      <c r="N1121" s="246" t="e">
        <f t="shared" si="122"/>
        <v>#VALUE!</v>
      </c>
      <c r="O1121" s="247" t="e">
        <f t="shared" si="123"/>
        <v>#VALUE!</v>
      </c>
      <c r="P1121" s="247">
        <f t="shared" si="124"/>
        <v>0</v>
      </c>
      <c r="Q1121" s="247" t="e">
        <f t="shared" si="125"/>
        <v>#VALUE!</v>
      </c>
    </row>
    <row r="1122" spans="1:17" ht="15" customHeight="1" x14ac:dyDescent="0.25">
      <c r="A1122" s="244"/>
      <c r="B1122" s="244"/>
      <c r="C1122" s="244"/>
      <c r="D1122" s="244"/>
      <c r="E1122" s="244"/>
      <c r="F1122" s="244"/>
      <c r="G1122" s="244"/>
      <c r="I1122" s="244"/>
      <c r="J1122" s="244"/>
      <c r="K1122" s="246" t="e">
        <f t="shared" si="119"/>
        <v>#VALUE!</v>
      </c>
      <c r="L1122" s="246" t="e">
        <f t="shared" si="120"/>
        <v>#VALUE!</v>
      </c>
      <c r="M1122" s="247" t="e">
        <f t="shared" si="121"/>
        <v>#VALUE!</v>
      </c>
      <c r="N1122" s="246" t="e">
        <f t="shared" si="122"/>
        <v>#VALUE!</v>
      </c>
      <c r="O1122" s="247" t="e">
        <f t="shared" si="123"/>
        <v>#VALUE!</v>
      </c>
      <c r="P1122" s="247">
        <f t="shared" si="124"/>
        <v>0</v>
      </c>
      <c r="Q1122" s="247" t="e">
        <f t="shared" si="125"/>
        <v>#VALUE!</v>
      </c>
    </row>
    <row r="1123" spans="1:17" ht="15" customHeight="1" x14ac:dyDescent="0.25">
      <c r="A1123" s="244"/>
      <c r="B1123" s="244"/>
      <c r="C1123" s="244"/>
      <c r="D1123" s="244"/>
      <c r="E1123" s="244"/>
      <c r="F1123" s="244"/>
      <c r="G1123" s="244"/>
      <c r="I1123" s="244"/>
      <c r="J1123" s="244"/>
      <c r="K1123" s="246" t="e">
        <f t="shared" si="119"/>
        <v>#VALUE!</v>
      </c>
      <c r="L1123" s="246" t="e">
        <f t="shared" si="120"/>
        <v>#VALUE!</v>
      </c>
      <c r="M1123" s="247" t="e">
        <f t="shared" si="121"/>
        <v>#VALUE!</v>
      </c>
      <c r="N1123" s="246" t="e">
        <f t="shared" si="122"/>
        <v>#VALUE!</v>
      </c>
      <c r="O1123" s="247" t="e">
        <f t="shared" si="123"/>
        <v>#VALUE!</v>
      </c>
      <c r="P1123" s="247">
        <f t="shared" si="124"/>
        <v>0</v>
      </c>
      <c r="Q1123" s="247" t="e">
        <f t="shared" si="125"/>
        <v>#VALUE!</v>
      </c>
    </row>
    <row r="1124" spans="1:17" ht="15" customHeight="1" x14ac:dyDescent="0.25">
      <c r="A1124" s="244"/>
      <c r="B1124" s="244"/>
      <c r="C1124" s="244"/>
      <c r="D1124" s="244"/>
      <c r="E1124" s="244"/>
      <c r="F1124" s="244"/>
      <c r="G1124" s="244"/>
      <c r="I1124" s="244"/>
      <c r="J1124" s="244"/>
      <c r="K1124" s="246" t="e">
        <f t="shared" si="119"/>
        <v>#VALUE!</v>
      </c>
      <c r="L1124" s="246" t="e">
        <f t="shared" si="120"/>
        <v>#VALUE!</v>
      </c>
      <c r="M1124" s="247" t="e">
        <f t="shared" si="121"/>
        <v>#VALUE!</v>
      </c>
      <c r="N1124" s="246" t="e">
        <f t="shared" si="122"/>
        <v>#VALUE!</v>
      </c>
      <c r="O1124" s="247" t="e">
        <f t="shared" si="123"/>
        <v>#VALUE!</v>
      </c>
      <c r="P1124" s="247">
        <f t="shared" si="124"/>
        <v>0</v>
      </c>
      <c r="Q1124" s="247" t="e">
        <f t="shared" si="125"/>
        <v>#VALUE!</v>
      </c>
    </row>
    <row r="1125" spans="1:17" ht="15" customHeight="1" x14ac:dyDescent="0.25">
      <c r="A1125" s="244"/>
      <c r="B1125" s="244"/>
      <c r="C1125" s="244"/>
      <c r="D1125" s="244"/>
      <c r="E1125" s="244"/>
      <c r="F1125" s="244"/>
      <c r="G1125" s="244"/>
      <c r="I1125" s="244"/>
      <c r="J1125" s="244"/>
      <c r="K1125" s="246" t="e">
        <f t="shared" si="119"/>
        <v>#VALUE!</v>
      </c>
      <c r="L1125" s="246" t="e">
        <f t="shared" si="120"/>
        <v>#VALUE!</v>
      </c>
      <c r="M1125" s="247" t="e">
        <f t="shared" si="121"/>
        <v>#VALUE!</v>
      </c>
      <c r="N1125" s="246" t="e">
        <f t="shared" si="122"/>
        <v>#VALUE!</v>
      </c>
      <c r="O1125" s="247" t="e">
        <f t="shared" si="123"/>
        <v>#VALUE!</v>
      </c>
      <c r="P1125" s="247">
        <f t="shared" si="124"/>
        <v>0</v>
      </c>
      <c r="Q1125" s="247" t="e">
        <f t="shared" si="125"/>
        <v>#VALUE!</v>
      </c>
    </row>
    <row r="1126" spans="1:17" ht="15" customHeight="1" x14ac:dyDescent="0.25">
      <c r="A1126" s="244"/>
      <c r="B1126" s="244"/>
      <c r="C1126" s="244"/>
      <c r="D1126" s="244"/>
      <c r="E1126" s="244"/>
      <c r="F1126" s="244"/>
      <c r="G1126" s="244"/>
      <c r="I1126" s="244"/>
      <c r="J1126" s="244"/>
      <c r="K1126" s="246" t="e">
        <f t="shared" si="119"/>
        <v>#VALUE!</v>
      </c>
      <c r="L1126" s="246" t="e">
        <f t="shared" si="120"/>
        <v>#VALUE!</v>
      </c>
      <c r="M1126" s="247" t="e">
        <f t="shared" si="121"/>
        <v>#VALUE!</v>
      </c>
      <c r="N1126" s="246" t="e">
        <f t="shared" si="122"/>
        <v>#VALUE!</v>
      </c>
      <c r="O1126" s="247" t="e">
        <f t="shared" si="123"/>
        <v>#VALUE!</v>
      </c>
      <c r="P1126" s="247">
        <f t="shared" si="124"/>
        <v>0</v>
      </c>
      <c r="Q1126" s="247" t="e">
        <f t="shared" si="125"/>
        <v>#VALUE!</v>
      </c>
    </row>
    <row r="1127" spans="1:17" ht="15" customHeight="1" x14ac:dyDescent="0.25">
      <c r="A1127" s="244"/>
      <c r="B1127" s="244"/>
      <c r="C1127" s="244"/>
      <c r="D1127" s="244"/>
      <c r="E1127" s="244"/>
      <c r="F1127" s="244"/>
      <c r="G1127" s="244"/>
      <c r="I1127" s="244"/>
      <c r="J1127" s="244"/>
      <c r="K1127" s="246" t="e">
        <f t="shared" si="119"/>
        <v>#VALUE!</v>
      </c>
      <c r="L1127" s="246" t="e">
        <f t="shared" si="120"/>
        <v>#VALUE!</v>
      </c>
      <c r="M1127" s="247" t="e">
        <f t="shared" si="121"/>
        <v>#VALUE!</v>
      </c>
      <c r="N1127" s="246" t="e">
        <f t="shared" si="122"/>
        <v>#VALUE!</v>
      </c>
      <c r="O1127" s="247" t="e">
        <f t="shared" si="123"/>
        <v>#VALUE!</v>
      </c>
      <c r="P1127" s="247">
        <f t="shared" si="124"/>
        <v>0</v>
      </c>
      <c r="Q1127" s="247" t="e">
        <f t="shared" si="125"/>
        <v>#VALUE!</v>
      </c>
    </row>
    <row r="1128" spans="1:17" ht="15" customHeight="1" x14ac:dyDescent="0.25">
      <c r="A1128" s="244"/>
      <c r="B1128" s="244"/>
      <c r="C1128" s="244"/>
      <c r="D1128" s="244"/>
      <c r="E1128" s="244"/>
      <c r="F1128" s="244"/>
      <c r="G1128" s="244"/>
      <c r="I1128" s="244"/>
      <c r="J1128" s="244"/>
      <c r="K1128" s="246" t="e">
        <f t="shared" si="119"/>
        <v>#VALUE!</v>
      </c>
      <c r="L1128" s="246" t="e">
        <f t="shared" si="120"/>
        <v>#VALUE!</v>
      </c>
      <c r="M1128" s="247" t="e">
        <f t="shared" si="121"/>
        <v>#VALUE!</v>
      </c>
      <c r="N1128" s="246" t="e">
        <f t="shared" si="122"/>
        <v>#VALUE!</v>
      </c>
      <c r="O1128" s="247" t="e">
        <f t="shared" si="123"/>
        <v>#VALUE!</v>
      </c>
      <c r="P1128" s="247">
        <f t="shared" si="124"/>
        <v>0</v>
      </c>
      <c r="Q1128" s="247" t="e">
        <f t="shared" si="125"/>
        <v>#VALUE!</v>
      </c>
    </row>
    <row r="1129" spans="1:17" ht="15" customHeight="1" x14ac:dyDescent="0.25">
      <c r="A1129" s="244"/>
      <c r="B1129" s="244"/>
      <c r="C1129" s="244"/>
      <c r="D1129" s="244"/>
      <c r="E1129" s="244"/>
      <c r="F1129" s="244"/>
      <c r="G1129" s="244"/>
      <c r="I1129" s="244"/>
      <c r="J1129" s="244"/>
      <c r="K1129" s="246" t="e">
        <f t="shared" si="119"/>
        <v>#VALUE!</v>
      </c>
      <c r="L1129" s="246" t="e">
        <f t="shared" si="120"/>
        <v>#VALUE!</v>
      </c>
      <c r="M1129" s="247" t="e">
        <f t="shared" si="121"/>
        <v>#VALUE!</v>
      </c>
      <c r="N1129" s="246" t="e">
        <f t="shared" si="122"/>
        <v>#VALUE!</v>
      </c>
      <c r="O1129" s="247" t="e">
        <f t="shared" si="123"/>
        <v>#VALUE!</v>
      </c>
      <c r="P1129" s="247">
        <f t="shared" si="124"/>
        <v>0</v>
      </c>
      <c r="Q1129" s="247" t="e">
        <f t="shared" si="125"/>
        <v>#VALUE!</v>
      </c>
    </row>
    <row r="1130" spans="1:17" ht="15" customHeight="1" x14ac:dyDescent="0.25">
      <c r="A1130" s="244"/>
      <c r="B1130" s="244"/>
      <c r="C1130" s="244"/>
      <c r="D1130" s="244"/>
      <c r="E1130" s="244"/>
      <c r="F1130" s="244"/>
      <c r="G1130" s="244"/>
      <c r="I1130" s="244"/>
      <c r="J1130" s="244"/>
      <c r="K1130" s="246" t="e">
        <f t="shared" si="119"/>
        <v>#VALUE!</v>
      </c>
      <c r="L1130" s="246" t="e">
        <f t="shared" si="120"/>
        <v>#VALUE!</v>
      </c>
      <c r="M1130" s="247" t="e">
        <f t="shared" si="121"/>
        <v>#VALUE!</v>
      </c>
      <c r="N1130" s="246" t="e">
        <f t="shared" si="122"/>
        <v>#VALUE!</v>
      </c>
      <c r="O1130" s="247" t="e">
        <f t="shared" si="123"/>
        <v>#VALUE!</v>
      </c>
      <c r="P1130" s="247">
        <f t="shared" si="124"/>
        <v>0</v>
      </c>
      <c r="Q1130" s="247" t="e">
        <f t="shared" si="125"/>
        <v>#VALUE!</v>
      </c>
    </row>
    <row r="1131" spans="1:17" ht="15" customHeight="1" x14ac:dyDescent="0.25">
      <c r="A1131" s="244"/>
      <c r="B1131" s="244"/>
      <c r="C1131" s="244"/>
      <c r="D1131" s="244"/>
      <c r="E1131" s="244"/>
      <c r="F1131" s="244"/>
      <c r="G1131" s="244"/>
      <c r="I1131" s="244"/>
      <c r="J1131" s="244"/>
      <c r="K1131" s="246" t="e">
        <f t="shared" si="119"/>
        <v>#VALUE!</v>
      </c>
      <c r="L1131" s="246" t="e">
        <f t="shared" si="120"/>
        <v>#VALUE!</v>
      </c>
      <c r="M1131" s="247" t="e">
        <f t="shared" si="121"/>
        <v>#VALUE!</v>
      </c>
      <c r="N1131" s="246" t="e">
        <f t="shared" si="122"/>
        <v>#VALUE!</v>
      </c>
      <c r="O1131" s="247" t="e">
        <f t="shared" si="123"/>
        <v>#VALUE!</v>
      </c>
      <c r="P1131" s="247">
        <f t="shared" si="124"/>
        <v>0</v>
      </c>
      <c r="Q1131" s="247" t="e">
        <f t="shared" si="125"/>
        <v>#VALUE!</v>
      </c>
    </row>
    <row r="1132" spans="1:17" ht="15" customHeight="1" x14ac:dyDescent="0.25">
      <c r="A1132" s="244"/>
      <c r="B1132" s="244"/>
      <c r="C1132" s="244"/>
      <c r="D1132" s="244"/>
      <c r="E1132" s="244"/>
      <c r="F1132" s="244"/>
      <c r="G1132" s="244"/>
      <c r="I1132" s="244"/>
      <c r="J1132" s="244"/>
      <c r="K1132" s="246" t="e">
        <f t="shared" si="119"/>
        <v>#VALUE!</v>
      </c>
      <c r="L1132" s="246" t="e">
        <f t="shared" si="120"/>
        <v>#VALUE!</v>
      </c>
      <c r="M1132" s="247" t="e">
        <f t="shared" si="121"/>
        <v>#VALUE!</v>
      </c>
      <c r="N1132" s="246" t="e">
        <f t="shared" si="122"/>
        <v>#VALUE!</v>
      </c>
      <c r="O1132" s="247" t="e">
        <f t="shared" si="123"/>
        <v>#VALUE!</v>
      </c>
      <c r="P1132" s="247">
        <f t="shared" si="124"/>
        <v>0</v>
      </c>
      <c r="Q1132" s="247" t="e">
        <f t="shared" si="125"/>
        <v>#VALUE!</v>
      </c>
    </row>
    <row r="1133" spans="1:17" ht="15" customHeight="1" x14ac:dyDescent="0.25">
      <c r="A1133" s="244"/>
      <c r="B1133" s="244"/>
      <c r="C1133" s="244"/>
      <c r="D1133" s="244"/>
      <c r="E1133" s="244"/>
      <c r="F1133" s="244"/>
      <c r="G1133" s="244"/>
      <c r="I1133" s="244"/>
      <c r="J1133" s="244"/>
      <c r="K1133" s="246" t="e">
        <f t="shared" si="119"/>
        <v>#VALUE!</v>
      </c>
      <c r="L1133" s="246" t="e">
        <f t="shared" si="120"/>
        <v>#VALUE!</v>
      </c>
      <c r="M1133" s="247" t="e">
        <f t="shared" si="121"/>
        <v>#VALUE!</v>
      </c>
      <c r="N1133" s="246" t="e">
        <f t="shared" si="122"/>
        <v>#VALUE!</v>
      </c>
      <c r="O1133" s="247" t="e">
        <f t="shared" si="123"/>
        <v>#VALUE!</v>
      </c>
      <c r="P1133" s="247">
        <f t="shared" si="124"/>
        <v>0</v>
      </c>
      <c r="Q1133" s="247" t="e">
        <f t="shared" si="125"/>
        <v>#VALUE!</v>
      </c>
    </row>
    <row r="1134" spans="1:17" ht="15" customHeight="1" x14ac:dyDescent="0.25">
      <c r="A1134" s="244"/>
      <c r="B1134" s="244"/>
      <c r="C1134" s="244"/>
      <c r="D1134" s="244"/>
      <c r="E1134" s="244"/>
      <c r="F1134" s="244"/>
      <c r="G1134" s="244"/>
      <c r="I1134" s="244"/>
      <c r="J1134" s="244"/>
      <c r="K1134" s="246" t="e">
        <f t="shared" si="119"/>
        <v>#VALUE!</v>
      </c>
      <c r="L1134" s="246" t="e">
        <f t="shared" si="120"/>
        <v>#VALUE!</v>
      </c>
      <c r="M1134" s="247" t="e">
        <f t="shared" si="121"/>
        <v>#VALUE!</v>
      </c>
      <c r="N1134" s="246" t="e">
        <f t="shared" si="122"/>
        <v>#VALUE!</v>
      </c>
      <c r="O1134" s="247" t="e">
        <f t="shared" si="123"/>
        <v>#VALUE!</v>
      </c>
      <c r="P1134" s="247">
        <f t="shared" si="124"/>
        <v>0</v>
      </c>
      <c r="Q1134" s="247" t="e">
        <f t="shared" si="125"/>
        <v>#VALUE!</v>
      </c>
    </row>
    <row r="1135" spans="1:17" ht="15" customHeight="1" x14ac:dyDescent="0.25">
      <c r="A1135" s="244"/>
      <c r="B1135" s="244"/>
      <c r="C1135" s="244"/>
      <c r="D1135" s="244"/>
      <c r="E1135" s="244"/>
      <c r="F1135" s="244"/>
      <c r="G1135" s="244"/>
      <c r="I1135" s="244"/>
      <c r="J1135" s="244"/>
      <c r="K1135" s="246" t="e">
        <f t="shared" si="119"/>
        <v>#VALUE!</v>
      </c>
      <c r="L1135" s="246" t="e">
        <f t="shared" si="120"/>
        <v>#VALUE!</v>
      </c>
      <c r="M1135" s="247" t="e">
        <f t="shared" si="121"/>
        <v>#VALUE!</v>
      </c>
      <c r="N1135" s="246" t="e">
        <f t="shared" si="122"/>
        <v>#VALUE!</v>
      </c>
      <c r="O1135" s="247" t="e">
        <f t="shared" si="123"/>
        <v>#VALUE!</v>
      </c>
      <c r="P1135" s="247">
        <f t="shared" si="124"/>
        <v>0</v>
      </c>
      <c r="Q1135" s="247" t="e">
        <f t="shared" si="125"/>
        <v>#VALUE!</v>
      </c>
    </row>
    <row r="1136" spans="1:17" ht="15" customHeight="1" x14ac:dyDescent="0.25">
      <c r="A1136" s="244"/>
      <c r="B1136" s="244"/>
      <c r="C1136" s="244"/>
      <c r="D1136" s="244"/>
      <c r="E1136" s="244"/>
      <c r="F1136" s="244"/>
      <c r="G1136" s="244"/>
      <c r="I1136" s="244"/>
      <c r="J1136" s="244"/>
      <c r="K1136" s="246" t="e">
        <f t="shared" si="119"/>
        <v>#VALUE!</v>
      </c>
      <c r="L1136" s="246" t="e">
        <f t="shared" si="120"/>
        <v>#VALUE!</v>
      </c>
      <c r="M1136" s="247" t="e">
        <f t="shared" si="121"/>
        <v>#VALUE!</v>
      </c>
      <c r="N1136" s="246" t="e">
        <f t="shared" si="122"/>
        <v>#VALUE!</v>
      </c>
      <c r="O1136" s="247" t="e">
        <f t="shared" si="123"/>
        <v>#VALUE!</v>
      </c>
      <c r="P1136" s="247">
        <f t="shared" si="124"/>
        <v>0</v>
      </c>
      <c r="Q1136" s="247" t="e">
        <f t="shared" si="125"/>
        <v>#VALUE!</v>
      </c>
    </row>
    <row r="1137" spans="1:17" ht="15" customHeight="1" x14ac:dyDescent="0.25">
      <c r="A1137" s="244"/>
      <c r="B1137" s="244"/>
      <c r="C1137" s="244"/>
      <c r="D1137" s="244"/>
      <c r="E1137" s="244"/>
      <c r="F1137" s="244"/>
      <c r="G1137" s="244"/>
      <c r="I1137" s="244"/>
      <c r="J1137" s="244"/>
      <c r="K1137" s="246" t="e">
        <f t="shared" si="119"/>
        <v>#VALUE!</v>
      </c>
      <c r="L1137" s="246" t="e">
        <f t="shared" si="120"/>
        <v>#VALUE!</v>
      </c>
      <c r="M1137" s="247" t="e">
        <f t="shared" si="121"/>
        <v>#VALUE!</v>
      </c>
      <c r="N1137" s="246" t="e">
        <f t="shared" si="122"/>
        <v>#VALUE!</v>
      </c>
      <c r="O1137" s="247" t="e">
        <f t="shared" si="123"/>
        <v>#VALUE!</v>
      </c>
      <c r="P1137" s="247">
        <f t="shared" si="124"/>
        <v>0</v>
      </c>
      <c r="Q1137" s="247" t="e">
        <f t="shared" si="125"/>
        <v>#VALUE!</v>
      </c>
    </row>
    <row r="1138" spans="1:17" ht="15" customHeight="1" x14ac:dyDescent="0.25">
      <c r="A1138" s="244"/>
      <c r="B1138" s="244"/>
      <c r="C1138" s="244"/>
      <c r="D1138" s="244"/>
      <c r="E1138" s="244"/>
      <c r="F1138" s="244"/>
      <c r="G1138" s="244"/>
      <c r="I1138" s="244"/>
      <c r="J1138" s="244"/>
      <c r="K1138" s="246" t="e">
        <f t="shared" si="119"/>
        <v>#VALUE!</v>
      </c>
      <c r="L1138" s="246" t="e">
        <f t="shared" si="120"/>
        <v>#VALUE!</v>
      </c>
      <c r="M1138" s="247" t="e">
        <f t="shared" si="121"/>
        <v>#VALUE!</v>
      </c>
      <c r="N1138" s="246" t="e">
        <f t="shared" si="122"/>
        <v>#VALUE!</v>
      </c>
      <c r="O1138" s="247" t="e">
        <f t="shared" si="123"/>
        <v>#VALUE!</v>
      </c>
      <c r="P1138" s="247">
        <f t="shared" si="124"/>
        <v>0</v>
      </c>
      <c r="Q1138" s="247" t="e">
        <f t="shared" si="125"/>
        <v>#VALUE!</v>
      </c>
    </row>
    <row r="1139" spans="1:17" ht="15" customHeight="1" x14ac:dyDescent="0.25">
      <c r="A1139" s="244"/>
      <c r="B1139" s="244"/>
      <c r="C1139" s="244"/>
      <c r="D1139" s="244"/>
      <c r="E1139" s="244"/>
      <c r="F1139" s="244"/>
      <c r="G1139" s="244"/>
      <c r="I1139" s="244"/>
      <c r="J1139" s="244"/>
      <c r="K1139" s="246" t="e">
        <f t="shared" si="119"/>
        <v>#VALUE!</v>
      </c>
      <c r="L1139" s="246" t="e">
        <f t="shared" si="120"/>
        <v>#VALUE!</v>
      </c>
      <c r="M1139" s="247" t="e">
        <f t="shared" si="121"/>
        <v>#VALUE!</v>
      </c>
      <c r="N1139" s="246" t="e">
        <f t="shared" si="122"/>
        <v>#VALUE!</v>
      </c>
      <c r="O1139" s="247" t="e">
        <f t="shared" si="123"/>
        <v>#VALUE!</v>
      </c>
      <c r="P1139" s="247">
        <f t="shared" si="124"/>
        <v>0</v>
      </c>
      <c r="Q1139" s="247" t="e">
        <f t="shared" si="125"/>
        <v>#VALUE!</v>
      </c>
    </row>
    <row r="1140" spans="1:17" ht="15" customHeight="1" x14ac:dyDescent="0.25">
      <c r="A1140" s="244"/>
      <c r="B1140" s="244"/>
      <c r="C1140" s="244"/>
      <c r="D1140" s="244"/>
      <c r="E1140" s="244"/>
      <c r="F1140" s="244"/>
      <c r="G1140" s="244"/>
      <c r="I1140" s="244"/>
      <c r="J1140" s="244"/>
      <c r="K1140" s="246" t="e">
        <f t="shared" si="119"/>
        <v>#VALUE!</v>
      </c>
      <c r="L1140" s="246" t="e">
        <f t="shared" si="120"/>
        <v>#VALUE!</v>
      </c>
      <c r="M1140" s="247" t="e">
        <f t="shared" si="121"/>
        <v>#VALUE!</v>
      </c>
      <c r="N1140" s="246" t="e">
        <f t="shared" si="122"/>
        <v>#VALUE!</v>
      </c>
      <c r="O1140" s="247" t="e">
        <f t="shared" si="123"/>
        <v>#VALUE!</v>
      </c>
      <c r="P1140" s="247">
        <f t="shared" si="124"/>
        <v>0</v>
      </c>
      <c r="Q1140" s="247" t="e">
        <f t="shared" si="125"/>
        <v>#VALUE!</v>
      </c>
    </row>
    <row r="1141" spans="1:17" ht="15" customHeight="1" x14ac:dyDescent="0.25">
      <c r="A1141" s="244"/>
      <c r="B1141" s="244"/>
      <c r="C1141" s="244"/>
      <c r="D1141" s="244"/>
      <c r="E1141" s="244"/>
      <c r="F1141" s="244"/>
      <c r="G1141" s="244"/>
      <c r="I1141" s="244"/>
      <c r="J1141" s="244"/>
      <c r="K1141" s="246" t="e">
        <f t="shared" si="119"/>
        <v>#VALUE!</v>
      </c>
      <c r="L1141" s="246" t="e">
        <f t="shared" si="120"/>
        <v>#VALUE!</v>
      </c>
      <c r="M1141" s="247" t="e">
        <f t="shared" si="121"/>
        <v>#VALUE!</v>
      </c>
      <c r="N1141" s="246" t="e">
        <f t="shared" si="122"/>
        <v>#VALUE!</v>
      </c>
      <c r="O1141" s="247" t="e">
        <f t="shared" si="123"/>
        <v>#VALUE!</v>
      </c>
      <c r="P1141" s="247">
        <f t="shared" si="124"/>
        <v>0</v>
      </c>
      <c r="Q1141" s="247" t="e">
        <f t="shared" si="125"/>
        <v>#VALUE!</v>
      </c>
    </row>
    <row r="1142" spans="1:17" ht="15" customHeight="1" x14ac:dyDescent="0.25">
      <c r="A1142" s="244"/>
      <c r="B1142" s="244"/>
      <c r="C1142" s="244"/>
      <c r="D1142" s="244"/>
      <c r="E1142" s="244"/>
      <c r="F1142" s="244"/>
      <c r="G1142" s="244"/>
      <c r="I1142" s="244"/>
      <c r="J1142" s="244"/>
      <c r="K1142" s="246" t="e">
        <f t="shared" si="119"/>
        <v>#VALUE!</v>
      </c>
      <c r="L1142" s="246" t="e">
        <f t="shared" si="120"/>
        <v>#VALUE!</v>
      </c>
      <c r="M1142" s="247" t="e">
        <f t="shared" si="121"/>
        <v>#VALUE!</v>
      </c>
      <c r="N1142" s="246" t="e">
        <f t="shared" si="122"/>
        <v>#VALUE!</v>
      </c>
      <c r="O1142" s="247" t="e">
        <f t="shared" si="123"/>
        <v>#VALUE!</v>
      </c>
      <c r="P1142" s="247">
        <f t="shared" si="124"/>
        <v>0</v>
      </c>
      <c r="Q1142" s="247" t="e">
        <f t="shared" si="125"/>
        <v>#VALUE!</v>
      </c>
    </row>
    <row r="1143" spans="1:17" ht="15" customHeight="1" x14ac:dyDescent="0.25">
      <c r="A1143" s="244"/>
      <c r="B1143" s="244"/>
      <c r="C1143" s="244"/>
      <c r="D1143" s="244"/>
      <c r="E1143" s="244"/>
      <c r="F1143" s="244"/>
      <c r="G1143" s="244"/>
      <c r="I1143" s="244"/>
      <c r="J1143" s="244"/>
      <c r="K1143" s="246" t="e">
        <f t="shared" si="119"/>
        <v>#VALUE!</v>
      </c>
      <c r="L1143" s="246" t="e">
        <f t="shared" si="120"/>
        <v>#VALUE!</v>
      </c>
      <c r="M1143" s="247" t="e">
        <f t="shared" si="121"/>
        <v>#VALUE!</v>
      </c>
      <c r="N1143" s="246" t="e">
        <f t="shared" si="122"/>
        <v>#VALUE!</v>
      </c>
      <c r="O1143" s="247" t="e">
        <f t="shared" si="123"/>
        <v>#VALUE!</v>
      </c>
      <c r="P1143" s="247">
        <f t="shared" si="124"/>
        <v>0</v>
      </c>
      <c r="Q1143" s="247" t="e">
        <f t="shared" si="125"/>
        <v>#VALUE!</v>
      </c>
    </row>
    <row r="1144" spans="1:17" ht="15" customHeight="1" x14ac:dyDescent="0.25">
      <c r="A1144" s="244"/>
      <c r="B1144" s="244"/>
      <c r="C1144" s="244"/>
      <c r="D1144" s="244"/>
      <c r="E1144" s="244"/>
      <c r="F1144" s="244"/>
      <c r="G1144" s="244"/>
      <c r="I1144" s="244"/>
      <c r="J1144" s="244"/>
      <c r="K1144" s="246" t="e">
        <f t="shared" si="119"/>
        <v>#VALUE!</v>
      </c>
      <c r="L1144" s="246" t="e">
        <f t="shared" si="120"/>
        <v>#VALUE!</v>
      </c>
      <c r="M1144" s="247" t="e">
        <f t="shared" si="121"/>
        <v>#VALUE!</v>
      </c>
      <c r="N1144" s="246" t="e">
        <f t="shared" si="122"/>
        <v>#VALUE!</v>
      </c>
      <c r="O1144" s="247" t="e">
        <f t="shared" si="123"/>
        <v>#VALUE!</v>
      </c>
      <c r="P1144" s="247">
        <f t="shared" si="124"/>
        <v>0</v>
      </c>
      <c r="Q1144" s="247" t="e">
        <f t="shared" si="125"/>
        <v>#VALUE!</v>
      </c>
    </row>
    <row r="1145" spans="1:17" ht="15" customHeight="1" x14ac:dyDescent="0.25">
      <c r="A1145" s="244"/>
      <c r="B1145" s="244"/>
      <c r="C1145" s="244"/>
      <c r="D1145" s="244"/>
      <c r="E1145" s="244"/>
      <c r="F1145" s="244"/>
      <c r="G1145" s="244"/>
      <c r="I1145" s="244"/>
      <c r="J1145" s="244"/>
      <c r="K1145" s="246" t="e">
        <f t="shared" si="119"/>
        <v>#VALUE!</v>
      </c>
      <c r="L1145" s="246" t="e">
        <f t="shared" si="120"/>
        <v>#VALUE!</v>
      </c>
      <c r="M1145" s="247" t="e">
        <f t="shared" si="121"/>
        <v>#VALUE!</v>
      </c>
      <c r="N1145" s="246" t="e">
        <f t="shared" si="122"/>
        <v>#VALUE!</v>
      </c>
      <c r="O1145" s="247" t="e">
        <f t="shared" si="123"/>
        <v>#VALUE!</v>
      </c>
      <c r="P1145" s="247">
        <f t="shared" si="124"/>
        <v>0</v>
      </c>
      <c r="Q1145" s="247" t="e">
        <f t="shared" si="125"/>
        <v>#VALUE!</v>
      </c>
    </row>
    <row r="1146" spans="1:17" ht="15" customHeight="1" x14ac:dyDescent="0.25">
      <c r="A1146" s="244"/>
      <c r="B1146" s="244"/>
      <c r="C1146" s="244"/>
      <c r="D1146" s="244"/>
      <c r="E1146" s="244"/>
      <c r="F1146" s="244"/>
      <c r="G1146" s="244"/>
      <c r="I1146" s="244"/>
      <c r="J1146" s="244"/>
      <c r="K1146" s="246" t="e">
        <f t="shared" si="119"/>
        <v>#VALUE!</v>
      </c>
      <c r="L1146" s="246" t="e">
        <f t="shared" si="120"/>
        <v>#VALUE!</v>
      </c>
      <c r="M1146" s="247" t="e">
        <f t="shared" si="121"/>
        <v>#VALUE!</v>
      </c>
      <c r="N1146" s="246" t="e">
        <f t="shared" si="122"/>
        <v>#VALUE!</v>
      </c>
      <c r="O1146" s="247" t="e">
        <f t="shared" si="123"/>
        <v>#VALUE!</v>
      </c>
      <c r="P1146" s="247">
        <f t="shared" si="124"/>
        <v>0</v>
      </c>
      <c r="Q1146" s="247" t="e">
        <f t="shared" si="125"/>
        <v>#VALUE!</v>
      </c>
    </row>
    <row r="1147" spans="1:17" ht="15" customHeight="1" x14ac:dyDescent="0.25">
      <c r="A1147" s="244"/>
      <c r="B1147" s="244"/>
      <c r="C1147" s="244"/>
      <c r="D1147" s="244"/>
      <c r="E1147" s="244"/>
      <c r="F1147" s="244"/>
      <c r="G1147" s="244"/>
      <c r="I1147" s="244"/>
      <c r="J1147" s="244"/>
      <c r="K1147" s="246" t="e">
        <f t="shared" si="119"/>
        <v>#VALUE!</v>
      </c>
      <c r="L1147" s="246" t="e">
        <f t="shared" si="120"/>
        <v>#VALUE!</v>
      </c>
      <c r="M1147" s="247" t="e">
        <f t="shared" si="121"/>
        <v>#VALUE!</v>
      </c>
      <c r="N1147" s="246" t="e">
        <f t="shared" si="122"/>
        <v>#VALUE!</v>
      </c>
      <c r="O1147" s="247" t="e">
        <f t="shared" si="123"/>
        <v>#VALUE!</v>
      </c>
      <c r="P1147" s="247">
        <f t="shared" si="124"/>
        <v>0</v>
      </c>
      <c r="Q1147" s="247" t="e">
        <f t="shared" si="125"/>
        <v>#VALUE!</v>
      </c>
    </row>
    <row r="1148" spans="1:17" ht="15" customHeight="1" x14ac:dyDescent="0.25">
      <c r="A1148" s="244"/>
      <c r="B1148" s="244"/>
      <c r="C1148" s="244"/>
      <c r="D1148" s="244"/>
      <c r="E1148" s="244"/>
      <c r="F1148" s="244"/>
      <c r="G1148" s="244"/>
      <c r="I1148" s="244"/>
      <c r="J1148" s="244"/>
      <c r="K1148" s="246" t="e">
        <f t="shared" si="119"/>
        <v>#VALUE!</v>
      </c>
      <c r="L1148" s="246" t="e">
        <f t="shared" si="120"/>
        <v>#VALUE!</v>
      </c>
      <c r="M1148" s="247" t="e">
        <f t="shared" si="121"/>
        <v>#VALUE!</v>
      </c>
      <c r="N1148" s="246" t="e">
        <f t="shared" si="122"/>
        <v>#VALUE!</v>
      </c>
      <c r="O1148" s="247" t="e">
        <f t="shared" si="123"/>
        <v>#VALUE!</v>
      </c>
      <c r="P1148" s="247">
        <f t="shared" si="124"/>
        <v>0</v>
      </c>
      <c r="Q1148" s="247" t="e">
        <f t="shared" si="125"/>
        <v>#VALUE!</v>
      </c>
    </row>
    <row r="1149" spans="1:17" ht="15" customHeight="1" x14ac:dyDescent="0.25">
      <c r="A1149" s="244"/>
      <c r="B1149" s="244"/>
      <c r="C1149" s="244"/>
      <c r="D1149" s="244"/>
      <c r="E1149" s="244"/>
      <c r="F1149" s="244"/>
      <c r="G1149" s="244"/>
      <c r="I1149" s="244"/>
      <c r="J1149" s="244"/>
      <c r="K1149" s="246" t="e">
        <f t="shared" si="119"/>
        <v>#VALUE!</v>
      </c>
      <c r="L1149" s="246" t="e">
        <f t="shared" si="120"/>
        <v>#VALUE!</v>
      </c>
      <c r="M1149" s="247" t="e">
        <f t="shared" si="121"/>
        <v>#VALUE!</v>
      </c>
      <c r="N1149" s="246" t="e">
        <f t="shared" si="122"/>
        <v>#VALUE!</v>
      </c>
      <c r="O1149" s="247" t="e">
        <f t="shared" si="123"/>
        <v>#VALUE!</v>
      </c>
      <c r="P1149" s="247">
        <f t="shared" si="124"/>
        <v>0</v>
      </c>
      <c r="Q1149" s="247" t="e">
        <f t="shared" si="125"/>
        <v>#VALUE!</v>
      </c>
    </row>
    <row r="1150" spans="1:17" ht="15" customHeight="1" x14ac:dyDescent="0.25">
      <c r="A1150" s="244"/>
      <c r="B1150" s="244"/>
      <c r="C1150" s="244"/>
      <c r="D1150" s="244"/>
      <c r="E1150" s="244"/>
      <c r="F1150" s="244"/>
      <c r="G1150" s="244"/>
      <c r="I1150" s="244"/>
      <c r="J1150" s="244"/>
      <c r="K1150" s="246" t="e">
        <f t="shared" si="119"/>
        <v>#VALUE!</v>
      </c>
      <c r="L1150" s="246" t="e">
        <f t="shared" si="120"/>
        <v>#VALUE!</v>
      </c>
      <c r="M1150" s="247" t="e">
        <f t="shared" si="121"/>
        <v>#VALUE!</v>
      </c>
      <c r="N1150" s="246" t="e">
        <f t="shared" si="122"/>
        <v>#VALUE!</v>
      </c>
      <c r="O1150" s="247" t="e">
        <f t="shared" si="123"/>
        <v>#VALUE!</v>
      </c>
      <c r="P1150" s="247">
        <f t="shared" si="124"/>
        <v>0</v>
      </c>
      <c r="Q1150" s="247" t="e">
        <f t="shared" si="125"/>
        <v>#VALUE!</v>
      </c>
    </row>
    <row r="1151" spans="1:17" ht="15" customHeight="1" x14ac:dyDescent="0.25">
      <c r="A1151" s="244"/>
      <c r="B1151" s="244"/>
      <c r="C1151" s="244"/>
      <c r="D1151" s="244"/>
      <c r="E1151" s="244"/>
      <c r="F1151" s="244"/>
      <c r="G1151" s="244"/>
      <c r="I1151" s="244"/>
      <c r="J1151" s="244"/>
      <c r="K1151" s="246" t="e">
        <f t="shared" si="119"/>
        <v>#VALUE!</v>
      </c>
      <c r="L1151" s="246" t="e">
        <f t="shared" si="120"/>
        <v>#VALUE!</v>
      </c>
      <c r="M1151" s="247" t="e">
        <f t="shared" si="121"/>
        <v>#VALUE!</v>
      </c>
      <c r="N1151" s="246" t="e">
        <f t="shared" si="122"/>
        <v>#VALUE!</v>
      </c>
      <c r="O1151" s="247" t="e">
        <f t="shared" si="123"/>
        <v>#VALUE!</v>
      </c>
      <c r="P1151" s="247">
        <f t="shared" si="124"/>
        <v>0</v>
      </c>
      <c r="Q1151" s="247" t="e">
        <f t="shared" si="125"/>
        <v>#VALUE!</v>
      </c>
    </row>
    <row r="1152" spans="1:17" ht="15" customHeight="1" x14ac:dyDescent="0.25">
      <c r="A1152" s="244"/>
      <c r="B1152" s="244"/>
      <c r="C1152" s="244"/>
      <c r="D1152" s="244"/>
      <c r="E1152" s="244"/>
      <c r="F1152" s="244"/>
      <c r="G1152" s="244"/>
      <c r="I1152" s="244"/>
      <c r="J1152" s="244"/>
      <c r="K1152" s="246" t="e">
        <f t="shared" si="119"/>
        <v>#VALUE!</v>
      </c>
      <c r="L1152" s="246" t="e">
        <f t="shared" si="120"/>
        <v>#VALUE!</v>
      </c>
      <c r="M1152" s="247" t="e">
        <f t="shared" si="121"/>
        <v>#VALUE!</v>
      </c>
      <c r="N1152" s="246" t="e">
        <f t="shared" si="122"/>
        <v>#VALUE!</v>
      </c>
      <c r="O1152" s="247" t="e">
        <f t="shared" si="123"/>
        <v>#VALUE!</v>
      </c>
      <c r="P1152" s="247">
        <f t="shared" si="124"/>
        <v>0</v>
      </c>
      <c r="Q1152" s="247" t="e">
        <f t="shared" si="125"/>
        <v>#VALUE!</v>
      </c>
    </row>
    <row r="1153" spans="1:17" ht="15" customHeight="1" x14ac:dyDescent="0.25">
      <c r="A1153" s="244"/>
      <c r="B1153" s="244"/>
      <c r="C1153" s="244"/>
      <c r="D1153" s="244"/>
      <c r="E1153" s="244"/>
      <c r="F1153" s="244"/>
      <c r="G1153" s="244"/>
      <c r="I1153" s="244"/>
      <c r="J1153" s="244"/>
      <c r="K1153" s="246" t="e">
        <f t="shared" si="119"/>
        <v>#VALUE!</v>
      </c>
      <c r="L1153" s="246" t="e">
        <f t="shared" si="120"/>
        <v>#VALUE!</v>
      </c>
      <c r="M1153" s="247" t="e">
        <f t="shared" si="121"/>
        <v>#VALUE!</v>
      </c>
      <c r="N1153" s="246" t="e">
        <f t="shared" si="122"/>
        <v>#VALUE!</v>
      </c>
      <c r="O1153" s="247" t="e">
        <f t="shared" si="123"/>
        <v>#VALUE!</v>
      </c>
      <c r="P1153" s="247">
        <f t="shared" si="124"/>
        <v>0</v>
      </c>
      <c r="Q1153" s="247" t="e">
        <f t="shared" si="125"/>
        <v>#VALUE!</v>
      </c>
    </row>
    <row r="1154" spans="1:17" ht="15" customHeight="1" x14ac:dyDescent="0.25">
      <c r="A1154" s="244"/>
      <c r="B1154" s="244"/>
      <c r="C1154" s="244"/>
      <c r="D1154" s="244"/>
      <c r="E1154" s="244"/>
      <c r="F1154" s="244"/>
      <c r="G1154" s="244"/>
      <c r="I1154" s="244"/>
      <c r="J1154" s="244"/>
      <c r="K1154" s="246" t="e">
        <f t="shared" ref="K1154:K1217" si="126">DATE(VALUE(LEFT(A1154,4)),VALUE(MID(A1154,5,2)),VALUE(RIGHT(A1154,2)))</f>
        <v>#VALUE!</v>
      </c>
      <c r="L1154" s="246" t="e">
        <f t="shared" ref="L1154:L1217" si="127">DATEVALUE(LEFT(F1154,10))</f>
        <v>#VALUE!</v>
      </c>
      <c r="M1154" s="247" t="e">
        <f t="shared" ref="M1154:M1217" si="128">TIMEVALUE(MID(F1154,12,8))</f>
        <v>#VALUE!</v>
      </c>
      <c r="N1154" s="246" t="e">
        <f t="shared" ref="N1154:N1217" si="129">DATEVALUE(LEFT(G1154,10))</f>
        <v>#VALUE!</v>
      </c>
      <c r="O1154" s="247" t="e">
        <f t="shared" ref="O1154:O1217" si="130">TIMEVALUE(MID(G1154,12,8))</f>
        <v>#VALUE!</v>
      </c>
      <c r="P1154" s="247">
        <f t="shared" ref="P1154:P1217" si="131">IFERROR(_xlfn.MINIFS($M:$M,$E:$E,$E1154,$K:$K,$K1154,$M:$M,"&gt;"&amp;$O1154),"")</f>
        <v>0</v>
      </c>
      <c r="Q1154" s="247" t="e">
        <f t="shared" ref="Q1154:Q1217" si="132">IF($P1154="","",$P1154-$O1154)</f>
        <v>#VALUE!</v>
      </c>
    </row>
    <row r="1155" spans="1:17" ht="15" customHeight="1" x14ac:dyDescent="0.25">
      <c r="A1155" s="244"/>
      <c r="B1155" s="244"/>
      <c r="C1155" s="244"/>
      <c r="D1155" s="244"/>
      <c r="E1155" s="244"/>
      <c r="F1155" s="244"/>
      <c r="G1155" s="244"/>
      <c r="I1155" s="244"/>
      <c r="J1155" s="244"/>
      <c r="K1155" s="246" t="e">
        <f t="shared" si="126"/>
        <v>#VALUE!</v>
      </c>
      <c r="L1155" s="246" t="e">
        <f t="shared" si="127"/>
        <v>#VALUE!</v>
      </c>
      <c r="M1155" s="247" t="e">
        <f t="shared" si="128"/>
        <v>#VALUE!</v>
      </c>
      <c r="N1155" s="246" t="e">
        <f t="shared" si="129"/>
        <v>#VALUE!</v>
      </c>
      <c r="O1155" s="247" t="e">
        <f t="shared" si="130"/>
        <v>#VALUE!</v>
      </c>
      <c r="P1155" s="247">
        <f t="shared" si="131"/>
        <v>0</v>
      </c>
      <c r="Q1155" s="247" t="e">
        <f t="shared" si="132"/>
        <v>#VALUE!</v>
      </c>
    </row>
    <row r="1156" spans="1:17" ht="15" customHeight="1" x14ac:dyDescent="0.25">
      <c r="A1156" s="244"/>
      <c r="B1156" s="244"/>
      <c r="C1156" s="244"/>
      <c r="D1156" s="244"/>
      <c r="E1156" s="244"/>
      <c r="F1156" s="244"/>
      <c r="G1156" s="244"/>
      <c r="I1156" s="244"/>
      <c r="J1156" s="244"/>
      <c r="K1156" s="246" t="e">
        <f t="shared" si="126"/>
        <v>#VALUE!</v>
      </c>
      <c r="L1156" s="246" t="e">
        <f t="shared" si="127"/>
        <v>#VALUE!</v>
      </c>
      <c r="M1156" s="247" t="e">
        <f t="shared" si="128"/>
        <v>#VALUE!</v>
      </c>
      <c r="N1156" s="246" t="e">
        <f t="shared" si="129"/>
        <v>#VALUE!</v>
      </c>
      <c r="O1156" s="247" t="e">
        <f t="shared" si="130"/>
        <v>#VALUE!</v>
      </c>
      <c r="P1156" s="247">
        <f t="shared" si="131"/>
        <v>0</v>
      </c>
      <c r="Q1156" s="247" t="e">
        <f t="shared" si="132"/>
        <v>#VALUE!</v>
      </c>
    </row>
    <row r="1157" spans="1:17" ht="15" customHeight="1" x14ac:dyDescent="0.25">
      <c r="A1157" s="244"/>
      <c r="B1157" s="244"/>
      <c r="C1157" s="244"/>
      <c r="D1157" s="244"/>
      <c r="E1157" s="244"/>
      <c r="F1157" s="244"/>
      <c r="G1157" s="244"/>
      <c r="I1157" s="244"/>
      <c r="J1157" s="244"/>
      <c r="K1157" s="246" t="e">
        <f t="shared" si="126"/>
        <v>#VALUE!</v>
      </c>
      <c r="L1157" s="246" t="e">
        <f t="shared" si="127"/>
        <v>#VALUE!</v>
      </c>
      <c r="M1157" s="247" t="e">
        <f t="shared" si="128"/>
        <v>#VALUE!</v>
      </c>
      <c r="N1157" s="246" t="e">
        <f t="shared" si="129"/>
        <v>#VALUE!</v>
      </c>
      <c r="O1157" s="247" t="e">
        <f t="shared" si="130"/>
        <v>#VALUE!</v>
      </c>
      <c r="P1157" s="247">
        <f t="shared" si="131"/>
        <v>0</v>
      </c>
      <c r="Q1157" s="247" t="e">
        <f t="shared" si="132"/>
        <v>#VALUE!</v>
      </c>
    </row>
    <row r="1158" spans="1:17" ht="15" customHeight="1" x14ac:dyDescent="0.25">
      <c r="A1158" s="244"/>
      <c r="B1158" s="244"/>
      <c r="C1158" s="244"/>
      <c r="D1158" s="244"/>
      <c r="E1158" s="244"/>
      <c r="F1158" s="244"/>
      <c r="G1158" s="244"/>
      <c r="I1158" s="244"/>
      <c r="J1158" s="244"/>
      <c r="K1158" s="246" t="e">
        <f t="shared" si="126"/>
        <v>#VALUE!</v>
      </c>
      <c r="L1158" s="246" t="e">
        <f t="shared" si="127"/>
        <v>#VALUE!</v>
      </c>
      <c r="M1158" s="247" t="e">
        <f t="shared" si="128"/>
        <v>#VALUE!</v>
      </c>
      <c r="N1158" s="246" t="e">
        <f t="shared" si="129"/>
        <v>#VALUE!</v>
      </c>
      <c r="O1158" s="247" t="e">
        <f t="shared" si="130"/>
        <v>#VALUE!</v>
      </c>
      <c r="P1158" s="247">
        <f t="shared" si="131"/>
        <v>0</v>
      </c>
      <c r="Q1158" s="247" t="e">
        <f t="shared" si="132"/>
        <v>#VALUE!</v>
      </c>
    </row>
    <row r="1159" spans="1:17" ht="15" customHeight="1" x14ac:dyDescent="0.25">
      <c r="A1159" s="244"/>
      <c r="B1159" s="244"/>
      <c r="C1159" s="244"/>
      <c r="D1159" s="244"/>
      <c r="E1159" s="244"/>
      <c r="F1159" s="244"/>
      <c r="G1159" s="244"/>
      <c r="I1159" s="244"/>
      <c r="J1159" s="244"/>
      <c r="K1159" s="246" t="e">
        <f t="shared" si="126"/>
        <v>#VALUE!</v>
      </c>
      <c r="L1159" s="246" t="e">
        <f t="shared" si="127"/>
        <v>#VALUE!</v>
      </c>
      <c r="M1159" s="247" t="e">
        <f t="shared" si="128"/>
        <v>#VALUE!</v>
      </c>
      <c r="N1159" s="246" t="e">
        <f t="shared" si="129"/>
        <v>#VALUE!</v>
      </c>
      <c r="O1159" s="247" t="e">
        <f t="shared" si="130"/>
        <v>#VALUE!</v>
      </c>
      <c r="P1159" s="247">
        <f t="shared" si="131"/>
        <v>0</v>
      </c>
      <c r="Q1159" s="247" t="e">
        <f t="shared" si="132"/>
        <v>#VALUE!</v>
      </c>
    </row>
    <row r="1160" spans="1:17" ht="15" customHeight="1" x14ac:dyDescent="0.25">
      <c r="A1160" s="244"/>
      <c r="B1160" s="244"/>
      <c r="C1160" s="244"/>
      <c r="D1160" s="244"/>
      <c r="E1160" s="244"/>
      <c r="F1160" s="244"/>
      <c r="G1160" s="244"/>
      <c r="I1160" s="244"/>
      <c r="J1160" s="244"/>
      <c r="K1160" s="246" t="e">
        <f t="shared" si="126"/>
        <v>#VALUE!</v>
      </c>
      <c r="L1160" s="246" t="e">
        <f t="shared" si="127"/>
        <v>#VALUE!</v>
      </c>
      <c r="M1160" s="247" t="e">
        <f t="shared" si="128"/>
        <v>#VALUE!</v>
      </c>
      <c r="N1160" s="246" t="e">
        <f t="shared" si="129"/>
        <v>#VALUE!</v>
      </c>
      <c r="O1160" s="247" t="e">
        <f t="shared" si="130"/>
        <v>#VALUE!</v>
      </c>
      <c r="P1160" s="247">
        <f t="shared" si="131"/>
        <v>0</v>
      </c>
      <c r="Q1160" s="247" t="e">
        <f t="shared" si="132"/>
        <v>#VALUE!</v>
      </c>
    </row>
    <row r="1161" spans="1:17" ht="15" customHeight="1" x14ac:dyDescent="0.25">
      <c r="A1161" s="244"/>
      <c r="B1161" s="244"/>
      <c r="C1161" s="244"/>
      <c r="D1161" s="244"/>
      <c r="E1161" s="244"/>
      <c r="F1161" s="244"/>
      <c r="G1161" s="244"/>
      <c r="I1161" s="244"/>
      <c r="J1161" s="244"/>
      <c r="K1161" s="246" t="e">
        <f t="shared" si="126"/>
        <v>#VALUE!</v>
      </c>
      <c r="L1161" s="246" t="e">
        <f t="shared" si="127"/>
        <v>#VALUE!</v>
      </c>
      <c r="M1161" s="247" t="e">
        <f t="shared" si="128"/>
        <v>#VALUE!</v>
      </c>
      <c r="N1161" s="246" t="e">
        <f t="shared" si="129"/>
        <v>#VALUE!</v>
      </c>
      <c r="O1161" s="247" t="e">
        <f t="shared" si="130"/>
        <v>#VALUE!</v>
      </c>
      <c r="P1161" s="247">
        <f t="shared" si="131"/>
        <v>0</v>
      </c>
      <c r="Q1161" s="247" t="e">
        <f t="shared" si="132"/>
        <v>#VALUE!</v>
      </c>
    </row>
    <row r="1162" spans="1:17" ht="15" customHeight="1" x14ac:dyDescent="0.25">
      <c r="A1162" s="244"/>
      <c r="B1162" s="244"/>
      <c r="C1162" s="244"/>
      <c r="D1162" s="244"/>
      <c r="E1162" s="244"/>
      <c r="F1162" s="244"/>
      <c r="G1162" s="244"/>
      <c r="I1162" s="244"/>
      <c r="J1162" s="244"/>
      <c r="K1162" s="246" t="e">
        <f t="shared" si="126"/>
        <v>#VALUE!</v>
      </c>
      <c r="L1162" s="246" t="e">
        <f t="shared" si="127"/>
        <v>#VALUE!</v>
      </c>
      <c r="M1162" s="247" t="e">
        <f t="shared" si="128"/>
        <v>#VALUE!</v>
      </c>
      <c r="N1162" s="246" t="e">
        <f t="shared" si="129"/>
        <v>#VALUE!</v>
      </c>
      <c r="O1162" s="247" t="e">
        <f t="shared" si="130"/>
        <v>#VALUE!</v>
      </c>
      <c r="P1162" s="247">
        <f t="shared" si="131"/>
        <v>0</v>
      </c>
      <c r="Q1162" s="247" t="e">
        <f t="shared" si="132"/>
        <v>#VALUE!</v>
      </c>
    </row>
    <row r="1163" spans="1:17" ht="15" customHeight="1" x14ac:dyDescent="0.25">
      <c r="A1163" s="244"/>
      <c r="B1163" s="244"/>
      <c r="C1163" s="244"/>
      <c r="D1163" s="244"/>
      <c r="E1163" s="244"/>
      <c r="F1163" s="244"/>
      <c r="G1163" s="244"/>
      <c r="I1163" s="244"/>
      <c r="J1163" s="244"/>
      <c r="K1163" s="246" t="e">
        <f t="shared" si="126"/>
        <v>#VALUE!</v>
      </c>
      <c r="L1163" s="246" t="e">
        <f t="shared" si="127"/>
        <v>#VALUE!</v>
      </c>
      <c r="M1163" s="247" t="e">
        <f t="shared" si="128"/>
        <v>#VALUE!</v>
      </c>
      <c r="N1163" s="246" t="e">
        <f t="shared" si="129"/>
        <v>#VALUE!</v>
      </c>
      <c r="O1163" s="247" t="e">
        <f t="shared" si="130"/>
        <v>#VALUE!</v>
      </c>
      <c r="P1163" s="247">
        <f t="shared" si="131"/>
        <v>0</v>
      </c>
      <c r="Q1163" s="247" t="e">
        <f t="shared" si="132"/>
        <v>#VALUE!</v>
      </c>
    </row>
    <row r="1164" spans="1:17" ht="15" customHeight="1" x14ac:dyDescent="0.25">
      <c r="A1164" s="244"/>
      <c r="B1164" s="244"/>
      <c r="C1164" s="244"/>
      <c r="D1164" s="244"/>
      <c r="E1164" s="244"/>
      <c r="F1164" s="244"/>
      <c r="G1164" s="244"/>
      <c r="I1164" s="244"/>
      <c r="J1164" s="244"/>
      <c r="K1164" s="246" t="e">
        <f t="shared" si="126"/>
        <v>#VALUE!</v>
      </c>
      <c r="L1164" s="246" t="e">
        <f t="shared" si="127"/>
        <v>#VALUE!</v>
      </c>
      <c r="M1164" s="247" t="e">
        <f t="shared" si="128"/>
        <v>#VALUE!</v>
      </c>
      <c r="N1164" s="246" t="e">
        <f t="shared" si="129"/>
        <v>#VALUE!</v>
      </c>
      <c r="O1164" s="247" t="e">
        <f t="shared" si="130"/>
        <v>#VALUE!</v>
      </c>
      <c r="P1164" s="247">
        <f t="shared" si="131"/>
        <v>0</v>
      </c>
      <c r="Q1164" s="247" t="e">
        <f t="shared" si="132"/>
        <v>#VALUE!</v>
      </c>
    </row>
    <row r="1165" spans="1:17" ht="15" customHeight="1" x14ac:dyDescent="0.25">
      <c r="A1165" s="244"/>
      <c r="B1165" s="244"/>
      <c r="C1165" s="244"/>
      <c r="D1165" s="244"/>
      <c r="E1165" s="244"/>
      <c r="F1165" s="244"/>
      <c r="G1165" s="244"/>
      <c r="I1165" s="244"/>
      <c r="J1165" s="244"/>
      <c r="K1165" s="246" t="e">
        <f t="shared" si="126"/>
        <v>#VALUE!</v>
      </c>
      <c r="L1165" s="246" t="e">
        <f t="shared" si="127"/>
        <v>#VALUE!</v>
      </c>
      <c r="M1165" s="247" t="e">
        <f t="shared" si="128"/>
        <v>#VALUE!</v>
      </c>
      <c r="N1165" s="246" t="e">
        <f t="shared" si="129"/>
        <v>#VALUE!</v>
      </c>
      <c r="O1165" s="247" t="e">
        <f t="shared" si="130"/>
        <v>#VALUE!</v>
      </c>
      <c r="P1165" s="247">
        <f t="shared" si="131"/>
        <v>0</v>
      </c>
      <c r="Q1165" s="247" t="e">
        <f t="shared" si="132"/>
        <v>#VALUE!</v>
      </c>
    </row>
    <row r="1166" spans="1:17" ht="15" customHeight="1" x14ac:dyDescent="0.25">
      <c r="A1166" s="244"/>
      <c r="B1166" s="244"/>
      <c r="C1166" s="244"/>
      <c r="D1166" s="244"/>
      <c r="E1166" s="244"/>
      <c r="F1166" s="244"/>
      <c r="G1166" s="244"/>
      <c r="I1166" s="244"/>
      <c r="J1166" s="244"/>
      <c r="K1166" s="246" t="e">
        <f t="shared" si="126"/>
        <v>#VALUE!</v>
      </c>
      <c r="L1166" s="246" t="e">
        <f t="shared" si="127"/>
        <v>#VALUE!</v>
      </c>
      <c r="M1166" s="247" t="e">
        <f t="shared" si="128"/>
        <v>#VALUE!</v>
      </c>
      <c r="N1166" s="246" t="e">
        <f t="shared" si="129"/>
        <v>#VALUE!</v>
      </c>
      <c r="O1166" s="247" t="e">
        <f t="shared" si="130"/>
        <v>#VALUE!</v>
      </c>
      <c r="P1166" s="247">
        <f t="shared" si="131"/>
        <v>0</v>
      </c>
      <c r="Q1166" s="247" t="e">
        <f t="shared" si="132"/>
        <v>#VALUE!</v>
      </c>
    </row>
    <row r="1167" spans="1:17" ht="15" customHeight="1" x14ac:dyDescent="0.25">
      <c r="A1167" s="244"/>
      <c r="B1167" s="244"/>
      <c r="C1167" s="244"/>
      <c r="D1167" s="244"/>
      <c r="E1167" s="244"/>
      <c r="F1167" s="244"/>
      <c r="G1167" s="244"/>
      <c r="I1167" s="244"/>
      <c r="J1167" s="244"/>
      <c r="K1167" s="246" t="e">
        <f t="shared" si="126"/>
        <v>#VALUE!</v>
      </c>
      <c r="L1167" s="246" t="e">
        <f t="shared" si="127"/>
        <v>#VALUE!</v>
      </c>
      <c r="M1167" s="247" t="e">
        <f t="shared" si="128"/>
        <v>#VALUE!</v>
      </c>
      <c r="N1167" s="246" t="e">
        <f t="shared" si="129"/>
        <v>#VALUE!</v>
      </c>
      <c r="O1167" s="247" t="e">
        <f t="shared" si="130"/>
        <v>#VALUE!</v>
      </c>
      <c r="P1167" s="247">
        <f t="shared" si="131"/>
        <v>0</v>
      </c>
      <c r="Q1167" s="247" t="e">
        <f t="shared" si="132"/>
        <v>#VALUE!</v>
      </c>
    </row>
    <row r="1168" spans="1:17" ht="15" customHeight="1" x14ac:dyDescent="0.25">
      <c r="A1168" s="244"/>
      <c r="B1168" s="244"/>
      <c r="C1168" s="244"/>
      <c r="D1168" s="244"/>
      <c r="E1168" s="244"/>
      <c r="F1168" s="244"/>
      <c r="G1168" s="244"/>
      <c r="I1168" s="244"/>
      <c r="J1168" s="244"/>
      <c r="K1168" s="246" t="e">
        <f t="shared" si="126"/>
        <v>#VALUE!</v>
      </c>
      <c r="L1168" s="246" t="e">
        <f t="shared" si="127"/>
        <v>#VALUE!</v>
      </c>
      <c r="M1168" s="247" t="e">
        <f t="shared" si="128"/>
        <v>#VALUE!</v>
      </c>
      <c r="N1168" s="246" t="e">
        <f t="shared" si="129"/>
        <v>#VALUE!</v>
      </c>
      <c r="O1168" s="247" t="e">
        <f t="shared" si="130"/>
        <v>#VALUE!</v>
      </c>
      <c r="P1168" s="247">
        <f t="shared" si="131"/>
        <v>0</v>
      </c>
      <c r="Q1168" s="247" t="e">
        <f t="shared" si="132"/>
        <v>#VALUE!</v>
      </c>
    </row>
    <row r="1169" spans="1:17" ht="15" customHeight="1" x14ac:dyDescent="0.25">
      <c r="A1169" s="244"/>
      <c r="B1169" s="244"/>
      <c r="C1169" s="244"/>
      <c r="D1169" s="244"/>
      <c r="E1169" s="244"/>
      <c r="F1169" s="244"/>
      <c r="G1169" s="244"/>
      <c r="I1169" s="244"/>
      <c r="J1169" s="244"/>
      <c r="K1169" s="246" t="e">
        <f t="shared" si="126"/>
        <v>#VALUE!</v>
      </c>
      <c r="L1169" s="246" t="e">
        <f t="shared" si="127"/>
        <v>#VALUE!</v>
      </c>
      <c r="M1169" s="247" t="e">
        <f t="shared" si="128"/>
        <v>#VALUE!</v>
      </c>
      <c r="N1169" s="246" t="e">
        <f t="shared" si="129"/>
        <v>#VALUE!</v>
      </c>
      <c r="O1169" s="247" t="e">
        <f t="shared" si="130"/>
        <v>#VALUE!</v>
      </c>
      <c r="P1169" s="247">
        <f t="shared" si="131"/>
        <v>0</v>
      </c>
      <c r="Q1169" s="247" t="e">
        <f t="shared" si="132"/>
        <v>#VALUE!</v>
      </c>
    </row>
    <row r="1170" spans="1:17" ht="15" customHeight="1" x14ac:dyDescent="0.25">
      <c r="A1170" s="244"/>
      <c r="B1170" s="244"/>
      <c r="C1170" s="244"/>
      <c r="D1170" s="244"/>
      <c r="E1170" s="244"/>
      <c r="F1170" s="244"/>
      <c r="G1170" s="244"/>
      <c r="I1170" s="244"/>
      <c r="J1170" s="244"/>
      <c r="K1170" s="246" t="e">
        <f t="shared" si="126"/>
        <v>#VALUE!</v>
      </c>
      <c r="L1170" s="246" t="e">
        <f t="shared" si="127"/>
        <v>#VALUE!</v>
      </c>
      <c r="M1170" s="247" t="e">
        <f t="shared" si="128"/>
        <v>#VALUE!</v>
      </c>
      <c r="N1170" s="246" t="e">
        <f t="shared" si="129"/>
        <v>#VALUE!</v>
      </c>
      <c r="O1170" s="247" t="e">
        <f t="shared" si="130"/>
        <v>#VALUE!</v>
      </c>
      <c r="P1170" s="247">
        <f t="shared" si="131"/>
        <v>0</v>
      </c>
      <c r="Q1170" s="247" t="e">
        <f t="shared" si="132"/>
        <v>#VALUE!</v>
      </c>
    </row>
    <row r="1171" spans="1:17" ht="15" customHeight="1" x14ac:dyDescent="0.25">
      <c r="A1171" s="244"/>
      <c r="B1171" s="244"/>
      <c r="C1171" s="244"/>
      <c r="D1171" s="244"/>
      <c r="E1171" s="244"/>
      <c r="F1171" s="244"/>
      <c r="G1171" s="244"/>
      <c r="I1171" s="244"/>
      <c r="J1171" s="244"/>
      <c r="K1171" s="246" t="e">
        <f t="shared" si="126"/>
        <v>#VALUE!</v>
      </c>
      <c r="L1171" s="246" t="e">
        <f t="shared" si="127"/>
        <v>#VALUE!</v>
      </c>
      <c r="M1171" s="247" t="e">
        <f t="shared" si="128"/>
        <v>#VALUE!</v>
      </c>
      <c r="N1171" s="246" t="e">
        <f t="shared" si="129"/>
        <v>#VALUE!</v>
      </c>
      <c r="O1171" s="247" t="e">
        <f t="shared" si="130"/>
        <v>#VALUE!</v>
      </c>
      <c r="P1171" s="247">
        <f t="shared" si="131"/>
        <v>0</v>
      </c>
      <c r="Q1171" s="247" t="e">
        <f t="shared" si="132"/>
        <v>#VALUE!</v>
      </c>
    </row>
    <row r="1172" spans="1:17" ht="15" customHeight="1" x14ac:dyDescent="0.25">
      <c r="A1172" s="244"/>
      <c r="B1172" s="244"/>
      <c r="C1172" s="244"/>
      <c r="D1172" s="244"/>
      <c r="E1172" s="244"/>
      <c r="F1172" s="244"/>
      <c r="G1172" s="244"/>
      <c r="I1172" s="244"/>
      <c r="J1172" s="244"/>
      <c r="K1172" s="246" t="e">
        <f t="shared" si="126"/>
        <v>#VALUE!</v>
      </c>
      <c r="L1172" s="246" t="e">
        <f t="shared" si="127"/>
        <v>#VALUE!</v>
      </c>
      <c r="M1172" s="247" t="e">
        <f t="shared" si="128"/>
        <v>#VALUE!</v>
      </c>
      <c r="N1172" s="246" t="e">
        <f t="shared" si="129"/>
        <v>#VALUE!</v>
      </c>
      <c r="O1172" s="247" t="e">
        <f t="shared" si="130"/>
        <v>#VALUE!</v>
      </c>
      <c r="P1172" s="247">
        <f t="shared" si="131"/>
        <v>0</v>
      </c>
      <c r="Q1172" s="247" t="e">
        <f t="shared" si="132"/>
        <v>#VALUE!</v>
      </c>
    </row>
    <row r="1173" spans="1:17" ht="15" customHeight="1" x14ac:dyDescent="0.25">
      <c r="A1173" s="244"/>
      <c r="B1173" s="244"/>
      <c r="C1173" s="244"/>
      <c r="D1173" s="244"/>
      <c r="E1173" s="244"/>
      <c r="F1173" s="244"/>
      <c r="G1173" s="244"/>
      <c r="I1173" s="244"/>
      <c r="J1173" s="244"/>
      <c r="K1173" s="246" t="e">
        <f t="shared" si="126"/>
        <v>#VALUE!</v>
      </c>
      <c r="L1173" s="246" t="e">
        <f t="shared" si="127"/>
        <v>#VALUE!</v>
      </c>
      <c r="M1173" s="247" t="e">
        <f t="shared" si="128"/>
        <v>#VALUE!</v>
      </c>
      <c r="N1173" s="246" t="e">
        <f t="shared" si="129"/>
        <v>#VALUE!</v>
      </c>
      <c r="O1173" s="247" t="e">
        <f t="shared" si="130"/>
        <v>#VALUE!</v>
      </c>
      <c r="P1173" s="247">
        <f t="shared" si="131"/>
        <v>0</v>
      </c>
      <c r="Q1173" s="247" t="e">
        <f t="shared" si="132"/>
        <v>#VALUE!</v>
      </c>
    </row>
    <row r="1174" spans="1:17" ht="15" customHeight="1" x14ac:dyDescent="0.25">
      <c r="A1174" s="244"/>
      <c r="B1174" s="244"/>
      <c r="C1174" s="244"/>
      <c r="D1174" s="244"/>
      <c r="E1174" s="244"/>
      <c r="F1174" s="244"/>
      <c r="G1174" s="244"/>
      <c r="I1174" s="244"/>
      <c r="J1174" s="244"/>
      <c r="K1174" s="246" t="e">
        <f t="shared" si="126"/>
        <v>#VALUE!</v>
      </c>
      <c r="L1174" s="246" t="e">
        <f t="shared" si="127"/>
        <v>#VALUE!</v>
      </c>
      <c r="M1174" s="247" t="e">
        <f t="shared" si="128"/>
        <v>#VALUE!</v>
      </c>
      <c r="N1174" s="246" t="e">
        <f t="shared" si="129"/>
        <v>#VALUE!</v>
      </c>
      <c r="O1174" s="247" t="e">
        <f t="shared" si="130"/>
        <v>#VALUE!</v>
      </c>
      <c r="P1174" s="247">
        <f t="shared" si="131"/>
        <v>0</v>
      </c>
      <c r="Q1174" s="247" t="e">
        <f t="shared" si="132"/>
        <v>#VALUE!</v>
      </c>
    </row>
    <row r="1175" spans="1:17" ht="15" customHeight="1" x14ac:dyDescent="0.25">
      <c r="A1175" s="244"/>
      <c r="B1175" s="244"/>
      <c r="C1175" s="244"/>
      <c r="D1175" s="244"/>
      <c r="E1175" s="244"/>
      <c r="F1175" s="244"/>
      <c r="G1175" s="244"/>
      <c r="I1175" s="244"/>
      <c r="J1175" s="244"/>
      <c r="K1175" s="246" t="e">
        <f t="shared" si="126"/>
        <v>#VALUE!</v>
      </c>
      <c r="L1175" s="246" t="e">
        <f t="shared" si="127"/>
        <v>#VALUE!</v>
      </c>
      <c r="M1175" s="247" t="e">
        <f t="shared" si="128"/>
        <v>#VALUE!</v>
      </c>
      <c r="N1175" s="246" t="e">
        <f t="shared" si="129"/>
        <v>#VALUE!</v>
      </c>
      <c r="O1175" s="247" t="e">
        <f t="shared" si="130"/>
        <v>#VALUE!</v>
      </c>
      <c r="P1175" s="247">
        <f t="shared" si="131"/>
        <v>0</v>
      </c>
      <c r="Q1175" s="247" t="e">
        <f t="shared" si="132"/>
        <v>#VALUE!</v>
      </c>
    </row>
    <row r="1176" spans="1:17" ht="15" customHeight="1" x14ac:dyDescent="0.25">
      <c r="A1176" s="244"/>
      <c r="B1176" s="244"/>
      <c r="C1176" s="244"/>
      <c r="D1176" s="244"/>
      <c r="E1176" s="244"/>
      <c r="F1176" s="244"/>
      <c r="G1176" s="244"/>
      <c r="I1176" s="244"/>
      <c r="J1176" s="244"/>
      <c r="K1176" s="246" t="e">
        <f t="shared" si="126"/>
        <v>#VALUE!</v>
      </c>
      <c r="L1176" s="246" t="e">
        <f t="shared" si="127"/>
        <v>#VALUE!</v>
      </c>
      <c r="M1176" s="247" t="e">
        <f t="shared" si="128"/>
        <v>#VALUE!</v>
      </c>
      <c r="N1176" s="246" t="e">
        <f t="shared" si="129"/>
        <v>#VALUE!</v>
      </c>
      <c r="O1176" s="247" t="e">
        <f t="shared" si="130"/>
        <v>#VALUE!</v>
      </c>
      <c r="P1176" s="247">
        <f t="shared" si="131"/>
        <v>0</v>
      </c>
      <c r="Q1176" s="247" t="e">
        <f t="shared" si="132"/>
        <v>#VALUE!</v>
      </c>
    </row>
    <row r="1177" spans="1:17" ht="15" customHeight="1" x14ac:dyDescent="0.25">
      <c r="A1177" s="244"/>
      <c r="B1177" s="244"/>
      <c r="C1177" s="244"/>
      <c r="D1177" s="244"/>
      <c r="E1177" s="244"/>
      <c r="F1177" s="244"/>
      <c r="G1177" s="244"/>
      <c r="I1177" s="244"/>
      <c r="J1177" s="244"/>
      <c r="K1177" s="246" t="e">
        <f t="shared" si="126"/>
        <v>#VALUE!</v>
      </c>
      <c r="L1177" s="246" t="e">
        <f t="shared" si="127"/>
        <v>#VALUE!</v>
      </c>
      <c r="M1177" s="247" t="e">
        <f t="shared" si="128"/>
        <v>#VALUE!</v>
      </c>
      <c r="N1177" s="246" t="e">
        <f t="shared" si="129"/>
        <v>#VALUE!</v>
      </c>
      <c r="O1177" s="247" t="e">
        <f t="shared" si="130"/>
        <v>#VALUE!</v>
      </c>
      <c r="P1177" s="247">
        <f t="shared" si="131"/>
        <v>0</v>
      </c>
      <c r="Q1177" s="247" t="e">
        <f t="shared" si="132"/>
        <v>#VALUE!</v>
      </c>
    </row>
    <row r="1178" spans="1:17" ht="15" customHeight="1" x14ac:dyDescent="0.25">
      <c r="A1178" s="244"/>
      <c r="B1178" s="244"/>
      <c r="C1178" s="244"/>
      <c r="D1178" s="244"/>
      <c r="E1178" s="244"/>
      <c r="F1178" s="244"/>
      <c r="G1178" s="244"/>
      <c r="I1178" s="244"/>
      <c r="J1178" s="244"/>
      <c r="K1178" s="246" t="e">
        <f t="shared" si="126"/>
        <v>#VALUE!</v>
      </c>
      <c r="L1178" s="246" t="e">
        <f t="shared" si="127"/>
        <v>#VALUE!</v>
      </c>
      <c r="M1178" s="247" t="e">
        <f t="shared" si="128"/>
        <v>#VALUE!</v>
      </c>
      <c r="N1178" s="246" t="e">
        <f t="shared" si="129"/>
        <v>#VALUE!</v>
      </c>
      <c r="O1178" s="247" t="e">
        <f t="shared" si="130"/>
        <v>#VALUE!</v>
      </c>
      <c r="P1178" s="247">
        <f t="shared" si="131"/>
        <v>0</v>
      </c>
      <c r="Q1178" s="247" t="e">
        <f t="shared" si="132"/>
        <v>#VALUE!</v>
      </c>
    </row>
    <row r="1179" spans="1:17" ht="15" customHeight="1" x14ac:dyDescent="0.25">
      <c r="A1179" s="244"/>
      <c r="B1179" s="244"/>
      <c r="C1179" s="244"/>
      <c r="D1179" s="244"/>
      <c r="E1179" s="244"/>
      <c r="F1179" s="244"/>
      <c r="G1179" s="244"/>
      <c r="I1179" s="244"/>
      <c r="J1179" s="244"/>
      <c r="K1179" s="246" t="e">
        <f t="shared" si="126"/>
        <v>#VALUE!</v>
      </c>
      <c r="L1179" s="246" t="e">
        <f t="shared" si="127"/>
        <v>#VALUE!</v>
      </c>
      <c r="M1179" s="247" t="e">
        <f t="shared" si="128"/>
        <v>#VALUE!</v>
      </c>
      <c r="N1179" s="246" t="e">
        <f t="shared" si="129"/>
        <v>#VALUE!</v>
      </c>
      <c r="O1179" s="247" t="e">
        <f t="shared" si="130"/>
        <v>#VALUE!</v>
      </c>
      <c r="P1179" s="247">
        <f t="shared" si="131"/>
        <v>0</v>
      </c>
      <c r="Q1179" s="247" t="e">
        <f t="shared" si="132"/>
        <v>#VALUE!</v>
      </c>
    </row>
    <row r="1180" spans="1:17" ht="15" customHeight="1" x14ac:dyDescent="0.25">
      <c r="A1180" s="244"/>
      <c r="B1180" s="244"/>
      <c r="C1180" s="244"/>
      <c r="D1180" s="244"/>
      <c r="E1180" s="244"/>
      <c r="F1180" s="244"/>
      <c r="G1180" s="244"/>
      <c r="I1180" s="244"/>
      <c r="J1180" s="244"/>
      <c r="K1180" s="246" t="e">
        <f t="shared" si="126"/>
        <v>#VALUE!</v>
      </c>
      <c r="L1180" s="246" t="e">
        <f t="shared" si="127"/>
        <v>#VALUE!</v>
      </c>
      <c r="M1180" s="247" t="e">
        <f t="shared" si="128"/>
        <v>#VALUE!</v>
      </c>
      <c r="N1180" s="246" t="e">
        <f t="shared" si="129"/>
        <v>#VALUE!</v>
      </c>
      <c r="O1180" s="247" t="e">
        <f t="shared" si="130"/>
        <v>#VALUE!</v>
      </c>
      <c r="P1180" s="247">
        <f t="shared" si="131"/>
        <v>0</v>
      </c>
      <c r="Q1180" s="247" t="e">
        <f t="shared" si="132"/>
        <v>#VALUE!</v>
      </c>
    </row>
    <row r="1181" spans="1:17" ht="15" customHeight="1" x14ac:dyDescent="0.25">
      <c r="A1181" s="244"/>
      <c r="B1181" s="244"/>
      <c r="C1181" s="244"/>
      <c r="D1181" s="244"/>
      <c r="E1181" s="244"/>
      <c r="F1181" s="244"/>
      <c r="G1181" s="244"/>
      <c r="I1181" s="244"/>
      <c r="J1181" s="244"/>
      <c r="K1181" s="246" t="e">
        <f t="shared" si="126"/>
        <v>#VALUE!</v>
      </c>
      <c r="L1181" s="246" t="e">
        <f t="shared" si="127"/>
        <v>#VALUE!</v>
      </c>
      <c r="M1181" s="247" t="e">
        <f t="shared" si="128"/>
        <v>#VALUE!</v>
      </c>
      <c r="N1181" s="246" t="e">
        <f t="shared" si="129"/>
        <v>#VALUE!</v>
      </c>
      <c r="O1181" s="247" t="e">
        <f t="shared" si="130"/>
        <v>#VALUE!</v>
      </c>
      <c r="P1181" s="247">
        <f t="shared" si="131"/>
        <v>0</v>
      </c>
      <c r="Q1181" s="247" t="e">
        <f t="shared" si="132"/>
        <v>#VALUE!</v>
      </c>
    </row>
    <row r="1182" spans="1:17" ht="15" customHeight="1" x14ac:dyDescent="0.25">
      <c r="A1182" s="244"/>
      <c r="B1182" s="244"/>
      <c r="C1182" s="244"/>
      <c r="D1182" s="244"/>
      <c r="E1182" s="244"/>
      <c r="F1182" s="244"/>
      <c r="G1182" s="244"/>
      <c r="I1182" s="244"/>
      <c r="J1182" s="244"/>
      <c r="K1182" s="246" t="e">
        <f t="shared" si="126"/>
        <v>#VALUE!</v>
      </c>
      <c r="L1182" s="246" t="e">
        <f t="shared" si="127"/>
        <v>#VALUE!</v>
      </c>
      <c r="M1182" s="247" t="e">
        <f t="shared" si="128"/>
        <v>#VALUE!</v>
      </c>
      <c r="N1182" s="246" t="e">
        <f t="shared" si="129"/>
        <v>#VALUE!</v>
      </c>
      <c r="O1182" s="247" t="e">
        <f t="shared" si="130"/>
        <v>#VALUE!</v>
      </c>
      <c r="P1182" s="247">
        <f t="shared" si="131"/>
        <v>0</v>
      </c>
      <c r="Q1182" s="247" t="e">
        <f t="shared" si="132"/>
        <v>#VALUE!</v>
      </c>
    </row>
    <row r="1183" spans="1:17" ht="15" customHeight="1" x14ac:dyDescent="0.25">
      <c r="A1183" s="244"/>
      <c r="B1183" s="244"/>
      <c r="C1183" s="244"/>
      <c r="D1183" s="244"/>
      <c r="E1183" s="244"/>
      <c r="F1183" s="244"/>
      <c r="G1183" s="244"/>
      <c r="I1183" s="244"/>
      <c r="J1183" s="244"/>
      <c r="K1183" s="246" t="e">
        <f t="shared" si="126"/>
        <v>#VALUE!</v>
      </c>
      <c r="L1183" s="246" t="e">
        <f t="shared" si="127"/>
        <v>#VALUE!</v>
      </c>
      <c r="M1183" s="247" t="e">
        <f t="shared" si="128"/>
        <v>#VALUE!</v>
      </c>
      <c r="N1183" s="246" t="e">
        <f t="shared" si="129"/>
        <v>#VALUE!</v>
      </c>
      <c r="O1183" s="247" t="e">
        <f t="shared" si="130"/>
        <v>#VALUE!</v>
      </c>
      <c r="P1183" s="247">
        <f t="shared" si="131"/>
        <v>0</v>
      </c>
      <c r="Q1183" s="247" t="e">
        <f t="shared" si="132"/>
        <v>#VALUE!</v>
      </c>
    </row>
    <row r="1184" spans="1:17" ht="15" customHeight="1" x14ac:dyDescent="0.25">
      <c r="A1184" s="244"/>
      <c r="B1184" s="244"/>
      <c r="C1184" s="244"/>
      <c r="D1184" s="244"/>
      <c r="E1184" s="244"/>
      <c r="F1184" s="244"/>
      <c r="G1184" s="244"/>
      <c r="I1184" s="244"/>
      <c r="J1184" s="244"/>
      <c r="K1184" s="246" t="e">
        <f t="shared" si="126"/>
        <v>#VALUE!</v>
      </c>
      <c r="L1184" s="246" t="e">
        <f t="shared" si="127"/>
        <v>#VALUE!</v>
      </c>
      <c r="M1184" s="247" t="e">
        <f t="shared" si="128"/>
        <v>#VALUE!</v>
      </c>
      <c r="N1184" s="246" t="e">
        <f t="shared" si="129"/>
        <v>#VALUE!</v>
      </c>
      <c r="O1184" s="247" t="e">
        <f t="shared" si="130"/>
        <v>#VALUE!</v>
      </c>
      <c r="P1184" s="247">
        <f t="shared" si="131"/>
        <v>0</v>
      </c>
      <c r="Q1184" s="247" t="e">
        <f t="shared" si="132"/>
        <v>#VALUE!</v>
      </c>
    </row>
    <row r="1185" spans="1:17" ht="15" customHeight="1" x14ac:dyDescent="0.25">
      <c r="A1185" s="244"/>
      <c r="B1185" s="244"/>
      <c r="C1185" s="244"/>
      <c r="D1185" s="244"/>
      <c r="E1185" s="244"/>
      <c r="F1185" s="244"/>
      <c r="G1185" s="244"/>
      <c r="I1185" s="244"/>
      <c r="J1185" s="244"/>
      <c r="K1185" s="246" t="e">
        <f t="shared" si="126"/>
        <v>#VALUE!</v>
      </c>
      <c r="L1185" s="246" t="e">
        <f t="shared" si="127"/>
        <v>#VALUE!</v>
      </c>
      <c r="M1185" s="247" t="e">
        <f t="shared" si="128"/>
        <v>#VALUE!</v>
      </c>
      <c r="N1185" s="246" t="e">
        <f t="shared" si="129"/>
        <v>#VALUE!</v>
      </c>
      <c r="O1185" s="247" t="e">
        <f t="shared" si="130"/>
        <v>#VALUE!</v>
      </c>
      <c r="P1185" s="247">
        <f t="shared" si="131"/>
        <v>0</v>
      </c>
      <c r="Q1185" s="247" t="e">
        <f t="shared" si="132"/>
        <v>#VALUE!</v>
      </c>
    </row>
    <row r="1186" spans="1:17" ht="15" customHeight="1" x14ac:dyDescent="0.25">
      <c r="A1186" s="244"/>
      <c r="B1186" s="244"/>
      <c r="C1186" s="244"/>
      <c r="D1186" s="244"/>
      <c r="E1186" s="244"/>
      <c r="F1186" s="244"/>
      <c r="G1186" s="244"/>
      <c r="I1186" s="244"/>
      <c r="J1186" s="244"/>
      <c r="K1186" s="246" t="e">
        <f t="shared" si="126"/>
        <v>#VALUE!</v>
      </c>
      <c r="L1186" s="246" t="e">
        <f t="shared" si="127"/>
        <v>#VALUE!</v>
      </c>
      <c r="M1186" s="247" t="e">
        <f t="shared" si="128"/>
        <v>#VALUE!</v>
      </c>
      <c r="N1186" s="246" t="e">
        <f t="shared" si="129"/>
        <v>#VALUE!</v>
      </c>
      <c r="O1186" s="247" t="e">
        <f t="shared" si="130"/>
        <v>#VALUE!</v>
      </c>
      <c r="P1186" s="247">
        <f t="shared" si="131"/>
        <v>0</v>
      </c>
      <c r="Q1186" s="247" t="e">
        <f t="shared" si="132"/>
        <v>#VALUE!</v>
      </c>
    </row>
    <row r="1187" spans="1:17" ht="15" customHeight="1" x14ac:dyDescent="0.25">
      <c r="A1187" s="244"/>
      <c r="B1187" s="244"/>
      <c r="C1187" s="244"/>
      <c r="D1187" s="244"/>
      <c r="E1187" s="244"/>
      <c r="F1187" s="244"/>
      <c r="G1187" s="244"/>
      <c r="I1187" s="244"/>
      <c r="J1187" s="244"/>
      <c r="K1187" s="246" t="e">
        <f t="shared" si="126"/>
        <v>#VALUE!</v>
      </c>
      <c r="L1187" s="246" t="e">
        <f t="shared" si="127"/>
        <v>#VALUE!</v>
      </c>
      <c r="M1187" s="247" t="e">
        <f t="shared" si="128"/>
        <v>#VALUE!</v>
      </c>
      <c r="N1187" s="246" t="e">
        <f t="shared" si="129"/>
        <v>#VALUE!</v>
      </c>
      <c r="O1187" s="247" t="e">
        <f t="shared" si="130"/>
        <v>#VALUE!</v>
      </c>
      <c r="P1187" s="247">
        <f t="shared" si="131"/>
        <v>0</v>
      </c>
      <c r="Q1187" s="247" t="e">
        <f t="shared" si="132"/>
        <v>#VALUE!</v>
      </c>
    </row>
    <row r="1188" spans="1:17" ht="15" customHeight="1" x14ac:dyDescent="0.25">
      <c r="A1188" s="244"/>
      <c r="B1188" s="244"/>
      <c r="C1188" s="244"/>
      <c r="D1188" s="244"/>
      <c r="E1188" s="244"/>
      <c r="F1188" s="244"/>
      <c r="G1188" s="244"/>
      <c r="I1188" s="244"/>
      <c r="J1188" s="244"/>
      <c r="K1188" s="246" t="e">
        <f t="shared" si="126"/>
        <v>#VALUE!</v>
      </c>
      <c r="L1188" s="246" t="e">
        <f t="shared" si="127"/>
        <v>#VALUE!</v>
      </c>
      <c r="M1188" s="247" t="e">
        <f t="shared" si="128"/>
        <v>#VALUE!</v>
      </c>
      <c r="N1188" s="246" t="e">
        <f t="shared" si="129"/>
        <v>#VALUE!</v>
      </c>
      <c r="O1188" s="247" t="e">
        <f t="shared" si="130"/>
        <v>#VALUE!</v>
      </c>
      <c r="P1188" s="247">
        <f t="shared" si="131"/>
        <v>0</v>
      </c>
      <c r="Q1188" s="247" t="e">
        <f t="shared" si="132"/>
        <v>#VALUE!</v>
      </c>
    </row>
    <row r="1189" spans="1:17" ht="15" customHeight="1" x14ac:dyDescent="0.25">
      <c r="A1189" s="244"/>
      <c r="B1189" s="244"/>
      <c r="C1189" s="244"/>
      <c r="D1189" s="244"/>
      <c r="E1189" s="244"/>
      <c r="F1189" s="244"/>
      <c r="G1189" s="244"/>
      <c r="I1189" s="244"/>
      <c r="J1189" s="244"/>
      <c r="K1189" s="246" t="e">
        <f t="shared" si="126"/>
        <v>#VALUE!</v>
      </c>
      <c r="L1189" s="246" t="e">
        <f t="shared" si="127"/>
        <v>#VALUE!</v>
      </c>
      <c r="M1189" s="247" t="e">
        <f t="shared" si="128"/>
        <v>#VALUE!</v>
      </c>
      <c r="N1189" s="246" t="e">
        <f t="shared" si="129"/>
        <v>#VALUE!</v>
      </c>
      <c r="O1189" s="247" t="e">
        <f t="shared" si="130"/>
        <v>#VALUE!</v>
      </c>
      <c r="P1189" s="247">
        <f t="shared" si="131"/>
        <v>0</v>
      </c>
      <c r="Q1189" s="247" t="e">
        <f t="shared" si="132"/>
        <v>#VALUE!</v>
      </c>
    </row>
    <row r="1190" spans="1:17" ht="15" customHeight="1" x14ac:dyDescent="0.25">
      <c r="A1190" s="244"/>
      <c r="B1190" s="244"/>
      <c r="C1190" s="244"/>
      <c r="D1190" s="244"/>
      <c r="E1190" s="244"/>
      <c r="F1190" s="244"/>
      <c r="G1190" s="244"/>
      <c r="I1190" s="244"/>
      <c r="J1190" s="244"/>
      <c r="K1190" s="246" t="e">
        <f t="shared" si="126"/>
        <v>#VALUE!</v>
      </c>
      <c r="L1190" s="246" t="e">
        <f t="shared" si="127"/>
        <v>#VALUE!</v>
      </c>
      <c r="M1190" s="247" t="e">
        <f t="shared" si="128"/>
        <v>#VALUE!</v>
      </c>
      <c r="N1190" s="246" t="e">
        <f t="shared" si="129"/>
        <v>#VALUE!</v>
      </c>
      <c r="O1190" s="247" t="e">
        <f t="shared" si="130"/>
        <v>#VALUE!</v>
      </c>
      <c r="P1190" s="247">
        <f t="shared" si="131"/>
        <v>0</v>
      </c>
      <c r="Q1190" s="247" t="e">
        <f t="shared" si="132"/>
        <v>#VALUE!</v>
      </c>
    </row>
    <row r="1191" spans="1:17" ht="15" customHeight="1" x14ac:dyDescent="0.25">
      <c r="A1191" s="244"/>
      <c r="B1191" s="244"/>
      <c r="C1191" s="244"/>
      <c r="D1191" s="244"/>
      <c r="E1191" s="244"/>
      <c r="F1191" s="244"/>
      <c r="G1191" s="244"/>
      <c r="I1191" s="244"/>
      <c r="J1191" s="244"/>
      <c r="K1191" s="246" t="e">
        <f t="shared" si="126"/>
        <v>#VALUE!</v>
      </c>
      <c r="L1191" s="246" t="e">
        <f t="shared" si="127"/>
        <v>#VALUE!</v>
      </c>
      <c r="M1191" s="247" t="e">
        <f t="shared" si="128"/>
        <v>#VALUE!</v>
      </c>
      <c r="N1191" s="246" t="e">
        <f t="shared" si="129"/>
        <v>#VALUE!</v>
      </c>
      <c r="O1191" s="247" t="e">
        <f t="shared" si="130"/>
        <v>#VALUE!</v>
      </c>
      <c r="P1191" s="247">
        <f t="shared" si="131"/>
        <v>0</v>
      </c>
      <c r="Q1191" s="247" t="e">
        <f t="shared" si="132"/>
        <v>#VALUE!</v>
      </c>
    </row>
    <row r="1192" spans="1:17" ht="15" customHeight="1" x14ac:dyDescent="0.25">
      <c r="A1192" s="244"/>
      <c r="B1192" s="244"/>
      <c r="C1192" s="244"/>
      <c r="D1192" s="244"/>
      <c r="E1192" s="244"/>
      <c r="F1192" s="244"/>
      <c r="G1192" s="244"/>
      <c r="I1192" s="244"/>
      <c r="J1192" s="244"/>
      <c r="K1192" s="246" t="e">
        <f t="shared" si="126"/>
        <v>#VALUE!</v>
      </c>
      <c r="L1192" s="246" t="e">
        <f t="shared" si="127"/>
        <v>#VALUE!</v>
      </c>
      <c r="M1192" s="247" t="e">
        <f t="shared" si="128"/>
        <v>#VALUE!</v>
      </c>
      <c r="N1192" s="246" t="e">
        <f t="shared" si="129"/>
        <v>#VALUE!</v>
      </c>
      <c r="O1192" s="247" t="e">
        <f t="shared" si="130"/>
        <v>#VALUE!</v>
      </c>
      <c r="P1192" s="247">
        <f t="shared" si="131"/>
        <v>0</v>
      </c>
      <c r="Q1192" s="247" t="e">
        <f t="shared" si="132"/>
        <v>#VALUE!</v>
      </c>
    </row>
    <row r="1193" spans="1:17" ht="15" customHeight="1" x14ac:dyDescent="0.25">
      <c r="A1193" s="244"/>
      <c r="B1193" s="244"/>
      <c r="C1193" s="244"/>
      <c r="D1193" s="244"/>
      <c r="E1193" s="244"/>
      <c r="F1193" s="244"/>
      <c r="G1193" s="244"/>
      <c r="I1193" s="244"/>
      <c r="J1193" s="244"/>
      <c r="K1193" s="246" t="e">
        <f t="shared" si="126"/>
        <v>#VALUE!</v>
      </c>
      <c r="L1193" s="246" t="e">
        <f t="shared" si="127"/>
        <v>#VALUE!</v>
      </c>
      <c r="M1193" s="247" t="e">
        <f t="shared" si="128"/>
        <v>#VALUE!</v>
      </c>
      <c r="N1193" s="246" t="e">
        <f t="shared" si="129"/>
        <v>#VALUE!</v>
      </c>
      <c r="O1193" s="247" t="e">
        <f t="shared" si="130"/>
        <v>#VALUE!</v>
      </c>
      <c r="P1193" s="247">
        <f t="shared" si="131"/>
        <v>0</v>
      </c>
      <c r="Q1193" s="247" t="e">
        <f t="shared" si="132"/>
        <v>#VALUE!</v>
      </c>
    </row>
    <row r="1194" spans="1:17" ht="15" customHeight="1" x14ac:dyDescent="0.25">
      <c r="A1194" s="244"/>
      <c r="B1194" s="244"/>
      <c r="C1194" s="244"/>
      <c r="D1194" s="244"/>
      <c r="E1194" s="244"/>
      <c r="F1194" s="244"/>
      <c r="G1194" s="244"/>
      <c r="I1194" s="244"/>
      <c r="J1194" s="244"/>
      <c r="K1194" s="246" t="e">
        <f t="shared" si="126"/>
        <v>#VALUE!</v>
      </c>
      <c r="L1194" s="246" t="e">
        <f t="shared" si="127"/>
        <v>#VALUE!</v>
      </c>
      <c r="M1194" s="247" t="e">
        <f t="shared" si="128"/>
        <v>#VALUE!</v>
      </c>
      <c r="N1194" s="246" t="e">
        <f t="shared" si="129"/>
        <v>#VALUE!</v>
      </c>
      <c r="O1194" s="247" t="e">
        <f t="shared" si="130"/>
        <v>#VALUE!</v>
      </c>
      <c r="P1194" s="247">
        <f t="shared" si="131"/>
        <v>0</v>
      </c>
      <c r="Q1194" s="247" t="e">
        <f t="shared" si="132"/>
        <v>#VALUE!</v>
      </c>
    </row>
    <row r="1195" spans="1:17" ht="15" customHeight="1" x14ac:dyDescent="0.25">
      <c r="A1195" s="244"/>
      <c r="B1195" s="244"/>
      <c r="C1195" s="244"/>
      <c r="D1195" s="244"/>
      <c r="E1195" s="244"/>
      <c r="F1195" s="244"/>
      <c r="G1195" s="244"/>
      <c r="I1195" s="244"/>
      <c r="J1195" s="244"/>
      <c r="K1195" s="246" t="e">
        <f t="shared" si="126"/>
        <v>#VALUE!</v>
      </c>
      <c r="L1195" s="246" t="e">
        <f t="shared" si="127"/>
        <v>#VALUE!</v>
      </c>
      <c r="M1195" s="247" t="e">
        <f t="shared" si="128"/>
        <v>#VALUE!</v>
      </c>
      <c r="N1195" s="246" t="e">
        <f t="shared" si="129"/>
        <v>#VALUE!</v>
      </c>
      <c r="O1195" s="247" t="e">
        <f t="shared" si="130"/>
        <v>#VALUE!</v>
      </c>
      <c r="P1195" s="247">
        <f t="shared" si="131"/>
        <v>0</v>
      </c>
      <c r="Q1195" s="247" t="e">
        <f t="shared" si="132"/>
        <v>#VALUE!</v>
      </c>
    </row>
    <row r="1196" spans="1:17" ht="15" customHeight="1" x14ac:dyDescent="0.25">
      <c r="A1196" s="244"/>
      <c r="B1196" s="244"/>
      <c r="C1196" s="244"/>
      <c r="D1196" s="244"/>
      <c r="E1196" s="244"/>
      <c r="F1196" s="244"/>
      <c r="G1196" s="244"/>
      <c r="I1196" s="244"/>
      <c r="J1196" s="244"/>
      <c r="K1196" s="246" t="e">
        <f t="shared" si="126"/>
        <v>#VALUE!</v>
      </c>
      <c r="L1196" s="246" t="e">
        <f t="shared" si="127"/>
        <v>#VALUE!</v>
      </c>
      <c r="M1196" s="247" t="e">
        <f t="shared" si="128"/>
        <v>#VALUE!</v>
      </c>
      <c r="N1196" s="246" t="e">
        <f t="shared" si="129"/>
        <v>#VALUE!</v>
      </c>
      <c r="O1196" s="247" t="e">
        <f t="shared" si="130"/>
        <v>#VALUE!</v>
      </c>
      <c r="P1196" s="247">
        <f t="shared" si="131"/>
        <v>0</v>
      </c>
      <c r="Q1196" s="247" t="e">
        <f t="shared" si="132"/>
        <v>#VALUE!</v>
      </c>
    </row>
    <row r="1197" spans="1:17" ht="15" customHeight="1" x14ac:dyDescent="0.25">
      <c r="A1197" s="244"/>
      <c r="B1197" s="244"/>
      <c r="C1197" s="244"/>
      <c r="D1197" s="244"/>
      <c r="E1197" s="244"/>
      <c r="F1197" s="244"/>
      <c r="G1197" s="244"/>
      <c r="I1197" s="244"/>
      <c r="J1197" s="244"/>
      <c r="K1197" s="246" t="e">
        <f t="shared" si="126"/>
        <v>#VALUE!</v>
      </c>
      <c r="L1197" s="246" t="e">
        <f t="shared" si="127"/>
        <v>#VALUE!</v>
      </c>
      <c r="M1197" s="247" t="e">
        <f t="shared" si="128"/>
        <v>#VALUE!</v>
      </c>
      <c r="N1197" s="246" t="e">
        <f t="shared" si="129"/>
        <v>#VALUE!</v>
      </c>
      <c r="O1197" s="247" t="e">
        <f t="shared" si="130"/>
        <v>#VALUE!</v>
      </c>
      <c r="P1197" s="247">
        <f t="shared" si="131"/>
        <v>0</v>
      </c>
      <c r="Q1197" s="247" t="e">
        <f t="shared" si="132"/>
        <v>#VALUE!</v>
      </c>
    </row>
    <row r="1198" spans="1:17" ht="15" customHeight="1" x14ac:dyDescent="0.25">
      <c r="A1198" s="244"/>
      <c r="B1198" s="244"/>
      <c r="C1198" s="244"/>
      <c r="D1198" s="244"/>
      <c r="E1198" s="244"/>
      <c r="F1198" s="244"/>
      <c r="G1198" s="244"/>
      <c r="I1198" s="244"/>
      <c r="J1198" s="244"/>
      <c r="K1198" s="246" t="e">
        <f t="shared" si="126"/>
        <v>#VALUE!</v>
      </c>
      <c r="L1198" s="246" t="e">
        <f t="shared" si="127"/>
        <v>#VALUE!</v>
      </c>
      <c r="M1198" s="247" t="e">
        <f t="shared" si="128"/>
        <v>#VALUE!</v>
      </c>
      <c r="N1198" s="246" t="e">
        <f t="shared" si="129"/>
        <v>#VALUE!</v>
      </c>
      <c r="O1198" s="247" t="e">
        <f t="shared" si="130"/>
        <v>#VALUE!</v>
      </c>
      <c r="P1198" s="247">
        <f t="shared" si="131"/>
        <v>0</v>
      </c>
      <c r="Q1198" s="247" t="e">
        <f t="shared" si="132"/>
        <v>#VALUE!</v>
      </c>
    </row>
    <row r="1199" spans="1:17" ht="15" customHeight="1" x14ac:dyDescent="0.25">
      <c r="A1199" s="244"/>
      <c r="B1199" s="244"/>
      <c r="C1199" s="244"/>
      <c r="D1199" s="244"/>
      <c r="E1199" s="244"/>
      <c r="F1199" s="244"/>
      <c r="G1199" s="244"/>
      <c r="I1199" s="244"/>
      <c r="J1199" s="244"/>
      <c r="K1199" s="246" t="e">
        <f t="shared" si="126"/>
        <v>#VALUE!</v>
      </c>
      <c r="L1199" s="246" t="e">
        <f t="shared" si="127"/>
        <v>#VALUE!</v>
      </c>
      <c r="M1199" s="247" t="e">
        <f t="shared" si="128"/>
        <v>#VALUE!</v>
      </c>
      <c r="N1199" s="246" t="e">
        <f t="shared" si="129"/>
        <v>#VALUE!</v>
      </c>
      <c r="O1199" s="247" t="e">
        <f t="shared" si="130"/>
        <v>#VALUE!</v>
      </c>
      <c r="P1199" s="247">
        <f t="shared" si="131"/>
        <v>0</v>
      </c>
      <c r="Q1199" s="247" t="e">
        <f t="shared" si="132"/>
        <v>#VALUE!</v>
      </c>
    </row>
    <row r="1200" spans="1:17" ht="15" customHeight="1" x14ac:dyDescent="0.25">
      <c r="A1200" s="244"/>
      <c r="B1200" s="244"/>
      <c r="C1200" s="244"/>
      <c r="D1200" s="244"/>
      <c r="E1200" s="244"/>
      <c r="F1200" s="244"/>
      <c r="G1200" s="244"/>
      <c r="I1200" s="244"/>
      <c r="J1200" s="244"/>
      <c r="K1200" s="246" t="e">
        <f t="shared" si="126"/>
        <v>#VALUE!</v>
      </c>
      <c r="L1200" s="246" t="e">
        <f t="shared" si="127"/>
        <v>#VALUE!</v>
      </c>
      <c r="M1200" s="247" t="e">
        <f t="shared" si="128"/>
        <v>#VALUE!</v>
      </c>
      <c r="N1200" s="246" t="e">
        <f t="shared" si="129"/>
        <v>#VALUE!</v>
      </c>
      <c r="O1200" s="247" t="e">
        <f t="shared" si="130"/>
        <v>#VALUE!</v>
      </c>
      <c r="P1200" s="247">
        <f t="shared" si="131"/>
        <v>0</v>
      </c>
      <c r="Q1200" s="247" t="e">
        <f t="shared" si="132"/>
        <v>#VALUE!</v>
      </c>
    </row>
    <row r="1201" spans="1:17" ht="15" customHeight="1" x14ac:dyDescent="0.25">
      <c r="A1201" s="244"/>
      <c r="B1201" s="244"/>
      <c r="C1201" s="244"/>
      <c r="D1201" s="244"/>
      <c r="E1201" s="244"/>
      <c r="F1201" s="244"/>
      <c r="G1201" s="244"/>
      <c r="I1201" s="244"/>
      <c r="J1201" s="244"/>
      <c r="K1201" s="246" t="e">
        <f t="shared" si="126"/>
        <v>#VALUE!</v>
      </c>
      <c r="L1201" s="246" t="e">
        <f t="shared" si="127"/>
        <v>#VALUE!</v>
      </c>
      <c r="M1201" s="247" t="e">
        <f t="shared" si="128"/>
        <v>#VALUE!</v>
      </c>
      <c r="N1201" s="246" t="e">
        <f t="shared" si="129"/>
        <v>#VALUE!</v>
      </c>
      <c r="O1201" s="247" t="e">
        <f t="shared" si="130"/>
        <v>#VALUE!</v>
      </c>
      <c r="P1201" s="247">
        <f t="shared" si="131"/>
        <v>0</v>
      </c>
      <c r="Q1201" s="247" t="e">
        <f t="shared" si="132"/>
        <v>#VALUE!</v>
      </c>
    </row>
    <row r="1202" spans="1:17" ht="15" customHeight="1" x14ac:dyDescent="0.25">
      <c r="A1202" s="244"/>
      <c r="B1202" s="244"/>
      <c r="C1202" s="244"/>
      <c r="D1202" s="244"/>
      <c r="E1202" s="244"/>
      <c r="F1202" s="244"/>
      <c r="G1202" s="244"/>
      <c r="I1202" s="244"/>
      <c r="J1202" s="244"/>
      <c r="K1202" s="246" t="e">
        <f t="shared" si="126"/>
        <v>#VALUE!</v>
      </c>
      <c r="L1202" s="246" t="e">
        <f t="shared" si="127"/>
        <v>#VALUE!</v>
      </c>
      <c r="M1202" s="247" t="e">
        <f t="shared" si="128"/>
        <v>#VALUE!</v>
      </c>
      <c r="N1202" s="246" t="e">
        <f t="shared" si="129"/>
        <v>#VALUE!</v>
      </c>
      <c r="O1202" s="247" t="e">
        <f t="shared" si="130"/>
        <v>#VALUE!</v>
      </c>
      <c r="P1202" s="247">
        <f t="shared" si="131"/>
        <v>0</v>
      </c>
      <c r="Q1202" s="247" t="e">
        <f t="shared" si="132"/>
        <v>#VALUE!</v>
      </c>
    </row>
    <row r="1203" spans="1:17" ht="15" customHeight="1" x14ac:dyDescent="0.25">
      <c r="A1203" s="244"/>
      <c r="B1203" s="244"/>
      <c r="C1203" s="244"/>
      <c r="D1203" s="244"/>
      <c r="E1203" s="244"/>
      <c r="F1203" s="244"/>
      <c r="G1203" s="244"/>
      <c r="I1203" s="244"/>
      <c r="J1203" s="244"/>
      <c r="K1203" s="246" t="e">
        <f t="shared" si="126"/>
        <v>#VALUE!</v>
      </c>
      <c r="L1203" s="246" t="e">
        <f t="shared" si="127"/>
        <v>#VALUE!</v>
      </c>
      <c r="M1203" s="247" t="e">
        <f t="shared" si="128"/>
        <v>#VALUE!</v>
      </c>
      <c r="N1203" s="246" t="e">
        <f t="shared" si="129"/>
        <v>#VALUE!</v>
      </c>
      <c r="O1203" s="247" t="e">
        <f t="shared" si="130"/>
        <v>#VALUE!</v>
      </c>
      <c r="P1203" s="247">
        <f t="shared" si="131"/>
        <v>0</v>
      </c>
      <c r="Q1203" s="247" t="e">
        <f t="shared" si="132"/>
        <v>#VALUE!</v>
      </c>
    </row>
    <row r="1204" spans="1:17" ht="15" customHeight="1" x14ac:dyDescent="0.25">
      <c r="A1204" s="244"/>
      <c r="B1204" s="244"/>
      <c r="C1204" s="244"/>
      <c r="D1204" s="244"/>
      <c r="E1204" s="244"/>
      <c r="F1204" s="244"/>
      <c r="G1204" s="244"/>
      <c r="I1204" s="244"/>
      <c r="J1204" s="244"/>
      <c r="K1204" s="246" t="e">
        <f t="shared" si="126"/>
        <v>#VALUE!</v>
      </c>
      <c r="L1204" s="246" t="e">
        <f t="shared" si="127"/>
        <v>#VALUE!</v>
      </c>
      <c r="M1204" s="247" t="e">
        <f t="shared" si="128"/>
        <v>#VALUE!</v>
      </c>
      <c r="N1204" s="246" t="e">
        <f t="shared" si="129"/>
        <v>#VALUE!</v>
      </c>
      <c r="O1204" s="247" t="e">
        <f t="shared" si="130"/>
        <v>#VALUE!</v>
      </c>
      <c r="P1204" s="247">
        <f t="shared" si="131"/>
        <v>0</v>
      </c>
      <c r="Q1204" s="247" t="e">
        <f t="shared" si="132"/>
        <v>#VALUE!</v>
      </c>
    </row>
    <row r="1205" spans="1:17" ht="15" customHeight="1" x14ac:dyDescent="0.25">
      <c r="A1205" s="244"/>
      <c r="B1205" s="244"/>
      <c r="C1205" s="244"/>
      <c r="D1205" s="244"/>
      <c r="E1205" s="244"/>
      <c r="F1205" s="244"/>
      <c r="G1205" s="244"/>
      <c r="I1205" s="244"/>
      <c r="J1205" s="244"/>
      <c r="K1205" s="246" t="e">
        <f t="shared" si="126"/>
        <v>#VALUE!</v>
      </c>
      <c r="L1205" s="246" t="e">
        <f t="shared" si="127"/>
        <v>#VALUE!</v>
      </c>
      <c r="M1205" s="247" t="e">
        <f t="shared" si="128"/>
        <v>#VALUE!</v>
      </c>
      <c r="N1205" s="246" t="e">
        <f t="shared" si="129"/>
        <v>#VALUE!</v>
      </c>
      <c r="O1205" s="247" t="e">
        <f t="shared" si="130"/>
        <v>#VALUE!</v>
      </c>
      <c r="P1205" s="247">
        <f t="shared" si="131"/>
        <v>0</v>
      </c>
      <c r="Q1205" s="247" t="e">
        <f t="shared" si="132"/>
        <v>#VALUE!</v>
      </c>
    </row>
    <row r="1206" spans="1:17" ht="15" customHeight="1" x14ac:dyDescent="0.25">
      <c r="A1206" s="244"/>
      <c r="B1206" s="244"/>
      <c r="C1206" s="244"/>
      <c r="D1206" s="244"/>
      <c r="E1206" s="244"/>
      <c r="F1206" s="244"/>
      <c r="G1206" s="244"/>
      <c r="I1206" s="244"/>
      <c r="J1206" s="244"/>
      <c r="K1206" s="246" t="e">
        <f t="shared" si="126"/>
        <v>#VALUE!</v>
      </c>
      <c r="L1206" s="246" t="e">
        <f t="shared" si="127"/>
        <v>#VALUE!</v>
      </c>
      <c r="M1206" s="247" t="e">
        <f t="shared" si="128"/>
        <v>#VALUE!</v>
      </c>
      <c r="N1206" s="246" t="e">
        <f t="shared" si="129"/>
        <v>#VALUE!</v>
      </c>
      <c r="O1206" s="247" t="e">
        <f t="shared" si="130"/>
        <v>#VALUE!</v>
      </c>
      <c r="P1206" s="247">
        <f t="shared" si="131"/>
        <v>0</v>
      </c>
      <c r="Q1206" s="247" t="e">
        <f t="shared" si="132"/>
        <v>#VALUE!</v>
      </c>
    </row>
    <row r="1207" spans="1:17" ht="15" customHeight="1" x14ac:dyDescent="0.25">
      <c r="A1207" s="244"/>
      <c r="B1207" s="244"/>
      <c r="C1207" s="244"/>
      <c r="D1207" s="244"/>
      <c r="E1207" s="244"/>
      <c r="F1207" s="244"/>
      <c r="G1207" s="244"/>
      <c r="I1207" s="244"/>
      <c r="J1207" s="244"/>
      <c r="K1207" s="246" t="e">
        <f t="shared" si="126"/>
        <v>#VALUE!</v>
      </c>
      <c r="L1207" s="246" t="e">
        <f t="shared" si="127"/>
        <v>#VALUE!</v>
      </c>
      <c r="M1207" s="247" t="e">
        <f t="shared" si="128"/>
        <v>#VALUE!</v>
      </c>
      <c r="N1207" s="246" t="e">
        <f t="shared" si="129"/>
        <v>#VALUE!</v>
      </c>
      <c r="O1207" s="247" t="e">
        <f t="shared" si="130"/>
        <v>#VALUE!</v>
      </c>
      <c r="P1207" s="247">
        <f t="shared" si="131"/>
        <v>0</v>
      </c>
      <c r="Q1207" s="247" t="e">
        <f t="shared" si="132"/>
        <v>#VALUE!</v>
      </c>
    </row>
    <row r="1208" spans="1:17" ht="15" customHeight="1" x14ac:dyDescent="0.25">
      <c r="A1208" s="244"/>
      <c r="B1208" s="244"/>
      <c r="C1208" s="244"/>
      <c r="D1208" s="244"/>
      <c r="E1208" s="244"/>
      <c r="F1208" s="244"/>
      <c r="G1208" s="244"/>
      <c r="I1208" s="244"/>
      <c r="J1208" s="244"/>
      <c r="K1208" s="246" t="e">
        <f t="shared" si="126"/>
        <v>#VALUE!</v>
      </c>
      <c r="L1208" s="246" t="e">
        <f t="shared" si="127"/>
        <v>#VALUE!</v>
      </c>
      <c r="M1208" s="247" t="e">
        <f t="shared" si="128"/>
        <v>#VALUE!</v>
      </c>
      <c r="N1208" s="246" t="e">
        <f t="shared" si="129"/>
        <v>#VALUE!</v>
      </c>
      <c r="O1208" s="247" t="e">
        <f t="shared" si="130"/>
        <v>#VALUE!</v>
      </c>
      <c r="P1208" s="247">
        <f t="shared" si="131"/>
        <v>0</v>
      </c>
      <c r="Q1208" s="247" t="e">
        <f t="shared" si="132"/>
        <v>#VALUE!</v>
      </c>
    </row>
    <row r="1209" spans="1:17" ht="15" customHeight="1" x14ac:dyDescent="0.25">
      <c r="A1209" s="244"/>
      <c r="B1209" s="244"/>
      <c r="C1209" s="244"/>
      <c r="D1209" s="244"/>
      <c r="E1209" s="244"/>
      <c r="F1209" s="244"/>
      <c r="G1209" s="244"/>
      <c r="I1209" s="244"/>
      <c r="J1209" s="244"/>
      <c r="K1209" s="246" t="e">
        <f t="shared" si="126"/>
        <v>#VALUE!</v>
      </c>
      <c r="L1209" s="246" t="e">
        <f t="shared" si="127"/>
        <v>#VALUE!</v>
      </c>
      <c r="M1209" s="247" t="e">
        <f t="shared" si="128"/>
        <v>#VALUE!</v>
      </c>
      <c r="N1209" s="246" t="e">
        <f t="shared" si="129"/>
        <v>#VALUE!</v>
      </c>
      <c r="O1209" s="247" t="e">
        <f t="shared" si="130"/>
        <v>#VALUE!</v>
      </c>
      <c r="P1209" s="247">
        <f t="shared" si="131"/>
        <v>0</v>
      </c>
      <c r="Q1209" s="247" t="e">
        <f t="shared" si="132"/>
        <v>#VALUE!</v>
      </c>
    </row>
    <row r="1210" spans="1:17" ht="15" customHeight="1" x14ac:dyDescent="0.25">
      <c r="A1210" s="244"/>
      <c r="B1210" s="244"/>
      <c r="C1210" s="244"/>
      <c r="D1210" s="244"/>
      <c r="E1210" s="244"/>
      <c r="F1210" s="244"/>
      <c r="G1210" s="244"/>
      <c r="I1210" s="244"/>
      <c r="J1210" s="244"/>
      <c r="K1210" s="246" t="e">
        <f t="shared" si="126"/>
        <v>#VALUE!</v>
      </c>
      <c r="L1210" s="246" t="e">
        <f t="shared" si="127"/>
        <v>#VALUE!</v>
      </c>
      <c r="M1210" s="247" t="e">
        <f t="shared" si="128"/>
        <v>#VALUE!</v>
      </c>
      <c r="N1210" s="246" t="e">
        <f t="shared" si="129"/>
        <v>#VALUE!</v>
      </c>
      <c r="O1210" s="247" t="e">
        <f t="shared" si="130"/>
        <v>#VALUE!</v>
      </c>
      <c r="P1210" s="247">
        <f t="shared" si="131"/>
        <v>0</v>
      </c>
      <c r="Q1210" s="247" t="e">
        <f t="shared" si="132"/>
        <v>#VALUE!</v>
      </c>
    </row>
    <row r="1211" spans="1:17" ht="15" customHeight="1" x14ac:dyDescent="0.25">
      <c r="A1211" s="244"/>
      <c r="B1211" s="244"/>
      <c r="C1211" s="244"/>
      <c r="D1211" s="244"/>
      <c r="E1211" s="244"/>
      <c r="F1211" s="244"/>
      <c r="G1211" s="244"/>
      <c r="I1211" s="244"/>
      <c r="J1211" s="244"/>
      <c r="K1211" s="246" t="e">
        <f t="shared" si="126"/>
        <v>#VALUE!</v>
      </c>
      <c r="L1211" s="246" t="e">
        <f t="shared" si="127"/>
        <v>#VALUE!</v>
      </c>
      <c r="M1211" s="247" t="e">
        <f t="shared" si="128"/>
        <v>#VALUE!</v>
      </c>
      <c r="N1211" s="246" t="e">
        <f t="shared" si="129"/>
        <v>#VALUE!</v>
      </c>
      <c r="O1211" s="247" t="e">
        <f t="shared" si="130"/>
        <v>#VALUE!</v>
      </c>
      <c r="P1211" s="247">
        <f t="shared" si="131"/>
        <v>0</v>
      </c>
      <c r="Q1211" s="247" t="e">
        <f t="shared" si="132"/>
        <v>#VALUE!</v>
      </c>
    </row>
    <row r="1212" spans="1:17" ht="15" customHeight="1" x14ac:dyDescent="0.25">
      <c r="A1212" s="244"/>
      <c r="B1212" s="244"/>
      <c r="C1212" s="244"/>
      <c r="D1212" s="244"/>
      <c r="E1212" s="244"/>
      <c r="F1212" s="244"/>
      <c r="G1212" s="244"/>
      <c r="I1212" s="244"/>
      <c r="J1212" s="244"/>
      <c r="K1212" s="246" t="e">
        <f t="shared" si="126"/>
        <v>#VALUE!</v>
      </c>
      <c r="L1212" s="246" t="e">
        <f t="shared" si="127"/>
        <v>#VALUE!</v>
      </c>
      <c r="M1212" s="247" t="e">
        <f t="shared" si="128"/>
        <v>#VALUE!</v>
      </c>
      <c r="N1212" s="246" t="e">
        <f t="shared" si="129"/>
        <v>#VALUE!</v>
      </c>
      <c r="O1212" s="247" t="e">
        <f t="shared" si="130"/>
        <v>#VALUE!</v>
      </c>
      <c r="P1212" s="247">
        <f t="shared" si="131"/>
        <v>0</v>
      </c>
      <c r="Q1212" s="247" t="e">
        <f t="shared" si="132"/>
        <v>#VALUE!</v>
      </c>
    </row>
    <row r="1213" spans="1:17" ht="15" customHeight="1" x14ac:dyDescent="0.25">
      <c r="A1213" s="244"/>
      <c r="B1213" s="244"/>
      <c r="C1213" s="244"/>
      <c r="D1213" s="244"/>
      <c r="E1213" s="244"/>
      <c r="F1213" s="244"/>
      <c r="G1213" s="244"/>
      <c r="I1213" s="244"/>
      <c r="J1213" s="244"/>
      <c r="K1213" s="246" t="e">
        <f t="shared" si="126"/>
        <v>#VALUE!</v>
      </c>
      <c r="L1213" s="246" t="e">
        <f t="shared" si="127"/>
        <v>#VALUE!</v>
      </c>
      <c r="M1213" s="247" t="e">
        <f t="shared" si="128"/>
        <v>#VALUE!</v>
      </c>
      <c r="N1213" s="246" t="e">
        <f t="shared" si="129"/>
        <v>#VALUE!</v>
      </c>
      <c r="O1213" s="247" t="e">
        <f t="shared" si="130"/>
        <v>#VALUE!</v>
      </c>
      <c r="P1213" s="247">
        <f t="shared" si="131"/>
        <v>0</v>
      </c>
      <c r="Q1213" s="247" t="e">
        <f t="shared" si="132"/>
        <v>#VALUE!</v>
      </c>
    </row>
    <row r="1214" spans="1:17" ht="15" customHeight="1" x14ac:dyDescent="0.25">
      <c r="A1214" s="244"/>
      <c r="B1214" s="244"/>
      <c r="C1214" s="244"/>
      <c r="D1214" s="244"/>
      <c r="E1214" s="244"/>
      <c r="F1214" s="244"/>
      <c r="G1214" s="244"/>
      <c r="I1214" s="244"/>
      <c r="J1214" s="244"/>
      <c r="K1214" s="246" t="e">
        <f t="shared" si="126"/>
        <v>#VALUE!</v>
      </c>
      <c r="L1214" s="246" t="e">
        <f t="shared" si="127"/>
        <v>#VALUE!</v>
      </c>
      <c r="M1214" s="247" t="e">
        <f t="shared" si="128"/>
        <v>#VALUE!</v>
      </c>
      <c r="N1214" s="246" t="e">
        <f t="shared" si="129"/>
        <v>#VALUE!</v>
      </c>
      <c r="O1214" s="247" t="e">
        <f t="shared" si="130"/>
        <v>#VALUE!</v>
      </c>
      <c r="P1214" s="247">
        <f t="shared" si="131"/>
        <v>0</v>
      </c>
      <c r="Q1214" s="247" t="e">
        <f t="shared" si="132"/>
        <v>#VALUE!</v>
      </c>
    </row>
    <row r="1215" spans="1:17" ht="15" customHeight="1" x14ac:dyDescent="0.25">
      <c r="A1215" s="244"/>
      <c r="B1215" s="244"/>
      <c r="C1215" s="244"/>
      <c r="D1215" s="244"/>
      <c r="E1215" s="244"/>
      <c r="F1215" s="244"/>
      <c r="G1215" s="244"/>
      <c r="I1215" s="244"/>
      <c r="J1215" s="244"/>
      <c r="K1215" s="246" t="e">
        <f t="shared" si="126"/>
        <v>#VALUE!</v>
      </c>
      <c r="L1215" s="246" t="e">
        <f t="shared" si="127"/>
        <v>#VALUE!</v>
      </c>
      <c r="M1215" s="247" t="e">
        <f t="shared" si="128"/>
        <v>#VALUE!</v>
      </c>
      <c r="N1215" s="246" t="e">
        <f t="shared" si="129"/>
        <v>#VALUE!</v>
      </c>
      <c r="O1215" s="247" t="e">
        <f t="shared" si="130"/>
        <v>#VALUE!</v>
      </c>
      <c r="P1215" s="247">
        <f t="shared" si="131"/>
        <v>0</v>
      </c>
      <c r="Q1215" s="247" t="e">
        <f t="shared" si="132"/>
        <v>#VALUE!</v>
      </c>
    </row>
    <row r="1216" spans="1:17" ht="15" customHeight="1" x14ac:dyDescent="0.25">
      <c r="A1216" s="244"/>
      <c r="B1216" s="244"/>
      <c r="C1216" s="244"/>
      <c r="D1216" s="244"/>
      <c r="E1216" s="244"/>
      <c r="F1216" s="244"/>
      <c r="G1216" s="244"/>
      <c r="I1216" s="244"/>
      <c r="J1216" s="244"/>
      <c r="K1216" s="246" t="e">
        <f t="shared" si="126"/>
        <v>#VALUE!</v>
      </c>
      <c r="L1216" s="246" t="e">
        <f t="shared" si="127"/>
        <v>#VALUE!</v>
      </c>
      <c r="M1216" s="247" t="e">
        <f t="shared" si="128"/>
        <v>#VALUE!</v>
      </c>
      <c r="N1216" s="246" t="e">
        <f t="shared" si="129"/>
        <v>#VALUE!</v>
      </c>
      <c r="O1216" s="247" t="e">
        <f t="shared" si="130"/>
        <v>#VALUE!</v>
      </c>
      <c r="P1216" s="247">
        <f t="shared" si="131"/>
        <v>0</v>
      </c>
      <c r="Q1216" s="247" t="e">
        <f t="shared" si="132"/>
        <v>#VALUE!</v>
      </c>
    </row>
    <row r="1217" spans="1:17" ht="15" customHeight="1" x14ac:dyDescent="0.25">
      <c r="A1217" s="244"/>
      <c r="B1217" s="244"/>
      <c r="C1217" s="244"/>
      <c r="D1217" s="244"/>
      <c r="E1217" s="244"/>
      <c r="F1217" s="244"/>
      <c r="G1217" s="244"/>
      <c r="I1217" s="244"/>
      <c r="J1217" s="244"/>
      <c r="K1217" s="246" t="e">
        <f t="shared" si="126"/>
        <v>#VALUE!</v>
      </c>
      <c r="L1217" s="246" t="e">
        <f t="shared" si="127"/>
        <v>#VALUE!</v>
      </c>
      <c r="M1217" s="247" t="e">
        <f t="shared" si="128"/>
        <v>#VALUE!</v>
      </c>
      <c r="N1217" s="246" t="e">
        <f t="shared" si="129"/>
        <v>#VALUE!</v>
      </c>
      <c r="O1217" s="247" t="e">
        <f t="shared" si="130"/>
        <v>#VALUE!</v>
      </c>
      <c r="P1217" s="247">
        <f t="shared" si="131"/>
        <v>0</v>
      </c>
      <c r="Q1217" s="247" t="e">
        <f t="shared" si="132"/>
        <v>#VALUE!</v>
      </c>
    </row>
    <row r="1218" spans="1:17" ht="15" customHeight="1" x14ac:dyDescent="0.25">
      <c r="A1218" s="244"/>
      <c r="B1218" s="244"/>
      <c r="C1218" s="244"/>
      <c r="D1218" s="244"/>
      <c r="E1218" s="244"/>
      <c r="F1218" s="244"/>
      <c r="G1218" s="244"/>
      <c r="I1218" s="244"/>
      <c r="J1218" s="244"/>
      <c r="K1218" s="246" t="e">
        <f t="shared" ref="K1218:K1281" si="133">DATE(VALUE(LEFT(A1218,4)),VALUE(MID(A1218,5,2)),VALUE(RIGHT(A1218,2)))</f>
        <v>#VALUE!</v>
      </c>
      <c r="L1218" s="246" t="e">
        <f t="shared" ref="L1218:L1281" si="134">DATEVALUE(LEFT(F1218,10))</f>
        <v>#VALUE!</v>
      </c>
      <c r="M1218" s="247" t="e">
        <f t="shared" ref="M1218:M1281" si="135">TIMEVALUE(MID(F1218,12,8))</f>
        <v>#VALUE!</v>
      </c>
      <c r="N1218" s="246" t="e">
        <f t="shared" ref="N1218:N1281" si="136">DATEVALUE(LEFT(G1218,10))</f>
        <v>#VALUE!</v>
      </c>
      <c r="O1218" s="247" t="e">
        <f t="shared" ref="O1218:O1281" si="137">TIMEVALUE(MID(G1218,12,8))</f>
        <v>#VALUE!</v>
      </c>
      <c r="P1218" s="247">
        <f t="shared" ref="P1218:P1281" si="138">IFERROR(_xlfn.MINIFS($M:$M,$E:$E,$E1218,$K:$K,$K1218,$M:$M,"&gt;"&amp;$O1218),"")</f>
        <v>0</v>
      </c>
      <c r="Q1218" s="247" t="e">
        <f t="shared" ref="Q1218:Q1281" si="139">IF($P1218="","",$P1218-$O1218)</f>
        <v>#VALUE!</v>
      </c>
    </row>
    <row r="1219" spans="1:17" ht="15" customHeight="1" x14ac:dyDescent="0.25">
      <c r="A1219" s="244"/>
      <c r="B1219" s="244"/>
      <c r="C1219" s="244"/>
      <c r="D1219" s="244"/>
      <c r="E1219" s="244"/>
      <c r="F1219" s="244"/>
      <c r="G1219" s="244"/>
      <c r="I1219" s="244"/>
      <c r="J1219" s="244"/>
      <c r="K1219" s="246" t="e">
        <f t="shared" si="133"/>
        <v>#VALUE!</v>
      </c>
      <c r="L1219" s="246" t="e">
        <f t="shared" si="134"/>
        <v>#VALUE!</v>
      </c>
      <c r="M1219" s="247" t="e">
        <f t="shared" si="135"/>
        <v>#VALUE!</v>
      </c>
      <c r="N1219" s="246" t="e">
        <f t="shared" si="136"/>
        <v>#VALUE!</v>
      </c>
      <c r="O1219" s="247" t="e">
        <f t="shared" si="137"/>
        <v>#VALUE!</v>
      </c>
      <c r="P1219" s="247">
        <f t="shared" si="138"/>
        <v>0</v>
      </c>
      <c r="Q1219" s="247" t="e">
        <f t="shared" si="139"/>
        <v>#VALUE!</v>
      </c>
    </row>
    <row r="1220" spans="1:17" ht="15" customHeight="1" x14ac:dyDescent="0.25">
      <c r="A1220" s="244"/>
      <c r="B1220" s="244"/>
      <c r="C1220" s="244"/>
      <c r="D1220" s="244"/>
      <c r="E1220" s="244"/>
      <c r="F1220" s="244"/>
      <c r="G1220" s="244"/>
      <c r="I1220" s="244"/>
      <c r="J1220" s="244"/>
      <c r="K1220" s="246" t="e">
        <f t="shared" si="133"/>
        <v>#VALUE!</v>
      </c>
      <c r="L1220" s="246" t="e">
        <f t="shared" si="134"/>
        <v>#VALUE!</v>
      </c>
      <c r="M1220" s="247" t="e">
        <f t="shared" si="135"/>
        <v>#VALUE!</v>
      </c>
      <c r="N1220" s="246" t="e">
        <f t="shared" si="136"/>
        <v>#VALUE!</v>
      </c>
      <c r="O1220" s="247" t="e">
        <f t="shared" si="137"/>
        <v>#VALUE!</v>
      </c>
      <c r="P1220" s="247">
        <f t="shared" si="138"/>
        <v>0</v>
      </c>
      <c r="Q1220" s="247" t="e">
        <f t="shared" si="139"/>
        <v>#VALUE!</v>
      </c>
    </row>
    <row r="1221" spans="1:17" ht="15" customHeight="1" x14ac:dyDescent="0.25">
      <c r="A1221" s="244"/>
      <c r="B1221" s="244"/>
      <c r="C1221" s="244"/>
      <c r="D1221" s="244"/>
      <c r="E1221" s="244"/>
      <c r="F1221" s="244"/>
      <c r="G1221" s="244"/>
      <c r="I1221" s="244"/>
      <c r="J1221" s="244"/>
      <c r="K1221" s="246" t="e">
        <f t="shared" si="133"/>
        <v>#VALUE!</v>
      </c>
      <c r="L1221" s="246" t="e">
        <f t="shared" si="134"/>
        <v>#VALUE!</v>
      </c>
      <c r="M1221" s="247" t="e">
        <f t="shared" si="135"/>
        <v>#VALUE!</v>
      </c>
      <c r="N1221" s="246" t="e">
        <f t="shared" si="136"/>
        <v>#VALUE!</v>
      </c>
      <c r="O1221" s="247" t="e">
        <f t="shared" si="137"/>
        <v>#VALUE!</v>
      </c>
      <c r="P1221" s="247">
        <f t="shared" si="138"/>
        <v>0</v>
      </c>
      <c r="Q1221" s="247" t="e">
        <f t="shared" si="139"/>
        <v>#VALUE!</v>
      </c>
    </row>
    <row r="1222" spans="1:17" ht="15" customHeight="1" x14ac:dyDescent="0.25">
      <c r="A1222" s="244"/>
      <c r="B1222" s="244"/>
      <c r="C1222" s="244"/>
      <c r="D1222" s="244"/>
      <c r="E1222" s="244"/>
      <c r="F1222" s="244"/>
      <c r="G1222" s="244"/>
      <c r="I1222" s="244"/>
      <c r="J1222" s="244"/>
      <c r="K1222" s="246" t="e">
        <f t="shared" si="133"/>
        <v>#VALUE!</v>
      </c>
      <c r="L1222" s="246" t="e">
        <f t="shared" si="134"/>
        <v>#VALUE!</v>
      </c>
      <c r="M1222" s="247" t="e">
        <f t="shared" si="135"/>
        <v>#VALUE!</v>
      </c>
      <c r="N1222" s="246" t="e">
        <f t="shared" si="136"/>
        <v>#VALUE!</v>
      </c>
      <c r="O1222" s="247" t="e">
        <f t="shared" si="137"/>
        <v>#VALUE!</v>
      </c>
      <c r="P1222" s="247">
        <f t="shared" si="138"/>
        <v>0</v>
      </c>
      <c r="Q1222" s="247" t="e">
        <f t="shared" si="139"/>
        <v>#VALUE!</v>
      </c>
    </row>
    <row r="1223" spans="1:17" ht="15" customHeight="1" x14ac:dyDescent="0.25">
      <c r="A1223" s="244"/>
      <c r="B1223" s="244"/>
      <c r="C1223" s="244"/>
      <c r="D1223" s="244"/>
      <c r="E1223" s="244"/>
      <c r="F1223" s="244"/>
      <c r="G1223" s="244"/>
      <c r="I1223" s="244"/>
      <c r="J1223" s="244"/>
      <c r="K1223" s="246" t="e">
        <f t="shared" si="133"/>
        <v>#VALUE!</v>
      </c>
      <c r="L1223" s="246" t="e">
        <f t="shared" si="134"/>
        <v>#VALUE!</v>
      </c>
      <c r="M1223" s="247" t="e">
        <f t="shared" si="135"/>
        <v>#VALUE!</v>
      </c>
      <c r="N1223" s="246" t="e">
        <f t="shared" si="136"/>
        <v>#VALUE!</v>
      </c>
      <c r="O1223" s="247" t="e">
        <f t="shared" si="137"/>
        <v>#VALUE!</v>
      </c>
      <c r="P1223" s="247">
        <f t="shared" si="138"/>
        <v>0</v>
      </c>
      <c r="Q1223" s="247" t="e">
        <f t="shared" si="139"/>
        <v>#VALUE!</v>
      </c>
    </row>
    <row r="1224" spans="1:17" ht="15" customHeight="1" x14ac:dyDescent="0.25">
      <c r="A1224" s="244"/>
      <c r="B1224" s="244"/>
      <c r="C1224" s="244"/>
      <c r="D1224" s="244"/>
      <c r="E1224" s="244"/>
      <c r="F1224" s="244"/>
      <c r="G1224" s="244"/>
      <c r="I1224" s="244"/>
      <c r="J1224" s="244"/>
      <c r="K1224" s="246" t="e">
        <f t="shared" si="133"/>
        <v>#VALUE!</v>
      </c>
      <c r="L1224" s="246" t="e">
        <f t="shared" si="134"/>
        <v>#VALUE!</v>
      </c>
      <c r="M1224" s="247" t="e">
        <f t="shared" si="135"/>
        <v>#VALUE!</v>
      </c>
      <c r="N1224" s="246" t="e">
        <f t="shared" si="136"/>
        <v>#VALUE!</v>
      </c>
      <c r="O1224" s="247" t="e">
        <f t="shared" si="137"/>
        <v>#VALUE!</v>
      </c>
      <c r="P1224" s="247">
        <f t="shared" si="138"/>
        <v>0</v>
      </c>
      <c r="Q1224" s="247" t="e">
        <f t="shared" si="139"/>
        <v>#VALUE!</v>
      </c>
    </row>
    <row r="1225" spans="1:17" ht="15" customHeight="1" x14ac:dyDescent="0.25">
      <c r="A1225" s="244"/>
      <c r="B1225" s="244"/>
      <c r="C1225" s="244"/>
      <c r="D1225" s="244"/>
      <c r="E1225" s="244"/>
      <c r="F1225" s="244"/>
      <c r="G1225" s="244"/>
      <c r="I1225" s="244"/>
      <c r="J1225" s="244"/>
      <c r="K1225" s="246" t="e">
        <f t="shared" si="133"/>
        <v>#VALUE!</v>
      </c>
      <c r="L1225" s="246" t="e">
        <f t="shared" si="134"/>
        <v>#VALUE!</v>
      </c>
      <c r="M1225" s="247" t="e">
        <f t="shared" si="135"/>
        <v>#VALUE!</v>
      </c>
      <c r="N1225" s="246" t="e">
        <f t="shared" si="136"/>
        <v>#VALUE!</v>
      </c>
      <c r="O1225" s="247" t="e">
        <f t="shared" si="137"/>
        <v>#VALUE!</v>
      </c>
      <c r="P1225" s="247">
        <f t="shared" si="138"/>
        <v>0</v>
      </c>
      <c r="Q1225" s="247" t="e">
        <f t="shared" si="139"/>
        <v>#VALUE!</v>
      </c>
    </row>
    <row r="1226" spans="1:17" ht="15" customHeight="1" x14ac:dyDescent="0.25">
      <c r="A1226" s="244"/>
      <c r="B1226" s="244"/>
      <c r="C1226" s="244"/>
      <c r="D1226" s="244"/>
      <c r="E1226" s="244"/>
      <c r="F1226" s="244"/>
      <c r="G1226" s="244"/>
      <c r="I1226" s="244"/>
      <c r="J1226" s="244"/>
      <c r="K1226" s="246" t="e">
        <f t="shared" si="133"/>
        <v>#VALUE!</v>
      </c>
      <c r="L1226" s="246" t="e">
        <f t="shared" si="134"/>
        <v>#VALUE!</v>
      </c>
      <c r="M1226" s="247" t="e">
        <f t="shared" si="135"/>
        <v>#VALUE!</v>
      </c>
      <c r="N1226" s="246" t="e">
        <f t="shared" si="136"/>
        <v>#VALUE!</v>
      </c>
      <c r="O1226" s="247" t="e">
        <f t="shared" si="137"/>
        <v>#VALUE!</v>
      </c>
      <c r="P1226" s="247">
        <f t="shared" si="138"/>
        <v>0</v>
      </c>
      <c r="Q1226" s="247" t="e">
        <f t="shared" si="139"/>
        <v>#VALUE!</v>
      </c>
    </row>
    <row r="1227" spans="1:17" ht="15" customHeight="1" x14ac:dyDescent="0.25">
      <c r="A1227" s="244"/>
      <c r="B1227" s="244"/>
      <c r="C1227" s="244"/>
      <c r="D1227" s="244"/>
      <c r="E1227" s="244"/>
      <c r="F1227" s="244"/>
      <c r="G1227" s="244"/>
      <c r="I1227" s="244"/>
      <c r="J1227" s="244"/>
      <c r="K1227" s="246" t="e">
        <f t="shared" si="133"/>
        <v>#VALUE!</v>
      </c>
      <c r="L1227" s="246" t="e">
        <f t="shared" si="134"/>
        <v>#VALUE!</v>
      </c>
      <c r="M1227" s="247" t="e">
        <f t="shared" si="135"/>
        <v>#VALUE!</v>
      </c>
      <c r="N1227" s="246" t="e">
        <f t="shared" si="136"/>
        <v>#VALUE!</v>
      </c>
      <c r="O1227" s="247" t="e">
        <f t="shared" si="137"/>
        <v>#VALUE!</v>
      </c>
      <c r="P1227" s="247">
        <f t="shared" si="138"/>
        <v>0</v>
      </c>
      <c r="Q1227" s="247" t="e">
        <f t="shared" si="139"/>
        <v>#VALUE!</v>
      </c>
    </row>
    <row r="1228" spans="1:17" ht="15" customHeight="1" x14ac:dyDescent="0.25">
      <c r="A1228" s="244"/>
      <c r="B1228" s="244"/>
      <c r="C1228" s="244"/>
      <c r="D1228" s="244"/>
      <c r="E1228" s="244"/>
      <c r="F1228" s="244"/>
      <c r="G1228" s="244"/>
      <c r="I1228" s="244"/>
      <c r="J1228" s="244"/>
      <c r="K1228" s="246" t="e">
        <f t="shared" si="133"/>
        <v>#VALUE!</v>
      </c>
      <c r="L1228" s="246" t="e">
        <f t="shared" si="134"/>
        <v>#VALUE!</v>
      </c>
      <c r="M1228" s="247" t="e">
        <f t="shared" si="135"/>
        <v>#VALUE!</v>
      </c>
      <c r="N1228" s="246" t="e">
        <f t="shared" si="136"/>
        <v>#VALUE!</v>
      </c>
      <c r="O1228" s="247" t="e">
        <f t="shared" si="137"/>
        <v>#VALUE!</v>
      </c>
      <c r="P1228" s="247">
        <f t="shared" si="138"/>
        <v>0</v>
      </c>
      <c r="Q1228" s="247" t="e">
        <f t="shared" si="139"/>
        <v>#VALUE!</v>
      </c>
    </row>
    <row r="1229" spans="1:17" ht="15" customHeight="1" x14ac:dyDescent="0.25">
      <c r="A1229" s="244"/>
      <c r="B1229" s="244"/>
      <c r="C1229" s="244"/>
      <c r="D1229" s="244"/>
      <c r="E1229" s="244"/>
      <c r="F1229" s="244"/>
      <c r="G1229" s="244"/>
      <c r="I1229" s="244"/>
      <c r="J1229" s="244"/>
      <c r="K1229" s="246" t="e">
        <f t="shared" si="133"/>
        <v>#VALUE!</v>
      </c>
      <c r="L1229" s="246" t="e">
        <f t="shared" si="134"/>
        <v>#VALUE!</v>
      </c>
      <c r="M1229" s="247" t="e">
        <f t="shared" si="135"/>
        <v>#VALUE!</v>
      </c>
      <c r="N1229" s="246" t="e">
        <f t="shared" si="136"/>
        <v>#VALUE!</v>
      </c>
      <c r="O1229" s="247" t="e">
        <f t="shared" si="137"/>
        <v>#VALUE!</v>
      </c>
      <c r="P1229" s="247">
        <f t="shared" si="138"/>
        <v>0</v>
      </c>
      <c r="Q1229" s="247" t="e">
        <f t="shared" si="139"/>
        <v>#VALUE!</v>
      </c>
    </row>
    <row r="1230" spans="1:17" ht="15" customHeight="1" x14ac:dyDescent="0.25">
      <c r="A1230" s="244"/>
      <c r="B1230" s="244"/>
      <c r="C1230" s="244"/>
      <c r="D1230" s="244"/>
      <c r="E1230" s="244"/>
      <c r="F1230" s="244"/>
      <c r="G1230" s="244"/>
      <c r="I1230" s="244"/>
      <c r="J1230" s="244"/>
      <c r="K1230" s="246" t="e">
        <f t="shared" si="133"/>
        <v>#VALUE!</v>
      </c>
      <c r="L1230" s="246" t="e">
        <f t="shared" si="134"/>
        <v>#VALUE!</v>
      </c>
      <c r="M1230" s="247" t="e">
        <f t="shared" si="135"/>
        <v>#VALUE!</v>
      </c>
      <c r="N1230" s="246" t="e">
        <f t="shared" si="136"/>
        <v>#VALUE!</v>
      </c>
      <c r="O1230" s="247" t="e">
        <f t="shared" si="137"/>
        <v>#VALUE!</v>
      </c>
      <c r="P1230" s="247">
        <f t="shared" si="138"/>
        <v>0</v>
      </c>
      <c r="Q1230" s="247" t="e">
        <f t="shared" si="139"/>
        <v>#VALUE!</v>
      </c>
    </row>
    <row r="1231" spans="1:17" ht="15" customHeight="1" x14ac:dyDescent="0.25">
      <c r="A1231" s="244"/>
      <c r="B1231" s="244"/>
      <c r="C1231" s="244"/>
      <c r="D1231" s="244"/>
      <c r="E1231" s="244"/>
      <c r="F1231" s="244"/>
      <c r="G1231" s="244"/>
      <c r="I1231" s="244"/>
      <c r="J1231" s="244"/>
      <c r="K1231" s="246" t="e">
        <f t="shared" si="133"/>
        <v>#VALUE!</v>
      </c>
      <c r="L1231" s="246" t="e">
        <f t="shared" si="134"/>
        <v>#VALUE!</v>
      </c>
      <c r="M1231" s="247" t="e">
        <f t="shared" si="135"/>
        <v>#VALUE!</v>
      </c>
      <c r="N1231" s="246" t="e">
        <f t="shared" si="136"/>
        <v>#VALUE!</v>
      </c>
      <c r="O1231" s="247" t="e">
        <f t="shared" si="137"/>
        <v>#VALUE!</v>
      </c>
      <c r="P1231" s="247">
        <f t="shared" si="138"/>
        <v>0</v>
      </c>
      <c r="Q1231" s="247" t="e">
        <f t="shared" si="139"/>
        <v>#VALUE!</v>
      </c>
    </row>
    <row r="1232" spans="1:17" ht="15" customHeight="1" x14ac:dyDescent="0.25">
      <c r="A1232" s="244"/>
      <c r="B1232" s="244"/>
      <c r="C1232" s="244"/>
      <c r="D1232" s="244"/>
      <c r="E1232" s="244"/>
      <c r="F1232" s="244"/>
      <c r="G1232" s="244"/>
      <c r="I1232" s="244"/>
      <c r="J1232" s="244"/>
      <c r="K1232" s="246" t="e">
        <f t="shared" si="133"/>
        <v>#VALUE!</v>
      </c>
      <c r="L1232" s="246" t="e">
        <f t="shared" si="134"/>
        <v>#VALUE!</v>
      </c>
      <c r="M1232" s="247" t="e">
        <f t="shared" si="135"/>
        <v>#VALUE!</v>
      </c>
      <c r="N1232" s="246" t="e">
        <f t="shared" si="136"/>
        <v>#VALUE!</v>
      </c>
      <c r="O1232" s="247" t="e">
        <f t="shared" si="137"/>
        <v>#VALUE!</v>
      </c>
      <c r="P1232" s="247">
        <f t="shared" si="138"/>
        <v>0</v>
      </c>
      <c r="Q1232" s="247" t="e">
        <f t="shared" si="139"/>
        <v>#VALUE!</v>
      </c>
    </row>
    <row r="1233" spans="1:17" ht="15" customHeight="1" x14ac:dyDescent="0.25">
      <c r="A1233" s="244"/>
      <c r="B1233" s="244"/>
      <c r="C1233" s="244"/>
      <c r="D1233" s="244"/>
      <c r="E1233" s="244"/>
      <c r="F1233" s="244"/>
      <c r="G1233" s="244"/>
      <c r="I1233" s="244"/>
      <c r="J1233" s="244"/>
      <c r="K1233" s="246" t="e">
        <f t="shared" si="133"/>
        <v>#VALUE!</v>
      </c>
      <c r="L1233" s="246" t="e">
        <f t="shared" si="134"/>
        <v>#VALUE!</v>
      </c>
      <c r="M1233" s="247" t="e">
        <f t="shared" si="135"/>
        <v>#VALUE!</v>
      </c>
      <c r="N1233" s="246" t="e">
        <f t="shared" si="136"/>
        <v>#VALUE!</v>
      </c>
      <c r="O1233" s="247" t="e">
        <f t="shared" si="137"/>
        <v>#VALUE!</v>
      </c>
      <c r="P1233" s="247">
        <f t="shared" si="138"/>
        <v>0</v>
      </c>
      <c r="Q1233" s="247" t="e">
        <f t="shared" si="139"/>
        <v>#VALUE!</v>
      </c>
    </row>
    <row r="1234" spans="1:17" ht="15" customHeight="1" x14ac:dyDescent="0.25">
      <c r="A1234" s="244"/>
      <c r="B1234" s="244"/>
      <c r="C1234" s="244"/>
      <c r="D1234" s="244"/>
      <c r="E1234" s="244"/>
      <c r="F1234" s="244"/>
      <c r="G1234" s="244"/>
      <c r="I1234" s="244"/>
      <c r="J1234" s="244"/>
      <c r="K1234" s="246" t="e">
        <f t="shared" si="133"/>
        <v>#VALUE!</v>
      </c>
      <c r="L1234" s="246" t="e">
        <f t="shared" si="134"/>
        <v>#VALUE!</v>
      </c>
      <c r="M1234" s="247" t="e">
        <f t="shared" si="135"/>
        <v>#VALUE!</v>
      </c>
      <c r="N1234" s="246" t="e">
        <f t="shared" si="136"/>
        <v>#VALUE!</v>
      </c>
      <c r="O1234" s="247" t="e">
        <f t="shared" si="137"/>
        <v>#VALUE!</v>
      </c>
      <c r="P1234" s="247">
        <f t="shared" si="138"/>
        <v>0</v>
      </c>
      <c r="Q1234" s="247" t="e">
        <f t="shared" si="139"/>
        <v>#VALUE!</v>
      </c>
    </row>
    <row r="1235" spans="1:17" ht="15" customHeight="1" x14ac:dyDescent="0.25">
      <c r="A1235" s="244"/>
      <c r="B1235" s="244"/>
      <c r="C1235" s="244"/>
      <c r="D1235" s="244"/>
      <c r="E1235" s="244"/>
      <c r="F1235" s="244"/>
      <c r="G1235" s="244"/>
      <c r="I1235" s="244"/>
      <c r="J1235" s="244"/>
      <c r="K1235" s="246" t="e">
        <f t="shared" si="133"/>
        <v>#VALUE!</v>
      </c>
      <c r="L1235" s="246" t="e">
        <f t="shared" si="134"/>
        <v>#VALUE!</v>
      </c>
      <c r="M1235" s="247" t="e">
        <f t="shared" si="135"/>
        <v>#VALUE!</v>
      </c>
      <c r="N1235" s="246" t="e">
        <f t="shared" si="136"/>
        <v>#VALUE!</v>
      </c>
      <c r="O1235" s="247" t="e">
        <f t="shared" si="137"/>
        <v>#VALUE!</v>
      </c>
      <c r="P1235" s="247">
        <f t="shared" si="138"/>
        <v>0</v>
      </c>
      <c r="Q1235" s="247" t="e">
        <f t="shared" si="139"/>
        <v>#VALUE!</v>
      </c>
    </row>
    <row r="1236" spans="1:17" ht="15" customHeight="1" x14ac:dyDescent="0.25">
      <c r="A1236" s="244"/>
      <c r="B1236" s="244"/>
      <c r="C1236" s="244"/>
      <c r="D1236" s="244"/>
      <c r="E1236" s="244"/>
      <c r="F1236" s="244"/>
      <c r="G1236" s="244"/>
      <c r="I1236" s="244"/>
      <c r="J1236" s="244"/>
      <c r="K1236" s="246" t="e">
        <f t="shared" si="133"/>
        <v>#VALUE!</v>
      </c>
      <c r="L1236" s="246" t="e">
        <f t="shared" si="134"/>
        <v>#VALUE!</v>
      </c>
      <c r="M1236" s="247" t="e">
        <f t="shared" si="135"/>
        <v>#VALUE!</v>
      </c>
      <c r="N1236" s="246" t="e">
        <f t="shared" si="136"/>
        <v>#VALUE!</v>
      </c>
      <c r="O1236" s="247" t="e">
        <f t="shared" si="137"/>
        <v>#VALUE!</v>
      </c>
      <c r="P1236" s="247">
        <f t="shared" si="138"/>
        <v>0</v>
      </c>
      <c r="Q1236" s="247" t="e">
        <f t="shared" si="139"/>
        <v>#VALUE!</v>
      </c>
    </row>
    <row r="1237" spans="1:17" ht="15" customHeight="1" x14ac:dyDescent="0.25">
      <c r="A1237" s="244"/>
      <c r="B1237" s="244"/>
      <c r="C1237" s="244"/>
      <c r="D1237" s="244"/>
      <c r="E1237" s="244"/>
      <c r="F1237" s="244"/>
      <c r="G1237" s="244"/>
      <c r="I1237" s="244"/>
      <c r="J1237" s="244"/>
      <c r="K1237" s="246" t="e">
        <f t="shared" si="133"/>
        <v>#VALUE!</v>
      </c>
      <c r="L1237" s="246" t="e">
        <f t="shared" si="134"/>
        <v>#VALUE!</v>
      </c>
      <c r="M1237" s="247" t="e">
        <f t="shared" si="135"/>
        <v>#VALUE!</v>
      </c>
      <c r="N1237" s="246" t="e">
        <f t="shared" si="136"/>
        <v>#VALUE!</v>
      </c>
      <c r="O1237" s="247" t="e">
        <f t="shared" si="137"/>
        <v>#VALUE!</v>
      </c>
      <c r="P1237" s="247">
        <f t="shared" si="138"/>
        <v>0</v>
      </c>
      <c r="Q1237" s="247" t="e">
        <f t="shared" si="139"/>
        <v>#VALUE!</v>
      </c>
    </row>
    <row r="1238" spans="1:17" ht="15" customHeight="1" x14ac:dyDescent="0.25">
      <c r="A1238" s="244"/>
      <c r="B1238" s="244"/>
      <c r="C1238" s="244"/>
      <c r="D1238" s="244"/>
      <c r="E1238" s="244"/>
      <c r="F1238" s="244"/>
      <c r="G1238" s="244"/>
      <c r="I1238" s="244"/>
      <c r="J1238" s="244"/>
      <c r="K1238" s="246" t="e">
        <f t="shared" si="133"/>
        <v>#VALUE!</v>
      </c>
      <c r="L1238" s="246" t="e">
        <f t="shared" si="134"/>
        <v>#VALUE!</v>
      </c>
      <c r="M1238" s="247" t="e">
        <f t="shared" si="135"/>
        <v>#VALUE!</v>
      </c>
      <c r="N1238" s="246" t="e">
        <f t="shared" si="136"/>
        <v>#VALUE!</v>
      </c>
      <c r="O1238" s="247" t="e">
        <f t="shared" si="137"/>
        <v>#VALUE!</v>
      </c>
      <c r="P1238" s="247">
        <f t="shared" si="138"/>
        <v>0</v>
      </c>
      <c r="Q1238" s="247" t="e">
        <f t="shared" si="139"/>
        <v>#VALUE!</v>
      </c>
    </row>
    <row r="1239" spans="1:17" ht="15" customHeight="1" x14ac:dyDescent="0.25">
      <c r="A1239" s="244"/>
      <c r="B1239" s="244"/>
      <c r="C1239" s="244"/>
      <c r="D1239" s="244"/>
      <c r="E1239" s="244"/>
      <c r="F1239" s="244"/>
      <c r="G1239" s="244"/>
      <c r="I1239" s="244"/>
      <c r="J1239" s="244"/>
      <c r="K1239" s="246" t="e">
        <f t="shared" si="133"/>
        <v>#VALUE!</v>
      </c>
      <c r="L1239" s="246" t="e">
        <f t="shared" si="134"/>
        <v>#VALUE!</v>
      </c>
      <c r="M1239" s="247" t="e">
        <f t="shared" si="135"/>
        <v>#VALUE!</v>
      </c>
      <c r="N1239" s="246" t="e">
        <f t="shared" si="136"/>
        <v>#VALUE!</v>
      </c>
      <c r="O1239" s="247" t="e">
        <f t="shared" si="137"/>
        <v>#VALUE!</v>
      </c>
      <c r="P1239" s="247">
        <f t="shared" si="138"/>
        <v>0</v>
      </c>
      <c r="Q1239" s="247" t="e">
        <f t="shared" si="139"/>
        <v>#VALUE!</v>
      </c>
    </row>
    <row r="1240" spans="1:17" ht="15" customHeight="1" x14ac:dyDescent="0.25">
      <c r="A1240" s="244"/>
      <c r="B1240" s="244"/>
      <c r="C1240" s="244"/>
      <c r="D1240" s="244"/>
      <c r="E1240" s="244"/>
      <c r="F1240" s="244"/>
      <c r="G1240" s="244"/>
      <c r="I1240" s="244"/>
      <c r="J1240" s="244"/>
      <c r="K1240" s="246" t="e">
        <f t="shared" si="133"/>
        <v>#VALUE!</v>
      </c>
      <c r="L1240" s="246" t="e">
        <f t="shared" si="134"/>
        <v>#VALUE!</v>
      </c>
      <c r="M1240" s="247" t="e">
        <f t="shared" si="135"/>
        <v>#VALUE!</v>
      </c>
      <c r="N1240" s="246" t="e">
        <f t="shared" si="136"/>
        <v>#VALUE!</v>
      </c>
      <c r="O1240" s="247" t="e">
        <f t="shared" si="137"/>
        <v>#VALUE!</v>
      </c>
      <c r="P1240" s="247">
        <f t="shared" si="138"/>
        <v>0</v>
      </c>
      <c r="Q1240" s="247" t="e">
        <f t="shared" si="139"/>
        <v>#VALUE!</v>
      </c>
    </row>
    <row r="1241" spans="1:17" ht="15" customHeight="1" x14ac:dyDescent="0.25">
      <c r="A1241" s="244"/>
      <c r="B1241" s="244"/>
      <c r="C1241" s="244"/>
      <c r="D1241" s="244"/>
      <c r="E1241" s="244"/>
      <c r="F1241" s="244"/>
      <c r="G1241" s="244"/>
      <c r="I1241" s="244"/>
      <c r="J1241" s="244"/>
      <c r="K1241" s="246" t="e">
        <f t="shared" si="133"/>
        <v>#VALUE!</v>
      </c>
      <c r="L1241" s="246" t="e">
        <f t="shared" si="134"/>
        <v>#VALUE!</v>
      </c>
      <c r="M1241" s="247" t="e">
        <f t="shared" si="135"/>
        <v>#VALUE!</v>
      </c>
      <c r="N1241" s="246" t="e">
        <f t="shared" si="136"/>
        <v>#VALUE!</v>
      </c>
      <c r="O1241" s="247" t="e">
        <f t="shared" si="137"/>
        <v>#VALUE!</v>
      </c>
      <c r="P1241" s="247">
        <f t="shared" si="138"/>
        <v>0</v>
      </c>
      <c r="Q1241" s="247" t="e">
        <f t="shared" si="139"/>
        <v>#VALUE!</v>
      </c>
    </row>
    <row r="1242" spans="1:17" ht="15" customHeight="1" x14ac:dyDescent="0.25">
      <c r="A1242" s="244"/>
      <c r="B1242" s="244"/>
      <c r="C1242" s="244"/>
      <c r="D1242" s="244"/>
      <c r="E1242" s="244"/>
      <c r="F1242" s="244"/>
      <c r="G1242" s="244"/>
      <c r="I1242" s="244"/>
      <c r="J1242" s="244"/>
      <c r="K1242" s="246" t="e">
        <f t="shared" si="133"/>
        <v>#VALUE!</v>
      </c>
      <c r="L1242" s="246" t="e">
        <f t="shared" si="134"/>
        <v>#VALUE!</v>
      </c>
      <c r="M1242" s="247" t="e">
        <f t="shared" si="135"/>
        <v>#VALUE!</v>
      </c>
      <c r="N1242" s="246" t="e">
        <f t="shared" si="136"/>
        <v>#VALUE!</v>
      </c>
      <c r="O1242" s="247" t="e">
        <f t="shared" si="137"/>
        <v>#VALUE!</v>
      </c>
      <c r="P1242" s="247">
        <f t="shared" si="138"/>
        <v>0</v>
      </c>
      <c r="Q1242" s="247" t="e">
        <f t="shared" si="139"/>
        <v>#VALUE!</v>
      </c>
    </row>
    <row r="1243" spans="1:17" ht="15" customHeight="1" x14ac:dyDescent="0.25">
      <c r="A1243" s="244"/>
      <c r="B1243" s="244"/>
      <c r="C1243" s="244"/>
      <c r="D1243" s="244"/>
      <c r="E1243" s="244"/>
      <c r="F1243" s="244"/>
      <c r="G1243" s="244"/>
      <c r="I1243" s="244"/>
      <c r="J1243" s="244"/>
      <c r="K1243" s="246" t="e">
        <f t="shared" si="133"/>
        <v>#VALUE!</v>
      </c>
      <c r="L1243" s="246" t="e">
        <f t="shared" si="134"/>
        <v>#VALUE!</v>
      </c>
      <c r="M1243" s="247" t="e">
        <f t="shared" si="135"/>
        <v>#VALUE!</v>
      </c>
      <c r="N1243" s="246" t="e">
        <f t="shared" si="136"/>
        <v>#VALUE!</v>
      </c>
      <c r="O1243" s="247" t="e">
        <f t="shared" si="137"/>
        <v>#VALUE!</v>
      </c>
      <c r="P1243" s="247">
        <f t="shared" si="138"/>
        <v>0</v>
      </c>
      <c r="Q1243" s="247" t="e">
        <f t="shared" si="139"/>
        <v>#VALUE!</v>
      </c>
    </row>
    <row r="1244" spans="1:17" ht="15" customHeight="1" x14ac:dyDescent="0.25">
      <c r="A1244" s="244"/>
      <c r="B1244" s="244"/>
      <c r="C1244" s="244"/>
      <c r="D1244" s="244"/>
      <c r="E1244" s="244"/>
      <c r="F1244" s="244"/>
      <c r="G1244" s="244"/>
      <c r="I1244" s="244"/>
      <c r="J1244" s="244"/>
      <c r="K1244" s="246" t="e">
        <f t="shared" si="133"/>
        <v>#VALUE!</v>
      </c>
      <c r="L1244" s="246" t="e">
        <f t="shared" si="134"/>
        <v>#VALUE!</v>
      </c>
      <c r="M1244" s="247" t="e">
        <f t="shared" si="135"/>
        <v>#VALUE!</v>
      </c>
      <c r="N1244" s="246" t="e">
        <f t="shared" si="136"/>
        <v>#VALUE!</v>
      </c>
      <c r="O1244" s="247" t="e">
        <f t="shared" si="137"/>
        <v>#VALUE!</v>
      </c>
      <c r="P1244" s="247">
        <f t="shared" si="138"/>
        <v>0</v>
      </c>
      <c r="Q1244" s="247" t="e">
        <f t="shared" si="139"/>
        <v>#VALUE!</v>
      </c>
    </row>
    <row r="1245" spans="1:17" ht="15" customHeight="1" x14ac:dyDescent="0.25">
      <c r="A1245" s="244"/>
      <c r="B1245" s="244"/>
      <c r="C1245" s="244"/>
      <c r="D1245" s="244"/>
      <c r="E1245" s="244"/>
      <c r="F1245" s="244"/>
      <c r="G1245" s="244"/>
      <c r="I1245" s="244"/>
      <c r="J1245" s="244"/>
      <c r="K1245" s="246" t="e">
        <f t="shared" si="133"/>
        <v>#VALUE!</v>
      </c>
      <c r="L1245" s="246" t="e">
        <f t="shared" si="134"/>
        <v>#VALUE!</v>
      </c>
      <c r="M1245" s="247" t="e">
        <f t="shared" si="135"/>
        <v>#VALUE!</v>
      </c>
      <c r="N1245" s="246" t="e">
        <f t="shared" si="136"/>
        <v>#VALUE!</v>
      </c>
      <c r="O1245" s="247" t="e">
        <f t="shared" si="137"/>
        <v>#VALUE!</v>
      </c>
      <c r="P1245" s="247">
        <f t="shared" si="138"/>
        <v>0</v>
      </c>
      <c r="Q1245" s="247" t="e">
        <f t="shared" si="139"/>
        <v>#VALUE!</v>
      </c>
    </row>
    <row r="1246" spans="1:17" ht="15" customHeight="1" x14ac:dyDescent="0.25">
      <c r="A1246" s="244"/>
      <c r="B1246" s="244"/>
      <c r="C1246" s="244"/>
      <c r="D1246" s="244"/>
      <c r="E1246" s="244"/>
      <c r="F1246" s="244"/>
      <c r="G1246" s="244"/>
      <c r="I1246" s="244"/>
      <c r="J1246" s="244"/>
      <c r="K1246" s="246" t="e">
        <f t="shared" si="133"/>
        <v>#VALUE!</v>
      </c>
      <c r="L1246" s="246" t="e">
        <f t="shared" si="134"/>
        <v>#VALUE!</v>
      </c>
      <c r="M1246" s="247" t="e">
        <f t="shared" si="135"/>
        <v>#VALUE!</v>
      </c>
      <c r="N1246" s="246" t="e">
        <f t="shared" si="136"/>
        <v>#VALUE!</v>
      </c>
      <c r="O1246" s="247" t="e">
        <f t="shared" si="137"/>
        <v>#VALUE!</v>
      </c>
      <c r="P1246" s="247">
        <f t="shared" si="138"/>
        <v>0</v>
      </c>
      <c r="Q1246" s="247" t="e">
        <f t="shared" si="139"/>
        <v>#VALUE!</v>
      </c>
    </row>
    <row r="1247" spans="1:17" ht="15" customHeight="1" x14ac:dyDescent="0.25">
      <c r="A1247" s="244"/>
      <c r="B1247" s="244"/>
      <c r="C1247" s="244"/>
      <c r="D1247" s="244"/>
      <c r="E1247" s="244"/>
      <c r="F1247" s="244"/>
      <c r="G1247" s="244"/>
      <c r="I1247" s="244"/>
      <c r="J1247" s="244"/>
      <c r="K1247" s="246" t="e">
        <f t="shared" si="133"/>
        <v>#VALUE!</v>
      </c>
      <c r="L1247" s="246" t="e">
        <f t="shared" si="134"/>
        <v>#VALUE!</v>
      </c>
      <c r="M1247" s="247" t="e">
        <f t="shared" si="135"/>
        <v>#VALUE!</v>
      </c>
      <c r="N1247" s="246" t="e">
        <f t="shared" si="136"/>
        <v>#VALUE!</v>
      </c>
      <c r="O1247" s="247" t="e">
        <f t="shared" si="137"/>
        <v>#VALUE!</v>
      </c>
      <c r="P1247" s="247">
        <f t="shared" si="138"/>
        <v>0</v>
      </c>
      <c r="Q1247" s="247" t="e">
        <f t="shared" si="139"/>
        <v>#VALUE!</v>
      </c>
    </row>
    <row r="1248" spans="1:17" ht="15" customHeight="1" x14ac:dyDescent="0.25">
      <c r="A1248" s="244"/>
      <c r="B1248" s="244"/>
      <c r="C1248" s="244"/>
      <c r="D1248" s="244"/>
      <c r="E1248" s="244"/>
      <c r="F1248" s="244"/>
      <c r="G1248" s="244"/>
      <c r="I1248" s="244"/>
      <c r="J1248" s="244"/>
      <c r="K1248" s="246" t="e">
        <f t="shared" si="133"/>
        <v>#VALUE!</v>
      </c>
      <c r="L1248" s="246" t="e">
        <f t="shared" si="134"/>
        <v>#VALUE!</v>
      </c>
      <c r="M1248" s="247" t="e">
        <f t="shared" si="135"/>
        <v>#VALUE!</v>
      </c>
      <c r="N1248" s="246" t="e">
        <f t="shared" si="136"/>
        <v>#VALUE!</v>
      </c>
      <c r="O1248" s="247" t="e">
        <f t="shared" si="137"/>
        <v>#VALUE!</v>
      </c>
      <c r="P1248" s="247">
        <f t="shared" si="138"/>
        <v>0</v>
      </c>
      <c r="Q1248" s="247" t="e">
        <f t="shared" si="139"/>
        <v>#VALUE!</v>
      </c>
    </row>
    <row r="1249" spans="1:17" ht="15" customHeight="1" x14ac:dyDescent="0.25">
      <c r="A1249" s="244"/>
      <c r="B1249" s="244"/>
      <c r="C1249" s="244"/>
      <c r="D1249" s="244"/>
      <c r="E1249" s="244"/>
      <c r="F1249" s="244"/>
      <c r="G1249" s="244"/>
      <c r="I1249" s="244"/>
      <c r="J1249" s="244"/>
      <c r="K1249" s="246" t="e">
        <f t="shared" si="133"/>
        <v>#VALUE!</v>
      </c>
      <c r="L1249" s="246" t="e">
        <f t="shared" si="134"/>
        <v>#VALUE!</v>
      </c>
      <c r="M1249" s="247" t="e">
        <f t="shared" si="135"/>
        <v>#VALUE!</v>
      </c>
      <c r="N1249" s="246" t="e">
        <f t="shared" si="136"/>
        <v>#VALUE!</v>
      </c>
      <c r="O1249" s="247" t="e">
        <f t="shared" si="137"/>
        <v>#VALUE!</v>
      </c>
      <c r="P1249" s="247">
        <f t="shared" si="138"/>
        <v>0</v>
      </c>
      <c r="Q1249" s="247" t="e">
        <f t="shared" si="139"/>
        <v>#VALUE!</v>
      </c>
    </row>
    <row r="1250" spans="1:17" ht="15" customHeight="1" x14ac:dyDescent="0.25">
      <c r="A1250" s="244"/>
      <c r="B1250" s="244"/>
      <c r="C1250" s="244"/>
      <c r="D1250" s="244"/>
      <c r="E1250" s="244"/>
      <c r="F1250" s="244"/>
      <c r="G1250" s="244"/>
      <c r="I1250" s="244"/>
      <c r="J1250" s="244"/>
      <c r="K1250" s="246" t="e">
        <f t="shared" si="133"/>
        <v>#VALUE!</v>
      </c>
      <c r="L1250" s="246" t="e">
        <f t="shared" si="134"/>
        <v>#VALUE!</v>
      </c>
      <c r="M1250" s="247" t="e">
        <f t="shared" si="135"/>
        <v>#VALUE!</v>
      </c>
      <c r="N1250" s="246" t="e">
        <f t="shared" si="136"/>
        <v>#VALUE!</v>
      </c>
      <c r="O1250" s="247" t="e">
        <f t="shared" si="137"/>
        <v>#VALUE!</v>
      </c>
      <c r="P1250" s="247">
        <f t="shared" si="138"/>
        <v>0</v>
      </c>
      <c r="Q1250" s="247" t="e">
        <f t="shared" si="139"/>
        <v>#VALUE!</v>
      </c>
    </row>
    <row r="1251" spans="1:17" ht="15" customHeight="1" x14ac:dyDescent="0.25">
      <c r="A1251" s="244"/>
      <c r="B1251" s="244"/>
      <c r="C1251" s="244"/>
      <c r="D1251" s="244"/>
      <c r="E1251" s="244"/>
      <c r="F1251" s="244"/>
      <c r="G1251" s="244"/>
      <c r="I1251" s="244"/>
      <c r="J1251" s="244"/>
      <c r="K1251" s="246" t="e">
        <f t="shared" si="133"/>
        <v>#VALUE!</v>
      </c>
      <c r="L1251" s="246" t="e">
        <f t="shared" si="134"/>
        <v>#VALUE!</v>
      </c>
      <c r="M1251" s="247" t="e">
        <f t="shared" si="135"/>
        <v>#VALUE!</v>
      </c>
      <c r="N1251" s="246" t="e">
        <f t="shared" si="136"/>
        <v>#VALUE!</v>
      </c>
      <c r="O1251" s="247" t="e">
        <f t="shared" si="137"/>
        <v>#VALUE!</v>
      </c>
      <c r="P1251" s="247">
        <f t="shared" si="138"/>
        <v>0</v>
      </c>
      <c r="Q1251" s="247" t="e">
        <f t="shared" si="139"/>
        <v>#VALUE!</v>
      </c>
    </row>
    <row r="1252" spans="1:17" ht="15" customHeight="1" x14ac:dyDescent="0.25">
      <c r="A1252" s="244"/>
      <c r="B1252" s="244"/>
      <c r="C1252" s="244"/>
      <c r="D1252" s="244"/>
      <c r="E1252" s="244"/>
      <c r="F1252" s="244"/>
      <c r="G1252" s="244"/>
      <c r="I1252" s="244"/>
      <c r="J1252" s="244"/>
      <c r="K1252" s="246" t="e">
        <f t="shared" si="133"/>
        <v>#VALUE!</v>
      </c>
      <c r="L1252" s="246" t="e">
        <f t="shared" si="134"/>
        <v>#VALUE!</v>
      </c>
      <c r="M1252" s="247" t="e">
        <f t="shared" si="135"/>
        <v>#VALUE!</v>
      </c>
      <c r="N1252" s="246" t="e">
        <f t="shared" si="136"/>
        <v>#VALUE!</v>
      </c>
      <c r="O1252" s="247" t="e">
        <f t="shared" si="137"/>
        <v>#VALUE!</v>
      </c>
      <c r="P1252" s="247">
        <f t="shared" si="138"/>
        <v>0</v>
      </c>
      <c r="Q1252" s="247" t="e">
        <f t="shared" si="139"/>
        <v>#VALUE!</v>
      </c>
    </row>
    <row r="1253" spans="1:17" ht="15" customHeight="1" x14ac:dyDescent="0.25">
      <c r="A1253" s="244"/>
      <c r="B1253" s="244"/>
      <c r="C1253" s="244"/>
      <c r="D1253" s="244"/>
      <c r="E1253" s="244"/>
      <c r="F1253" s="244"/>
      <c r="G1253" s="244"/>
      <c r="I1253" s="244"/>
      <c r="J1253" s="244"/>
      <c r="K1253" s="246" t="e">
        <f t="shared" si="133"/>
        <v>#VALUE!</v>
      </c>
      <c r="L1253" s="246" t="e">
        <f t="shared" si="134"/>
        <v>#VALUE!</v>
      </c>
      <c r="M1253" s="247" t="e">
        <f t="shared" si="135"/>
        <v>#VALUE!</v>
      </c>
      <c r="N1253" s="246" t="e">
        <f t="shared" si="136"/>
        <v>#VALUE!</v>
      </c>
      <c r="O1253" s="247" t="e">
        <f t="shared" si="137"/>
        <v>#VALUE!</v>
      </c>
      <c r="P1253" s="247">
        <f t="shared" si="138"/>
        <v>0</v>
      </c>
      <c r="Q1253" s="247" t="e">
        <f t="shared" si="139"/>
        <v>#VALUE!</v>
      </c>
    </row>
    <row r="1254" spans="1:17" ht="15" customHeight="1" x14ac:dyDescent="0.25">
      <c r="A1254" s="244"/>
      <c r="B1254" s="244"/>
      <c r="C1254" s="244"/>
      <c r="D1254" s="244"/>
      <c r="E1254" s="244"/>
      <c r="F1254" s="244"/>
      <c r="G1254" s="244"/>
      <c r="I1254" s="244"/>
      <c r="J1254" s="244"/>
      <c r="K1254" s="246" t="e">
        <f t="shared" si="133"/>
        <v>#VALUE!</v>
      </c>
      <c r="L1254" s="246" t="e">
        <f t="shared" si="134"/>
        <v>#VALUE!</v>
      </c>
      <c r="M1254" s="247" t="e">
        <f t="shared" si="135"/>
        <v>#VALUE!</v>
      </c>
      <c r="N1254" s="246" t="e">
        <f t="shared" si="136"/>
        <v>#VALUE!</v>
      </c>
      <c r="O1254" s="247" t="e">
        <f t="shared" si="137"/>
        <v>#VALUE!</v>
      </c>
      <c r="P1254" s="247">
        <f t="shared" si="138"/>
        <v>0</v>
      </c>
      <c r="Q1254" s="247" t="e">
        <f t="shared" si="139"/>
        <v>#VALUE!</v>
      </c>
    </row>
    <row r="1255" spans="1:17" ht="15" customHeight="1" x14ac:dyDescent="0.25">
      <c r="A1255" s="244"/>
      <c r="B1255" s="244"/>
      <c r="C1255" s="244"/>
      <c r="D1255" s="244"/>
      <c r="E1255" s="244"/>
      <c r="F1255" s="244"/>
      <c r="G1255" s="244"/>
      <c r="I1255" s="244"/>
      <c r="J1255" s="244"/>
      <c r="K1255" s="246" t="e">
        <f t="shared" si="133"/>
        <v>#VALUE!</v>
      </c>
      <c r="L1255" s="246" t="e">
        <f t="shared" si="134"/>
        <v>#VALUE!</v>
      </c>
      <c r="M1255" s="247" t="e">
        <f t="shared" si="135"/>
        <v>#VALUE!</v>
      </c>
      <c r="N1255" s="246" t="e">
        <f t="shared" si="136"/>
        <v>#VALUE!</v>
      </c>
      <c r="O1255" s="247" t="e">
        <f t="shared" si="137"/>
        <v>#VALUE!</v>
      </c>
      <c r="P1255" s="247">
        <f t="shared" si="138"/>
        <v>0</v>
      </c>
      <c r="Q1255" s="247" t="e">
        <f t="shared" si="139"/>
        <v>#VALUE!</v>
      </c>
    </row>
    <row r="1256" spans="1:17" ht="15" customHeight="1" x14ac:dyDescent="0.25">
      <c r="A1256" s="244"/>
      <c r="B1256" s="244"/>
      <c r="C1256" s="244"/>
      <c r="D1256" s="244"/>
      <c r="E1256" s="244"/>
      <c r="F1256" s="244"/>
      <c r="G1256" s="244"/>
      <c r="I1256" s="244"/>
      <c r="J1256" s="244"/>
      <c r="K1256" s="246" t="e">
        <f t="shared" si="133"/>
        <v>#VALUE!</v>
      </c>
      <c r="L1256" s="246" t="e">
        <f t="shared" si="134"/>
        <v>#VALUE!</v>
      </c>
      <c r="M1256" s="247" t="e">
        <f t="shared" si="135"/>
        <v>#VALUE!</v>
      </c>
      <c r="N1256" s="246" t="e">
        <f t="shared" si="136"/>
        <v>#VALUE!</v>
      </c>
      <c r="O1256" s="247" t="e">
        <f t="shared" si="137"/>
        <v>#VALUE!</v>
      </c>
      <c r="P1256" s="247">
        <f t="shared" si="138"/>
        <v>0</v>
      </c>
      <c r="Q1256" s="247" t="e">
        <f t="shared" si="139"/>
        <v>#VALUE!</v>
      </c>
    </row>
    <row r="1257" spans="1:17" ht="15" customHeight="1" x14ac:dyDescent="0.25">
      <c r="A1257" s="244"/>
      <c r="B1257" s="244"/>
      <c r="C1257" s="244"/>
      <c r="D1257" s="244"/>
      <c r="E1257" s="244"/>
      <c r="F1257" s="244"/>
      <c r="G1257" s="244"/>
      <c r="I1257" s="244"/>
      <c r="J1257" s="244"/>
      <c r="K1257" s="246" t="e">
        <f t="shared" si="133"/>
        <v>#VALUE!</v>
      </c>
      <c r="L1257" s="246" t="e">
        <f t="shared" si="134"/>
        <v>#VALUE!</v>
      </c>
      <c r="M1257" s="247" t="e">
        <f t="shared" si="135"/>
        <v>#VALUE!</v>
      </c>
      <c r="N1257" s="246" t="e">
        <f t="shared" si="136"/>
        <v>#VALUE!</v>
      </c>
      <c r="O1257" s="247" t="e">
        <f t="shared" si="137"/>
        <v>#VALUE!</v>
      </c>
      <c r="P1257" s="247">
        <f t="shared" si="138"/>
        <v>0</v>
      </c>
      <c r="Q1257" s="247" t="e">
        <f t="shared" si="139"/>
        <v>#VALUE!</v>
      </c>
    </row>
    <row r="1258" spans="1:17" ht="15" customHeight="1" x14ac:dyDescent="0.25">
      <c r="A1258" s="244"/>
      <c r="B1258" s="244"/>
      <c r="C1258" s="244"/>
      <c r="D1258" s="244"/>
      <c r="E1258" s="244"/>
      <c r="F1258" s="244"/>
      <c r="G1258" s="244"/>
      <c r="I1258" s="244"/>
      <c r="J1258" s="244"/>
      <c r="K1258" s="246" t="e">
        <f t="shared" si="133"/>
        <v>#VALUE!</v>
      </c>
      <c r="L1258" s="246" t="e">
        <f t="shared" si="134"/>
        <v>#VALUE!</v>
      </c>
      <c r="M1258" s="247" t="e">
        <f t="shared" si="135"/>
        <v>#VALUE!</v>
      </c>
      <c r="N1258" s="246" t="e">
        <f t="shared" si="136"/>
        <v>#VALUE!</v>
      </c>
      <c r="O1258" s="247" t="e">
        <f t="shared" si="137"/>
        <v>#VALUE!</v>
      </c>
      <c r="P1258" s="247">
        <f t="shared" si="138"/>
        <v>0</v>
      </c>
      <c r="Q1258" s="247" t="e">
        <f t="shared" si="139"/>
        <v>#VALUE!</v>
      </c>
    </row>
    <row r="1259" spans="1:17" ht="15" customHeight="1" x14ac:dyDescent="0.25">
      <c r="A1259" s="244"/>
      <c r="B1259" s="244"/>
      <c r="C1259" s="244"/>
      <c r="D1259" s="244"/>
      <c r="E1259" s="244"/>
      <c r="F1259" s="244"/>
      <c r="G1259" s="244"/>
      <c r="I1259" s="244"/>
      <c r="J1259" s="244"/>
      <c r="K1259" s="246" t="e">
        <f t="shared" si="133"/>
        <v>#VALUE!</v>
      </c>
      <c r="L1259" s="246" t="e">
        <f t="shared" si="134"/>
        <v>#VALUE!</v>
      </c>
      <c r="M1259" s="247" t="e">
        <f t="shared" si="135"/>
        <v>#VALUE!</v>
      </c>
      <c r="N1259" s="246" t="e">
        <f t="shared" si="136"/>
        <v>#VALUE!</v>
      </c>
      <c r="O1259" s="247" t="e">
        <f t="shared" si="137"/>
        <v>#VALUE!</v>
      </c>
      <c r="P1259" s="247">
        <f t="shared" si="138"/>
        <v>0</v>
      </c>
      <c r="Q1259" s="247" t="e">
        <f t="shared" si="139"/>
        <v>#VALUE!</v>
      </c>
    </row>
    <row r="1260" spans="1:17" ht="15" customHeight="1" x14ac:dyDescent="0.25">
      <c r="A1260" s="244"/>
      <c r="B1260" s="244"/>
      <c r="C1260" s="244"/>
      <c r="D1260" s="244"/>
      <c r="E1260" s="244"/>
      <c r="F1260" s="244"/>
      <c r="G1260" s="244"/>
      <c r="I1260" s="244"/>
      <c r="J1260" s="244"/>
      <c r="K1260" s="246" t="e">
        <f t="shared" si="133"/>
        <v>#VALUE!</v>
      </c>
      <c r="L1260" s="246" t="e">
        <f t="shared" si="134"/>
        <v>#VALUE!</v>
      </c>
      <c r="M1260" s="247" t="e">
        <f t="shared" si="135"/>
        <v>#VALUE!</v>
      </c>
      <c r="N1260" s="246" t="e">
        <f t="shared" si="136"/>
        <v>#VALUE!</v>
      </c>
      <c r="O1260" s="247" t="e">
        <f t="shared" si="137"/>
        <v>#VALUE!</v>
      </c>
      <c r="P1260" s="247">
        <f t="shared" si="138"/>
        <v>0</v>
      </c>
      <c r="Q1260" s="247" t="e">
        <f t="shared" si="139"/>
        <v>#VALUE!</v>
      </c>
    </row>
    <row r="1261" spans="1:17" ht="15" customHeight="1" x14ac:dyDescent="0.25">
      <c r="A1261" s="244"/>
      <c r="B1261" s="244"/>
      <c r="C1261" s="244"/>
      <c r="D1261" s="244"/>
      <c r="E1261" s="244"/>
      <c r="F1261" s="244"/>
      <c r="G1261" s="244"/>
      <c r="I1261" s="244"/>
      <c r="J1261" s="244"/>
      <c r="K1261" s="246" t="e">
        <f t="shared" si="133"/>
        <v>#VALUE!</v>
      </c>
      <c r="L1261" s="246" t="e">
        <f t="shared" si="134"/>
        <v>#VALUE!</v>
      </c>
      <c r="M1261" s="247" t="e">
        <f t="shared" si="135"/>
        <v>#VALUE!</v>
      </c>
      <c r="N1261" s="246" t="e">
        <f t="shared" si="136"/>
        <v>#VALUE!</v>
      </c>
      <c r="O1261" s="247" t="e">
        <f t="shared" si="137"/>
        <v>#VALUE!</v>
      </c>
      <c r="P1261" s="247">
        <f t="shared" si="138"/>
        <v>0</v>
      </c>
      <c r="Q1261" s="247" t="e">
        <f t="shared" si="139"/>
        <v>#VALUE!</v>
      </c>
    </row>
    <row r="1262" spans="1:17" ht="15" customHeight="1" x14ac:dyDescent="0.25">
      <c r="A1262" s="244"/>
      <c r="B1262" s="244"/>
      <c r="C1262" s="244"/>
      <c r="D1262" s="244"/>
      <c r="E1262" s="244"/>
      <c r="F1262" s="244"/>
      <c r="G1262" s="244"/>
      <c r="I1262" s="244"/>
      <c r="J1262" s="244"/>
      <c r="K1262" s="246" t="e">
        <f t="shared" si="133"/>
        <v>#VALUE!</v>
      </c>
      <c r="L1262" s="246" t="e">
        <f t="shared" si="134"/>
        <v>#VALUE!</v>
      </c>
      <c r="M1262" s="247" t="e">
        <f t="shared" si="135"/>
        <v>#VALUE!</v>
      </c>
      <c r="N1262" s="246" t="e">
        <f t="shared" si="136"/>
        <v>#VALUE!</v>
      </c>
      <c r="O1262" s="247" t="e">
        <f t="shared" si="137"/>
        <v>#VALUE!</v>
      </c>
      <c r="P1262" s="247">
        <f t="shared" si="138"/>
        <v>0</v>
      </c>
      <c r="Q1262" s="247" t="e">
        <f t="shared" si="139"/>
        <v>#VALUE!</v>
      </c>
    </row>
    <row r="1263" spans="1:17" ht="15" customHeight="1" x14ac:dyDescent="0.25">
      <c r="A1263" s="244"/>
      <c r="B1263" s="244"/>
      <c r="C1263" s="244"/>
      <c r="D1263" s="244"/>
      <c r="E1263" s="244"/>
      <c r="F1263" s="244"/>
      <c r="G1263" s="244"/>
      <c r="I1263" s="244"/>
      <c r="J1263" s="244"/>
      <c r="K1263" s="246" t="e">
        <f t="shared" si="133"/>
        <v>#VALUE!</v>
      </c>
      <c r="L1263" s="246" t="e">
        <f t="shared" si="134"/>
        <v>#VALUE!</v>
      </c>
      <c r="M1263" s="247" t="e">
        <f t="shared" si="135"/>
        <v>#VALUE!</v>
      </c>
      <c r="N1263" s="246" t="e">
        <f t="shared" si="136"/>
        <v>#VALUE!</v>
      </c>
      <c r="O1263" s="247" t="e">
        <f t="shared" si="137"/>
        <v>#VALUE!</v>
      </c>
      <c r="P1263" s="247">
        <f t="shared" si="138"/>
        <v>0</v>
      </c>
      <c r="Q1263" s="247" t="e">
        <f t="shared" si="139"/>
        <v>#VALUE!</v>
      </c>
    </row>
    <row r="1264" spans="1:17" ht="15" customHeight="1" x14ac:dyDescent="0.25">
      <c r="A1264" s="244"/>
      <c r="B1264" s="244"/>
      <c r="C1264" s="244"/>
      <c r="D1264" s="244"/>
      <c r="E1264" s="244"/>
      <c r="F1264" s="244"/>
      <c r="G1264" s="244"/>
      <c r="I1264" s="244"/>
      <c r="J1264" s="244"/>
      <c r="K1264" s="246" t="e">
        <f t="shared" si="133"/>
        <v>#VALUE!</v>
      </c>
      <c r="L1264" s="246" t="e">
        <f t="shared" si="134"/>
        <v>#VALUE!</v>
      </c>
      <c r="M1264" s="247" t="e">
        <f t="shared" si="135"/>
        <v>#VALUE!</v>
      </c>
      <c r="N1264" s="246" t="e">
        <f t="shared" si="136"/>
        <v>#VALUE!</v>
      </c>
      <c r="O1264" s="247" t="e">
        <f t="shared" si="137"/>
        <v>#VALUE!</v>
      </c>
      <c r="P1264" s="247">
        <f t="shared" si="138"/>
        <v>0</v>
      </c>
      <c r="Q1264" s="247" t="e">
        <f t="shared" si="139"/>
        <v>#VALUE!</v>
      </c>
    </row>
    <row r="1265" spans="1:17" ht="15" customHeight="1" x14ac:dyDescent="0.25">
      <c r="A1265" s="244"/>
      <c r="B1265" s="244"/>
      <c r="C1265" s="244"/>
      <c r="D1265" s="244"/>
      <c r="E1265" s="244"/>
      <c r="F1265" s="244"/>
      <c r="G1265" s="244"/>
      <c r="I1265" s="244"/>
      <c r="J1265" s="244"/>
      <c r="K1265" s="246" t="e">
        <f t="shared" si="133"/>
        <v>#VALUE!</v>
      </c>
      <c r="L1265" s="246" t="e">
        <f t="shared" si="134"/>
        <v>#VALUE!</v>
      </c>
      <c r="M1265" s="247" t="e">
        <f t="shared" si="135"/>
        <v>#VALUE!</v>
      </c>
      <c r="N1265" s="246" t="e">
        <f t="shared" si="136"/>
        <v>#VALUE!</v>
      </c>
      <c r="O1265" s="247" t="e">
        <f t="shared" si="137"/>
        <v>#VALUE!</v>
      </c>
      <c r="P1265" s="247">
        <f t="shared" si="138"/>
        <v>0</v>
      </c>
      <c r="Q1265" s="247" t="e">
        <f t="shared" si="139"/>
        <v>#VALUE!</v>
      </c>
    </row>
    <row r="1266" spans="1:17" ht="15" customHeight="1" x14ac:dyDescent="0.25">
      <c r="A1266" s="244"/>
      <c r="B1266" s="244"/>
      <c r="C1266" s="244"/>
      <c r="D1266" s="244"/>
      <c r="E1266" s="244"/>
      <c r="F1266" s="244"/>
      <c r="G1266" s="244"/>
      <c r="I1266" s="244"/>
      <c r="J1266" s="244"/>
      <c r="K1266" s="246" t="e">
        <f t="shared" si="133"/>
        <v>#VALUE!</v>
      </c>
      <c r="L1266" s="246" t="e">
        <f t="shared" si="134"/>
        <v>#VALUE!</v>
      </c>
      <c r="M1266" s="247" t="e">
        <f t="shared" si="135"/>
        <v>#VALUE!</v>
      </c>
      <c r="N1266" s="246" t="e">
        <f t="shared" si="136"/>
        <v>#VALUE!</v>
      </c>
      <c r="O1266" s="247" t="e">
        <f t="shared" si="137"/>
        <v>#VALUE!</v>
      </c>
      <c r="P1266" s="247">
        <f t="shared" si="138"/>
        <v>0</v>
      </c>
      <c r="Q1266" s="247" t="e">
        <f t="shared" si="139"/>
        <v>#VALUE!</v>
      </c>
    </row>
    <row r="1267" spans="1:17" ht="15" customHeight="1" x14ac:dyDescent="0.25">
      <c r="A1267" s="244"/>
      <c r="B1267" s="244"/>
      <c r="C1267" s="244"/>
      <c r="D1267" s="244"/>
      <c r="E1267" s="244"/>
      <c r="F1267" s="244"/>
      <c r="G1267" s="244"/>
      <c r="I1267" s="244"/>
      <c r="J1267" s="244"/>
      <c r="K1267" s="246" t="e">
        <f t="shared" si="133"/>
        <v>#VALUE!</v>
      </c>
      <c r="L1267" s="246" t="e">
        <f t="shared" si="134"/>
        <v>#VALUE!</v>
      </c>
      <c r="M1267" s="247" t="e">
        <f t="shared" si="135"/>
        <v>#VALUE!</v>
      </c>
      <c r="N1267" s="246" t="e">
        <f t="shared" si="136"/>
        <v>#VALUE!</v>
      </c>
      <c r="O1267" s="247" t="e">
        <f t="shared" si="137"/>
        <v>#VALUE!</v>
      </c>
      <c r="P1267" s="247">
        <f t="shared" si="138"/>
        <v>0</v>
      </c>
      <c r="Q1267" s="247" t="e">
        <f t="shared" si="139"/>
        <v>#VALUE!</v>
      </c>
    </row>
    <row r="1268" spans="1:17" ht="15" customHeight="1" x14ac:dyDescent="0.25">
      <c r="A1268" s="244"/>
      <c r="B1268" s="244"/>
      <c r="C1268" s="244"/>
      <c r="D1268" s="244"/>
      <c r="E1268" s="244"/>
      <c r="F1268" s="244"/>
      <c r="G1268" s="244"/>
      <c r="I1268" s="244"/>
      <c r="J1268" s="244"/>
      <c r="K1268" s="246" t="e">
        <f t="shared" si="133"/>
        <v>#VALUE!</v>
      </c>
      <c r="L1268" s="246" t="e">
        <f t="shared" si="134"/>
        <v>#VALUE!</v>
      </c>
      <c r="M1268" s="247" t="e">
        <f t="shared" si="135"/>
        <v>#VALUE!</v>
      </c>
      <c r="N1268" s="246" t="e">
        <f t="shared" si="136"/>
        <v>#VALUE!</v>
      </c>
      <c r="O1268" s="247" t="e">
        <f t="shared" si="137"/>
        <v>#VALUE!</v>
      </c>
      <c r="P1268" s="247">
        <f t="shared" si="138"/>
        <v>0</v>
      </c>
      <c r="Q1268" s="247" t="e">
        <f t="shared" si="139"/>
        <v>#VALUE!</v>
      </c>
    </row>
    <row r="1269" spans="1:17" ht="15" customHeight="1" x14ac:dyDescent="0.25">
      <c r="A1269" s="244"/>
      <c r="B1269" s="244"/>
      <c r="C1269" s="244"/>
      <c r="D1269" s="244"/>
      <c r="E1269" s="244"/>
      <c r="F1269" s="244"/>
      <c r="G1269" s="244"/>
      <c r="I1269" s="244"/>
      <c r="J1269" s="244"/>
      <c r="K1269" s="246" t="e">
        <f t="shared" si="133"/>
        <v>#VALUE!</v>
      </c>
      <c r="L1269" s="246" t="e">
        <f t="shared" si="134"/>
        <v>#VALUE!</v>
      </c>
      <c r="M1269" s="247" t="e">
        <f t="shared" si="135"/>
        <v>#VALUE!</v>
      </c>
      <c r="N1269" s="246" t="e">
        <f t="shared" si="136"/>
        <v>#VALUE!</v>
      </c>
      <c r="O1269" s="247" t="e">
        <f t="shared" si="137"/>
        <v>#VALUE!</v>
      </c>
      <c r="P1269" s="247">
        <f t="shared" si="138"/>
        <v>0</v>
      </c>
      <c r="Q1269" s="247" t="e">
        <f t="shared" si="139"/>
        <v>#VALUE!</v>
      </c>
    </row>
    <row r="1270" spans="1:17" ht="15" customHeight="1" x14ac:dyDescent="0.25">
      <c r="A1270" s="244"/>
      <c r="B1270" s="244"/>
      <c r="C1270" s="244"/>
      <c r="D1270" s="244"/>
      <c r="E1270" s="244"/>
      <c r="F1270" s="244"/>
      <c r="G1270" s="244"/>
      <c r="I1270" s="244"/>
      <c r="J1270" s="244"/>
      <c r="K1270" s="246" t="e">
        <f t="shared" si="133"/>
        <v>#VALUE!</v>
      </c>
      <c r="L1270" s="246" t="e">
        <f t="shared" si="134"/>
        <v>#VALUE!</v>
      </c>
      <c r="M1270" s="247" t="e">
        <f t="shared" si="135"/>
        <v>#VALUE!</v>
      </c>
      <c r="N1270" s="246" t="e">
        <f t="shared" si="136"/>
        <v>#VALUE!</v>
      </c>
      <c r="O1270" s="247" t="e">
        <f t="shared" si="137"/>
        <v>#VALUE!</v>
      </c>
      <c r="P1270" s="247">
        <f t="shared" si="138"/>
        <v>0</v>
      </c>
      <c r="Q1270" s="247" t="e">
        <f t="shared" si="139"/>
        <v>#VALUE!</v>
      </c>
    </row>
    <row r="1271" spans="1:17" ht="15" customHeight="1" x14ac:dyDescent="0.25">
      <c r="A1271" s="244"/>
      <c r="B1271" s="244"/>
      <c r="C1271" s="244"/>
      <c r="D1271" s="244"/>
      <c r="E1271" s="244"/>
      <c r="F1271" s="244"/>
      <c r="G1271" s="244"/>
      <c r="I1271" s="244"/>
      <c r="J1271" s="244"/>
      <c r="K1271" s="246" t="e">
        <f t="shared" si="133"/>
        <v>#VALUE!</v>
      </c>
      <c r="L1271" s="246" t="e">
        <f t="shared" si="134"/>
        <v>#VALUE!</v>
      </c>
      <c r="M1271" s="247" t="e">
        <f t="shared" si="135"/>
        <v>#VALUE!</v>
      </c>
      <c r="N1271" s="246" t="e">
        <f t="shared" si="136"/>
        <v>#VALUE!</v>
      </c>
      <c r="O1271" s="247" t="e">
        <f t="shared" si="137"/>
        <v>#VALUE!</v>
      </c>
      <c r="P1271" s="247">
        <f t="shared" si="138"/>
        <v>0</v>
      </c>
      <c r="Q1271" s="247" t="e">
        <f t="shared" si="139"/>
        <v>#VALUE!</v>
      </c>
    </row>
    <row r="1272" spans="1:17" ht="15" customHeight="1" x14ac:dyDescent="0.25">
      <c r="A1272" s="244"/>
      <c r="B1272" s="244"/>
      <c r="C1272" s="244"/>
      <c r="D1272" s="244"/>
      <c r="E1272" s="244"/>
      <c r="F1272" s="244"/>
      <c r="G1272" s="244"/>
      <c r="I1272" s="244"/>
      <c r="J1272" s="244"/>
      <c r="K1272" s="246" t="e">
        <f t="shared" si="133"/>
        <v>#VALUE!</v>
      </c>
      <c r="L1272" s="246" t="e">
        <f t="shared" si="134"/>
        <v>#VALUE!</v>
      </c>
      <c r="M1272" s="247" t="e">
        <f t="shared" si="135"/>
        <v>#VALUE!</v>
      </c>
      <c r="N1272" s="246" t="e">
        <f t="shared" si="136"/>
        <v>#VALUE!</v>
      </c>
      <c r="O1272" s="247" t="e">
        <f t="shared" si="137"/>
        <v>#VALUE!</v>
      </c>
      <c r="P1272" s="247">
        <f t="shared" si="138"/>
        <v>0</v>
      </c>
      <c r="Q1272" s="247" t="e">
        <f t="shared" si="139"/>
        <v>#VALUE!</v>
      </c>
    </row>
    <row r="1273" spans="1:17" ht="15" customHeight="1" x14ac:dyDescent="0.25">
      <c r="A1273" s="244"/>
      <c r="B1273" s="244"/>
      <c r="C1273" s="244"/>
      <c r="D1273" s="244"/>
      <c r="E1273" s="244"/>
      <c r="F1273" s="244"/>
      <c r="G1273" s="244"/>
      <c r="I1273" s="244"/>
      <c r="J1273" s="244"/>
      <c r="K1273" s="246" t="e">
        <f t="shared" si="133"/>
        <v>#VALUE!</v>
      </c>
      <c r="L1273" s="246" t="e">
        <f t="shared" si="134"/>
        <v>#VALUE!</v>
      </c>
      <c r="M1273" s="247" t="e">
        <f t="shared" si="135"/>
        <v>#VALUE!</v>
      </c>
      <c r="N1273" s="246" t="e">
        <f t="shared" si="136"/>
        <v>#VALUE!</v>
      </c>
      <c r="O1273" s="247" t="e">
        <f t="shared" si="137"/>
        <v>#VALUE!</v>
      </c>
      <c r="P1273" s="247">
        <f t="shared" si="138"/>
        <v>0</v>
      </c>
      <c r="Q1273" s="247" t="e">
        <f t="shared" si="139"/>
        <v>#VALUE!</v>
      </c>
    </row>
    <row r="1274" spans="1:17" ht="15" customHeight="1" x14ac:dyDescent="0.25">
      <c r="A1274" s="244"/>
      <c r="B1274" s="244"/>
      <c r="C1274" s="244"/>
      <c r="D1274" s="244"/>
      <c r="E1274" s="244"/>
      <c r="F1274" s="244"/>
      <c r="G1274" s="244"/>
      <c r="I1274" s="244"/>
      <c r="J1274" s="244"/>
      <c r="K1274" s="246" t="e">
        <f t="shared" si="133"/>
        <v>#VALUE!</v>
      </c>
      <c r="L1274" s="246" t="e">
        <f t="shared" si="134"/>
        <v>#VALUE!</v>
      </c>
      <c r="M1274" s="247" t="e">
        <f t="shared" si="135"/>
        <v>#VALUE!</v>
      </c>
      <c r="N1274" s="246" t="e">
        <f t="shared" si="136"/>
        <v>#VALUE!</v>
      </c>
      <c r="O1274" s="247" t="e">
        <f t="shared" si="137"/>
        <v>#VALUE!</v>
      </c>
      <c r="P1274" s="247">
        <f t="shared" si="138"/>
        <v>0</v>
      </c>
      <c r="Q1274" s="247" t="e">
        <f t="shared" si="139"/>
        <v>#VALUE!</v>
      </c>
    </row>
    <row r="1275" spans="1:17" ht="15" customHeight="1" x14ac:dyDescent="0.25">
      <c r="A1275" s="244"/>
      <c r="B1275" s="244"/>
      <c r="C1275" s="244"/>
      <c r="D1275" s="244"/>
      <c r="E1275" s="244"/>
      <c r="F1275" s="244"/>
      <c r="G1275" s="244"/>
      <c r="I1275" s="244"/>
      <c r="J1275" s="244"/>
      <c r="K1275" s="246" t="e">
        <f t="shared" si="133"/>
        <v>#VALUE!</v>
      </c>
      <c r="L1275" s="246" t="e">
        <f t="shared" si="134"/>
        <v>#VALUE!</v>
      </c>
      <c r="M1275" s="247" t="e">
        <f t="shared" si="135"/>
        <v>#VALUE!</v>
      </c>
      <c r="N1275" s="246" t="e">
        <f t="shared" si="136"/>
        <v>#VALUE!</v>
      </c>
      <c r="O1275" s="247" t="e">
        <f t="shared" si="137"/>
        <v>#VALUE!</v>
      </c>
      <c r="P1275" s="247">
        <f t="shared" si="138"/>
        <v>0</v>
      </c>
      <c r="Q1275" s="247" t="e">
        <f t="shared" si="139"/>
        <v>#VALUE!</v>
      </c>
    </row>
    <row r="1276" spans="1:17" ht="15" customHeight="1" x14ac:dyDescent="0.25">
      <c r="A1276" s="244"/>
      <c r="B1276" s="244"/>
      <c r="C1276" s="244"/>
      <c r="D1276" s="244"/>
      <c r="E1276" s="244"/>
      <c r="F1276" s="244"/>
      <c r="G1276" s="244"/>
      <c r="I1276" s="244"/>
      <c r="J1276" s="244"/>
      <c r="K1276" s="246" t="e">
        <f t="shared" si="133"/>
        <v>#VALUE!</v>
      </c>
      <c r="L1276" s="246" t="e">
        <f t="shared" si="134"/>
        <v>#VALUE!</v>
      </c>
      <c r="M1276" s="247" t="e">
        <f t="shared" si="135"/>
        <v>#VALUE!</v>
      </c>
      <c r="N1276" s="246" t="e">
        <f t="shared" si="136"/>
        <v>#VALUE!</v>
      </c>
      <c r="O1276" s="247" t="e">
        <f t="shared" si="137"/>
        <v>#VALUE!</v>
      </c>
      <c r="P1276" s="247">
        <f t="shared" si="138"/>
        <v>0</v>
      </c>
      <c r="Q1276" s="247" t="e">
        <f t="shared" si="139"/>
        <v>#VALUE!</v>
      </c>
    </row>
    <row r="1277" spans="1:17" ht="15" customHeight="1" x14ac:dyDescent="0.25">
      <c r="A1277" s="244"/>
      <c r="B1277" s="244"/>
      <c r="C1277" s="244"/>
      <c r="D1277" s="244"/>
      <c r="E1277" s="244"/>
      <c r="F1277" s="244"/>
      <c r="G1277" s="244"/>
      <c r="I1277" s="244"/>
      <c r="J1277" s="244"/>
      <c r="K1277" s="246" t="e">
        <f t="shared" si="133"/>
        <v>#VALUE!</v>
      </c>
      <c r="L1277" s="246" t="e">
        <f t="shared" si="134"/>
        <v>#VALUE!</v>
      </c>
      <c r="M1277" s="247" t="e">
        <f t="shared" si="135"/>
        <v>#VALUE!</v>
      </c>
      <c r="N1277" s="246" t="e">
        <f t="shared" si="136"/>
        <v>#VALUE!</v>
      </c>
      <c r="O1277" s="247" t="e">
        <f t="shared" si="137"/>
        <v>#VALUE!</v>
      </c>
      <c r="P1277" s="247">
        <f t="shared" si="138"/>
        <v>0</v>
      </c>
      <c r="Q1277" s="247" t="e">
        <f t="shared" si="139"/>
        <v>#VALUE!</v>
      </c>
    </row>
    <row r="1278" spans="1:17" ht="15" customHeight="1" x14ac:dyDescent="0.25">
      <c r="A1278" s="244"/>
      <c r="B1278" s="244"/>
      <c r="C1278" s="244"/>
      <c r="D1278" s="244"/>
      <c r="E1278" s="244"/>
      <c r="F1278" s="244"/>
      <c r="G1278" s="244"/>
      <c r="I1278" s="244"/>
      <c r="J1278" s="244"/>
      <c r="K1278" s="246" t="e">
        <f t="shared" si="133"/>
        <v>#VALUE!</v>
      </c>
      <c r="L1278" s="246" t="e">
        <f t="shared" si="134"/>
        <v>#VALUE!</v>
      </c>
      <c r="M1278" s="247" t="e">
        <f t="shared" si="135"/>
        <v>#VALUE!</v>
      </c>
      <c r="N1278" s="246" t="e">
        <f t="shared" si="136"/>
        <v>#VALUE!</v>
      </c>
      <c r="O1278" s="247" t="e">
        <f t="shared" si="137"/>
        <v>#VALUE!</v>
      </c>
      <c r="P1278" s="247">
        <f t="shared" si="138"/>
        <v>0</v>
      </c>
      <c r="Q1278" s="247" t="e">
        <f t="shared" si="139"/>
        <v>#VALUE!</v>
      </c>
    </row>
    <row r="1279" spans="1:17" ht="15" customHeight="1" x14ac:dyDescent="0.25">
      <c r="A1279" s="244"/>
      <c r="B1279" s="244"/>
      <c r="C1279" s="244"/>
      <c r="D1279" s="244"/>
      <c r="E1279" s="244"/>
      <c r="F1279" s="244"/>
      <c r="G1279" s="244"/>
      <c r="I1279" s="244"/>
      <c r="J1279" s="244"/>
      <c r="K1279" s="246" t="e">
        <f t="shared" si="133"/>
        <v>#VALUE!</v>
      </c>
      <c r="L1279" s="246" t="e">
        <f t="shared" si="134"/>
        <v>#VALUE!</v>
      </c>
      <c r="M1279" s="247" t="e">
        <f t="shared" si="135"/>
        <v>#VALUE!</v>
      </c>
      <c r="N1279" s="246" t="e">
        <f t="shared" si="136"/>
        <v>#VALUE!</v>
      </c>
      <c r="O1279" s="247" t="e">
        <f t="shared" si="137"/>
        <v>#VALUE!</v>
      </c>
      <c r="P1279" s="247">
        <f t="shared" si="138"/>
        <v>0</v>
      </c>
      <c r="Q1279" s="247" t="e">
        <f t="shared" si="139"/>
        <v>#VALUE!</v>
      </c>
    </row>
    <row r="1280" spans="1:17" ht="15" customHeight="1" x14ac:dyDescent="0.25">
      <c r="A1280" s="244"/>
      <c r="B1280" s="244"/>
      <c r="C1280" s="244"/>
      <c r="D1280" s="244"/>
      <c r="E1280" s="244"/>
      <c r="F1280" s="244"/>
      <c r="G1280" s="244"/>
      <c r="I1280" s="244"/>
      <c r="J1280" s="244"/>
      <c r="K1280" s="246" t="e">
        <f t="shared" si="133"/>
        <v>#VALUE!</v>
      </c>
      <c r="L1280" s="246" t="e">
        <f t="shared" si="134"/>
        <v>#VALUE!</v>
      </c>
      <c r="M1280" s="247" t="e">
        <f t="shared" si="135"/>
        <v>#VALUE!</v>
      </c>
      <c r="N1280" s="246" t="e">
        <f t="shared" si="136"/>
        <v>#VALUE!</v>
      </c>
      <c r="O1280" s="247" t="e">
        <f t="shared" si="137"/>
        <v>#VALUE!</v>
      </c>
      <c r="P1280" s="247">
        <f t="shared" si="138"/>
        <v>0</v>
      </c>
      <c r="Q1280" s="247" t="e">
        <f t="shared" si="139"/>
        <v>#VALUE!</v>
      </c>
    </row>
    <row r="1281" spans="1:17" ht="15" customHeight="1" x14ac:dyDescent="0.25">
      <c r="A1281" s="244"/>
      <c r="B1281" s="244"/>
      <c r="C1281" s="244"/>
      <c r="D1281" s="244"/>
      <c r="E1281" s="244"/>
      <c r="F1281" s="244"/>
      <c r="G1281" s="244"/>
      <c r="I1281" s="244"/>
      <c r="J1281" s="244"/>
      <c r="K1281" s="246" t="e">
        <f t="shared" si="133"/>
        <v>#VALUE!</v>
      </c>
      <c r="L1281" s="246" t="e">
        <f t="shared" si="134"/>
        <v>#VALUE!</v>
      </c>
      <c r="M1281" s="247" t="e">
        <f t="shared" si="135"/>
        <v>#VALUE!</v>
      </c>
      <c r="N1281" s="246" t="e">
        <f t="shared" si="136"/>
        <v>#VALUE!</v>
      </c>
      <c r="O1281" s="247" t="e">
        <f t="shared" si="137"/>
        <v>#VALUE!</v>
      </c>
      <c r="P1281" s="247">
        <f t="shared" si="138"/>
        <v>0</v>
      </c>
      <c r="Q1281" s="247" t="e">
        <f t="shared" si="139"/>
        <v>#VALUE!</v>
      </c>
    </row>
    <row r="1282" spans="1:17" ht="15" customHeight="1" x14ac:dyDescent="0.25">
      <c r="A1282" s="244"/>
      <c r="B1282" s="244"/>
      <c r="C1282" s="244"/>
      <c r="D1282" s="244"/>
      <c r="E1282" s="244"/>
      <c r="F1282" s="244"/>
      <c r="G1282" s="244"/>
      <c r="I1282" s="244"/>
      <c r="J1282" s="244"/>
      <c r="K1282" s="246" t="e">
        <f t="shared" ref="K1282:K1345" si="140">DATE(VALUE(LEFT(A1282,4)),VALUE(MID(A1282,5,2)),VALUE(RIGHT(A1282,2)))</f>
        <v>#VALUE!</v>
      </c>
      <c r="L1282" s="246" t="e">
        <f t="shared" ref="L1282:L1345" si="141">DATEVALUE(LEFT(F1282,10))</f>
        <v>#VALUE!</v>
      </c>
      <c r="M1282" s="247" t="e">
        <f t="shared" ref="M1282:M1345" si="142">TIMEVALUE(MID(F1282,12,8))</f>
        <v>#VALUE!</v>
      </c>
      <c r="N1282" s="246" t="e">
        <f t="shared" ref="N1282:N1345" si="143">DATEVALUE(LEFT(G1282,10))</f>
        <v>#VALUE!</v>
      </c>
      <c r="O1282" s="247" t="e">
        <f t="shared" ref="O1282:O1345" si="144">TIMEVALUE(MID(G1282,12,8))</f>
        <v>#VALUE!</v>
      </c>
      <c r="P1282" s="247">
        <f t="shared" ref="P1282:P1345" si="145">IFERROR(_xlfn.MINIFS($M:$M,$E:$E,$E1282,$K:$K,$K1282,$M:$M,"&gt;"&amp;$O1282),"")</f>
        <v>0</v>
      </c>
      <c r="Q1282" s="247" t="e">
        <f t="shared" ref="Q1282:Q1345" si="146">IF($P1282="","",$P1282-$O1282)</f>
        <v>#VALUE!</v>
      </c>
    </row>
    <row r="1283" spans="1:17" ht="15" customHeight="1" x14ac:dyDescent="0.25">
      <c r="A1283" s="244"/>
      <c r="B1283" s="244"/>
      <c r="C1283" s="244"/>
      <c r="D1283" s="244"/>
      <c r="E1283" s="244"/>
      <c r="F1283" s="244"/>
      <c r="G1283" s="244"/>
      <c r="I1283" s="244"/>
      <c r="J1283" s="244"/>
      <c r="K1283" s="246" t="e">
        <f t="shared" si="140"/>
        <v>#VALUE!</v>
      </c>
      <c r="L1283" s="246" t="e">
        <f t="shared" si="141"/>
        <v>#VALUE!</v>
      </c>
      <c r="M1283" s="247" t="e">
        <f t="shared" si="142"/>
        <v>#VALUE!</v>
      </c>
      <c r="N1283" s="246" t="e">
        <f t="shared" si="143"/>
        <v>#VALUE!</v>
      </c>
      <c r="O1283" s="247" t="e">
        <f t="shared" si="144"/>
        <v>#VALUE!</v>
      </c>
      <c r="P1283" s="247">
        <f t="shared" si="145"/>
        <v>0</v>
      </c>
      <c r="Q1283" s="247" t="e">
        <f t="shared" si="146"/>
        <v>#VALUE!</v>
      </c>
    </row>
    <row r="1284" spans="1:17" ht="15" customHeight="1" x14ac:dyDescent="0.25">
      <c r="A1284" s="244"/>
      <c r="B1284" s="244"/>
      <c r="C1284" s="244"/>
      <c r="D1284" s="244"/>
      <c r="E1284" s="244"/>
      <c r="F1284" s="244"/>
      <c r="G1284" s="244"/>
      <c r="I1284" s="244"/>
      <c r="J1284" s="244"/>
      <c r="K1284" s="246" t="e">
        <f t="shared" si="140"/>
        <v>#VALUE!</v>
      </c>
      <c r="L1284" s="246" t="e">
        <f t="shared" si="141"/>
        <v>#VALUE!</v>
      </c>
      <c r="M1284" s="247" t="e">
        <f t="shared" si="142"/>
        <v>#VALUE!</v>
      </c>
      <c r="N1284" s="246" t="e">
        <f t="shared" si="143"/>
        <v>#VALUE!</v>
      </c>
      <c r="O1284" s="247" t="e">
        <f t="shared" si="144"/>
        <v>#VALUE!</v>
      </c>
      <c r="P1284" s="247">
        <f t="shared" si="145"/>
        <v>0</v>
      </c>
      <c r="Q1284" s="247" t="e">
        <f t="shared" si="146"/>
        <v>#VALUE!</v>
      </c>
    </row>
    <row r="1285" spans="1:17" ht="15" customHeight="1" x14ac:dyDescent="0.25">
      <c r="A1285" s="244"/>
      <c r="B1285" s="244"/>
      <c r="C1285" s="244"/>
      <c r="D1285" s="244"/>
      <c r="E1285" s="244"/>
      <c r="F1285" s="244"/>
      <c r="G1285" s="244"/>
      <c r="I1285" s="244"/>
      <c r="J1285" s="244"/>
      <c r="K1285" s="246" t="e">
        <f t="shared" si="140"/>
        <v>#VALUE!</v>
      </c>
      <c r="L1285" s="246" t="e">
        <f t="shared" si="141"/>
        <v>#VALUE!</v>
      </c>
      <c r="M1285" s="247" t="e">
        <f t="shared" si="142"/>
        <v>#VALUE!</v>
      </c>
      <c r="N1285" s="246" t="e">
        <f t="shared" si="143"/>
        <v>#VALUE!</v>
      </c>
      <c r="O1285" s="247" t="e">
        <f t="shared" si="144"/>
        <v>#VALUE!</v>
      </c>
      <c r="P1285" s="247">
        <f t="shared" si="145"/>
        <v>0</v>
      </c>
      <c r="Q1285" s="247" t="e">
        <f t="shared" si="146"/>
        <v>#VALUE!</v>
      </c>
    </row>
    <row r="1286" spans="1:17" ht="15" customHeight="1" x14ac:dyDescent="0.25">
      <c r="A1286" s="244"/>
      <c r="B1286" s="244"/>
      <c r="C1286" s="244"/>
      <c r="D1286" s="244"/>
      <c r="E1286" s="244"/>
      <c r="F1286" s="244"/>
      <c r="G1286" s="244"/>
      <c r="I1286" s="244"/>
      <c r="J1286" s="244"/>
      <c r="K1286" s="246" t="e">
        <f t="shared" si="140"/>
        <v>#VALUE!</v>
      </c>
      <c r="L1286" s="246" t="e">
        <f t="shared" si="141"/>
        <v>#VALUE!</v>
      </c>
      <c r="M1286" s="247" t="e">
        <f t="shared" si="142"/>
        <v>#VALUE!</v>
      </c>
      <c r="N1286" s="246" t="e">
        <f t="shared" si="143"/>
        <v>#VALUE!</v>
      </c>
      <c r="O1286" s="247" t="e">
        <f t="shared" si="144"/>
        <v>#VALUE!</v>
      </c>
      <c r="P1286" s="247">
        <f t="shared" si="145"/>
        <v>0</v>
      </c>
      <c r="Q1286" s="247" t="e">
        <f t="shared" si="146"/>
        <v>#VALUE!</v>
      </c>
    </row>
    <row r="1287" spans="1:17" ht="15" customHeight="1" x14ac:dyDescent="0.25">
      <c r="A1287" s="244"/>
      <c r="B1287" s="244"/>
      <c r="C1287" s="244"/>
      <c r="D1287" s="244"/>
      <c r="E1287" s="244"/>
      <c r="F1287" s="244"/>
      <c r="G1287" s="244"/>
      <c r="I1287" s="244"/>
      <c r="J1287" s="244"/>
      <c r="K1287" s="246" t="e">
        <f t="shared" si="140"/>
        <v>#VALUE!</v>
      </c>
      <c r="L1287" s="246" t="e">
        <f t="shared" si="141"/>
        <v>#VALUE!</v>
      </c>
      <c r="M1287" s="247" t="e">
        <f t="shared" si="142"/>
        <v>#VALUE!</v>
      </c>
      <c r="N1287" s="246" t="e">
        <f t="shared" si="143"/>
        <v>#VALUE!</v>
      </c>
      <c r="O1287" s="247" t="e">
        <f t="shared" si="144"/>
        <v>#VALUE!</v>
      </c>
      <c r="P1287" s="247">
        <f t="shared" si="145"/>
        <v>0</v>
      </c>
      <c r="Q1287" s="247" t="e">
        <f t="shared" si="146"/>
        <v>#VALUE!</v>
      </c>
    </row>
    <row r="1288" spans="1:17" ht="15" customHeight="1" x14ac:dyDescent="0.25">
      <c r="A1288" s="244"/>
      <c r="B1288" s="244"/>
      <c r="C1288" s="244"/>
      <c r="D1288" s="244"/>
      <c r="E1288" s="244"/>
      <c r="F1288" s="244"/>
      <c r="G1288" s="244"/>
      <c r="I1288" s="244"/>
      <c r="J1288" s="244"/>
      <c r="K1288" s="246" t="e">
        <f t="shared" si="140"/>
        <v>#VALUE!</v>
      </c>
      <c r="L1288" s="246" t="e">
        <f t="shared" si="141"/>
        <v>#VALUE!</v>
      </c>
      <c r="M1288" s="247" t="e">
        <f t="shared" si="142"/>
        <v>#VALUE!</v>
      </c>
      <c r="N1288" s="246" t="e">
        <f t="shared" si="143"/>
        <v>#VALUE!</v>
      </c>
      <c r="O1288" s="247" t="e">
        <f t="shared" si="144"/>
        <v>#VALUE!</v>
      </c>
      <c r="P1288" s="247">
        <f t="shared" si="145"/>
        <v>0</v>
      </c>
      <c r="Q1288" s="247" t="e">
        <f t="shared" si="146"/>
        <v>#VALUE!</v>
      </c>
    </row>
    <row r="1289" spans="1:17" ht="15" customHeight="1" x14ac:dyDescent="0.25">
      <c r="A1289" s="244"/>
      <c r="B1289" s="244"/>
      <c r="C1289" s="244"/>
      <c r="D1289" s="244"/>
      <c r="E1289" s="244"/>
      <c r="F1289" s="244"/>
      <c r="G1289" s="244"/>
      <c r="I1289" s="244"/>
      <c r="J1289" s="244"/>
      <c r="K1289" s="246" t="e">
        <f t="shared" si="140"/>
        <v>#VALUE!</v>
      </c>
      <c r="L1289" s="246" t="e">
        <f t="shared" si="141"/>
        <v>#VALUE!</v>
      </c>
      <c r="M1289" s="247" t="e">
        <f t="shared" si="142"/>
        <v>#VALUE!</v>
      </c>
      <c r="N1289" s="246" t="e">
        <f t="shared" si="143"/>
        <v>#VALUE!</v>
      </c>
      <c r="O1289" s="247" t="e">
        <f t="shared" si="144"/>
        <v>#VALUE!</v>
      </c>
      <c r="P1289" s="247">
        <f t="shared" si="145"/>
        <v>0</v>
      </c>
      <c r="Q1289" s="247" t="e">
        <f t="shared" si="146"/>
        <v>#VALUE!</v>
      </c>
    </row>
    <row r="1290" spans="1:17" ht="15" customHeight="1" x14ac:dyDescent="0.25">
      <c r="A1290" s="244"/>
      <c r="B1290" s="244"/>
      <c r="C1290" s="244"/>
      <c r="D1290" s="244"/>
      <c r="E1290" s="244"/>
      <c r="F1290" s="244"/>
      <c r="G1290" s="244"/>
      <c r="I1290" s="244"/>
      <c r="J1290" s="244"/>
      <c r="K1290" s="246" t="e">
        <f t="shared" si="140"/>
        <v>#VALUE!</v>
      </c>
      <c r="L1290" s="246" t="e">
        <f t="shared" si="141"/>
        <v>#VALUE!</v>
      </c>
      <c r="M1290" s="247" t="e">
        <f t="shared" si="142"/>
        <v>#VALUE!</v>
      </c>
      <c r="N1290" s="246" t="e">
        <f t="shared" si="143"/>
        <v>#VALUE!</v>
      </c>
      <c r="O1290" s="247" t="e">
        <f t="shared" si="144"/>
        <v>#VALUE!</v>
      </c>
      <c r="P1290" s="247">
        <f t="shared" si="145"/>
        <v>0</v>
      </c>
      <c r="Q1290" s="247" t="e">
        <f t="shared" si="146"/>
        <v>#VALUE!</v>
      </c>
    </row>
    <row r="1291" spans="1:17" ht="15" customHeight="1" x14ac:dyDescent="0.25">
      <c r="A1291" s="244"/>
      <c r="B1291" s="244"/>
      <c r="C1291" s="244"/>
      <c r="D1291" s="244"/>
      <c r="E1291" s="244"/>
      <c r="F1291" s="244"/>
      <c r="G1291" s="244"/>
      <c r="I1291" s="244"/>
      <c r="J1291" s="244"/>
      <c r="K1291" s="246" t="e">
        <f t="shared" si="140"/>
        <v>#VALUE!</v>
      </c>
      <c r="L1291" s="246" t="e">
        <f t="shared" si="141"/>
        <v>#VALUE!</v>
      </c>
      <c r="M1291" s="247" t="e">
        <f t="shared" si="142"/>
        <v>#VALUE!</v>
      </c>
      <c r="N1291" s="246" t="e">
        <f t="shared" si="143"/>
        <v>#VALUE!</v>
      </c>
      <c r="O1291" s="247" t="e">
        <f t="shared" si="144"/>
        <v>#VALUE!</v>
      </c>
      <c r="P1291" s="247">
        <f t="shared" si="145"/>
        <v>0</v>
      </c>
      <c r="Q1291" s="247" t="e">
        <f t="shared" si="146"/>
        <v>#VALUE!</v>
      </c>
    </row>
    <row r="1292" spans="1:17" ht="15" customHeight="1" x14ac:dyDescent="0.25">
      <c r="A1292" s="244"/>
      <c r="B1292" s="244"/>
      <c r="C1292" s="244"/>
      <c r="D1292" s="244"/>
      <c r="E1292" s="244"/>
      <c r="F1292" s="244"/>
      <c r="G1292" s="244"/>
      <c r="I1292" s="244"/>
      <c r="J1292" s="244"/>
      <c r="K1292" s="246" t="e">
        <f t="shared" si="140"/>
        <v>#VALUE!</v>
      </c>
      <c r="L1292" s="246" t="e">
        <f t="shared" si="141"/>
        <v>#VALUE!</v>
      </c>
      <c r="M1292" s="247" t="e">
        <f t="shared" si="142"/>
        <v>#VALUE!</v>
      </c>
      <c r="N1292" s="246" t="e">
        <f t="shared" si="143"/>
        <v>#VALUE!</v>
      </c>
      <c r="O1292" s="247" t="e">
        <f t="shared" si="144"/>
        <v>#VALUE!</v>
      </c>
      <c r="P1292" s="247">
        <f t="shared" si="145"/>
        <v>0</v>
      </c>
      <c r="Q1292" s="247" t="e">
        <f t="shared" si="146"/>
        <v>#VALUE!</v>
      </c>
    </row>
    <row r="1293" spans="1:17" ht="15" customHeight="1" x14ac:dyDescent="0.25">
      <c r="A1293" s="244"/>
      <c r="B1293" s="244"/>
      <c r="C1293" s="244"/>
      <c r="D1293" s="244"/>
      <c r="E1293" s="244"/>
      <c r="F1293" s="244"/>
      <c r="G1293" s="244"/>
      <c r="I1293" s="244"/>
      <c r="J1293" s="244"/>
      <c r="K1293" s="246" t="e">
        <f t="shared" si="140"/>
        <v>#VALUE!</v>
      </c>
      <c r="L1293" s="246" t="e">
        <f t="shared" si="141"/>
        <v>#VALUE!</v>
      </c>
      <c r="M1293" s="247" t="e">
        <f t="shared" si="142"/>
        <v>#VALUE!</v>
      </c>
      <c r="N1293" s="246" t="e">
        <f t="shared" si="143"/>
        <v>#VALUE!</v>
      </c>
      <c r="O1293" s="247" t="e">
        <f t="shared" si="144"/>
        <v>#VALUE!</v>
      </c>
      <c r="P1293" s="247">
        <f t="shared" si="145"/>
        <v>0</v>
      </c>
      <c r="Q1293" s="247" t="e">
        <f t="shared" si="146"/>
        <v>#VALUE!</v>
      </c>
    </row>
    <row r="1294" spans="1:17" ht="15" customHeight="1" x14ac:dyDescent="0.25">
      <c r="A1294" s="244"/>
      <c r="B1294" s="244"/>
      <c r="C1294" s="244"/>
      <c r="D1294" s="244"/>
      <c r="E1294" s="244"/>
      <c r="F1294" s="244"/>
      <c r="G1294" s="244"/>
      <c r="I1294" s="244"/>
      <c r="J1294" s="244"/>
      <c r="K1294" s="246" t="e">
        <f t="shared" si="140"/>
        <v>#VALUE!</v>
      </c>
      <c r="L1294" s="246" t="e">
        <f t="shared" si="141"/>
        <v>#VALUE!</v>
      </c>
      <c r="M1294" s="247" t="e">
        <f t="shared" si="142"/>
        <v>#VALUE!</v>
      </c>
      <c r="N1294" s="246" t="e">
        <f t="shared" si="143"/>
        <v>#VALUE!</v>
      </c>
      <c r="O1294" s="247" t="e">
        <f t="shared" si="144"/>
        <v>#VALUE!</v>
      </c>
      <c r="P1294" s="247">
        <f t="shared" si="145"/>
        <v>0</v>
      </c>
      <c r="Q1294" s="247" t="e">
        <f t="shared" si="146"/>
        <v>#VALUE!</v>
      </c>
    </row>
    <row r="1295" spans="1:17" ht="15" customHeight="1" x14ac:dyDescent="0.25">
      <c r="A1295" s="244"/>
      <c r="B1295" s="244"/>
      <c r="C1295" s="244"/>
      <c r="D1295" s="244"/>
      <c r="E1295" s="244"/>
      <c r="F1295" s="244"/>
      <c r="G1295" s="244"/>
      <c r="I1295" s="244"/>
      <c r="J1295" s="244"/>
      <c r="K1295" s="246" t="e">
        <f t="shared" si="140"/>
        <v>#VALUE!</v>
      </c>
      <c r="L1295" s="246" t="e">
        <f t="shared" si="141"/>
        <v>#VALUE!</v>
      </c>
      <c r="M1295" s="247" t="e">
        <f t="shared" si="142"/>
        <v>#VALUE!</v>
      </c>
      <c r="N1295" s="246" t="e">
        <f t="shared" si="143"/>
        <v>#VALUE!</v>
      </c>
      <c r="O1295" s="247" t="e">
        <f t="shared" si="144"/>
        <v>#VALUE!</v>
      </c>
      <c r="P1295" s="247">
        <f t="shared" si="145"/>
        <v>0</v>
      </c>
      <c r="Q1295" s="247" t="e">
        <f t="shared" si="146"/>
        <v>#VALUE!</v>
      </c>
    </row>
    <row r="1296" spans="1:17" ht="15" customHeight="1" x14ac:dyDescent="0.25">
      <c r="A1296" s="244"/>
      <c r="B1296" s="244"/>
      <c r="C1296" s="244"/>
      <c r="D1296" s="244"/>
      <c r="E1296" s="244"/>
      <c r="F1296" s="244"/>
      <c r="G1296" s="244"/>
      <c r="I1296" s="244"/>
      <c r="J1296" s="244"/>
      <c r="K1296" s="246" t="e">
        <f t="shared" si="140"/>
        <v>#VALUE!</v>
      </c>
      <c r="L1296" s="246" t="e">
        <f t="shared" si="141"/>
        <v>#VALUE!</v>
      </c>
      <c r="M1296" s="247" t="e">
        <f t="shared" si="142"/>
        <v>#VALUE!</v>
      </c>
      <c r="N1296" s="246" t="e">
        <f t="shared" si="143"/>
        <v>#VALUE!</v>
      </c>
      <c r="O1296" s="247" t="e">
        <f t="shared" si="144"/>
        <v>#VALUE!</v>
      </c>
      <c r="P1296" s="247">
        <f t="shared" si="145"/>
        <v>0</v>
      </c>
      <c r="Q1296" s="247" t="e">
        <f t="shared" si="146"/>
        <v>#VALUE!</v>
      </c>
    </row>
    <row r="1297" spans="1:17" ht="15" customHeight="1" x14ac:dyDescent="0.25">
      <c r="A1297" s="244"/>
      <c r="B1297" s="244"/>
      <c r="C1297" s="244"/>
      <c r="D1297" s="244"/>
      <c r="E1297" s="244"/>
      <c r="F1297" s="244"/>
      <c r="G1297" s="244"/>
      <c r="I1297" s="244"/>
      <c r="J1297" s="244"/>
      <c r="K1297" s="246" t="e">
        <f t="shared" si="140"/>
        <v>#VALUE!</v>
      </c>
      <c r="L1297" s="246" t="e">
        <f t="shared" si="141"/>
        <v>#VALUE!</v>
      </c>
      <c r="M1297" s="247" t="e">
        <f t="shared" si="142"/>
        <v>#VALUE!</v>
      </c>
      <c r="N1297" s="246" t="e">
        <f t="shared" si="143"/>
        <v>#VALUE!</v>
      </c>
      <c r="O1297" s="247" t="e">
        <f t="shared" si="144"/>
        <v>#VALUE!</v>
      </c>
      <c r="P1297" s="247">
        <f t="shared" si="145"/>
        <v>0</v>
      </c>
      <c r="Q1297" s="247" t="e">
        <f t="shared" si="146"/>
        <v>#VALUE!</v>
      </c>
    </row>
    <row r="1298" spans="1:17" ht="15" customHeight="1" x14ac:dyDescent="0.25">
      <c r="A1298" s="244"/>
      <c r="B1298" s="244"/>
      <c r="C1298" s="244"/>
      <c r="D1298" s="244"/>
      <c r="E1298" s="244"/>
      <c r="F1298" s="244"/>
      <c r="G1298" s="244"/>
      <c r="I1298" s="244"/>
      <c r="J1298" s="244"/>
      <c r="K1298" s="246" t="e">
        <f t="shared" si="140"/>
        <v>#VALUE!</v>
      </c>
      <c r="L1298" s="246" t="e">
        <f t="shared" si="141"/>
        <v>#VALUE!</v>
      </c>
      <c r="M1298" s="247" t="e">
        <f t="shared" si="142"/>
        <v>#VALUE!</v>
      </c>
      <c r="N1298" s="246" t="e">
        <f t="shared" si="143"/>
        <v>#VALUE!</v>
      </c>
      <c r="O1298" s="247" t="e">
        <f t="shared" si="144"/>
        <v>#VALUE!</v>
      </c>
      <c r="P1298" s="247">
        <f t="shared" si="145"/>
        <v>0</v>
      </c>
      <c r="Q1298" s="247" t="e">
        <f t="shared" si="146"/>
        <v>#VALUE!</v>
      </c>
    </row>
    <row r="1299" spans="1:17" ht="15" customHeight="1" x14ac:dyDescent="0.25">
      <c r="A1299" s="244"/>
      <c r="B1299" s="244"/>
      <c r="C1299" s="244"/>
      <c r="D1299" s="244"/>
      <c r="E1299" s="244"/>
      <c r="F1299" s="244"/>
      <c r="G1299" s="244"/>
      <c r="I1299" s="244"/>
      <c r="J1299" s="244"/>
      <c r="K1299" s="246" t="e">
        <f t="shared" si="140"/>
        <v>#VALUE!</v>
      </c>
      <c r="L1299" s="246" t="e">
        <f t="shared" si="141"/>
        <v>#VALUE!</v>
      </c>
      <c r="M1299" s="247" t="e">
        <f t="shared" si="142"/>
        <v>#VALUE!</v>
      </c>
      <c r="N1299" s="246" t="e">
        <f t="shared" si="143"/>
        <v>#VALUE!</v>
      </c>
      <c r="O1299" s="247" t="e">
        <f t="shared" si="144"/>
        <v>#VALUE!</v>
      </c>
      <c r="P1299" s="247">
        <f t="shared" si="145"/>
        <v>0</v>
      </c>
      <c r="Q1299" s="247" t="e">
        <f t="shared" si="146"/>
        <v>#VALUE!</v>
      </c>
    </row>
    <row r="1300" spans="1:17" ht="15" customHeight="1" x14ac:dyDescent="0.25">
      <c r="A1300" s="244"/>
      <c r="B1300" s="244"/>
      <c r="C1300" s="244"/>
      <c r="D1300" s="244"/>
      <c r="E1300" s="244"/>
      <c r="F1300" s="244"/>
      <c r="G1300" s="244"/>
      <c r="I1300" s="244"/>
      <c r="J1300" s="244"/>
      <c r="K1300" s="246" t="e">
        <f t="shared" si="140"/>
        <v>#VALUE!</v>
      </c>
      <c r="L1300" s="246" t="e">
        <f t="shared" si="141"/>
        <v>#VALUE!</v>
      </c>
      <c r="M1300" s="247" t="e">
        <f t="shared" si="142"/>
        <v>#VALUE!</v>
      </c>
      <c r="N1300" s="246" t="e">
        <f t="shared" si="143"/>
        <v>#VALUE!</v>
      </c>
      <c r="O1300" s="247" t="e">
        <f t="shared" si="144"/>
        <v>#VALUE!</v>
      </c>
      <c r="P1300" s="247">
        <f t="shared" si="145"/>
        <v>0</v>
      </c>
      <c r="Q1300" s="247" t="e">
        <f t="shared" si="146"/>
        <v>#VALUE!</v>
      </c>
    </row>
    <row r="1301" spans="1:17" ht="15" customHeight="1" x14ac:dyDescent="0.25">
      <c r="A1301" s="244"/>
      <c r="B1301" s="244"/>
      <c r="C1301" s="244"/>
      <c r="D1301" s="244"/>
      <c r="E1301" s="244"/>
      <c r="F1301" s="244"/>
      <c r="G1301" s="244"/>
      <c r="I1301" s="244"/>
      <c r="J1301" s="244"/>
      <c r="K1301" s="246" t="e">
        <f t="shared" si="140"/>
        <v>#VALUE!</v>
      </c>
      <c r="L1301" s="246" t="e">
        <f t="shared" si="141"/>
        <v>#VALUE!</v>
      </c>
      <c r="M1301" s="247" t="e">
        <f t="shared" si="142"/>
        <v>#VALUE!</v>
      </c>
      <c r="N1301" s="246" t="e">
        <f t="shared" si="143"/>
        <v>#VALUE!</v>
      </c>
      <c r="O1301" s="247" t="e">
        <f t="shared" si="144"/>
        <v>#VALUE!</v>
      </c>
      <c r="P1301" s="247">
        <f t="shared" si="145"/>
        <v>0</v>
      </c>
      <c r="Q1301" s="247" t="e">
        <f t="shared" si="146"/>
        <v>#VALUE!</v>
      </c>
    </row>
    <row r="1302" spans="1:17" ht="15" customHeight="1" x14ac:dyDescent="0.25">
      <c r="A1302" s="244"/>
      <c r="B1302" s="244"/>
      <c r="C1302" s="244"/>
      <c r="D1302" s="244"/>
      <c r="E1302" s="244"/>
      <c r="F1302" s="244"/>
      <c r="G1302" s="244"/>
      <c r="I1302" s="244"/>
      <c r="J1302" s="244"/>
      <c r="K1302" s="246" t="e">
        <f t="shared" si="140"/>
        <v>#VALUE!</v>
      </c>
      <c r="L1302" s="246" t="e">
        <f t="shared" si="141"/>
        <v>#VALUE!</v>
      </c>
      <c r="M1302" s="247" t="e">
        <f t="shared" si="142"/>
        <v>#VALUE!</v>
      </c>
      <c r="N1302" s="246" t="e">
        <f t="shared" si="143"/>
        <v>#VALUE!</v>
      </c>
      <c r="O1302" s="247" t="e">
        <f t="shared" si="144"/>
        <v>#VALUE!</v>
      </c>
      <c r="P1302" s="247">
        <f t="shared" si="145"/>
        <v>0</v>
      </c>
      <c r="Q1302" s="247" t="e">
        <f t="shared" si="146"/>
        <v>#VALUE!</v>
      </c>
    </row>
    <row r="1303" spans="1:17" ht="15" customHeight="1" x14ac:dyDescent="0.25">
      <c r="A1303" s="244"/>
      <c r="B1303" s="244"/>
      <c r="C1303" s="244"/>
      <c r="D1303" s="244"/>
      <c r="E1303" s="244"/>
      <c r="F1303" s="244"/>
      <c r="G1303" s="244"/>
      <c r="I1303" s="244"/>
      <c r="J1303" s="244"/>
      <c r="K1303" s="246" t="e">
        <f t="shared" si="140"/>
        <v>#VALUE!</v>
      </c>
      <c r="L1303" s="246" t="e">
        <f t="shared" si="141"/>
        <v>#VALUE!</v>
      </c>
      <c r="M1303" s="247" t="e">
        <f t="shared" si="142"/>
        <v>#VALUE!</v>
      </c>
      <c r="N1303" s="246" t="e">
        <f t="shared" si="143"/>
        <v>#VALUE!</v>
      </c>
      <c r="O1303" s="247" t="e">
        <f t="shared" si="144"/>
        <v>#VALUE!</v>
      </c>
      <c r="P1303" s="247">
        <f t="shared" si="145"/>
        <v>0</v>
      </c>
      <c r="Q1303" s="247" t="e">
        <f t="shared" si="146"/>
        <v>#VALUE!</v>
      </c>
    </row>
    <row r="1304" spans="1:17" ht="15" customHeight="1" x14ac:dyDescent="0.25">
      <c r="A1304" s="244"/>
      <c r="B1304" s="244"/>
      <c r="C1304" s="244"/>
      <c r="D1304" s="244"/>
      <c r="E1304" s="244"/>
      <c r="F1304" s="244"/>
      <c r="G1304" s="244"/>
      <c r="I1304" s="244"/>
      <c r="J1304" s="244"/>
      <c r="K1304" s="246" t="e">
        <f t="shared" si="140"/>
        <v>#VALUE!</v>
      </c>
      <c r="L1304" s="246" t="e">
        <f t="shared" si="141"/>
        <v>#VALUE!</v>
      </c>
      <c r="M1304" s="247" t="e">
        <f t="shared" si="142"/>
        <v>#VALUE!</v>
      </c>
      <c r="N1304" s="246" t="e">
        <f t="shared" si="143"/>
        <v>#VALUE!</v>
      </c>
      <c r="O1304" s="247" t="e">
        <f t="shared" si="144"/>
        <v>#VALUE!</v>
      </c>
      <c r="P1304" s="247">
        <f t="shared" si="145"/>
        <v>0</v>
      </c>
      <c r="Q1304" s="247" t="e">
        <f t="shared" si="146"/>
        <v>#VALUE!</v>
      </c>
    </row>
    <row r="1305" spans="1:17" ht="15" customHeight="1" x14ac:dyDescent="0.25">
      <c r="A1305" s="244"/>
      <c r="B1305" s="244"/>
      <c r="C1305" s="244"/>
      <c r="D1305" s="244"/>
      <c r="E1305" s="244"/>
      <c r="F1305" s="244"/>
      <c r="G1305" s="244"/>
      <c r="I1305" s="244"/>
      <c r="J1305" s="244"/>
      <c r="K1305" s="246" t="e">
        <f t="shared" si="140"/>
        <v>#VALUE!</v>
      </c>
      <c r="L1305" s="246" t="e">
        <f t="shared" si="141"/>
        <v>#VALUE!</v>
      </c>
      <c r="M1305" s="247" t="e">
        <f t="shared" si="142"/>
        <v>#VALUE!</v>
      </c>
      <c r="N1305" s="246" t="e">
        <f t="shared" si="143"/>
        <v>#VALUE!</v>
      </c>
      <c r="O1305" s="247" t="e">
        <f t="shared" si="144"/>
        <v>#VALUE!</v>
      </c>
      <c r="P1305" s="247">
        <f t="shared" si="145"/>
        <v>0</v>
      </c>
      <c r="Q1305" s="247" t="e">
        <f t="shared" si="146"/>
        <v>#VALUE!</v>
      </c>
    </row>
    <row r="1306" spans="1:17" ht="15" customHeight="1" x14ac:dyDescent="0.25">
      <c r="A1306" s="244"/>
      <c r="B1306" s="244"/>
      <c r="C1306" s="244"/>
      <c r="D1306" s="244"/>
      <c r="E1306" s="244"/>
      <c r="F1306" s="244"/>
      <c r="G1306" s="244"/>
      <c r="I1306" s="244"/>
      <c r="J1306" s="244"/>
      <c r="K1306" s="246" t="e">
        <f t="shared" si="140"/>
        <v>#VALUE!</v>
      </c>
      <c r="L1306" s="246" t="e">
        <f t="shared" si="141"/>
        <v>#VALUE!</v>
      </c>
      <c r="M1306" s="247" t="e">
        <f t="shared" si="142"/>
        <v>#VALUE!</v>
      </c>
      <c r="N1306" s="246" t="e">
        <f t="shared" si="143"/>
        <v>#VALUE!</v>
      </c>
      <c r="O1306" s="247" t="e">
        <f t="shared" si="144"/>
        <v>#VALUE!</v>
      </c>
      <c r="P1306" s="247">
        <f t="shared" si="145"/>
        <v>0</v>
      </c>
      <c r="Q1306" s="247" t="e">
        <f t="shared" si="146"/>
        <v>#VALUE!</v>
      </c>
    </row>
    <row r="1307" spans="1:17" ht="15" customHeight="1" x14ac:dyDescent="0.25">
      <c r="A1307" s="244"/>
      <c r="B1307" s="244"/>
      <c r="C1307" s="244"/>
      <c r="D1307" s="244"/>
      <c r="E1307" s="244"/>
      <c r="F1307" s="244"/>
      <c r="G1307" s="244"/>
      <c r="I1307" s="244"/>
      <c r="J1307" s="244"/>
      <c r="K1307" s="246" t="e">
        <f t="shared" si="140"/>
        <v>#VALUE!</v>
      </c>
      <c r="L1307" s="246" t="e">
        <f t="shared" si="141"/>
        <v>#VALUE!</v>
      </c>
      <c r="M1307" s="247" t="e">
        <f t="shared" si="142"/>
        <v>#VALUE!</v>
      </c>
      <c r="N1307" s="246" t="e">
        <f t="shared" si="143"/>
        <v>#VALUE!</v>
      </c>
      <c r="O1307" s="247" t="e">
        <f t="shared" si="144"/>
        <v>#VALUE!</v>
      </c>
      <c r="P1307" s="247">
        <f t="shared" si="145"/>
        <v>0</v>
      </c>
      <c r="Q1307" s="247" t="e">
        <f t="shared" si="146"/>
        <v>#VALUE!</v>
      </c>
    </row>
    <row r="1308" spans="1:17" ht="15" customHeight="1" x14ac:dyDescent="0.25">
      <c r="A1308" s="244"/>
      <c r="B1308" s="244"/>
      <c r="C1308" s="244"/>
      <c r="D1308" s="244"/>
      <c r="E1308" s="244"/>
      <c r="F1308" s="244"/>
      <c r="G1308" s="244"/>
      <c r="I1308" s="244"/>
      <c r="J1308" s="244"/>
      <c r="K1308" s="246" t="e">
        <f t="shared" si="140"/>
        <v>#VALUE!</v>
      </c>
      <c r="L1308" s="246" t="e">
        <f t="shared" si="141"/>
        <v>#VALUE!</v>
      </c>
      <c r="M1308" s="247" t="e">
        <f t="shared" si="142"/>
        <v>#VALUE!</v>
      </c>
      <c r="N1308" s="246" t="e">
        <f t="shared" si="143"/>
        <v>#VALUE!</v>
      </c>
      <c r="O1308" s="247" t="e">
        <f t="shared" si="144"/>
        <v>#VALUE!</v>
      </c>
      <c r="P1308" s="247">
        <f t="shared" si="145"/>
        <v>0</v>
      </c>
      <c r="Q1308" s="247" t="e">
        <f t="shared" si="146"/>
        <v>#VALUE!</v>
      </c>
    </row>
    <row r="1309" spans="1:17" ht="15" customHeight="1" x14ac:dyDescent="0.25">
      <c r="A1309" s="244"/>
      <c r="B1309" s="244"/>
      <c r="C1309" s="244"/>
      <c r="D1309" s="244"/>
      <c r="E1309" s="244"/>
      <c r="F1309" s="244"/>
      <c r="G1309" s="244"/>
      <c r="I1309" s="244"/>
      <c r="J1309" s="244"/>
      <c r="K1309" s="246" t="e">
        <f t="shared" si="140"/>
        <v>#VALUE!</v>
      </c>
      <c r="L1309" s="246" t="e">
        <f t="shared" si="141"/>
        <v>#VALUE!</v>
      </c>
      <c r="M1309" s="247" t="e">
        <f t="shared" si="142"/>
        <v>#VALUE!</v>
      </c>
      <c r="N1309" s="246" t="e">
        <f t="shared" si="143"/>
        <v>#VALUE!</v>
      </c>
      <c r="O1309" s="247" t="e">
        <f t="shared" si="144"/>
        <v>#VALUE!</v>
      </c>
      <c r="P1309" s="247">
        <f t="shared" si="145"/>
        <v>0</v>
      </c>
      <c r="Q1309" s="247" t="e">
        <f t="shared" si="146"/>
        <v>#VALUE!</v>
      </c>
    </row>
    <row r="1310" spans="1:17" ht="15" customHeight="1" x14ac:dyDescent="0.25">
      <c r="A1310" s="244"/>
      <c r="B1310" s="244"/>
      <c r="C1310" s="244"/>
      <c r="D1310" s="244"/>
      <c r="E1310" s="244"/>
      <c r="F1310" s="244"/>
      <c r="G1310" s="244"/>
      <c r="I1310" s="244"/>
      <c r="J1310" s="244"/>
      <c r="K1310" s="246" t="e">
        <f t="shared" si="140"/>
        <v>#VALUE!</v>
      </c>
      <c r="L1310" s="246" t="e">
        <f t="shared" si="141"/>
        <v>#VALUE!</v>
      </c>
      <c r="M1310" s="247" t="e">
        <f t="shared" si="142"/>
        <v>#VALUE!</v>
      </c>
      <c r="N1310" s="246" t="e">
        <f t="shared" si="143"/>
        <v>#VALUE!</v>
      </c>
      <c r="O1310" s="247" t="e">
        <f t="shared" si="144"/>
        <v>#VALUE!</v>
      </c>
      <c r="P1310" s="247">
        <f t="shared" si="145"/>
        <v>0</v>
      </c>
      <c r="Q1310" s="247" t="e">
        <f t="shared" si="146"/>
        <v>#VALUE!</v>
      </c>
    </row>
    <row r="1311" spans="1:17" ht="15" customHeight="1" x14ac:dyDescent="0.25">
      <c r="A1311" s="244"/>
      <c r="B1311" s="244"/>
      <c r="C1311" s="244"/>
      <c r="D1311" s="244"/>
      <c r="E1311" s="244"/>
      <c r="F1311" s="244"/>
      <c r="G1311" s="244"/>
      <c r="I1311" s="244"/>
      <c r="J1311" s="244"/>
      <c r="K1311" s="246" t="e">
        <f t="shared" si="140"/>
        <v>#VALUE!</v>
      </c>
      <c r="L1311" s="246" t="e">
        <f t="shared" si="141"/>
        <v>#VALUE!</v>
      </c>
      <c r="M1311" s="247" t="e">
        <f t="shared" si="142"/>
        <v>#VALUE!</v>
      </c>
      <c r="N1311" s="246" t="e">
        <f t="shared" si="143"/>
        <v>#VALUE!</v>
      </c>
      <c r="O1311" s="247" t="e">
        <f t="shared" si="144"/>
        <v>#VALUE!</v>
      </c>
      <c r="P1311" s="247">
        <f t="shared" si="145"/>
        <v>0</v>
      </c>
      <c r="Q1311" s="247" t="e">
        <f t="shared" si="146"/>
        <v>#VALUE!</v>
      </c>
    </row>
    <row r="1312" spans="1:17" ht="15" customHeight="1" x14ac:dyDescent="0.25">
      <c r="A1312" s="244"/>
      <c r="B1312" s="244"/>
      <c r="C1312" s="244"/>
      <c r="D1312" s="244"/>
      <c r="E1312" s="244"/>
      <c r="F1312" s="244"/>
      <c r="G1312" s="244"/>
      <c r="I1312" s="244"/>
      <c r="J1312" s="244"/>
      <c r="K1312" s="246" t="e">
        <f t="shared" si="140"/>
        <v>#VALUE!</v>
      </c>
      <c r="L1312" s="246" t="e">
        <f t="shared" si="141"/>
        <v>#VALUE!</v>
      </c>
      <c r="M1312" s="247" t="e">
        <f t="shared" si="142"/>
        <v>#VALUE!</v>
      </c>
      <c r="N1312" s="246" t="e">
        <f t="shared" si="143"/>
        <v>#VALUE!</v>
      </c>
      <c r="O1312" s="247" t="e">
        <f t="shared" si="144"/>
        <v>#VALUE!</v>
      </c>
      <c r="P1312" s="247">
        <f t="shared" si="145"/>
        <v>0</v>
      </c>
      <c r="Q1312" s="247" t="e">
        <f t="shared" si="146"/>
        <v>#VALUE!</v>
      </c>
    </row>
    <row r="1313" spans="1:17" ht="15" customHeight="1" x14ac:dyDescent="0.25">
      <c r="A1313" s="244"/>
      <c r="B1313" s="244"/>
      <c r="C1313" s="244"/>
      <c r="D1313" s="244"/>
      <c r="E1313" s="244"/>
      <c r="F1313" s="244"/>
      <c r="G1313" s="244"/>
      <c r="I1313" s="244"/>
      <c r="J1313" s="244"/>
      <c r="K1313" s="246" t="e">
        <f t="shared" si="140"/>
        <v>#VALUE!</v>
      </c>
      <c r="L1313" s="246" t="e">
        <f t="shared" si="141"/>
        <v>#VALUE!</v>
      </c>
      <c r="M1313" s="247" t="e">
        <f t="shared" si="142"/>
        <v>#VALUE!</v>
      </c>
      <c r="N1313" s="246" t="e">
        <f t="shared" si="143"/>
        <v>#VALUE!</v>
      </c>
      <c r="O1313" s="247" t="e">
        <f t="shared" si="144"/>
        <v>#VALUE!</v>
      </c>
      <c r="P1313" s="247">
        <f t="shared" si="145"/>
        <v>0</v>
      </c>
      <c r="Q1313" s="247" t="e">
        <f t="shared" si="146"/>
        <v>#VALUE!</v>
      </c>
    </row>
    <row r="1314" spans="1:17" ht="15" customHeight="1" x14ac:dyDescent="0.25">
      <c r="A1314" s="244"/>
      <c r="B1314" s="244"/>
      <c r="C1314" s="244"/>
      <c r="D1314" s="244"/>
      <c r="E1314" s="244"/>
      <c r="F1314" s="244"/>
      <c r="G1314" s="244"/>
      <c r="I1314" s="244"/>
      <c r="J1314" s="244"/>
      <c r="K1314" s="246" t="e">
        <f t="shared" si="140"/>
        <v>#VALUE!</v>
      </c>
      <c r="L1314" s="246" t="e">
        <f t="shared" si="141"/>
        <v>#VALUE!</v>
      </c>
      <c r="M1314" s="247" t="e">
        <f t="shared" si="142"/>
        <v>#VALUE!</v>
      </c>
      <c r="N1314" s="246" t="e">
        <f t="shared" si="143"/>
        <v>#VALUE!</v>
      </c>
      <c r="O1314" s="247" t="e">
        <f t="shared" si="144"/>
        <v>#VALUE!</v>
      </c>
      <c r="P1314" s="247">
        <f t="shared" si="145"/>
        <v>0</v>
      </c>
      <c r="Q1314" s="247" t="e">
        <f t="shared" si="146"/>
        <v>#VALUE!</v>
      </c>
    </row>
    <row r="1315" spans="1:17" ht="15" customHeight="1" x14ac:dyDescent="0.25">
      <c r="A1315" s="244"/>
      <c r="B1315" s="244"/>
      <c r="C1315" s="244"/>
      <c r="D1315" s="244"/>
      <c r="E1315" s="244"/>
      <c r="F1315" s="244"/>
      <c r="G1315" s="244"/>
      <c r="I1315" s="244"/>
      <c r="J1315" s="244"/>
      <c r="K1315" s="246" t="e">
        <f t="shared" si="140"/>
        <v>#VALUE!</v>
      </c>
      <c r="L1315" s="246" t="e">
        <f t="shared" si="141"/>
        <v>#VALUE!</v>
      </c>
      <c r="M1315" s="247" t="e">
        <f t="shared" si="142"/>
        <v>#VALUE!</v>
      </c>
      <c r="N1315" s="246" t="e">
        <f t="shared" si="143"/>
        <v>#VALUE!</v>
      </c>
      <c r="O1315" s="247" t="e">
        <f t="shared" si="144"/>
        <v>#VALUE!</v>
      </c>
      <c r="P1315" s="247">
        <f t="shared" si="145"/>
        <v>0</v>
      </c>
      <c r="Q1315" s="247" t="e">
        <f t="shared" si="146"/>
        <v>#VALUE!</v>
      </c>
    </row>
    <row r="1316" spans="1:17" ht="15" customHeight="1" x14ac:dyDescent="0.25">
      <c r="A1316" s="244"/>
      <c r="B1316" s="244"/>
      <c r="C1316" s="244"/>
      <c r="D1316" s="244"/>
      <c r="E1316" s="244"/>
      <c r="F1316" s="244"/>
      <c r="G1316" s="244"/>
      <c r="I1316" s="244"/>
      <c r="J1316" s="244"/>
      <c r="K1316" s="246" t="e">
        <f t="shared" si="140"/>
        <v>#VALUE!</v>
      </c>
      <c r="L1316" s="246" t="e">
        <f t="shared" si="141"/>
        <v>#VALUE!</v>
      </c>
      <c r="M1316" s="247" t="e">
        <f t="shared" si="142"/>
        <v>#VALUE!</v>
      </c>
      <c r="N1316" s="246" t="e">
        <f t="shared" si="143"/>
        <v>#VALUE!</v>
      </c>
      <c r="O1316" s="247" t="e">
        <f t="shared" si="144"/>
        <v>#VALUE!</v>
      </c>
      <c r="P1316" s="247">
        <f t="shared" si="145"/>
        <v>0</v>
      </c>
      <c r="Q1316" s="247" t="e">
        <f t="shared" si="146"/>
        <v>#VALUE!</v>
      </c>
    </row>
    <row r="1317" spans="1:17" ht="15" customHeight="1" x14ac:dyDescent="0.25">
      <c r="A1317" s="244"/>
      <c r="B1317" s="244"/>
      <c r="C1317" s="244"/>
      <c r="D1317" s="244"/>
      <c r="E1317" s="244"/>
      <c r="F1317" s="244"/>
      <c r="G1317" s="244"/>
      <c r="I1317" s="244"/>
      <c r="J1317" s="244"/>
      <c r="K1317" s="246" t="e">
        <f t="shared" si="140"/>
        <v>#VALUE!</v>
      </c>
      <c r="L1317" s="246" t="e">
        <f t="shared" si="141"/>
        <v>#VALUE!</v>
      </c>
      <c r="M1317" s="247" t="e">
        <f t="shared" si="142"/>
        <v>#VALUE!</v>
      </c>
      <c r="N1317" s="246" t="e">
        <f t="shared" si="143"/>
        <v>#VALUE!</v>
      </c>
      <c r="O1317" s="247" t="e">
        <f t="shared" si="144"/>
        <v>#VALUE!</v>
      </c>
      <c r="P1317" s="247">
        <f t="shared" si="145"/>
        <v>0</v>
      </c>
      <c r="Q1317" s="247" t="e">
        <f t="shared" si="146"/>
        <v>#VALUE!</v>
      </c>
    </row>
    <row r="1318" spans="1:17" ht="15" customHeight="1" x14ac:dyDescent="0.25">
      <c r="A1318" s="244"/>
      <c r="B1318" s="244"/>
      <c r="C1318" s="244"/>
      <c r="D1318" s="244"/>
      <c r="E1318" s="244"/>
      <c r="F1318" s="244"/>
      <c r="G1318" s="244"/>
      <c r="I1318" s="244"/>
      <c r="J1318" s="244"/>
      <c r="K1318" s="246" t="e">
        <f t="shared" si="140"/>
        <v>#VALUE!</v>
      </c>
      <c r="L1318" s="246" t="e">
        <f t="shared" si="141"/>
        <v>#VALUE!</v>
      </c>
      <c r="M1318" s="247" t="e">
        <f t="shared" si="142"/>
        <v>#VALUE!</v>
      </c>
      <c r="N1318" s="246" t="e">
        <f t="shared" si="143"/>
        <v>#VALUE!</v>
      </c>
      <c r="O1318" s="247" t="e">
        <f t="shared" si="144"/>
        <v>#VALUE!</v>
      </c>
      <c r="P1318" s="247">
        <f t="shared" si="145"/>
        <v>0</v>
      </c>
      <c r="Q1318" s="247" t="e">
        <f t="shared" si="146"/>
        <v>#VALUE!</v>
      </c>
    </row>
    <row r="1319" spans="1:17" ht="15" customHeight="1" x14ac:dyDescent="0.25">
      <c r="A1319" s="244"/>
      <c r="B1319" s="244"/>
      <c r="C1319" s="244"/>
      <c r="D1319" s="244"/>
      <c r="E1319" s="244"/>
      <c r="F1319" s="244"/>
      <c r="G1319" s="244"/>
      <c r="I1319" s="244"/>
      <c r="J1319" s="244"/>
      <c r="K1319" s="246" t="e">
        <f t="shared" si="140"/>
        <v>#VALUE!</v>
      </c>
      <c r="L1319" s="246" t="e">
        <f t="shared" si="141"/>
        <v>#VALUE!</v>
      </c>
      <c r="M1319" s="247" t="e">
        <f t="shared" si="142"/>
        <v>#VALUE!</v>
      </c>
      <c r="N1319" s="246" t="e">
        <f t="shared" si="143"/>
        <v>#VALUE!</v>
      </c>
      <c r="O1319" s="247" t="e">
        <f t="shared" si="144"/>
        <v>#VALUE!</v>
      </c>
      <c r="P1319" s="247">
        <f t="shared" si="145"/>
        <v>0</v>
      </c>
      <c r="Q1319" s="247" t="e">
        <f t="shared" si="146"/>
        <v>#VALUE!</v>
      </c>
    </row>
    <row r="1320" spans="1:17" ht="15" customHeight="1" x14ac:dyDescent="0.25">
      <c r="A1320" s="244"/>
      <c r="B1320" s="244"/>
      <c r="C1320" s="244"/>
      <c r="D1320" s="244"/>
      <c r="E1320" s="244"/>
      <c r="F1320" s="244"/>
      <c r="G1320" s="244"/>
      <c r="I1320" s="244"/>
      <c r="J1320" s="244"/>
      <c r="K1320" s="246" t="e">
        <f t="shared" si="140"/>
        <v>#VALUE!</v>
      </c>
      <c r="L1320" s="246" t="e">
        <f t="shared" si="141"/>
        <v>#VALUE!</v>
      </c>
      <c r="M1320" s="247" t="e">
        <f t="shared" si="142"/>
        <v>#VALUE!</v>
      </c>
      <c r="N1320" s="246" t="e">
        <f t="shared" si="143"/>
        <v>#VALUE!</v>
      </c>
      <c r="O1320" s="247" t="e">
        <f t="shared" si="144"/>
        <v>#VALUE!</v>
      </c>
      <c r="P1320" s="247">
        <f t="shared" si="145"/>
        <v>0</v>
      </c>
      <c r="Q1320" s="247" t="e">
        <f t="shared" si="146"/>
        <v>#VALUE!</v>
      </c>
    </row>
    <row r="1321" spans="1:17" ht="15" customHeight="1" x14ac:dyDescent="0.25">
      <c r="A1321" s="244"/>
      <c r="B1321" s="244"/>
      <c r="C1321" s="244"/>
      <c r="D1321" s="244"/>
      <c r="E1321" s="244"/>
      <c r="F1321" s="244"/>
      <c r="G1321" s="244"/>
      <c r="I1321" s="244"/>
      <c r="J1321" s="244"/>
      <c r="K1321" s="246" t="e">
        <f t="shared" si="140"/>
        <v>#VALUE!</v>
      </c>
      <c r="L1321" s="246" t="e">
        <f t="shared" si="141"/>
        <v>#VALUE!</v>
      </c>
      <c r="M1321" s="247" t="e">
        <f t="shared" si="142"/>
        <v>#VALUE!</v>
      </c>
      <c r="N1321" s="246" t="e">
        <f t="shared" si="143"/>
        <v>#VALUE!</v>
      </c>
      <c r="O1321" s="247" t="e">
        <f t="shared" si="144"/>
        <v>#VALUE!</v>
      </c>
      <c r="P1321" s="247">
        <f t="shared" si="145"/>
        <v>0</v>
      </c>
      <c r="Q1321" s="247" t="e">
        <f t="shared" si="146"/>
        <v>#VALUE!</v>
      </c>
    </row>
    <row r="1322" spans="1:17" ht="15" customHeight="1" x14ac:dyDescent="0.25">
      <c r="A1322" s="244"/>
      <c r="B1322" s="244"/>
      <c r="C1322" s="244"/>
      <c r="D1322" s="244"/>
      <c r="E1322" s="244"/>
      <c r="F1322" s="244"/>
      <c r="G1322" s="244"/>
      <c r="I1322" s="244"/>
      <c r="J1322" s="244"/>
      <c r="K1322" s="246" t="e">
        <f t="shared" si="140"/>
        <v>#VALUE!</v>
      </c>
      <c r="L1322" s="246" t="e">
        <f t="shared" si="141"/>
        <v>#VALUE!</v>
      </c>
      <c r="M1322" s="247" t="e">
        <f t="shared" si="142"/>
        <v>#VALUE!</v>
      </c>
      <c r="N1322" s="246" t="e">
        <f t="shared" si="143"/>
        <v>#VALUE!</v>
      </c>
      <c r="O1322" s="247" t="e">
        <f t="shared" si="144"/>
        <v>#VALUE!</v>
      </c>
      <c r="P1322" s="247">
        <f t="shared" si="145"/>
        <v>0</v>
      </c>
      <c r="Q1322" s="247" t="e">
        <f t="shared" si="146"/>
        <v>#VALUE!</v>
      </c>
    </row>
    <row r="1323" spans="1:17" ht="15" customHeight="1" x14ac:dyDescent="0.25">
      <c r="A1323" s="244"/>
      <c r="B1323" s="244"/>
      <c r="C1323" s="244"/>
      <c r="D1323" s="244"/>
      <c r="E1323" s="244"/>
      <c r="F1323" s="244"/>
      <c r="G1323" s="244"/>
      <c r="I1323" s="244"/>
      <c r="J1323" s="244"/>
      <c r="K1323" s="246" t="e">
        <f t="shared" si="140"/>
        <v>#VALUE!</v>
      </c>
      <c r="L1323" s="246" t="e">
        <f t="shared" si="141"/>
        <v>#VALUE!</v>
      </c>
      <c r="M1323" s="247" t="e">
        <f t="shared" si="142"/>
        <v>#VALUE!</v>
      </c>
      <c r="N1323" s="246" t="e">
        <f t="shared" si="143"/>
        <v>#VALUE!</v>
      </c>
      <c r="O1323" s="247" t="e">
        <f t="shared" si="144"/>
        <v>#VALUE!</v>
      </c>
      <c r="P1323" s="247">
        <f t="shared" si="145"/>
        <v>0</v>
      </c>
      <c r="Q1323" s="247" t="e">
        <f t="shared" si="146"/>
        <v>#VALUE!</v>
      </c>
    </row>
    <row r="1324" spans="1:17" ht="15" customHeight="1" x14ac:dyDescent="0.25">
      <c r="A1324" s="244"/>
      <c r="B1324" s="244"/>
      <c r="C1324" s="244"/>
      <c r="D1324" s="244"/>
      <c r="E1324" s="244"/>
      <c r="F1324" s="244"/>
      <c r="G1324" s="244"/>
      <c r="I1324" s="244"/>
      <c r="J1324" s="244"/>
      <c r="K1324" s="246" t="e">
        <f t="shared" si="140"/>
        <v>#VALUE!</v>
      </c>
      <c r="L1324" s="246" t="e">
        <f t="shared" si="141"/>
        <v>#VALUE!</v>
      </c>
      <c r="M1324" s="247" t="e">
        <f t="shared" si="142"/>
        <v>#VALUE!</v>
      </c>
      <c r="N1324" s="246" t="e">
        <f t="shared" si="143"/>
        <v>#VALUE!</v>
      </c>
      <c r="O1324" s="247" t="e">
        <f t="shared" si="144"/>
        <v>#VALUE!</v>
      </c>
      <c r="P1324" s="247">
        <f t="shared" si="145"/>
        <v>0</v>
      </c>
      <c r="Q1324" s="247" t="e">
        <f t="shared" si="146"/>
        <v>#VALUE!</v>
      </c>
    </row>
    <row r="1325" spans="1:17" ht="15" customHeight="1" x14ac:dyDescent="0.25">
      <c r="A1325" s="244"/>
      <c r="B1325" s="244"/>
      <c r="C1325" s="244"/>
      <c r="D1325" s="244"/>
      <c r="E1325" s="244"/>
      <c r="F1325" s="244"/>
      <c r="G1325" s="244"/>
      <c r="I1325" s="244"/>
      <c r="J1325" s="244"/>
      <c r="K1325" s="246" t="e">
        <f t="shared" si="140"/>
        <v>#VALUE!</v>
      </c>
      <c r="L1325" s="246" t="e">
        <f t="shared" si="141"/>
        <v>#VALUE!</v>
      </c>
      <c r="M1325" s="247" t="e">
        <f t="shared" si="142"/>
        <v>#VALUE!</v>
      </c>
      <c r="N1325" s="246" t="e">
        <f t="shared" si="143"/>
        <v>#VALUE!</v>
      </c>
      <c r="O1325" s="247" t="e">
        <f t="shared" si="144"/>
        <v>#VALUE!</v>
      </c>
      <c r="P1325" s="247">
        <f t="shared" si="145"/>
        <v>0</v>
      </c>
      <c r="Q1325" s="247" t="e">
        <f t="shared" si="146"/>
        <v>#VALUE!</v>
      </c>
    </row>
    <row r="1326" spans="1:17" ht="15" customHeight="1" x14ac:dyDescent="0.25">
      <c r="A1326" s="244"/>
      <c r="B1326" s="244"/>
      <c r="C1326" s="244"/>
      <c r="D1326" s="244"/>
      <c r="E1326" s="244"/>
      <c r="F1326" s="244"/>
      <c r="G1326" s="244"/>
      <c r="I1326" s="244"/>
      <c r="J1326" s="244"/>
      <c r="K1326" s="246" t="e">
        <f t="shared" si="140"/>
        <v>#VALUE!</v>
      </c>
      <c r="L1326" s="246" t="e">
        <f t="shared" si="141"/>
        <v>#VALUE!</v>
      </c>
      <c r="M1326" s="247" t="e">
        <f t="shared" si="142"/>
        <v>#VALUE!</v>
      </c>
      <c r="N1326" s="246" t="e">
        <f t="shared" si="143"/>
        <v>#VALUE!</v>
      </c>
      <c r="O1326" s="247" t="e">
        <f t="shared" si="144"/>
        <v>#VALUE!</v>
      </c>
      <c r="P1326" s="247">
        <f t="shared" si="145"/>
        <v>0</v>
      </c>
      <c r="Q1326" s="247" t="e">
        <f t="shared" si="146"/>
        <v>#VALUE!</v>
      </c>
    </row>
    <row r="1327" spans="1:17" ht="15" customHeight="1" x14ac:dyDescent="0.25">
      <c r="A1327" s="244"/>
      <c r="B1327" s="244"/>
      <c r="C1327" s="244"/>
      <c r="D1327" s="244"/>
      <c r="E1327" s="244"/>
      <c r="F1327" s="244"/>
      <c r="G1327" s="244"/>
      <c r="I1327" s="244"/>
      <c r="J1327" s="244"/>
      <c r="K1327" s="246" t="e">
        <f t="shared" si="140"/>
        <v>#VALUE!</v>
      </c>
      <c r="L1327" s="246" t="e">
        <f t="shared" si="141"/>
        <v>#VALUE!</v>
      </c>
      <c r="M1327" s="247" t="e">
        <f t="shared" si="142"/>
        <v>#VALUE!</v>
      </c>
      <c r="N1327" s="246" t="e">
        <f t="shared" si="143"/>
        <v>#VALUE!</v>
      </c>
      <c r="O1327" s="247" t="e">
        <f t="shared" si="144"/>
        <v>#VALUE!</v>
      </c>
      <c r="P1327" s="247">
        <f t="shared" si="145"/>
        <v>0</v>
      </c>
      <c r="Q1327" s="247" t="e">
        <f t="shared" si="146"/>
        <v>#VALUE!</v>
      </c>
    </row>
    <row r="1328" spans="1:17" ht="15" customHeight="1" x14ac:dyDescent="0.25">
      <c r="A1328" s="244"/>
      <c r="B1328" s="244"/>
      <c r="C1328" s="244"/>
      <c r="D1328" s="244"/>
      <c r="E1328" s="244"/>
      <c r="F1328" s="244"/>
      <c r="G1328" s="244"/>
      <c r="I1328" s="244"/>
      <c r="J1328" s="244"/>
      <c r="K1328" s="246" t="e">
        <f t="shared" si="140"/>
        <v>#VALUE!</v>
      </c>
      <c r="L1328" s="246" t="e">
        <f t="shared" si="141"/>
        <v>#VALUE!</v>
      </c>
      <c r="M1328" s="247" t="e">
        <f t="shared" si="142"/>
        <v>#VALUE!</v>
      </c>
      <c r="N1328" s="246" t="e">
        <f t="shared" si="143"/>
        <v>#VALUE!</v>
      </c>
      <c r="O1328" s="247" t="e">
        <f t="shared" si="144"/>
        <v>#VALUE!</v>
      </c>
      <c r="P1328" s="247">
        <f t="shared" si="145"/>
        <v>0</v>
      </c>
      <c r="Q1328" s="247" t="e">
        <f t="shared" si="146"/>
        <v>#VALUE!</v>
      </c>
    </row>
    <row r="1329" spans="1:17" ht="15" customHeight="1" x14ac:dyDescent="0.25">
      <c r="A1329" s="244"/>
      <c r="B1329" s="244"/>
      <c r="C1329" s="244"/>
      <c r="D1329" s="244"/>
      <c r="E1329" s="244"/>
      <c r="F1329" s="244"/>
      <c r="G1329" s="244"/>
      <c r="I1329" s="244"/>
      <c r="J1329" s="244"/>
      <c r="K1329" s="246" t="e">
        <f t="shared" si="140"/>
        <v>#VALUE!</v>
      </c>
      <c r="L1329" s="246" t="e">
        <f t="shared" si="141"/>
        <v>#VALUE!</v>
      </c>
      <c r="M1329" s="247" t="e">
        <f t="shared" si="142"/>
        <v>#VALUE!</v>
      </c>
      <c r="N1329" s="246" t="e">
        <f t="shared" si="143"/>
        <v>#VALUE!</v>
      </c>
      <c r="O1329" s="247" t="e">
        <f t="shared" si="144"/>
        <v>#VALUE!</v>
      </c>
      <c r="P1329" s="247">
        <f t="shared" si="145"/>
        <v>0</v>
      </c>
      <c r="Q1329" s="247" t="e">
        <f t="shared" si="146"/>
        <v>#VALUE!</v>
      </c>
    </row>
    <row r="1330" spans="1:17" ht="15" customHeight="1" x14ac:dyDescent="0.25">
      <c r="A1330" s="244"/>
      <c r="B1330" s="244"/>
      <c r="C1330" s="244"/>
      <c r="D1330" s="244"/>
      <c r="E1330" s="244"/>
      <c r="F1330" s="244"/>
      <c r="G1330" s="244"/>
      <c r="I1330" s="244"/>
      <c r="J1330" s="244"/>
      <c r="K1330" s="246" t="e">
        <f t="shared" si="140"/>
        <v>#VALUE!</v>
      </c>
      <c r="L1330" s="246" t="e">
        <f t="shared" si="141"/>
        <v>#VALUE!</v>
      </c>
      <c r="M1330" s="247" t="e">
        <f t="shared" si="142"/>
        <v>#VALUE!</v>
      </c>
      <c r="N1330" s="246" t="e">
        <f t="shared" si="143"/>
        <v>#VALUE!</v>
      </c>
      <c r="O1330" s="247" t="e">
        <f t="shared" si="144"/>
        <v>#VALUE!</v>
      </c>
      <c r="P1330" s="247">
        <f t="shared" si="145"/>
        <v>0</v>
      </c>
      <c r="Q1330" s="247" t="e">
        <f t="shared" si="146"/>
        <v>#VALUE!</v>
      </c>
    </row>
    <row r="1331" spans="1:17" ht="15" customHeight="1" x14ac:dyDescent="0.25">
      <c r="A1331" s="244"/>
      <c r="B1331" s="244"/>
      <c r="C1331" s="244"/>
      <c r="D1331" s="244"/>
      <c r="E1331" s="244"/>
      <c r="F1331" s="244"/>
      <c r="G1331" s="244"/>
      <c r="I1331" s="244"/>
      <c r="J1331" s="244"/>
      <c r="K1331" s="246" t="e">
        <f t="shared" si="140"/>
        <v>#VALUE!</v>
      </c>
      <c r="L1331" s="246" t="e">
        <f t="shared" si="141"/>
        <v>#VALUE!</v>
      </c>
      <c r="M1331" s="247" t="e">
        <f t="shared" si="142"/>
        <v>#VALUE!</v>
      </c>
      <c r="N1331" s="246" t="e">
        <f t="shared" si="143"/>
        <v>#VALUE!</v>
      </c>
      <c r="O1331" s="247" t="e">
        <f t="shared" si="144"/>
        <v>#VALUE!</v>
      </c>
      <c r="P1331" s="247">
        <f t="shared" si="145"/>
        <v>0</v>
      </c>
      <c r="Q1331" s="247" t="e">
        <f t="shared" si="146"/>
        <v>#VALUE!</v>
      </c>
    </row>
    <row r="1332" spans="1:17" ht="15" customHeight="1" x14ac:dyDescent="0.25">
      <c r="A1332" s="244"/>
      <c r="B1332" s="244"/>
      <c r="C1332" s="244"/>
      <c r="D1332" s="244"/>
      <c r="E1332" s="244"/>
      <c r="F1332" s="244"/>
      <c r="G1332" s="244"/>
      <c r="I1332" s="244"/>
      <c r="J1332" s="244"/>
      <c r="K1332" s="246" t="e">
        <f t="shared" si="140"/>
        <v>#VALUE!</v>
      </c>
      <c r="L1332" s="246" t="e">
        <f t="shared" si="141"/>
        <v>#VALUE!</v>
      </c>
      <c r="M1332" s="247" t="e">
        <f t="shared" si="142"/>
        <v>#VALUE!</v>
      </c>
      <c r="N1332" s="246" t="e">
        <f t="shared" si="143"/>
        <v>#VALUE!</v>
      </c>
      <c r="O1332" s="247" t="e">
        <f t="shared" si="144"/>
        <v>#VALUE!</v>
      </c>
      <c r="P1332" s="247">
        <f t="shared" si="145"/>
        <v>0</v>
      </c>
      <c r="Q1332" s="247" t="e">
        <f t="shared" si="146"/>
        <v>#VALUE!</v>
      </c>
    </row>
    <row r="1333" spans="1:17" ht="15" customHeight="1" x14ac:dyDescent="0.25">
      <c r="A1333" s="244"/>
      <c r="B1333" s="244"/>
      <c r="C1333" s="244"/>
      <c r="D1333" s="244"/>
      <c r="E1333" s="244"/>
      <c r="F1333" s="244"/>
      <c r="G1333" s="244"/>
      <c r="I1333" s="244"/>
      <c r="J1333" s="244"/>
      <c r="K1333" s="246" t="e">
        <f t="shared" si="140"/>
        <v>#VALUE!</v>
      </c>
      <c r="L1333" s="246" t="e">
        <f t="shared" si="141"/>
        <v>#VALUE!</v>
      </c>
      <c r="M1333" s="247" t="e">
        <f t="shared" si="142"/>
        <v>#VALUE!</v>
      </c>
      <c r="N1333" s="246" t="e">
        <f t="shared" si="143"/>
        <v>#VALUE!</v>
      </c>
      <c r="O1333" s="247" t="e">
        <f t="shared" si="144"/>
        <v>#VALUE!</v>
      </c>
      <c r="P1333" s="247">
        <f t="shared" si="145"/>
        <v>0</v>
      </c>
      <c r="Q1333" s="247" t="e">
        <f t="shared" si="146"/>
        <v>#VALUE!</v>
      </c>
    </row>
    <row r="1334" spans="1:17" ht="15" customHeight="1" x14ac:dyDescent="0.25">
      <c r="A1334" s="244"/>
      <c r="B1334" s="244"/>
      <c r="C1334" s="244"/>
      <c r="D1334" s="244"/>
      <c r="E1334" s="244"/>
      <c r="F1334" s="244"/>
      <c r="G1334" s="244"/>
      <c r="I1334" s="244"/>
      <c r="J1334" s="244"/>
      <c r="K1334" s="246" t="e">
        <f t="shared" si="140"/>
        <v>#VALUE!</v>
      </c>
      <c r="L1334" s="246" t="e">
        <f t="shared" si="141"/>
        <v>#VALUE!</v>
      </c>
      <c r="M1334" s="247" t="e">
        <f t="shared" si="142"/>
        <v>#VALUE!</v>
      </c>
      <c r="N1334" s="246" t="e">
        <f t="shared" si="143"/>
        <v>#VALUE!</v>
      </c>
      <c r="O1334" s="247" t="e">
        <f t="shared" si="144"/>
        <v>#VALUE!</v>
      </c>
      <c r="P1334" s="247">
        <f t="shared" si="145"/>
        <v>0</v>
      </c>
      <c r="Q1334" s="247" t="e">
        <f t="shared" si="146"/>
        <v>#VALUE!</v>
      </c>
    </row>
    <row r="1335" spans="1:17" ht="15" customHeight="1" x14ac:dyDescent="0.25">
      <c r="A1335" s="244"/>
      <c r="B1335" s="244"/>
      <c r="C1335" s="244"/>
      <c r="D1335" s="244"/>
      <c r="E1335" s="244"/>
      <c r="F1335" s="244"/>
      <c r="G1335" s="244"/>
      <c r="I1335" s="244"/>
      <c r="J1335" s="244"/>
      <c r="K1335" s="246" t="e">
        <f t="shared" si="140"/>
        <v>#VALUE!</v>
      </c>
      <c r="L1335" s="246" t="e">
        <f t="shared" si="141"/>
        <v>#VALUE!</v>
      </c>
      <c r="M1335" s="247" t="e">
        <f t="shared" si="142"/>
        <v>#VALUE!</v>
      </c>
      <c r="N1335" s="246" t="e">
        <f t="shared" si="143"/>
        <v>#VALUE!</v>
      </c>
      <c r="O1335" s="247" t="e">
        <f t="shared" si="144"/>
        <v>#VALUE!</v>
      </c>
      <c r="P1335" s="247">
        <f t="shared" si="145"/>
        <v>0</v>
      </c>
      <c r="Q1335" s="247" t="e">
        <f t="shared" si="146"/>
        <v>#VALUE!</v>
      </c>
    </row>
    <row r="1336" spans="1:17" ht="15" customHeight="1" x14ac:dyDescent="0.25">
      <c r="A1336" s="244"/>
      <c r="B1336" s="244"/>
      <c r="C1336" s="244"/>
      <c r="D1336" s="244"/>
      <c r="E1336" s="244"/>
      <c r="F1336" s="244"/>
      <c r="G1336" s="244"/>
      <c r="I1336" s="244"/>
      <c r="J1336" s="244"/>
      <c r="K1336" s="246" t="e">
        <f t="shared" si="140"/>
        <v>#VALUE!</v>
      </c>
      <c r="L1336" s="246" t="e">
        <f t="shared" si="141"/>
        <v>#VALUE!</v>
      </c>
      <c r="M1336" s="247" t="e">
        <f t="shared" si="142"/>
        <v>#VALUE!</v>
      </c>
      <c r="N1336" s="246" t="e">
        <f t="shared" si="143"/>
        <v>#VALUE!</v>
      </c>
      <c r="O1336" s="247" t="e">
        <f t="shared" si="144"/>
        <v>#VALUE!</v>
      </c>
      <c r="P1336" s="247">
        <f t="shared" si="145"/>
        <v>0</v>
      </c>
      <c r="Q1336" s="247" t="e">
        <f t="shared" si="146"/>
        <v>#VALUE!</v>
      </c>
    </row>
    <row r="1337" spans="1:17" ht="15" customHeight="1" x14ac:dyDescent="0.25">
      <c r="A1337" s="244"/>
      <c r="B1337" s="244"/>
      <c r="C1337" s="244"/>
      <c r="D1337" s="244"/>
      <c r="E1337" s="244"/>
      <c r="F1337" s="244"/>
      <c r="G1337" s="244"/>
      <c r="I1337" s="244"/>
      <c r="J1337" s="244"/>
      <c r="K1337" s="246" t="e">
        <f t="shared" si="140"/>
        <v>#VALUE!</v>
      </c>
      <c r="L1337" s="246" t="e">
        <f t="shared" si="141"/>
        <v>#VALUE!</v>
      </c>
      <c r="M1337" s="247" t="e">
        <f t="shared" si="142"/>
        <v>#VALUE!</v>
      </c>
      <c r="N1337" s="246" t="e">
        <f t="shared" si="143"/>
        <v>#VALUE!</v>
      </c>
      <c r="O1337" s="247" t="e">
        <f t="shared" si="144"/>
        <v>#VALUE!</v>
      </c>
      <c r="P1337" s="247">
        <f t="shared" si="145"/>
        <v>0</v>
      </c>
      <c r="Q1337" s="247" t="e">
        <f t="shared" si="146"/>
        <v>#VALUE!</v>
      </c>
    </row>
    <row r="1338" spans="1:17" ht="15" customHeight="1" x14ac:dyDescent="0.25">
      <c r="A1338" s="244"/>
      <c r="B1338" s="244"/>
      <c r="C1338" s="244"/>
      <c r="D1338" s="244"/>
      <c r="E1338" s="244"/>
      <c r="F1338" s="244"/>
      <c r="G1338" s="244"/>
      <c r="I1338" s="244"/>
      <c r="J1338" s="244"/>
      <c r="K1338" s="246" t="e">
        <f t="shared" si="140"/>
        <v>#VALUE!</v>
      </c>
      <c r="L1338" s="246" t="e">
        <f t="shared" si="141"/>
        <v>#VALUE!</v>
      </c>
      <c r="M1338" s="247" t="e">
        <f t="shared" si="142"/>
        <v>#VALUE!</v>
      </c>
      <c r="N1338" s="246" t="e">
        <f t="shared" si="143"/>
        <v>#VALUE!</v>
      </c>
      <c r="O1338" s="247" t="e">
        <f t="shared" si="144"/>
        <v>#VALUE!</v>
      </c>
      <c r="P1338" s="247">
        <f t="shared" si="145"/>
        <v>0</v>
      </c>
      <c r="Q1338" s="247" t="e">
        <f t="shared" si="146"/>
        <v>#VALUE!</v>
      </c>
    </row>
    <row r="1339" spans="1:17" ht="15" customHeight="1" x14ac:dyDescent="0.25">
      <c r="A1339" s="244"/>
      <c r="B1339" s="244"/>
      <c r="C1339" s="244"/>
      <c r="D1339" s="244"/>
      <c r="E1339" s="244"/>
      <c r="F1339" s="244"/>
      <c r="G1339" s="244"/>
      <c r="I1339" s="244"/>
      <c r="J1339" s="244"/>
      <c r="K1339" s="246" t="e">
        <f t="shared" si="140"/>
        <v>#VALUE!</v>
      </c>
      <c r="L1339" s="246" t="e">
        <f t="shared" si="141"/>
        <v>#VALUE!</v>
      </c>
      <c r="M1339" s="247" t="e">
        <f t="shared" si="142"/>
        <v>#VALUE!</v>
      </c>
      <c r="N1339" s="246" t="e">
        <f t="shared" si="143"/>
        <v>#VALUE!</v>
      </c>
      <c r="O1339" s="247" t="e">
        <f t="shared" si="144"/>
        <v>#VALUE!</v>
      </c>
      <c r="P1339" s="247">
        <f t="shared" si="145"/>
        <v>0</v>
      </c>
      <c r="Q1339" s="247" t="e">
        <f t="shared" si="146"/>
        <v>#VALUE!</v>
      </c>
    </row>
    <row r="1340" spans="1:17" ht="15" customHeight="1" x14ac:dyDescent="0.25">
      <c r="A1340" s="244"/>
      <c r="B1340" s="244"/>
      <c r="C1340" s="244"/>
      <c r="D1340" s="244"/>
      <c r="E1340" s="244"/>
      <c r="F1340" s="244"/>
      <c r="G1340" s="244"/>
      <c r="I1340" s="244"/>
      <c r="J1340" s="244"/>
      <c r="K1340" s="246" t="e">
        <f t="shared" si="140"/>
        <v>#VALUE!</v>
      </c>
      <c r="L1340" s="246" t="e">
        <f t="shared" si="141"/>
        <v>#VALUE!</v>
      </c>
      <c r="M1340" s="247" t="e">
        <f t="shared" si="142"/>
        <v>#VALUE!</v>
      </c>
      <c r="N1340" s="246" t="e">
        <f t="shared" si="143"/>
        <v>#VALUE!</v>
      </c>
      <c r="O1340" s="247" t="e">
        <f t="shared" si="144"/>
        <v>#VALUE!</v>
      </c>
      <c r="P1340" s="247">
        <f t="shared" si="145"/>
        <v>0</v>
      </c>
      <c r="Q1340" s="247" t="e">
        <f t="shared" si="146"/>
        <v>#VALUE!</v>
      </c>
    </row>
    <row r="1341" spans="1:17" ht="15" customHeight="1" x14ac:dyDescent="0.25">
      <c r="A1341" s="244"/>
      <c r="B1341" s="244"/>
      <c r="C1341" s="244"/>
      <c r="D1341" s="244"/>
      <c r="E1341" s="244"/>
      <c r="F1341" s="244"/>
      <c r="G1341" s="244"/>
      <c r="I1341" s="244"/>
      <c r="J1341" s="244"/>
      <c r="K1341" s="246" t="e">
        <f t="shared" si="140"/>
        <v>#VALUE!</v>
      </c>
      <c r="L1341" s="246" t="e">
        <f t="shared" si="141"/>
        <v>#VALUE!</v>
      </c>
      <c r="M1341" s="247" t="e">
        <f t="shared" si="142"/>
        <v>#VALUE!</v>
      </c>
      <c r="N1341" s="246" t="e">
        <f t="shared" si="143"/>
        <v>#VALUE!</v>
      </c>
      <c r="O1341" s="247" t="e">
        <f t="shared" si="144"/>
        <v>#VALUE!</v>
      </c>
      <c r="P1341" s="247">
        <f t="shared" si="145"/>
        <v>0</v>
      </c>
      <c r="Q1341" s="247" t="e">
        <f t="shared" si="146"/>
        <v>#VALUE!</v>
      </c>
    </row>
    <row r="1342" spans="1:17" ht="15" customHeight="1" x14ac:dyDescent="0.25">
      <c r="A1342" s="244"/>
      <c r="B1342" s="244"/>
      <c r="C1342" s="244"/>
      <c r="D1342" s="244"/>
      <c r="E1342" s="244"/>
      <c r="F1342" s="244"/>
      <c r="G1342" s="244"/>
      <c r="I1342" s="244"/>
      <c r="J1342" s="244"/>
      <c r="K1342" s="246" t="e">
        <f t="shared" si="140"/>
        <v>#VALUE!</v>
      </c>
      <c r="L1342" s="246" t="e">
        <f t="shared" si="141"/>
        <v>#VALUE!</v>
      </c>
      <c r="M1342" s="247" t="e">
        <f t="shared" si="142"/>
        <v>#VALUE!</v>
      </c>
      <c r="N1342" s="246" t="e">
        <f t="shared" si="143"/>
        <v>#VALUE!</v>
      </c>
      <c r="O1342" s="247" t="e">
        <f t="shared" si="144"/>
        <v>#VALUE!</v>
      </c>
      <c r="P1342" s="247">
        <f t="shared" si="145"/>
        <v>0</v>
      </c>
      <c r="Q1342" s="247" t="e">
        <f t="shared" si="146"/>
        <v>#VALUE!</v>
      </c>
    </row>
    <row r="1343" spans="1:17" ht="15" customHeight="1" x14ac:dyDescent="0.25">
      <c r="A1343" s="244"/>
      <c r="B1343" s="244"/>
      <c r="C1343" s="244"/>
      <c r="D1343" s="244"/>
      <c r="E1343" s="244"/>
      <c r="F1343" s="244"/>
      <c r="G1343" s="244"/>
      <c r="I1343" s="244"/>
      <c r="J1343" s="244"/>
      <c r="K1343" s="246" t="e">
        <f t="shared" si="140"/>
        <v>#VALUE!</v>
      </c>
      <c r="L1343" s="246" t="e">
        <f t="shared" si="141"/>
        <v>#VALUE!</v>
      </c>
      <c r="M1343" s="247" t="e">
        <f t="shared" si="142"/>
        <v>#VALUE!</v>
      </c>
      <c r="N1343" s="246" t="e">
        <f t="shared" si="143"/>
        <v>#VALUE!</v>
      </c>
      <c r="O1343" s="247" t="e">
        <f t="shared" si="144"/>
        <v>#VALUE!</v>
      </c>
      <c r="P1343" s="247">
        <f t="shared" si="145"/>
        <v>0</v>
      </c>
      <c r="Q1343" s="247" t="e">
        <f t="shared" si="146"/>
        <v>#VALUE!</v>
      </c>
    </row>
    <row r="1344" spans="1:17" ht="15" customHeight="1" x14ac:dyDescent="0.25">
      <c r="A1344" s="244"/>
      <c r="B1344" s="244"/>
      <c r="C1344" s="244"/>
      <c r="D1344" s="244"/>
      <c r="E1344" s="244"/>
      <c r="F1344" s="244"/>
      <c r="G1344" s="244"/>
      <c r="I1344" s="244"/>
      <c r="J1344" s="244"/>
      <c r="K1344" s="246" t="e">
        <f t="shared" si="140"/>
        <v>#VALUE!</v>
      </c>
      <c r="L1344" s="246" t="e">
        <f t="shared" si="141"/>
        <v>#VALUE!</v>
      </c>
      <c r="M1344" s="247" t="e">
        <f t="shared" si="142"/>
        <v>#VALUE!</v>
      </c>
      <c r="N1344" s="246" t="e">
        <f t="shared" si="143"/>
        <v>#VALUE!</v>
      </c>
      <c r="O1344" s="247" t="e">
        <f t="shared" si="144"/>
        <v>#VALUE!</v>
      </c>
      <c r="P1344" s="247">
        <f t="shared" si="145"/>
        <v>0</v>
      </c>
      <c r="Q1344" s="247" t="e">
        <f t="shared" si="146"/>
        <v>#VALUE!</v>
      </c>
    </row>
    <row r="1345" spans="1:17" ht="15" customHeight="1" x14ac:dyDescent="0.25">
      <c r="A1345" s="244"/>
      <c r="B1345" s="244"/>
      <c r="C1345" s="244"/>
      <c r="D1345" s="244"/>
      <c r="E1345" s="244"/>
      <c r="F1345" s="244"/>
      <c r="G1345" s="244"/>
      <c r="I1345" s="244"/>
      <c r="J1345" s="244"/>
      <c r="K1345" s="246" t="e">
        <f t="shared" si="140"/>
        <v>#VALUE!</v>
      </c>
      <c r="L1345" s="246" t="e">
        <f t="shared" si="141"/>
        <v>#VALUE!</v>
      </c>
      <c r="M1345" s="247" t="e">
        <f t="shared" si="142"/>
        <v>#VALUE!</v>
      </c>
      <c r="N1345" s="246" t="e">
        <f t="shared" si="143"/>
        <v>#VALUE!</v>
      </c>
      <c r="O1345" s="247" t="e">
        <f t="shared" si="144"/>
        <v>#VALUE!</v>
      </c>
      <c r="P1345" s="247">
        <f t="shared" si="145"/>
        <v>0</v>
      </c>
      <c r="Q1345" s="247" t="e">
        <f t="shared" si="146"/>
        <v>#VALUE!</v>
      </c>
    </row>
    <row r="1346" spans="1:17" ht="15" customHeight="1" x14ac:dyDescent="0.25">
      <c r="A1346" s="244"/>
      <c r="B1346" s="244"/>
      <c r="C1346" s="244"/>
      <c r="D1346" s="244"/>
      <c r="E1346" s="244"/>
      <c r="F1346" s="244"/>
      <c r="G1346" s="244"/>
      <c r="I1346" s="244"/>
      <c r="J1346" s="244"/>
      <c r="K1346" s="246" t="e">
        <f t="shared" ref="K1346:K1409" si="147">DATE(VALUE(LEFT(A1346,4)),VALUE(MID(A1346,5,2)),VALUE(RIGHT(A1346,2)))</f>
        <v>#VALUE!</v>
      </c>
      <c r="L1346" s="246" t="e">
        <f t="shared" ref="L1346:L1409" si="148">DATEVALUE(LEFT(F1346,10))</f>
        <v>#VALUE!</v>
      </c>
      <c r="M1346" s="247" t="e">
        <f t="shared" ref="M1346:M1409" si="149">TIMEVALUE(MID(F1346,12,8))</f>
        <v>#VALUE!</v>
      </c>
      <c r="N1346" s="246" t="e">
        <f t="shared" ref="N1346:N1409" si="150">DATEVALUE(LEFT(G1346,10))</f>
        <v>#VALUE!</v>
      </c>
      <c r="O1346" s="247" t="e">
        <f t="shared" ref="O1346:O1409" si="151">TIMEVALUE(MID(G1346,12,8))</f>
        <v>#VALUE!</v>
      </c>
      <c r="P1346" s="247">
        <f t="shared" ref="P1346:P1409" si="152">IFERROR(_xlfn.MINIFS($M:$M,$E:$E,$E1346,$K:$K,$K1346,$M:$M,"&gt;"&amp;$O1346),"")</f>
        <v>0</v>
      </c>
      <c r="Q1346" s="247" t="e">
        <f t="shared" ref="Q1346:Q1409" si="153">IF($P1346="","",$P1346-$O1346)</f>
        <v>#VALUE!</v>
      </c>
    </row>
    <row r="1347" spans="1:17" ht="15" customHeight="1" x14ac:dyDescent="0.25">
      <c r="A1347" s="244"/>
      <c r="B1347" s="244"/>
      <c r="C1347" s="244"/>
      <c r="D1347" s="244"/>
      <c r="E1347" s="244"/>
      <c r="F1347" s="244"/>
      <c r="G1347" s="244"/>
      <c r="I1347" s="244"/>
      <c r="J1347" s="244"/>
      <c r="K1347" s="246" t="e">
        <f t="shared" si="147"/>
        <v>#VALUE!</v>
      </c>
      <c r="L1347" s="246" t="e">
        <f t="shared" si="148"/>
        <v>#VALUE!</v>
      </c>
      <c r="M1347" s="247" t="e">
        <f t="shared" si="149"/>
        <v>#VALUE!</v>
      </c>
      <c r="N1347" s="246" t="e">
        <f t="shared" si="150"/>
        <v>#VALUE!</v>
      </c>
      <c r="O1347" s="247" t="e">
        <f t="shared" si="151"/>
        <v>#VALUE!</v>
      </c>
      <c r="P1347" s="247">
        <f t="shared" si="152"/>
        <v>0</v>
      </c>
      <c r="Q1347" s="247" t="e">
        <f t="shared" si="153"/>
        <v>#VALUE!</v>
      </c>
    </row>
    <row r="1348" spans="1:17" ht="15" customHeight="1" x14ac:dyDescent="0.25">
      <c r="A1348" s="244"/>
      <c r="B1348" s="244"/>
      <c r="C1348" s="244"/>
      <c r="D1348" s="244"/>
      <c r="E1348" s="244"/>
      <c r="F1348" s="244"/>
      <c r="G1348" s="244"/>
      <c r="I1348" s="244"/>
      <c r="J1348" s="244"/>
      <c r="K1348" s="246" t="e">
        <f t="shared" si="147"/>
        <v>#VALUE!</v>
      </c>
      <c r="L1348" s="246" t="e">
        <f t="shared" si="148"/>
        <v>#VALUE!</v>
      </c>
      <c r="M1348" s="247" t="e">
        <f t="shared" si="149"/>
        <v>#VALUE!</v>
      </c>
      <c r="N1348" s="246" t="e">
        <f t="shared" si="150"/>
        <v>#VALUE!</v>
      </c>
      <c r="O1348" s="247" t="e">
        <f t="shared" si="151"/>
        <v>#VALUE!</v>
      </c>
      <c r="P1348" s="247">
        <f t="shared" si="152"/>
        <v>0</v>
      </c>
      <c r="Q1348" s="247" t="e">
        <f t="shared" si="153"/>
        <v>#VALUE!</v>
      </c>
    </row>
    <row r="1349" spans="1:17" ht="15" customHeight="1" x14ac:dyDescent="0.25">
      <c r="A1349" s="244"/>
      <c r="B1349" s="244"/>
      <c r="C1349" s="244"/>
      <c r="D1349" s="244"/>
      <c r="E1349" s="244"/>
      <c r="F1349" s="244"/>
      <c r="G1349" s="244"/>
      <c r="I1349" s="244"/>
      <c r="J1349" s="244"/>
      <c r="K1349" s="246" t="e">
        <f t="shared" si="147"/>
        <v>#VALUE!</v>
      </c>
      <c r="L1349" s="246" t="e">
        <f t="shared" si="148"/>
        <v>#VALUE!</v>
      </c>
      <c r="M1349" s="247" t="e">
        <f t="shared" si="149"/>
        <v>#VALUE!</v>
      </c>
      <c r="N1349" s="246" t="e">
        <f t="shared" si="150"/>
        <v>#VALUE!</v>
      </c>
      <c r="O1349" s="247" t="e">
        <f t="shared" si="151"/>
        <v>#VALUE!</v>
      </c>
      <c r="P1349" s="247">
        <f t="shared" si="152"/>
        <v>0</v>
      </c>
      <c r="Q1349" s="247" t="e">
        <f t="shared" si="153"/>
        <v>#VALUE!</v>
      </c>
    </row>
    <row r="1350" spans="1:17" ht="15" customHeight="1" x14ac:dyDescent="0.25">
      <c r="A1350" s="244"/>
      <c r="B1350" s="244"/>
      <c r="C1350" s="244"/>
      <c r="D1350" s="244"/>
      <c r="E1350" s="244"/>
      <c r="F1350" s="244"/>
      <c r="G1350" s="244"/>
      <c r="I1350" s="244"/>
      <c r="J1350" s="244"/>
      <c r="K1350" s="246" t="e">
        <f t="shared" si="147"/>
        <v>#VALUE!</v>
      </c>
      <c r="L1350" s="246" t="e">
        <f t="shared" si="148"/>
        <v>#VALUE!</v>
      </c>
      <c r="M1350" s="247" t="e">
        <f t="shared" si="149"/>
        <v>#VALUE!</v>
      </c>
      <c r="N1350" s="246" t="e">
        <f t="shared" si="150"/>
        <v>#VALUE!</v>
      </c>
      <c r="O1350" s="247" t="e">
        <f t="shared" si="151"/>
        <v>#VALUE!</v>
      </c>
      <c r="P1350" s="247">
        <f t="shared" si="152"/>
        <v>0</v>
      </c>
      <c r="Q1350" s="247" t="e">
        <f t="shared" si="153"/>
        <v>#VALUE!</v>
      </c>
    </row>
    <row r="1351" spans="1:17" ht="15" customHeight="1" x14ac:dyDescent="0.25">
      <c r="A1351" s="244"/>
      <c r="B1351" s="244"/>
      <c r="C1351" s="244"/>
      <c r="D1351" s="244"/>
      <c r="E1351" s="244"/>
      <c r="F1351" s="244"/>
      <c r="G1351" s="244"/>
      <c r="I1351" s="244"/>
      <c r="J1351" s="244"/>
      <c r="K1351" s="246" t="e">
        <f t="shared" si="147"/>
        <v>#VALUE!</v>
      </c>
      <c r="L1351" s="246" t="e">
        <f t="shared" si="148"/>
        <v>#VALUE!</v>
      </c>
      <c r="M1351" s="247" t="e">
        <f t="shared" si="149"/>
        <v>#VALUE!</v>
      </c>
      <c r="N1351" s="246" t="e">
        <f t="shared" si="150"/>
        <v>#VALUE!</v>
      </c>
      <c r="O1351" s="247" t="e">
        <f t="shared" si="151"/>
        <v>#VALUE!</v>
      </c>
      <c r="P1351" s="247">
        <f t="shared" si="152"/>
        <v>0</v>
      </c>
      <c r="Q1351" s="247" t="e">
        <f t="shared" si="153"/>
        <v>#VALUE!</v>
      </c>
    </row>
    <row r="1352" spans="1:17" ht="15" customHeight="1" x14ac:dyDescent="0.25">
      <c r="A1352" s="244"/>
      <c r="B1352" s="244"/>
      <c r="C1352" s="244"/>
      <c r="D1352" s="244"/>
      <c r="E1352" s="244"/>
      <c r="F1352" s="244"/>
      <c r="G1352" s="244"/>
      <c r="I1352" s="244"/>
      <c r="J1352" s="244"/>
      <c r="K1352" s="246" t="e">
        <f t="shared" si="147"/>
        <v>#VALUE!</v>
      </c>
      <c r="L1352" s="246" t="e">
        <f t="shared" si="148"/>
        <v>#VALUE!</v>
      </c>
      <c r="M1352" s="247" t="e">
        <f t="shared" si="149"/>
        <v>#VALUE!</v>
      </c>
      <c r="N1352" s="246" t="e">
        <f t="shared" si="150"/>
        <v>#VALUE!</v>
      </c>
      <c r="O1352" s="247" t="e">
        <f t="shared" si="151"/>
        <v>#VALUE!</v>
      </c>
      <c r="P1352" s="247">
        <f t="shared" si="152"/>
        <v>0</v>
      </c>
      <c r="Q1352" s="247" t="e">
        <f t="shared" si="153"/>
        <v>#VALUE!</v>
      </c>
    </row>
    <row r="1353" spans="1:17" ht="15" customHeight="1" x14ac:dyDescent="0.25">
      <c r="A1353" s="244"/>
      <c r="B1353" s="244"/>
      <c r="C1353" s="244"/>
      <c r="D1353" s="244"/>
      <c r="E1353" s="244"/>
      <c r="F1353" s="244"/>
      <c r="G1353" s="244"/>
      <c r="I1353" s="244"/>
      <c r="J1353" s="244"/>
      <c r="K1353" s="246" t="e">
        <f t="shared" si="147"/>
        <v>#VALUE!</v>
      </c>
      <c r="L1353" s="246" t="e">
        <f t="shared" si="148"/>
        <v>#VALUE!</v>
      </c>
      <c r="M1353" s="247" t="e">
        <f t="shared" si="149"/>
        <v>#VALUE!</v>
      </c>
      <c r="N1353" s="246" t="e">
        <f t="shared" si="150"/>
        <v>#VALUE!</v>
      </c>
      <c r="O1353" s="247" t="e">
        <f t="shared" si="151"/>
        <v>#VALUE!</v>
      </c>
      <c r="P1353" s="247">
        <f t="shared" si="152"/>
        <v>0</v>
      </c>
      <c r="Q1353" s="247" t="e">
        <f t="shared" si="153"/>
        <v>#VALUE!</v>
      </c>
    </row>
    <row r="1354" spans="1:17" ht="15" customHeight="1" x14ac:dyDescent="0.25">
      <c r="A1354" s="244"/>
      <c r="B1354" s="244"/>
      <c r="C1354" s="244"/>
      <c r="D1354" s="244"/>
      <c r="E1354" s="244"/>
      <c r="F1354" s="244"/>
      <c r="G1354" s="244"/>
      <c r="I1354" s="244"/>
      <c r="J1354" s="244"/>
      <c r="K1354" s="246" t="e">
        <f t="shared" si="147"/>
        <v>#VALUE!</v>
      </c>
      <c r="L1354" s="246" t="e">
        <f t="shared" si="148"/>
        <v>#VALUE!</v>
      </c>
      <c r="M1354" s="247" t="e">
        <f t="shared" si="149"/>
        <v>#VALUE!</v>
      </c>
      <c r="N1354" s="246" t="e">
        <f t="shared" si="150"/>
        <v>#VALUE!</v>
      </c>
      <c r="O1354" s="247" t="e">
        <f t="shared" si="151"/>
        <v>#VALUE!</v>
      </c>
      <c r="P1354" s="247">
        <f t="shared" si="152"/>
        <v>0</v>
      </c>
      <c r="Q1354" s="247" t="e">
        <f t="shared" si="153"/>
        <v>#VALUE!</v>
      </c>
    </row>
    <row r="1355" spans="1:17" ht="15" customHeight="1" x14ac:dyDescent="0.25">
      <c r="A1355" s="244"/>
      <c r="B1355" s="244"/>
      <c r="C1355" s="244"/>
      <c r="D1355" s="244"/>
      <c r="E1355" s="244"/>
      <c r="F1355" s="244"/>
      <c r="G1355" s="244"/>
      <c r="I1355" s="244"/>
      <c r="J1355" s="244"/>
      <c r="K1355" s="246" t="e">
        <f t="shared" si="147"/>
        <v>#VALUE!</v>
      </c>
      <c r="L1355" s="246" t="e">
        <f t="shared" si="148"/>
        <v>#VALUE!</v>
      </c>
      <c r="M1355" s="247" t="e">
        <f t="shared" si="149"/>
        <v>#VALUE!</v>
      </c>
      <c r="N1355" s="246" t="e">
        <f t="shared" si="150"/>
        <v>#VALUE!</v>
      </c>
      <c r="O1355" s="247" t="e">
        <f t="shared" si="151"/>
        <v>#VALUE!</v>
      </c>
      <c r="P1355" s="247">
        <f t="shared" si="152"/>
        <v>0</v>
      </c>
      <c r="Q1355" s="247" t="e">
        <f t="shared" si="153"/>
        <v>#VALUE!</v>
      </c>
    </row>
    <row r="1356" spans="1:17" ht="15" customHeight="1" x14ac:dyDescent="0.25">
      <c r="A1356" s="244"/>
      <c r="B1356" s="244"/>
      <c r="C1356" s="244"/>
      <c r="D1356" s="244"/>
      <c r="E1356" s="244"/>
      <c r="F1356" s="244"/>
      <c r="G1356" s="244"/>
      <c r="I1356" s="244"/>
      <c r="J1356" s="244"/>
      <c r="K1356" s="246" t="e">
        <f t="shared" si="147"/>
        <v>#VALUE!</v>
      </c>
      <c r="L1356" s="246" t="e">
        <f t="shared" si="148"/>
        <v>#VALUE!</v>
      </c>
      <c r="M1356" s="247" t="e">
        <f t="shared" si="149"/>
        <v>#VALUE!</v>
      </c>
      <c r="N1356" s="246" t="e">
        <f t="shared" si="150"/>
        <v>#VALUE!</v>
      </c>
      <c r="O1356" s="247" t="e">
        <f t="shared" si="151"/>
        <v>#VALUE!</v>
      </c>
      <c r="P1356" s="247">
        <f t="shared" si="152"/>
        <v>0</v>
      </c>
      <c r="Q1356" s="247" t="e">
        <f t="shared" si="153"/>
        <v>#VALUE!</v>
      </c>
    </row>
    <row r="1357" spans="1:17" ht="15" customHeight="1" x14ac:dyDescent="0.25">
      <c r="A1357" s="244"/>
      <c r="B1357" s="244"/>
      <c r="C1357" s="244"/>
      <c r="D1357" s="244"/>
      <c r="E1357" s="244"/>
      <c r="F1357" s="244"/>
      <c r="G1357" s="244"/>
      <c r="I1357" s="244"/>
      <c r="J1357" s="244"/>
      <c r="K1357" s="246" t="e">
        <f t="shared" si="147"/>
        <v>#VALUE!</v>
      </c>
      <c r="L1357" s="246" t="e">
        <f t="shared" si="148"/>
        <v>#VALUE!</v>
      </c>
      <c r="M1357" s="247" t="e">
        <f t="shared" si="149"/>
        <v>#VALUE!</v>
      </c>
      <c r="N1357" s="246" t="e">
        <f t="shared" si="150"/>
        <v>#VALUE!</v>
      </c>
      <c r="O1357" s="247" t="e">
        <f t="shared" si="151"/>
        <v>#VALUE!</v>
      </c>
      <c r="P1357" s="247">
        <f t="shared" si="152"/>
        <v>0</v>
      </c>
      <c r="Q1357" s="247" t="e">
        <f t="shared" si="153"/>
        <v>#VALUE!</v>
      </c>
    </row>
    <row r="1358" spans="1:17" ht="15" customHeight="1" x14ac:dyDescent="0.25">
      <c r="A1358" s="244"/>
      <c r="B1358" s="244"/>
      <c r="C1358" s="244"/>
      <c r="D1358" s="244"/>
      <c r="E1358" s="244"/>
      <c r="F1358" s="244"/>
      <c r="G1358" s="244"/>
      <c r="I1358" s="244"/>
      <c r="J1358" s="244"/>
      <c r="K1358" s="246" t="e">
        <f t="shared" si="147"/>
        <v>#VALUE!</v>
      </c>
      <c r="L1358" s="246" t="e">
        <f t="shared" si="148"/>
        <v>#VALUE!</v>
      </c>
      <c r="M1358" s="247" t="e">
        <f t="shared" si="149"/>
        <v>#VALUE!</v>
      </c>
      <c r="N1358" s="246" t="e">
        <f t="shared" si="150"/>
        <v>#VALUE!</v>
      </c>
      <c r="O1358" s="247" t="e">
        <f t="shared" si="151"/>
        <v>#VALUE!</v>
      </c>
      <c r="P1358" s="247">
        <f t="shared" si="152"/>
        <v>0</v>
      </c>
      <c r="Q1358" s="247" t="e">
        <f t="shared" si="153"/>
        <v>#VALUE!</v>
      </c>
    </row>
    <row r="1359" spans="1:17" ht="15" customHeight="1" x14ac:dyDescent="0.25">
      <c r="A1359" s="244"/>
      <c r="B1359" s="244"/>
      <c r="C1359" s="244"/>
      <c r="D1359" s="244"/>
      <c r="E1359" s="244"/>
      <c r="F1359" s="244"/>
      <c r="G1359" s="244"/>
      <c r="I1359" s="244"/>
      <c r="J1359" s="244"/>
      <c r="K1359" s="246" t="e">
        <f t="shared" si="147"/>
        <v>#VALUE!</v>
      </c>
      <c r="L1359" s="246" t="e">
        <f t="shared" si="148"/>
        <v>#VALUE!</v>
      </c>
      <c r="M1359" s="247" t="e">
        <f t="shared" si="149"/>
        <v>#VALUE!</v>
      </c>
      <c r="N1359" s="246" t="e">
        <f t="shared" si="150"/>
        <v>#VALUE!</v>
      </c>
      <c r="O1359" s="247" t="e">
        <f t="shared" si="151"/>
        <v>#VALUE!</v>
      </c>
      <c r="P1359" s="247">
        <f t="shared" si="152"/>
        <v>0</v>
      </c>
      <c r="Q1359" s="247" t="e">
        <f t="shared" si="153"/>
        <v>#VALUE!</v>
      </c>
    </row>
    <row r="1360" spans="1:17" ht="15" customHeight="1" x14ac:dyDescent="0.25">
      <c r="A1360" s="244"/>
      <c r="B1360" s="244"/>
      <c r="C1360" s="244"/>
      <c r="D1360" s="244"/>
      <c r="E1360" s="244"/>
      <c r="F1360" s="244"/>
      <c r="G1360" s="244"/>
      <c r="I1360" s="244"/>
      <c r="J1360" s="244"/>
      <c r="K1360" s="246" t="e">
        <f t="shared" si="147"/>
        <v>#VALUE!</v>
      </c>
      <c r="L1360" s="246" t="e">
        <f t="shared" si="148"/>
        <v>#VALUE!</v>
      </c>
      <c r="M1360" s="247" t="e">
        <f t="shared" si="149"/>
        <v>#VALUE!</v>
      </c>
      <c r="N1360" s="246" t="e">
        <f t="shared" si="150"/>
        <v>#VALUE!</v>
      </c>
      <c r="O1360" s="247" t="e">
        <f t="shared" si="151"/>
        <v>#VALUE!</v>
      </c>
      <c r="P1360" s="247">
        <f t="shared" si="152"/>
        <v>0</v>
      </c>
      <c r="Q1360" s="247" t="e">
        <f t="shared" si="153"/>
        <v>#VALUE!</v>
      </c>
    </row>
    <row r="1361" spans="1:17" ht="15" customHeight="1" x14ac:dyDescent="0.25">
      <c r="A1361" s="244"/>
      <c r="B1361" s="244"/>
      <c r="C1361" s="244"/>
      <c r="D1361" s="244"/>
      <c r="E1361" s="244"/>
      <c r="F1361" s="244"/>
      <c r="G1361" s="244"/>
      <c r="I1361" s="244"/>
      <c r="J1361" s="244"/>
      <c r="K1361" s="246" t="e">
        <f t="shared" si="147"/>
        <v>#VALUE!</v>
      </c>
      <c r="L1361" s="246" t="e">
        <f t="shared" si="148"/>
        <v>#VALUE!</v>
      </c>
      <c r="M1361" s="247" t="e">
        <f t="shared" si="149"/>
        <v>#VALUE!</v>
      </c>
      <c r="N1361" s="246" t="e">
        <f t="shared" si="150"/>
        <v>#VALUE!</v>
      </c>
      <c r="O1361" s="247" t="e">
        <f t="shared" si="151"/>
        <v>#VALUE!</v>
      </c>
      <c r="P1361" s="247">
        <f t="shared" si="152"/>
        <v>0</v>
      </c>
      <c r="Q1361" s="247" t="e">
        <f t="shared" si="153"/>
        <v>#VALUE!</v>
      </c>
    </row>
    <row r="1362" spans="1:17" ht="15" customHeight="1" x14ac:dyDescent="0.25">
      <c r="A1362" s="244"/>
      <c r="B1362" s="244"/>
      <c r="C1362" s="244"/>
      <c r="D1362" s="244"/>
      <c r="E1362" s="244"/>
      <c r="F1362" s="244"/>
      <c r="G1362" s="244"/>
      <c r="I1362" s="244"/>
      <c r="J1362" s="244"/>
      <c r="K1362" s="246" t="e">
        <f t="shared" si="147"/>
        <v>#VALUE!</v>
      </c>
      <c r="L1362" s="246" t="e">
        <f t="shared" si="148"/>
        <v>#VALUE!</v>
      </c>
      <c r="M1362" s="247" t="e">
        <f t="shared" si="149"/>
        <v>#VALUE!</v>
      </c>
      <c r="N1362" s="246" t="e">
        <f t="shared" si="150"/>
        <v>#VALUE!</v>
      </c>
      <c r="O1362" s="247" t="e">
        <f t="shared" si="151"/>
        <v>#VALUE!</v>
      </c>
      <c r="P1362" s="247">
        <f t="shared" si="152"/>
        <v>0</v>
      </c>
      <c r="Q1362" s="247" t="e">
        <f t="shared" si="153"/>
        <v>#VALUE!</v>
      </c>
    </row>
    <row r="1363" spans="1:17" ht="15" customHeight="1" x14ac:dyDescent="0.25">
      <c r="A1363" s="244"/>
      <c r="B1363" s="244"/>
      <c r="C1363" s="244"/>
      <c r="D1363" s="244"/>
      <c r="E1363" s="244"/>
      <c r="F1363" s="244"/>
      <c r="G1363" s="244"/>
      <c r="I1363" s="244"/>
      <c r="J1363" s="244"/>
      <c r="K1363" s="246" t="e">
        <f t="shared" si="147"/>
        <v>#VALUE!</v>
      </c>
      <c r="L1363" s="246" t="e">
        <f t="shared" si="148"/>
        <v>#VALUE!</v>
      </c>
      <c r="M1363" s="247" t="e">
        <f t="shared" si="149"/>
        <v>#VALUE!</v>
      </c>
      <c r="N1363" s="246" t="e">
        <f t="shared" si="150"/>
        <v>#VALUE!</v>
      </c>
      <c r="O1363" s="247" t="e">
        <f t="shared" si="151"/>
        <v>#VALUE!</v>
      </c>
      <c r="P1363" s="247">
        <f t="shared" si="152"/>
        <v>0</v>
      </c>
      <c r="Q1363" s="247" t="e">
        <f t="shared" si="153"/>
        <v>#VALUE!</v>
      </c>
    </row>
    <row r="1364" spans="1:17" ht="15" customHeight="1" x14ac:dyDescent="0.25">
      <c r="A1364" s="244"/>
      <c r="B1364" s="244"/>
      <c r="C1364" s="244"/>
      <c r="D1364" s="244"/>
      <c r="E1364" s="244"/>
      <c r="F1364" s="244"/>
      <c r="G1364" s="244"/>
      <c r="I1364" s="244"/>
      <c r="J1364" s="244"/>
      <c r="K1364" s="246" t="e">
        <f t="shared" si="147"/>
        <v>#VALUE!</v>
      </c>
      <c r="L1364" s="246" t="e">
        <f t="shared" si="148"/>
        <v>#VALUE!</v>
      </c>
      <c r="M1364" s="247" t="e">
        <f t="shared" si="149"/>
        <v>#VALUE!</v>
      </c>
      <c r="N1364" s="246" t="e">
        <f t="shared" si="150"/>
        <v>#VALUE!</v>
      </c>
      <c r="O1364" s="247" t="e">
        <f t="shared" si="151"/>
        <v>#VALUE!</v>
      </c>
      <c r="P1364" s="247">
        <f t="shared" si="152"/>
        <v>0</v>
      </c>
      <c r="Q1364" s="247" t="e">
        <f t="shared" si="153"/>
        <v>#VALUE!</v>
      </c>
    </row>
    <row r="1365" spans="1:17" ht="15" customHeight="1" x14ac:dyDescent="0.25">
      <c r="A1365" s="244"/>
      <c r="B1365" s="244"/>
      <c r="C1365" s="244"/>
      <c r="D1365" s="244"/>
      <c r="E1365" s="244"/>
      <c r="F1365" s="244"/>
      <c r="G1365" s="244"/>
      <c r="I1365" s="244"/>
      <c r="J1365" s="244"/>
      <c r="K1365" s="246" t="e">
        <f t="shared" si="147"/>
        <v>#VALUE!</v>
      </c>
      <c r="L1365" s="246" t="e">
        <f t="shared" si="148"/>
        <v>#VALUE!</v>
      </c>
      <c r="M1365" s="247" t="e">
        <f t="shared" si="149"/>
        <v>#VALUE!</v>
      </c>
      <c r="N1365" s="246" t="e">
        <f t="shared" si="150"/>
        <v>#VALUE!</v>
      </c>
      <c r="O1365" s="247" t="e">
        <f t="shared" si="151"/>
        <v>#VALUE!</v>
      </c>
      <c r="P1365" s="247">
        <f t="shared" si="152"/>
        <v>0</v>
      </c>
      <c r="Q1365" s="247" t="e">
        <f t="shared" si="153"/>
        <v>#VALUE!</v>
      </c>
    </row>
    <row r="1366" spans="1:17" ht="15" customHeight="1" x14ac:dyDescent="0.25">
      <c r="A1366" s="244"/>
      <c r="B1366" s="244"/>
      <c r="C1366" s="244"/>
      <c r="D1366" s="244"/>
      <c r="E1366" s="244"/>
      <c r="F1366" s="244"/>
      <c r="G1366" s="244"/>
      <c r="I1366" s="244"/>
      <c r="J1366" s="244"/>
      <c r="K1366" s="246" t="e">
        <f t="shared" si="147"/>
        <v>#VALUE!</v>
      </c>
      <c r="L1366" s="246" t="e">
        <f t="shared" si="148"/>
        <v>#VALUE!</v>
      </c>
      <c r="M1366" s="247" t="e">
        <f t="shared" si="149"/>
        <v>#VALUE!</v>
      </c>
      <c r="N1366" s="246" t="e">
        <f t="shared" si="150"/>
        <v>#VALUE!</v>
      </c>
      <c r="O1366" s="247" t="e">
        <f t="shared" si="151"/>
        <v>#VALUE!</v>
      </c>
      <c r="P1366" s="247">
        <f t="shared" si="152"/>
        <v>0</v>
      </c>
      <c r="Q1366" s="247" t="e">
        <f t="shared" si="153"/>
        <v>#VALUE!</v>
      </c>
    </row>
    <row r="1367" spans="1:17" ht="15" customHeight="1" x14ac:dyDescent="0.25">
      <c r="A1367" s="244"/>
      <c r="B1367" s="244"/>
      <c r="C1367" s="244"/>
      <c r="D1367" s="244"/>
      <c r="E1367" s="244"/>
      <c r="F1367" s="244"/>
      <c r="G1367" s="244"/>
      <c r="I1367" s="244"/>
      <c r="J1367" s="244"/>
      <c r="K1367" s="246" t="e">
        <f t="shared" si="147"/>
        <v>#VALUE!</v>
      </c>
      <c r="L1367" s="246" t="e">
        <f t="shared" si="148"/>
        <v>#VALUE!</v>
      </c>
      <c r="M1367" s="247" t="e">
        <f t="shared" si="149"/>
        <v>#VALUE!</v>
      </c>
      <c r="N1367" s="246" t="e">
        <f t="shared" si="150"/>
        <v>#VALUE!</v>
      </c>
      <c r="O1367" s="247" t="e">
        <f t="shared" si="151"/>
        <v>#VALUE!</v>
      </c>
      <c r="P1367" s="247">
        <f t="shared" si="152"/>
        <v>0</v>
      </c>
      <c r="Q1367" s="247" t="e">
        <f t="shared" si="153"/>
        <v>#VALUE!</v>
      </c>
    </row>
    <row r="1368" spans="1:17" ht="15" customHeight="1" x14ac:dyDescent="0.25">
      <c r="A1368" s="244"/>
      <c r="B1368" s="244"/>
      <c r="C1368" s="244"/>
      <c r="D1368" s="244"/>
      <c r="E1368" s="244"/>
      <c r="F1368" s="244"/>
      <c r="G1368" s="244"/>
      <c r="I1368" s="244"/>
      <c r="J1368" s="244"/>
      <c r="K1368" s="246" t="e">
        <f t="shared" si="147"/>
        <v>#VALUE!</v>
      </c>
      <c r="L1368" s="246" t="e">
        <f t="shared" si="148"/>
        <v>#VALUE!</v>
      </c>
      <c r="M1368" s="247" t="e">
        <f t="shared" si="149"/>
        <v>#VALUE!</v>
      </c>
      <c r="N1368" s="246" t="e">
        <f t="shared" si="150"/>
        <v>#VALUE!</v>
      </c>
      <c r="O1368" s="247" t="e">
        <f t="shared" si="151"/>
        <v>#VALUE!</v>
      </c>
      <c r="P1368" s="247">
        <f t="shared" si="152"/>
        <v>0</v>
      </c>
      <c r="Q1368" s="247" t="e">
        <f t="shared" si="153"/>
        <v>#VALUE!</v>
      </c>
    </row>
    <row r="1369" spans="1:17" ht="15" customHeight="1" x14ac:dyDescent="0.25">
      <c r="A1369" s="244"/>
      <c r="B1369" s="244"/>
      <c r="C1369" s="244"/>
      <c r="D1369" s="244"/>
      <c r="E1369" s="244"/>
      <c r="F1369" s="244"/>
      <c r="G1369" s="244"/>
      <c r="I1369" s="244"/>
      <c r="J1369" s="244"/>
      <c r="K1369" s="246" t="e">
        <f t="shared" si="147"/>
        <v>#VALUE!</v>
      </c>
      <c r="L1369" s="246" t="e">
        <f t="shared" si="148"/>
        <v>#VALUE!</v>
      </c>
      <c r="M1369" s="247" t="e">
        <f t="shared" si="149"/>
        <v>#VALUE!</v>
      </c>
      <c r="N1369" s="246" t="e">
        <f t="shared" si="150"/>
        <v>#VALUE!</v>
      </c>
      <c r="O1369" s="247" t="e">
        <f t="shared" si="151"/>
        <v>#VALUE!</v>
      </c>
      <c r="P1369" s="247">
        <f t="shared" si="152"/>
        <v>0</v>
      </c>
      <c r="Q1369" s="247" t="e">
        <f t="shared" si="153"/>
        <v>#VALUE!</v>
      </c>
    </row>
    <row r="1370" spans="1:17" ht="15" customHeight="1" x14ac:dyDescent="0.25">
      <c r="A1370" s="244"/>
      <c r="B1370" s="244"/>
      <c r="C1370" s="244"/>
      <c r="D1370" s="244"/>
      <c r="E1370" s="244"/>
      <c r="F1370" s="244"/>
      <c r="G1370" s="244"/>
      <c r="I1370" s="244"/>
      <c r="J1370" s="244"/>
      <c r="K1370" s="246" t="e">
        <f t="shared" si="147"/>
        <v>#VALUE!</v>
      </c>
      <c r="L1370" s="246" t="e">
        <f t="shared" si="148"/>
        <v>#VALUE!</v>
      </c>
      <c r="M1370" s="247" t="e">
        <f t="shared" si="149"/>
        <v>#VALUE!</v>
      </c>
      <c r="N1370" s="246" t="e">
        <f t="shared" si="150"/>
        <v>#VALUE!</v>
      </c>
      <c r="O1370" s="247" t="e">
        <f t="shared" si="151"/>
        <v>#VALUE!</v>
      </c>
      <c r="P1370" s="247">
        <f t="shared" si="152"/>
        <v>0</v>
      </c>
      <c r="Q1370" s="247" t="e">
        <f t="shared" si="153"/>
        <v>#VALUE!</v>
      </c>
    </row>
    <row r="1371" spans="1:17" ht="15" customHeight="1" x14ac:dyDescent="0.25">
      <c r="A1371" s="244"/>
      <c r="B1371" s="244"/>
      <c r="C1371" s="244"/>
      <c r="D1371" s="244"/>
      <c r="E1371" s="244"/>
      <c r="F1371" s="244"/>
      <c r="G1371" s="244"/>
      <c r="I1371" s="244"/>
      <c r="J1371" s="244"/>
      <c r="K1371" s="246" t="e">
        <f t="shared" si="147"/>
        <v>#VALUE!</v>
      </c>
      <c r="L1371" s="246" t="e">
        <f t="shared" si="148"/>
        <v>#VALUE!</v>
      </c>
      <c r="M1371" s="247" t="e">
        <f t="shared" si="149"/>
        <v>#VALUE!</v>
      </c>
      <c r="N1371" s="246" t="e">
        <f t="shared" si="150"/>
        <v>#VALUE!</v>
      </c>
      <c r="O1371" s="247" t="e">
        <f t="shared" si="151"/>
        <v>#VALUE!</v>
      </c>
      <c r="P1371" s="247">
        <f t="shared" si="152"/>
        <v>0</v>
      </c>
      <c r="Q1371" s="247" t="e">
        <f t="shared" si="153"/>
        <v>#VALUE!</v>
      </c>
    </row>
    <row r="1372" spans="1:17" ht="15" customHeight="1" x14ac:dyDescent="0.25">
      <c r="A1372" s="244"/>
      <c r="B1372" s="244"/>
      <c r="C1372" s="244"/>
      <c r="D1372" s="244"/>
      <c r="E1372" s="244"/>
      <c r="F1372" s="244"/>
      <c r="G1372" s="244"/>
      <c r="I1372" s="244"/>
      <c r="J1372" s="244"/>
      <c r="K1372" s="246" t="e">
        <f t="shared" si="147"/>
        <v>#VALUE!</v>
      </c>
      <c r="L1372" s="246" t="e">
        <f t="shared" si="148"/>
        <v>#VALUE!</v>
      </c>
      <c r="M1372" s="247" t="e">
        <f t="shared" si="149"/>
        <v>#VALUE!</v>
      </c>
      <c r="N1372" s="246" t="e">
        <f t="shared" si="150"/>
        <v>#VALUE!</v>
      </c>
      <c r="O1372" s="247" t="e">
        <f t="shared" si="151"/>
        <v>#VALUE!</v>
      </c>
      <c r="P1372" s="247">
        <f t="shared" si="152"/>
        <v>0</v>
      </c>
      <c r="Q1372" s="247" t="e">
        <f t="shared" si="153"/>
        <v>#VALUE!</v>
      </c>
    </row>
    <row r="1373" spans="1:17" ht="15" customHeight="1" x14ac:dyDescent="0.25">
      <c r="A1373" s="244"/>
      <c r="B1373" s="244"/>
      <c r="C1373" s="244"/>
      <c r="D1373" s="244"/>
      <c r="E1373" s="244"/>
      <c r="F1373" s="244"/>
      <c r="G1373" s="244"/>
      <c r="I1373" s="244"/>
      <c r="J1373" s="244"/>
      <c r="K1373" s="246" t="e">
        <f t="shared" si="147"/>
        <v>#VALUE!</v>
      </c>
      <c r="L1373" s="246" t="e">
        <f t="shared" si="148"/>
        <v>#VALUE!</v>
      </c>
      <c r="M1373" s="247" t="e">
        <f t="shared" si="149"/>
        <v>#VALUE!</v>
      </c>
      <c r="N1373" s="246" t="e">
        <f t="shared" si="150"/>
        <v>#VALUE!</v>
      </c>
      <c r="O1373" s="247" t="e">
        <f t="shared" si="151"/>
        <v>#VALUE!</v>
      </c>
      <c r="P1373" s="247">
        <f t="shared" si="152"/>
        <v>0</v>
      </c>
      <c r="Q1373" s="247" t="e">
        <f t="shared" si="153"/>
        <v>#VALUE!</v>
      </c>
    </row>
    <row r="1374" spans="1:17" ht="15" customHeight="1" x14ac:dyDescent="0.25">
      <c r="A1374" s="244"/>
      <c r="B1374" s="244"/>
      <c r="C1374" s="244"/>
      <c r="D1374" s="244"/>
      <c r="E1374" s="244"/>
      <c r="F1374" s="244"/>
      <c r="G1374" s="244"/>
      <c r="I1374" s="244"/>
      <c r="J1374" s="244"/>
      <c r="K1374" s="246" t="e">
        <f t="shared" si="147"/>
        <v>#VALUE!</v>
      </c>
      <c r="L1374" s="246" t="e">
        <f t="shared" si="148"/>
        <v>#VALUE!</v>
      </c>
      <c r="M1374" s="247" t="e">
        <f t="shared" si="149"/>
        <v>#VALUE!</v>
      </c>
      <c r="N1374" s="246" t="e">
        <f t="shared" si="150"/>
        <v>#VALUE!</v>
      </c>
      <c r="O1374" s="247" t="e">
        <f t="shared" si="151"/>
        <v>#VALUE!</v>
      </c>
      <c r="P1374" s="247">
        <f t="shared" si="152"/>
        <v>0</v>
      </c>
      <c r="Q1374" s="247" t="e">
        <f t="shared" si="153"/>
        <v>#VALUE!</v>
      </c>
    </row>
    <row r="1375" spans="1:17" ht="15" customHeight="1" x14ac:dyDescent="0.25">
      <c r="A1375" s="244"/>
      <c r="B1375" s="244"/>
      <c r="C1375" s="244"/>
      <c r="D1375" s="244"/>
      <c r="E1375" s="244"/>
      <c r="F1375" s="244"/>
      <c r="G1375" s="244"/>
      <c r="I1375" s="244"/>
      <c r="J1375" s="244"/>
      <c r="K1375" s="246" t="e">
        <f t="shared" si="147"/>
        <v>#VALUE!</v>
      </c>
      <c r="L1375" s="246" t="e">
        <f t="shared" si="148"/>
        <v>#VALUE!</v>
      </c>
      <c r="M1375" s="247" t="e">
        <f t="shared" si="149"/>
        <v>#VALUE!</v>
      </c>
      <c r="N1375" s="246" t="e">
        <f t="shared" si="150"/>
        <v>#VALUE!</v>
      </c>
      <c r="O1375" s="247" t="e">
        <f t="shared" si="151"/>
        <v>#VALUE!</v>
      </c>
      <c r="P1375" s="247">
        <f t="shared" si="152"/>
        <v>0</v>
      </c>
      <c r="Q1375" s="247" t="e">
        <f t="shared" si="153"/>
        <v>#VALUE!</v>
      </c>
    </row>
    <row r="1376" spans="1:17" ht="15" customHeight="1" x14ac:dyDescent="0.25">
      <c r="A1376" s="244"/>
      <c r="B1376" s="244"/>
      <c r="C1376" s="244"/>
      <c r="D1376" s="244"/>
      <c r="E1376" s="244"/>
      <c r="F1376" s="244"/>
      <c r="G1376" s="244"/>
      <c r="I1376" s="244"/>
      <c r="J1376" s="244"/>
      <c r="K1376" s="246" t="e">
        <f t="shared" si="147"/>
        <v>#VALUE!</v>
      </c>
      <c r="L1376" s="246" t="e">
        <f t="shared" si="148"/>
        <v>#VALUE!</v>
      </c>
      <c r="M1376" s="247" t="e">
        <f t="shared" si="149"/>
        <v>#VALUE!</v>
      </c>
      <c r="N1376" s="246" t="e">
        <f t="shared" si="150"/>
        <v>#VALUE!</v>
      </c>
      <c r="O1376" s="247" t="e">
        <f t="shared" si="151"/>
        <v>#VALUE!</v>
      </c>
      <c r="P1376" s="247">
        <f t="shared" si="152"/>
        <v>0</v>
      </c>
      <c r="Q1376" s="247" t="e">
        <f t="shared" si="153"/>
        <v>#VALUE!</v>
      </c>
    </row>
    <row r="1377" spans="1:17" ht="15" customHeight="1" x14ac:dyDescent="0.25">
      <c r="A1377" s="244"/>
      <c r="B1377" s="244"/>
      <c r="C1377" s="244"/>
      <c r="D1377" s="244"/>
      <c r="E1377" s="244"/>
      <c r="F1377" s="244"/>
      <c r="G1377" s="244"/>
      <c r="I1377" s="244"/>
      <c r="J1377" s="244"/>
      <c r="K1377" s="246" t="e">
        <f t="shared" si="147"/>
        <v>#VALUE!</v>
      </c>
      <c r="L1377" s="246" t="e">
        <f t="shared" si="148"/>
        <v>#VALUE!</v>
      </c>
      <c r="M1377" s="247" t="e">
        <f t="shared" si="149"/>
        <v>#VALUE!</v>
      </c>
      <c r="N1377" s="246" t="e">
        <f t="shared" si="150"/>
        <v>#VALUE!</v>
      </c>
      <c r="O1377" s="247" t="e">
        <f t="shared" si="151"/>
        <v>#VALUE!</v>
      </c>
      <c r="P1377" s="247">
        <f t="shared" si="152"/>
        <v>0</v>
      </c>
      <c r="Q1377" s="247" t="e">
        <f t="shared" si="153"/>
        <v>#VALUE!</v>
      </c>
    </row>
    <row r="1378" spans="1:17" ht="15" customHeight="1" x14ac:dyDescent="0.25">
      <c r="A1378" s="244"/>
      <c r="B1378" s="244"/>
      <c r="C1378" s="244"/>
      <c r="D1378" s="244"/>
      <c r="E1378" s="244"/>
      <c r="F1378" s="244"/>
      <c r="G1378" s="244"/>
      <c r="I1378" s="244"/>
      <c r="J1378" s="244"/>
      <c r="K1378" s="246" t="e">
        <f t="shared" si="147"/>
        <v>#VALUE!</v>
      </c>
      <c r="L1378" s="246" t="e">
        <f t="shared" si="148"/>
        <v>#VALUE!</v>
      </c>
      <c r="M1378" s="247" t="e">
        <f t="shared" si="149"/>
        <v>#VALUE!</v>
      </c>
      <c r="N1378" s="246" t="e">
        <f t="shared" si="150"/>
        <v>#VALUE!</v>
      </c>
      <c r="O1378" s="247" t="e">
        <f t="shared" si="151"/>
        <v>#VALUE!</v>
      </c>
      <c r="P1378" s="247">
        <f t="shared" si="152"/>
        <v>0</v>
      </c>
      <c r="Q1378" s="247" t="e">
        <f t="shared" si="153"/>
        <v>#VALUE!</v>
      </c>
    </row>
    <row r="1379" spans="1:17" ht="15" customHeight="1" x14ac:dyDescent="0.25">
      <c r="A1379" s="244"/>
      <c r="B1379" s="244"/>
      <c r="C1379" s="244"/>
      <c r="D1379" s="244"/>
      <c r="E1379" s="244"/>
      <c r="F1379" s="244"/>
      <c r="G1379" s="244"/>
      <c r="I1379" s="244"/>
      <c r="J1379" s="244"/>
      <c r="K1379" s="246" t="e">
        <f t="shared" si="147"/>
        <v>#VALUE!</v>
      </c>
      <c r="L1379" s="246" t="e">
        <f t="shared" si="148"/>
        <v>#VALUE!</v>
      </c>
      <c r="M1379" s="247" t="e">
        <f t="shared" si="149"/>
        <v>#VALUE!</v>
      </c>
      <c r="N1379" s="246" t="e">
        <f t="shared" si="150"/>
        <v>#VALUE!</v>
      </c>
      <c r="O1379" s="247" t="e">
        <f t="shared" si="151"/>
        <v>#VALUE!</v>
      </c>
      <c r="P1379" s="247">
        <f t="shared" si="152"/>
        <v>0</v>
      </c>
      <c r="Q1379" s="247" t="e">
        <f t="shared" si="153"/>
        <v>#VALUE!</v>
      </c>
    </row>
    <row r="1380" spans="1:17" ht="15" customHeight="1" x14ac:dyDescent="0.25">
      <c r="A1380" s="244"/>
      <c r="B1380" s="244"/>
      <c r="C1380" s="244"/>
      <c r="D1380" s="244"/>
      <c r="E1380" s="244"/>
      <c r="F1380" s="244"/>
      <c r="G1380" s="244"/>
      <c r="I1380" s="244"/>
      <c r="J1380" s="244"/>
      <c r="K1380" s="246" t="e">
        <f t="shared" si="147"/>
        <v>#VALUE!</v>
      </c>
      <c r="L1380" s="246" t="e">
        <f t="shared" si="148"/>
        <v>#VALUE!</v>
      </c>
      <c r="M1380" s="247" t="e">
        <f t="shared" si="149"/>
        <v>#VALUE!</v>
      </c>
      <c r="N1380" s="246" t="e">
        <f t="shared" si="150"/>
        <v>#VALUE!</v>
      </c>
      <c r="O1380" s="247" t="e">
        <f t="shared" si="151"/>
        <v>#VALUE!</v>
      </c>
      <c r="P1380" s="247">
        <f t="shared" si="152"/>
        <v>0</v>
      </c>
      <c r="Q1380" s="247" t="e">
        <f t="shared" si="153"/>
        <v>#VALUE!</v>
      </c>
    </row>
    <row r="1381" spans="1:17" ht="15" customHeight="1" x14ac:dyDescent="0.25">
      <c r="A1381" s="244"/>
      <c r="B1381" s="244"/>
      <c r="C1381" s="244"/>
      <c r="D1381" s="244"/>
      <c r="E1381" s="244"/>
      <c r="F1381" s="244"/>
      <c r="G1381" s="244"/>
      <c r="I1381" s="244"/>
      <c r="J1381" s="244"/>
      <c r="K1381" s="246" t="e">
        <f t="shared" si="147"/>
        <v>#VALUE!</v>
      </c>
      <c r="L1381" s="246" t="e">
        <f t="shared" si="148"/>
        <v>#VALUE!</v>
      </c>
      <c r="M1381" s="247" t="e">
        <f t="shared" si="149"/>
        <v>#VALUE!</v>
      </c>
      <c r="N1381" s="246" t="e">
        <f t="shared" si="150"/>
        <v>#VALUE!</v>
      </c>
      <c r="O1381" s="247" t="e">
        <f t="shared" si="151"/>
        <v>#VALUE!</v>
      </c>
      <c r="P1381" s="247">
        <f t="shared" si="152"/>
        <v>0</v>
      </c>
      <c r="Q1381" s="247" t="e">
        <f t="shared" si="153"/>
        <v>#VALUE!</v>
      </c>
    </row>
    <row r="1382" spans="1:17" ht="15" customHeight="1" x14ac:dyDescent="0.25">
      <c r="A1382" s="244"/>
      <c r="B1382" s="244"/>
      <c r="C1382" s="244"/>
      <c r="D1382" s="244"/>
      <c r="E1382" s="244"/>
      <c r="F1382" s="244"/>
      <c r="G1382" s="244"/>
      <c r="I1382" s="244"/>
      <c r="J1382" s="244"/>
      <c r="K1382" s="246" t="e">
        <f t="shared" si="147"/>
        <v>#VALUE!</v>
      </c>
      <c r="L1382" s="246" t="e">
        <f t="shared" si="148"/>
        <v>#VALUE!</v>
      </c>
      <c r="M1382" s="247" t="e">
        <f t="shared" si="149"/>
        <v>#VALUE!</v>
      </c>
      <c r="N1382" s="246" t="e">
        <f t="shared" si="150"/>
        <v>#VALUE!</v>
      </c>
      <c r="O1382" s="247" t="e">
        <f t="shared" si="151"/>
        <v>#VALUE!</v>
      </c>
      <c r="P1382" s="247">
        <f t="shared" si="152"/>
        <v>0</v>
      </c>
      <c r="Q1382" s="247" t="e">
        <f t="shared" si="153"/>
        <v>#VALUE!</v>
      </c>
    </row>
    <row r="1383" spans="1:17" ht="15" customHeight="1" x14ac:dyDescent="0.25">
      <c r="A1383" s="244"/>
      <c r="B1383" s="244"/>
      <c r="C1383" s="244"/>
      <c r="D1383" s="244"/>
      <c r="E1383" s="244"/>
      <c r="F1383" s="244"/>
      <c r="G1383" s="244"/>
      <c r="I1383" s="244"/>
      <c r="J1383" s="244"/>
      <c r="K1383" s="246" t="e">
        <f t="shared" si="147"/>
        <v>#VALUE!</v>
      </c>
      <c r="L1383" s="246" t="e">
        <f t="shared" si="148"/>
        <v>#VALUE!</v>
      </c>
      <c r="M1383" s="247" t="e">
        <f t="shared" si="149"/>
        <v>#VALUE!</v>
      </c>
      <c r="N1383" s="246" t="e">
        <f t="shared" si="150"/>
        <v>#VALUE!</v>
      </c>
      <c r="O1383" s="247" t="e">
        <f t="shared" si="151"/>
        <v>#VALUE!</v>
      </c>
      <c r="P1383" s="247">
        <f t="shared" si="152"/>
        <v>0</v>
      </c>
      <c r="Q1383" s="247" t="e">
        <f t="shared" si="153"/>
        <v>#VALUE!</v>
      </c>
    </row>
    <row r="1384" spans="1:17" ht="15" customHeight="1" x14ac:dyDescent="0.25">
      <c r="A1384" s="244"/>
      <c r="B1384" s="244"/>
      <c r="C1384" s="244"/>
      <c r="D1384" s="244"/>
      <c r="E1384" s="244"/>
      <c r="F1384" s="244"/>
      <c r="G1384" s="244"/>
      <c r="I1384" s="244"/>
      <c r="J1384" s="244"/>
      <c r="K1384" s="246" t="e">
        <f t="shared" si="147"/>
        <v>#VALUE!</v>
      </c>
      <c r="L1384" s="246" t="e">
        <f t="shared" si="148"/>
        <v>#VALUE!</v>
      </c>
      <c r="M1384" s="247" t="e">
        <f t="shared" si="149"/>
        <v>#VALUE!</v>
      </c>
      <c r="N1384" s="246" t="e">
        <f t="shared" si="150"/>
        <v>#VALUE!</v>
      </c>
      <c r="O1384" s="247" t="e">
        <f t="shared" si="151"/>
        <v>#VALUE!</v>
      </c>
      <c r="P1384" s="247">
        <f t="shared" si="152"/>
        <v>0</v>
      </c>
      <c r="Q1384" s="247" t="e">
        <f t="shared" si="153"/>
        <v>#VALUE!</v>
      </c>
    </row>
    <row r="1385" spans="1:17" ht="15" customHeight="1" x14ac:dyDescent="0.25">
      <c r="A1385" s="244"/>
      <c r="B1385" s="244"/>
      <c r="C1385" s="244"/>
      <c r="D1385" s="244"/>
      <c r="E1385" s="244"/>
      <c r="F1385" s="244"/>
      <c r="G1385" s="244"/>
      <c r="I1385" s="244"/>
      <c r="J1385" s="244"/>
      <c r="K1385" s="246" t="e">
        <f t="shared" si="147"/>
        <v>#VALUE!</v>
      </c>
      <c r="L1385" s="246" t="e">
        <f t="shared" si="148"/>
        <v>#VALUE!</v>
      </c>
      <c r="M1385" s="247" t="e">
        <f t="shared" si="149"/>
        <v>#VALUE!</v>
      </c>
      <c r="N1385" s="246" t="e">
        <f t="shared" si="150"/>
        <v>#VALUE!</v>
      </c>
      <c r="O1385" s="247" t="e">
        <f t="shared" si="151"/>
        <v>#VALUE!</v>
      </c>
      <c r="P1385" s="247">
        <f t="shared" si="152"/>
        <v>0</v>
      </c>
      <c r="Q1385" s="247" t="e">
        <f t="shared" si="153"/>
        <v>#VALUE!</v>
      </c>
    </row>
    <row r="1386" spans="1:17" ht="15" customHeight="1" x14ac:dyDescent="0.25">
      <c r="A1386" s="244"/>
      <c r="B1386" s="244"/>
      <c r="C1386" s="244"/>
      <c r="D1386" s="244"/>
      <c r="E1386" s="244"/>
      <c r="F1386" s="244"/>
      <c r="G1386" s="244"/>
      <c r="I1386" s="244"/>
      <c r="J1386" s="244"/>
      <c r="K1386" s="246" t="e">
        <f t="shared" si="147"/>
        <v>#VALUE!</v>
      </c>
      <c r="L1386" s="246" t="e">
        <f t="shared" si="148"/>
        <v>#VALUE!</v>
      </c>
      <c r="M1386" s="247" t="e">
        <f t="shared" si="149"/>
        <v>#VALUE!</v>
      </c>
      <c r="N1386" s="246" t="e">
        <f t="shared" si="150"/>
        <v>#VALUE!</v>
      </c>
      <c r="O1386" s="247" t="e">
        <f t="shared" si="151"/>
        <v>#VALUE!</v>
      </c>
      <c r="P1386" s="247">
        <f t="shared" si="152"/>
        <v>0</v>
      </c>
      <c r="Q1386" s="247" t="e">
        <f t="shared" si="153"/>
        <v>#VALUE!</v>
      </c>
    </row>
    <row r="1387" spans="1:17" ht="15" customHeight="1" x14ac:dyDescent="0.25">
      <c r="A1387" s="244"/>
      <c r="B1387" s="244"/>
      <c r="C1387" s="244"/>
      <c r="D1387" s="244"/>
      <c r="E1387" s="244"/>
      <c r="F1387" s="244"/>
      <c r="G1387" s="244"/>
      <c r="I1387" s="244"/>
      <c r="J1387" s="244"/>
      <c r="K1387" s="246" t="e">
        <f t="shared" si="147"/>
        <v>#VALUE!</v>
      </c>
      <c r="L1387" s="246" t="e">
        <f t="shared" si="148"/>
        <v>#VALUE!</v>
      </c>
      <c r="M1387" s="247" t="e">
        <f t="shared" si="149"/>
        <v>#VALUE!</v>
      </c>
      <c r="N1387" s="246" t="e">
        <f t="shared" si="150"/>
        <v>#VALUE!</v>
      </c>
      <c r="O1387" s="247" t="e">
        <f t="shared" si="151"/>
        <v>#VALUE!</v>
      </c>
      <c r="P1387" s="247">
        <f t="shared" si="152"/>
        <v>0</v>
      </c>
      <c r="Q1387" s="247" t="e">
        <f t="shared" si="153"/>
        <v>#VALUE!</v>
      </c>
    </row>
    <row r="1388" spans="1:17" ht="15" customHeight="1" x14ac:dyDescent="0.25">
      <c r="A1388" s="244"/>
      <c r="B1388" s="244"/>
      <c r="C1388" s="244"/>
      <c r="D1388" s="244"/>
      <c r="E1388" s="244"/>
      <c r="F1388" s="244"/>
      <c r="G1388" s="244"/>
      <c r="I1388" s="244"/>
      <c r="J1388" s="244"/>
      <c r="K1388" s="246" t="e">
        <f t="shared" si="147"/>
        <v>#VALUE!</v>
      </c>
      <c r="L1388" s="246" t="e">
        <f t="shared" si="148"/>
        <v>#VALUE!</v>
      </c>
      <c r="M1388" s="247" t="e">
        <f t="shared" si="149"/>
        <v>#VALUE!</v>
      </c>
      <c r="N1388" s="246" t="e">
        <f t="shared" si="150"/>
        <v>#VALUE!</v>
      </c>
      <c r="O1388" s="247" t="e">
        <f t="shared" si="151"/>
        <v>#VALUE!</v>
      </c>
      <c r="P1388" s="247">
        <f t="shared" si="152"/>
        <v>0</v>
      </c>
      <c r="Q1388" s="247" t="e">
        <f t="shared" si="153"/>
        <v>#VALUE!</v>
      </c>
    </row>
    <row r="1389" spans="1:17" ht="15" customHeight="1" x14ac:dyDescent="0.25">
      <c r="A1389" s="244"/>
      <c r="B1389" s="244"/>
      <c r="C1389" s="244"/>
      <c r="D1389" s="244"/>
      <c r="E1389" s="244"/>
      <c r="F1389" s="244"/>
      <c r="G1389" s="244"/>
      <c r="I1389" s="244"/>
      <c r="J1389" s="244"/>
      <c r="K1389" s="246" t="e">
        <f t="shared" si="147"/>
        <v>#VALUE!</v>
      </c>
      <c r="L1389" s="246" t="e">
        <f t="shared" si="148"/>
        <v>#VALUE!</v>
      </c>
      <c r="M1389" s="247" t="e">
        <f t="shared" si="149"/>
        <v>#VALUE!</v>
      </c>
      <c r="N1389" s="246" t="e">
        <f t="shared" si="150"/>
        <v>#VALUE!</v>
      </c>
      <c r="O1389" s="247" t="e">
        <f t="shared" si="151"/>
        <v>#VALUE!</v>
      </c>
      <c r="P1389" s="247">
        <f t="shared" si="152"/>
        <v>0</v>
      </c>
      <c r="Q1389" s="247" t="e">
        <f t="shared" si="153"/>
        <v>#VALUE!</v>
      </c>
    </row>
    <row r="1390" spans="1:17" ht="15" customHeight="1" x14ac:dyDescent="0.25">
      <c r="A1390" s="244"/>
      <c r="B1390" s="244"/>
      <c r="C1390" s="244"/>
      <c r="D1390" s="244"/>
      <c r="E1390" s="244"/>
      <c r="F1390" s="244"/>
      <c r="G1390" s="244"/>
      <c r="I1390" s="244"/>
      <c r="J1390" s="244"/>
      <c r="K1390" s="246" t="e">
        <f t="shared" si="147"/>
        <v>#VALUE!</v>
      </c>
      <c r="L1390" s="246" t="e">
        <f t="shared" si="148"/>
        <v>#VALUE!</v>
      </c>
      <c r="M1390" s="247" t="e">
        <f t="shared" si="149"/>
        <v>#VALUE!</v>
      </c>
      <c r="N1390" s="246" t="e">
        <f t="shared" si="150"/>
        <v>#VALUE!</v>
      </c>
      <c r="O1390" s="247" t="e">
        <f t="shared" si="151"/>
        <v>#VALUE!</v>
      </c>
      <c r="P1390" s="247">
        <f t="shared" si="152"/>
        <v>0</v>
      </c>
      <c r="Q1390" s="247" t="e">
        <f t="shared" si="153"/>
        <v>#VALUE!</v>
      </c>
    </row>
    <row r="1391" spans="1:17" ht="15" customHeight="1" x14ac:dyDescent="0.25">
      <c r="A1391" s="244"/>
      <c r="B1391" s="244"/>
      <c r="C1391" s="244"/>
      <c r="D1391" s="244"/>
      <c r="E1391" s="244"/>
      <c r="F1391" s="244"/>
      <c r="G1391" s="244"/>
      <c r="I1391" s="244"/>
      <c r="J1391" s="244"/>
      <c r="K1391" s="246" t="e">
        <f t="shared" si="147"/>
        <v>#VALUE!</v>
      </c>
      <c r="L1391" s="246" t="e">
        <f t="shared" si="148"/>
        <v>#VALUE!</v>
      </c>
      <c r="M1391" s="247" t="e">
        <f t="shared" si="149"/>
        <v>#VALUE!</v>
      </c>
      <c r="N1391" s="246" t="e">
        <f t="shared" si="150"/>
        <v>#VALUE!</v>
      </c>
      <c r="O1391" s="247" t="e">
        <f t="shared" si="151"/>
        <v>#VALUE!</v>
      </c>
      <c r="P1391" s="247">
        <f t="shared" si="152"/>
        <v>0</v>
      </c>
      <c r="Q1391" s="247" t="e">
        <f t="shared" si="153"/>
        <v>#VALUE!</v>
      </c>
    </row>
    <row r="1392" spans="1:17" ht="15" customHeight="1" x14ac:dyDescent="0.25">
      <c r="A1392" s="244"/>
      <c r="B1392" s="244"/>
      <c r="C1392" s="244"/>
      <c r="D1392" s="244"/>
      <c r="E1392" s="244"/>
      <c r="F1392" s="244"/>
      <c r="G1392" s="244"/>
      <c r="I1392" s="244"/>
      <c r="J1392" s="244"/>
      <c r="K1392" s="246" t="e">
        <f t="shared" si="147"/>
        <v>#VALUE!</v>
      </c>
      <c r="L1392" s="246" t="e">
        <f t="shared" si="148"/>
        <v>#VALUE!</v>
      </c>
      <c r="M1392" s="247" t="e">
        <f t="shared" si="149"/>
        <v>#VALUE!</v>
      </c>
      <c r="N1392" s="246" t="e">
        <f t="shared" si="150"/>
        <v>#VALUE!</v>
      </c>
      <c r="O1392" s="247" t="e">
        <f t="shared" si="151"/>
        <v>#VALUE!</v>
      </c>
      <c r="P1392" s="247">
        <f t="shared" si="152"/>
        <v>0</v>
      </c>
      <c r="Q1392" s="247" t="e">
        <f t="shared" si="153"/>
        <v>#VALUE!</v>
      </c>
    </row>
    <row r="1393" spans="1:17" ht="15" customHeight="1" x14ac:dyDescent="0.25">
      <c r="A1393" s="244"/>
      <c r="B1393" s="244"/>
      <c r="C1393" s="244"/>
      <c r="D1393" s="244"/>
      <c r="E1393" s="244"/>
      <c r="F1393" s="244"/>
      <c r="G1393" s="244"/>
      <c r="I1393" s="244"/>
      <c r="J1393" s="244"/>
      <c r="K1393" s="246" t="e">
        <f t="shared" si="147"/>
        <v>#VALUE!</v>
      </c>
      <c r="L1393" s="246" t="e">
        <f t="shared" si="148"/>
        <v>#VALUE!</v>
      </c>
      <c r="M1393" s="247" t="e">
        <f t="shared" si="149"/>
        <v>#VALUE!</v>
      </c>
      <c r="N1393" s="246" t="e">
        <f t="shared" si="150"/>
        <v>#VALUE!</v>
      </c>
      <c r="O1393" s="247" t="e">
        <f t="shared" si="151"/>
        <v>#VALUE!</v>
      </c>
      <c r="P1393" s="247">
        <f t="shared" si="152"/>
        <v>0</v>
      </c>
      <c r="Q1393" s="247" t="e">
        <f t="shared" si="153"/>
        <v>#VALUE!</v>
      </c>
    </row>
    <row r="1394" spans="1:17" ht="15" customHeight="1" x14ac:dyDescent="0.25">
      <c r="A1394" s="244"/>
      <c r="B1394" s="244"/>
      <c r="C1394" s="244"/>
      <c r="D1394" s="244"/>
      <c r="E1394" s="244"/>
      <c r="F1394" s="244"/>
      <c r="G1394" s="244"/>
      <c r="I1394" s="244"/>
      <c r="J1394" s="244"/>
      <c r="K1394" s="246" t="e">
        <f t="shared" si="147"/>
        <v>#VALUE!</v>
      </c>
      <c r="L1394" s="246" t="e">
        <f t="shared" si="148"/>
        <v>#VALUE!</v>
      </c>
      <c r="M1394" s="247" t="e">
        <f t="shared" si="149"/>
        <v>#VALUE!</v>
      </c>
      <c r="N1394" s="246" t="e">
        <f t="shared" si="150"/>
        <v>#VALUE!</v>
      </c>
      <c r="O1394" s="247" t="e">
        <f t="shared" si="151"/>
        <v>#VALUE!</v>
      </c>
      <c r="P1394" s="247">
        <f t="shared" si="152"/>
        <v>0</v>
      </c>
      <c r="Q1394" s="247" t="e">
        <f t="shared" si="153"/>
        <v>#VALUE!</v>
      </c>
    </row>
    <row r="1395" spans="1:17" ht="15" customHeight="1" x14ac:dyDescent="0.25">
      <c r="A1395" s="244"/>
      <c r="B1395" s="244"/>
      <c r="C1395" s="244"/>
      <c r="D1395" s="244"/>
      <c r="E1395" s="244"/>
      <c r="F1395" s="244"/>
      <c r="G1395" s="244"/>
      <c r="I1395" s="244"/>
      <c r="J1395" s="244"/>
      <c r="K1395" s="246" t="e">
        <f t="shared" si="147"/>
        <v>#VALUE!</v>
      </c>
      <c r="L1395" s="246" t="e">
        <f t="shared" si="148"/>
        <v>#VALUE!</v>
      </c>
      <c r="M1395" s="247" t="e">
        <f t="shared" si="149"/>
        <v>#VALUE!</v>
      </c>
      <c r="N1395" s="246" t="e">
        <f t="shared" si="150"/>
        <v>#VALUE!</v>
      </c>
      <c r="O1395" s="247" t="e">
        <f t="shared" si="151"/>
        <v>#VALUE!</v>
      </c>
      <c r="P1395" s="247">
        <f t="shared" si="152"/>
        <v>0</v>
      </c>
      <c r="Q1395" s="247" t="e">
        <f t="shared" si="153"/>
        <v>#VALUE!</v>
      </c>
    </row>
    <row r="1396" spans="1:17" ht="15" customHeight="1" x14ac:dyDescent="0.25">
      <c r="A1396" s="244"/>
      <c r="B1396" s="244"/>
      <c r="C1396" s="244"/>
      <c r="D1396" s="244"/>
      <c r="E1396" s="244"/>
      <c r="F1396" s="244"/>
      <c r="G1396" s="244"/>
      <c r="I1396" s="244"/>
      <c r="J1396" s="244"/>
      <c r="K1396" s="246" t="e">
        <f t="shared" si="147"/>
        <v>#VALUE!</v>
      </c>
      <c r="L1396" s="246" t="e">
        <f t="shared" si="148"/>
        <v>#VALUE!</v>
      </c>
      <c r="M1396" s="247" t="e">
        <f t="shared" si="149"/>
        <v>#VALUE!</v>
      </c>
      <c r="N1396" s="246" t="e">
        <f t="shared" si="150"/>
        <v>#VALUE!</v>
      </c>
      <c r="O1396" s="247" t="e">
        <f t="shared" si="151"/>
        <v>#VALUE!</v>
      </c>
      <c r="P1396" s="247">
        <f t="shared" si="152"/>
        <v>0</v>
      </c>
      <c r="Q1396" s="247" t="e">
        <f t="shared" si="153"/>
        <v>#VALUE!</v>
      </c>
    </row>
    <row r="1397" spans="1:17" ht="15" customHeight="1" x14ac:dyDescent="0.25">
      <c r="A1397" s="244"/>
      <c r="B1397" s="244"/>
      <c r="C1397" s="244"/>
      <c r="D1397" s="244"/>
      <c r="E1397" s="244"/>
      <c r="F1397" s="244"/>
      <c r="G1397" s="244"/>
      <c r="I1397" s="244"/>
      <c r="J1397" s="244"/>
      <c r="K1397" s="246" t="e">
        <f t="shared" si="147"/>
        <v>#VALUE!</v>
      </c>
      <c r="L1397" s="246" t="e">
        <f t="shared" si="148"/>
        <v>#VALUE!</v>
      </c>
      <c r="M1397" s="247" t="e">
        <f t="shared" si="149"/>
        <v>#VALUE!</v>
      </c>
      <c r="N1397" s="246" t="e">
        <f t="shared" si="150"/>
        <v>#VALUE!</v>
      </c>
      <c r="O1397" s="247" t="e">
        <f t="shared" si="151"/>
        <v>#VALUE!</v>
      </c>
      <c r="P1397" s="247">
        <f t="shared" si="152"/>
        <v>0</v>
      </c>
      <c r="Q1397" s="247" t="e">
        <f t="shared" si="153"/>
        <v>#VALUE!</v>
      </c>
    </row>
    <row r="1398" spans="1:17" ht="15" customHeight="1" x14ac:dyDescent="0.25">
      <c r="A1398" s="244"/>
      <c r="B1398" s="244"/>
      <c r="C1398" s="244"/>
      <c r="D1398" s="244"/>
      <c r="E1398" s="244"/>
      <c r="F1398" s="244"/>
      <c r="G1398" s="244"/>
      <c r="I1398" s="244"/>
      <c r="J1398" s="244"/>
      <c r="K1398" s="246" t="e">
        <f t="shared" si="147"/>
        <v>#VALUE!</v>
      </c>
      <c r="L1398" s="246" t="e">
        <f t="shared" si="148"/>
        <v>#VALUE!</v>
      </c>
      <c r="M1398" s="247" t="e">
        <f t="shared" si="149"/>
        <v>#VALUE!</v>
      </c>
      <c r="N1398" s="246" t="e">
        <f t="shared" si="150"/>
        <v>#VALUE!</v>
      </c>
      <c r="O1398" s="247" t="e">
        <f t="shared" si="151"/>
        <v>#VALUE!</v>
      </c>
      <c r="P1398" s="247">
        <f t="shared" si="152"/>
        <v>0</v>
      </c>
      <c r="Q1398" s="247" t="e">
        <f t="shared" si="153"/>
        <v>#VALUE!</v>
      </c>
    </row>
    <row r="1399" spans="1:17" ht="15" customHeight="1" x14ac:dyDescent="0.25">
      <c r="A1399" s="244"/>
      <c r="B1399" s="244"/>
      <c r="C1399" s="244"/>
      <c r="D1399" s="244"/>
      <c r="E1399" s="244"/>
      <c r="F1399" s="244"/>
      <c r="G1399" s="244"/>
      <c r="I1399" s="244"/>
      <c r="J1399" s="244"/>
      <c r="K1399" s="246" t="e">
        <f t="shared" si="147"/>
        <v>#VALUE!</v>
      </c>
      <c r="L1399" s="246" t="e">
        <f t="shared" si="148"/>
        <v>#VALUE!</v>
      </c>
      <c r="M1399" s="247" t="e">
        <f t="shared" si="149"/>
        <v>#VALUE!</v>
      </c>
      <c r="N1399" s="246" t="e">
        <f t="shared" si="150"/>
        <v>#VALUE!</v>
      </c>
      <c r="O1399" s="247" t="e">
        <f t="shared" si="151"/>
        <v>#VALUE!</v>
      </c>
      <c r="P1399" s="247">
        <f t="shared" si="152"/>
        <v>0</v>
      </c>
      <c r="Q1399" s="247" t="e">
        <f t="shared" si="153"/>
        <v>#VALUE!</v>
      </c>
    </row>
    <row r="1400" spans="1:17" ht="15" customHeight="1" x14ac:dyDescent="0.25">
      <c r="A1400" s="244"/>
      <c r="B1400" s="244"/>
      <c r="C1400" s="244"/>
      <c r="D1400" s="244"/>
      <c r="E1400" s="244"/>
      <c r="F1400" s="244"/>
      <c r="G1400" s="244"/>
      <c r="I1400" s="244"/>
      <c r="J1400" s="244"/>
      <c r="K1400" s="246" t="e">
        <f t="shared" si="147"/>
        <v>#VALUE!</v>
      </c>
      <c r="L1400" s="246" t="e">
        <f t="shared" si="148"/>
        <v>#VALUE!</v>
      </c>
      <c r="M1400" s="247" t="e">
        <f t="shared" si="149"/>
        <v>#VALUE!</v>
      </c>
      <c r="N1400" s="246" t="e">
        <f t="shared" si="150"/>
        <v>#VALUE!</v>
      </c>
      <c r="O1400" s="247" t="e">
        <f t="shared" si="151"/>
        <v>#VALUE!</v>
      </c>
      <c r="P1400" s="247">
        <f t="shared" si="152"/>
        <v>0</v>
      </c>
      <c r="Q1400" s="247" t="e">
        <f t="shared" si="153"/>
        <v>#VALUE!</v>
      </c>
    </row>
    <row r="1401" spans="1:17" ht="15" customHeight="1" x14ac:dyDescent="0.25">
      <c r="A1401" s="244"/>
      <c r="B1401" s="244"/>
      <c r="C1401" s="244"/>
      <c r="D1401" s="244"/>
      <c r="E1401" s="244"/>
      <c r="F1401" s="244"/>
      <c r="G1401" s="244"/>
      <c r="I1401" s="244"/>
      <c r="J1401" s="244"/>
      <c r="K1401" s="246" t="e">
        <f t="shared" si="147"/>
        <v>#VALUE!</v>
      </c>
      <c r="L1401" s="246" t="e">
        <f t="shared" si="148"/>
        <v>#VALUE!</v>
      </c>
      <c r="M1401" s="247" t="e">
        <f t="shared" si="149"/>
        <v>#VALUE!</v>
      </c>
      <c r="N1401" s="246" t="e">
        <f t="shared" si="150"/>
        <v>#VALUE!</v>
      </c>
      <c r="O1401" s="247" t="e">
        <f t="shared" si="151"/>
        <v>#VALUE!</v>
      </c>
      <c r="P1401" s="247">
        <f t="shared" si="152"/>
        <v>0</v>
      </c>
      <c r="Q1401" s="247" t="e">
        <f t="shared" si="153"/>
        <v>#VALUE!</v>
      </c>
    </row>
    <row r="1402" spans="1:17" ht="15" customHeight="1" x14ac:dyDescent="0.25">
      <c r="A1402" s="244"/>
      <c r="B1402" s="244"/>
      <c r="C1402" s="244"/>
      <c r="D1402" s="244"/>
      <c r="E1402" s="244"/>
      <c r="F1402" s="244"/>
      <c r="G1402" s="244"/>
      <c r="I1402" s="244"/>
      <c r="J1402" s="244"/>
      <c r="K1402" s="246" t="e">
        <f t="shared" si="147"/>
        <v>#VALUE!</v>
      </c>
      <c r="L1402" s="246" t="e">
        <f t="shared" si="148"/>
        <v>#VALUE!</v>
      </c>
      <c r="M1402" s="247" t="e">
        <f t="shared" si="149"/>
        <v>#VALUE!</v>
      </c>
      <c r="N1402" s="246" t="e">
        <f t="shared" si="150"/>
        <v>#VALUE!</v>
      </c>
      <c r="O1402" s="247" t="e">
        <f t="shared" si="151"/>
        <v>#VALUE!</v>
      </c>
      <c r="P1402" s="247">
        <f t="shared" si="152"/>
        <v>0</v>
      </c>
      <c r="Q1402" s="247" t="e">
        <f t="shared" si="153"/>
        <v>#VALUE!</v>
      </c>
    </row>
    <row r="1403" spans="1:17" ht="15" customHeight="1" x14ac:dyDescent="0.25">
      <c r="A1403" s="244"/>
      <c r="B1403" s="244"/>
      <c r="C1403" s="244"/>
      <c r="D1403" s="244"/>
      <c r="E1403" s="244"/>
      <c r="F1403" s="244"/>
      <c r="G1403" s="244"/>
      <c r="I1403" s="244"/>
      <c r="J1403" s="244"/>
      <c r="K1403" s="246" t="e">
        <f t="shared" si="147"/>
        <v>#VALUE!</v>
      </c>
      <c r="L1403" s="246" t="e">
        <f t="shared" si="148"/>
        <v>#VALUE!</v>
      </c>
      <c r="M1403" s="247" t="e">
        <f t="shared" si="149"/>
        <v>#VALUE!</v>
      </c>
      <c r="N1403" s="246" t="e">
        <f t="shared" si="150"/>
        <v>#VALUE!</v>
      </c>
      <c r="O1403" s="247" t="e">
        <f t="shared" si="151"/>
        <v>#VALUE!</v>
      </c>
      <c r="P1403" s="247">
        <f t="shared" si="152"/>
        <v>0</v>
      </c>
      <c r="Q1403" s="247" t="e">
        <f t="shared" si="153"/>
        <v>#VALUE!</v>
      </c>
    </row>
    <row r="1404" spans="1:17" ht="15" customHeight="1" x14ac:dyDescent="0.25">
      <c r="A1404" s="244"/>
      <c r="B1404" s="244"/>
      <c r="C1404" s="244"/>
      <c r="D1404" s="244"/>
      <c r="E1404" s="244"/>
      <c r="F1404" s="244"/>
      <c r="G1404" s="244"/>
      <c r="I1404" s="244"/>
      <c r="J1404" s="244"/>
      <c r="K1404" s="246" t="e">
        <f t="shared" si="147"/>
        <v>#VALUE!</v>
      </c>
      <c r="L1404" s="246" t="e">
        <f t="shared" si="148"/>
        <v>#VALUE!</v>
      </c>
      <c r="M1404" s="247" t="e">
        <f t="shared" si="149"/>
        <v>#VALUE!</v>
      </c>
      <c r="N1404" s="246" t="e">
        <f t="shared" si="150"/>
        <v>#VALUE!</v>
      </c>
      <c r="O1404" s="247" t="e">
        <f t="shared" si="151"/>
        <v>#VALUE!</v>
      </c>
      <c r="P1404" s="247">
        <f t="shared" si="152"/>
        <v>0</v>
      </c>
      <c r="Q1404" s="247" t="e">
        <f t="shared" si="153"/>
        <v>#VALUE!</v>
      </c>
    </row>
    <row r="1405" spans="1:17" ht="15" customHeight="1" x14ac:dyDescent="0.25">
      <c r="A1405" s="244"/>
      <c r="B1405" s="244"/>
      <c r="C1405" s="244"/>
      <c r="D1405" s="244"/>
      <c r="E1405" s="244"/>
      <c r="F1405" s="244"/>
      <c r="G1405" s="244"/>
      <c r="I1405" s="244"/>
      <c r="J1405" s="244"/>
      <c r="K1405" s="246" t="e">
        <f t="shared" si="147"/>
        <v>#VALUE!</v>
      </c>
      <c r="L1405" s="246" t="e">
        <f t="shared" si="148"/>
        <v>#VALUE!</v>
      </c>
      <c r="M1405" s="247" t="e">
        <f t="shared" si="149"/>
        <v>#VALUE!</v>
      </c>
      <c r="N1405" s="246" t="e">
        <f t="shared" si="150"/>
        <v>#VALUE!</v>
      </c>
      <c r="O1405" s="247" t="e">
        <f t="shared" si="151"/>
        <v>#VALUE!</v>
      </c>
      <c r="P1405" s="247">
        <f t="shared" si="152"/>
        <v>0</v>
      </c>
      <c r="Q1405" s="247" t="e">
        <f t="shared" si="153"/>
        <v>#VALUE!</v>
      </c>
    </row>
    <row r="1406" spans="1:17" ht="15" customHeight="1" x14ac:dyDescent="0.25">
      <c r="A1406" s="244"/>
      <c r="B1406" s="244"/>
      <c r="C1406" s="244"/>
      <c r="D1406" s="244"/>
      <c r="E1406" s="244"/>
      <c r="F1406" s="244"/>
      <c r="G1406" s="244"/>
      <c r="I1406" s="244"/>
      <c r="J1406" s="244"/>
      <c r="K1406" s="246" t="e">
        <f t="shared" si="147"/>
        <v>#VALUE!</v>
      </c>
      <c r="L1406" s="246" t="e">
        <f t="shared" si="148"/>
        <v>#VALUE!</v>
      </c>
      <c r="M1406" s="247" t="e">
        <f t="shared" si="149"/>
        <v>#VALUE!</v>
      </c>
      <c r="N1406" s="246" t="e">
        <f t="shared" si="150"/>
        <v>#VALUE!</v>
      </c>
      <c r="O1406" s="247" t="e">
        <f t="shared" si="151"/>
        <v>#VALUE!</v>
      </c>
      <c r="P1406" s="247">
        <f t="shared" si="152"/>
        <v>0</v>
      </c>
      <c r="Q1406" s="247" t="e">
        <f t="shared" si="153"/>
        <v>#VALUE!</v>
      </c>
    </row>
    <row r="1407" spans="1:17" ht="15" customHeight="1" x14ac:dyDescent="0.25">
      <c r="A1407" s="244"/>
      <c r="B1407" s="244"/>
      <c r="C1407" s="244"/>
      <c r="D1407" s="244"/>
      <c r="E1407" s="244"/>
      <c r="F1407" s="244"/>
      <c r="G1407" s="244"/>
      <c r="I1407" s="244"/>
      <c r="J1407" s="244"/>
      <c r="K1407" s="246" t="e">
        <f t="shared" si="147"/>
        <v>#VALUE!</v>
      </c>
      <c r="L1407" s="246" t="e">
        <f t="shared" si="148"/>
        <v>#VALUE!</v>
      </c>
      <c r="M1407" s="247" t="e">
        <f t="shared" si="149"/>
        <v>#VALUE!</v>
      </c>
      <c r="N1407" s="246" t="e">
        <f t="shared" si="150"/>
        <v>#VALUE!</v>
      </c>
      <c r="O1407" s="247" t="e">
        <f t="shared" si="151"/>
        <v>#VALUE!</v>
      </c>
      <c r="P1407" s="247">
        <f t="shared" si="152"/>
        <v>0</v>
      </c>
      <c r="Q1407" s="247" t="e">
        <f t="shared" si="153"/>
        <v>#VALUE!</v>
      </c>
    </row>
    <row r="1408" spans="1:17" ht="15" customHeight="1" x14ac:dyDescent="0.25">
      <c r="A1408" s="244"/>
      <c r="B1408" s="244"/>
      <c r="C1408" s="244"/>
      <c r="D1408" s="244"/>
      <c r="E1408" s="244"/>
      <c r="F1408" s="244"/>
      <c r="G1408" s="244"/>
      <c r="I1408" s="244"/>
      <c r="J1408" s="244"/>
      <c r="K1408" s="246" t="e">
        <f t="shared" si="147"/>
        <v>#VALUE!</v>
      </c>
      <c r="L1408" s="246" t="e">
        <f t="shared" si="148"/>
        <v>#VALUE!</v>
      </c>
      <c r="M1408" s="247" t="e">
        <f t="shared" si="149"/>
        <v>#VALUE!</v>
      </c>
      <c r="N1408" s="246" t="e">
        <f t="shared" si="150"/>
        <v>#VALUE!</v>
      </c>
      <c r="O1408" s="247" t="e">
        <f t="shared" si="151"/>
        <v>#VALUE!</v>
      </c>
      <c r="P1408" s="247">
        <f t="shared" si="152"/>
        <v>0</v>
      </c>
      <c r="Q1408" s="247" t="e">
        <f t="shared" si="153"/>
        <v>#VALUE!</v>
      </c>
    </row>
    <row r="1409" spans="1:17" ht="15" customHeight="1" x14ac:dyDescent="0.25">
      <c r="A1409" s="244"/>
      <c r="B1409" s="244"/>
      <c r="C1409" s="244"/>
      <c r="D1409" s="244"/>
      <c r="E1409" s="244"/>
      <c r="F1409" s="244"/>
      <c r="G1409" s="244"/>
      <c r="I1409" s="244"/>
      <c r="J1409" s="244"/>
      <c r="K1409" s="246" t="e">
        <f t="shared" si="147"/>
        <v>#VALUE!</v>
      </c>
      <c r="L1409" s="246" t="e">
        <f t="shared" si="148"/>
        <v>#VALUE!</v>
      </c>
      <c r="M1409" s="247" t="e">
        <f t="shared" si="149"/>
        <v>#VALUE!</v>
      </c>
      <c r="N1409" s="246" t="e">
        <f t="shared" si="150"/>
        <v>#VALUE!</v>
      </c>
      <c r="O1409" s="247" t="e">
        <f t="shared" si="151"/>
        <v>#VALUE!</v>
      </c>
      <c r="P1409" s="247">
        <f t="shared" si="152"/>
        <v>0</v>
      </c>
      <c r="Q1409" s="247" t="e">
        <f t="shared" si="153"/>
        <v>#VALUE!</v>
      </c>
    </row>
    <row r="1410" spans="1:17" ht="15" customHeight="1" x14ac:dyDescent="0.25">
      <c r="A1410" s="244"/>
      <c r="B1410" s="244"/>
      <c r="C1410" s="244"/>
      <c r="D1410" s="244"/>
      <c r="E1410" s="244"/>
      <c r="F1410" s="244"/>
      <c r="G1410" s="244"/>
      <c r="I1410" s="244"/>
      <c r="J1410" s="244"/>
      <c r="K1410" s="246" t="e">
        <f t="shared" ref="K1410:K1473" si="154">DATE(VALUE(LEFT(A1410,4)),VALUE(MID(A1410,5,2)),VALUE(RIGHT(A1410,2)))</f>
        <v>#VALUE!</v>
      </c>
      <c r="L1410" s="246" t="e">
        <f t="shared" ref="L1410:L1473" si="155">DATEVALUE(LEFT(F1410,10))</f>
        <v>#VALUE!</v>
      </c>
      <c r="M1410" s="247" t="e">
        <f t="shared" ref="M1410:M1473" si="156">TIMEVALUE(MID(F1410,12,8))</f>
        <v>#VALUE!</v>
      </c>
      <c r="N1410" s="246" t="e">
        <f t="shared" ref="N1410:N1473" si="157">DATEVALUE(LEFT(G1410,10))</f>
        <v>#VALUE!</v>
      </c>
      <c r="O1410" s="247" t="e">
        <f t="shared" ref="O1410:O1473" si="158">TIMEVALUE(MID(G1410,12,8))</f>
        <v>#VALUE!</v>
      </c>
      <c r="P1410" s="247">
        <f t="shared" ref="P1410:P1473" si="159">IFERROR(_xlfn.MINIFS($M:$M,$E:$E,$E1410,$K:$K,$K1410,$M:$M,"&gt;"&amp;$O1410),"")</f>
        <v>0</v>
      </c>
      <c r="Q1410" s="247" t="e">
        <f t="shared" ref="Q1410:Q1473" si="160">IF($P1410="","",$P1410-$O1410)</f>
        <v>#VALUE!</v>
      </c>
    </row>
    <row r="1411" spans="1:17" ht="15" customHeight="1" x14ac:dyDescent="0.25">
      <c r="A1411" s="244"/>
      <c r="B1411" s="244"/>
      <c r="C1411" s="244"/>
      <c r="D1411" s="244"/>
      <c r="E1411" s="244"/>
      <c r="F1411" s="244"/>
      <c r="G1411" s="244"/>
      <c r="I1411" s="244"/>
      <c r="J1411" s="244"/>
      <c r="K1411" s="246" t="e">
        <f t="shared" si="154"/>
        <v>#VALUE!</v>
      </c>
      <c r="L1411" s="246" t="e">
        <f t="shared" si="155"/>
        <v>#VALUE!</v>
      </c>
      <c r="M1411" s="247" t="e">
        <f t="shared" si="156"/>
        <v>#VALUE!</v>
      </c>
      <c r="N1411" s="246" t="e">
        <f t="shared" si="157"/>
        <v>#VALUE!</v>
      </c>
      <c r="O1411" s="247" t="e">
        <f t="shared" si="158"/>
        <v>#VALUE!</v>
      </c>
      <c r="P1411" s="247">
        <f t="shared" si="159"/>
        <v>0</v>
      </c>
      <c r="Q1411" s="247" t="e">
        <f t="shared" si="160"/>
        <v>#VALUE!</v>
      </c>
    </row>
    <row r="1412" spans="1:17" ht="15" customHeight="1" x14ac:dyDescent="0.25">
      <c r="A1412" s="244"/>
      <c r="B1412" s="244"/>
      <c r="C1412" s="244"/>
      <c r="D1412" s="244"/>
      <c r="E1412" s="244"/>
      <c r="F1412" s="244"/>
      <c r="G1412" s="244"/>
      <c r="I1412" s="244"/>
      <c r="J1412" s="244"/>
      <c r="K1412" s="246" t="e">
        <f t="shared" si="154"/>
        <v>#VALUE!</v>
      </c>
      <c r="L1412" s="246" t="e">
        <f t="shared" si="155"/>
        <v>#VALUE!</v>
      </c>
      <c r="M1412" s="247" t="e">
        <f t="shared" si="156"/>
        <v>#VALUE!</v>
      </c>
      <c r="N1412" s="246" t="e">
        <f t="shared" si="157"/>
        <v>#VALUE!</v>
      </c>
      <c r="O1412" s="247" t="e">
        <f t="shared" si="158"/>
        <v>#VALUE!</v>
      </c>
      <c r="P1412" s="247">
        <f t="shared" si="159"/>
        <v>0</v>
      </c>
      <c r="Q1412" s="247" t="e">
        <f t="shared" si="160"/>
        <v>#VALUE!</v>
      </c>
    </row>
    <row r="1413" spans="1:17" ht="15" customHeight="1" x14ac:dyDescent="0.25">
      <c r="A1413" s="244"/>
      <c r="B1413" s="244"/>
      <c r="C1413" s="244"/>
      <c r="D1413" s="244"/>
      <c r="E1413" s="244"/>
      <c r="F1413" s="244"/>
      <c r="G1413" s="244"/>
      <c r="I1413" s="244"/>
      <c r="J1413" s="244"/>
      <c r="K1413" s="246" t="e">
        <f t="shared" si="154"/>
        <v>#VALUE!</v>
      </c>
      <c r="L1413" s="246" t="e">
        <f t="shared" si="155"/>
        <v>#VALUE!</v>
      </c>
      <c r="M1413" s="247" t="e">
        <f t="shared" si="156"/>
        <v>#VALUE!</v>
      </c>
      <c r="N1413" s="246" t="e">
        <f t="shared" si="157"/>
        <v>#VALUE!</v>
      </c>
      <c r="O1413" s="247" t="e">
        <f t="shared" si="158"/>
        <v>#VALUE!</v>
      </c>
      <c r="P1413" s="247">
        <f t="shared" si="159"/>
        <v>0</v>
      </c>
      <c r="Q1413" s="247" t="e">
        <f t="shared" si="160"/>
        <v>#VALUE!</v>
      </c>
    </row>
    <row r="1414" spans="1:17" ht="15" customHeight="1" x14ac:dyDescent="0.25">
      <c r="A1414" s="244"/>
      <c r="B1414" s="244"/>
      <c r="C1414" s="244"/>
      <c r="D1414" s="244"/>
      <c r="E1414" s="244"/>
      <c r="F1414" s="244"/>
      <c r="G1414" s="244"/>
      <c r="I1414" s="244"/>
      <c r="J1414" s="244"/>
      <c r="K1414" s="246" t="e">
        <f t="shared" si="154"/>
        <v>#VALUE!</v>
      </c>
      <c r="L1414" s="246" t="e">
        <f t="shared" si="155"/>
        <v>#VALUE!</v>
      </c>
      <c r="M1414" s="247" t="e">
        <f t="shared" si="156"/>
        <v>#VALUE!</v>
      </c>
      <c r="N1414" s="246" t="e">
        <f t="shared" si="157"/>
        <v>#VALUE!</v>
      </c>
      <c r="O1414" s="247" t="e">
        <f t="shared" si="158"/>
        <v>#VALUE!</v>
      </c>
      <c r="P1414" s="247">
        <f t="shared" si="159"/>
        <v>0</v>
      </c>
      <c r="Q1414" s="247" t="e">
        <f t="shared" si="160"/>
        <v>#VALUE!</v>
      </c>
    </row>
    <row r="1415" spans="1:17" ht="15" customHeight="1" x14ac:dyDescent="0.25">
      <c r="A1415" s="244"/>
      <c r="B1415" s="244"/>
      <c r="C1415" s="244"/>
      <c r="D1415" s="244"/>
      <c r="E1415" s="244"/>
      <c r="F1415" s="244"/>
      <c r="G1415" s="244"/>
      <c r="I1415" s="244"/>
      <c r="J1415" s="244"/>
      <c r="K1415" s="246" t="e">
        <f t="shared" si="154"/>
        <v>#VALUE!</v>
      </c>
      <c r="L1415" s="246" t="e">
        <f t="shared" si="155"/>
        <v>#VALUE!</v>
      </c>
      <c r="M1415" s="247" t="e">
        <f t="shared" si="156"/>
        <v>#VALUE!</v>
      </c>
      <c r="N1415" s="246" t="e">
        <f t="shared" si="157"/>
        <v>#VALUE!</v>
      </c>
      <c r="O1415" s="247" t="e">
        <f t="shared" si="158"/>
        <v>#VALUE!</v>
      </c>
      <c r="P1415" s="247">
        <f t="shared" si="159"/>
        <v>0</v>
      </c>
      <c r="Q1415" s="247" t="e">
        <f t="shared" si="160"/>
        <v>#VALUE!</v>
      </c>
    </row>
    <row r="1416" spans="1:17" ht="15" customHeight="1" x14ac:dyDescent="0.25">
      <c r="A1416" s="244"/>
      <c r="B1416" s="244"/>
      <c r="C1416" s="244"/>
      <c r="D1416" s="244"/>
      <c r="E1416" s="244"/>
      <c r="F1416" s="244"/>
      <c r="G1416" s="244"/>
      <c r="I1416" s="244"/>
      <c r="J1416" s="244"/>
      <c r="K1416" s="246" t="e">
        <f t="shared" si="154"/>
        <v>#VALUE!</v>
      </c>
      <c r="L1416" s="246" t="e">
        <f t="shared" si="155"/>
        <v>#VALUE!</v>
      </c>
      <c r="M1416" s="247" t="e">
        <f t="shared" si="156"/>
        <v>#VALUE!</v>
      </c>
      <c r="N1416" s="246" t="e">
        <f t="shared" si="157"/>
        <v>#VALUE!</v>
      </c>
      <c r="O1416" s="247" t="e">
        <f t="shared" si="158"/>
        <v>#VALUE!</v>
      </c>
      <c r="P1416" s="247">
        <f t="shared" si="159"/>
        <v>0</v>
      </c>
      <c r="Q1416" s="247" t="e">
        <f t="shared" si="160"/>
        <v>#VALUE!</v>
      </c>
    </row>
    <row r="1417" spans="1:17" ht="15" customHeight="1" x14ac:dyDescent="0.25">
      <c r="A1417" s="244"/>
      <c r="B1417" s="244"/>
      <c r="C1417" s="244"/>
      <c r="D1417" s="244"/>
      <c r="E1417" s="244"/>
      <c r="F1417" s="244"/>
      <c r="G1417" s="244"/>
      <c r="I1417" s="244"/>
      <c r="J1417" s="244"/>
      <c r="K1417" s="246" t="e">
        <f t="shared" si="154"/>
        <v>#VALUE!</v>
      </c>
      <c r="L1417" s="246" t="e">
        <f t="shared" si="155"/>
        <v>#VALUE!</v>
      </c>
      <c r="M1417" s="247" t="e">
        <f t="shared" si="156"/>
        <v>#VALUE!</v>
      </c>
      <c r="N1417" s="246" t="e">
        <f t="shared" si="157"/>
        <v>#VALUE!</v>
      </c>
      <c r="O1417" s="247" t="e">
        <f t="shared" si="158"/>
        <v>#VALUE!</v>
      </c>
      <c r="P1417" s="247">
        <f t="shared" si="159"/>
        <v>0</v>
      </c>
      <c r="Q1417" s="247" t="e">
        <f t="shared" si="160"/>
        <v>#VALUE!</v>
      </c>
    </row>
    <row r="1418" spans="1:17" ht="15" customHeight="1" x14ac:dyDescent="0.25">
      <c r="A1418" s="244"/>
      <c r="B1418" s="244"/>
      <c r="C1418" s="244"/>
      <c r="D1418" s="244"/>
      <c r="E1418" s="244"/>
      <c r="F1418" s="244"/>
      <c r="G1418" s="244"/>
      <c r="I1418" s="244"/>
      <c r="J1418" s="244"/>
      <c r="K1418" s="246" t="e">
        <f t="shared" si="154"/>
        <v>#VALUE!</v>
      </c>
      <c r="L1418" s="246" t="e">
        <f t="shared" si="155"/>
        <v>#VALUE!</v>
      </c>
      <c r="M1418" s="247" t="e">
        <f t="shared" si="156"/>
        <v>#VALUE!</v>
      </c>
      <c r="N1418" s="246" t="e">
        <f t="shared" si="157"/>
        <v>#VALUE!</v>
      </c>
      <c r="O1418" s="247" t="e">
        <f t="shared" si="158"/>
        <v>#VALUE!</v>
      </c>
      <c r="P1418" s="247">
        <f t="shared" si="159"/>
        <v>0</v>
      </c>
      <c r="Q1418" s="247" t="e">
        <f t="shared" si="160"/>
        <v>#VALUE!</v>
      </c>
    </row>
    <row r="1419" spans="1:17" ht="15" customHeight="1" x14ac:dyDescent="0.25">
      <c r="A1419" s="244"/>
      <c r="B1419" s="244"/>
      <c r="C1419" s="244"/>
      <c r="D1419" s="244"/>
      <c r="E1419" s="244"/>
      <c r="F1419" s="244"/>
      <c r="G1419" s="244"/>
      <c r="I1419" s="244"/>
      <c r="J1419" s="244"/>
      <c r="K1419" s="246" t="e">
        <f t="shared" si="154"/>
        <v>#VALUE!</v>
      </c>
      <c r="L1419" s="246" t="e">
        <f t="shared" si="155"/>
        <v>#VALUE!</v>
      </c>
      <c r="M1419" s="247" t="e">
        <f t="shared" si="156"/>
        <v>#VALUE!</v>
      </c>
      <c r="N1419" s="246" t="e">
        <f t="shared" si="157"/>
        <v>#VALUE!</v>
      </c>
      <c r="O1419" s="247" t="e">
        <f t="shared" si="158"/>
        <v>#VALUE!</v>
      </c>
      <c r="P1419" s="247">
        <f t="shared" si="159"/>
        <v>0</v>
      </c>
      <c r="Q1419" s="247" t="e">
        <f t="shared" si="160"/>
        <v>#VALUE!</v>
      </c>
    </row>
    <row r="1420" spans="1:17" ht="15" customHeight="1" x14ac:dyDescent="0.25">
      <c r="A1420" s="244"/>
      <c r="B1420" s="244"/>
      <c r="C1420" s="244"/>
      <c r="D1420" s="244"/>
      <c r="E1420" s="244"/>
      <c r="F1420" s="244"/>
      <c r="G1420" s="244"/>
      <c r="I1420" s="244"/>
      <c r="J1420" s="244"/>
      <c r="K1420" s="246" t="e">
        <f t="shared" si="154"/>
        <v>#VALUE!</v>
      </c>
      <c r="L1420" s="246" t="e">
        <f t="shared" si="155"/>
        <v>#VALUE!</v>
      </c>
      <c r="M1420" s="247" t="e">
        <f t="shared" si="156"/>
        <v>#VALUE!</v>
      </c>
      <c r="N1420" s="246" t="e">
        <f t="shared" si="157"/>
        <v>#VALUE!</v>
      </c>
      <c r="O1420" s="247" t="e">
        <f t="shared" si="158"/>
        <v>#VALUE!</v>
      </c>
      <c r="P1420" s="247">
        <f t="shared" si="159"/>
        <v>0</v>
      </c>
      <c r="Q1420" s="247" t="e">
        <f t="shared" si="160"/>
        <v>#VALUE!</v>
      </c>
    </row>
    <row r="1421" spans="1:17" ht="15" customHeight="1" x14ac:dyDescent="0.25">
      <c r="A1421" s="244"/>
      <c r="B1421" s="244"/>
      <c r="C1421" s="244"/>
      <c r="D1421" s="244"/>
      <c r="E1421" s="244"/>
      <c r="F1421" s="244"/>
      <c r="G1421" s="244"/>
      <c r="I1421" s="244"/>
      <c r="J1421" s="244"/>
      <c r="K1421" s="246" t="e">
        <f t="shared" si="154"/>
        <v>#VALUE!</v>
      </c>
      <c r="L1421" s="246" t="e">
        <f t="shared" si="155"/>
        <v>#VALUE!</v>
      </c>
      <c r="M1421" s="247" t="e">
        <f t="shared" si="156"/>
        <v>#VALUE!</v>
      </c>
      <c r="N1421" s="246" t="e">
        <f t="shared" si="157"/>
        <v>#VALUE!</v>
      </c>
      <c r="O1421" s="247" t="e">
        <f t="shared" si="158"/>
        <v>#VALUE!</v>
      </c>
      <c r="P1421" s="247">
        <f t="shared" si="159"/>
        <v>0</v>
      </c>
      <c r="Q1421" s="247" t="e">
        <f t="shared" si="160"/>
        <v>#VALUE!</v>
      </c>
    </row>
    <row r="1422" spans="1:17" ht="15" customHeight="1" x14ac:dyDescent="0.25">
      <c r="A1422" s="244"/>
      <c r="B1422" s="244"/>
      <c r="C1422" s="244"/>
      <c r="D1422" s="244"/>
      <c r="E1422" s="244"/>
      <c r="F1422" s="244"/>
      <c r="G1422" s="244"/>
      <c r="I1422" s="244"/>
      <c r="J1422" s="244"/>
      <c r="K1422" s="246" t="e">
        <f t="shared" si="154"/>
        <v>#VALUE!</v>
      </c>
      <c r="L1422" s="246" t="e">
        <f t="shared" si="155"/>
        <v>#VALUE!</v>
      </c>
      <c r="M1422" s="247" t="e">
        <f t="shared" si="156"/>
        <v>#VALUE!</v>
      </c>
      <c r="N1422" s="246" t="e">
        <f t="shared" si="157"/>
        <v>#VALUE!</v>
      </c>
      <c r="O1422" s="247" t="e">
        <f t="shared" si="158"/>
        <v>#VALUE!</v>
      </c>
      <c r="P1422" s="247">
        <f t="shared" si="159"/>
        <v>0</v>
      </c>
      <c r="Q1422" s="247" t="e">
        <f t="shared" si="160"/>
        <v>#VALUE!</v>
      </c>
    </row>
    <row r="1423" spans="1:17" ht="15" customHeight="1" x14ac:dyDescent="0.25">
      <c r="A1423" s="244"/>
      <c r="B1423" s="244"/>
      <c r="C1423" s="244"/>
      <c r="D1423" s="244"/>
      <c r="E1423" s="244"/>
      <c r="F1423" s="244"/>
      <c r="G1423" s="244"/>
      <c r="I1423" s="244"/>
      <c r="J1423" s="244"/>
      <c r="K1423" s="246" t="e">
        <f t="shared" si="154"/>
        <v>#VALUE!</v>
      </c>
      <c r="L1423" s="246" t="e">
        <f t="shared" si="155"/>
        <v>#VALUE!</v>
      </c>
      <c r="M1423" s="247" t="e">
        <f t="shared" si="156"/>
        <v>#VALUE!</v>
      </c>
      <c r="N1423" s="246" t="e">
        <f t="shared" si="157"/>
        <v>#VALUE!</v>
      </c>
      <c r="O1423" s="247" t="e">
        <f t="shared" si="158"/>
        <v>#VALUE!</v>
      </c>
      <c r="P1423" s="247">
        <f t="shared" si="159"/>
        <v>0</v>
      </c>
      <c r="Q1423" s="247" t="e">
        <f t="shared" si="160"/>
        <v>#VALUE!</v>
      </c>
    </row>
    <row r="1424" spans="1:17" ht="15" customHeight="1" x14ac:dyDescent="0.25">
      <c r="A1424" s="244"/>
      <c r="B1424" s="244"/>
      <c r="C1424" s="244"/>
      <c r="D1424" s="244"/>
      <c r="E1424" s="244"/>
      <c r="F1424" s="244"/>
      <c r="G1424" s="244"/>
      <c r="I1424" s="244"/>
      <c r="J1424" s="244"/>
      <c r="K1424" s="246" t="e">
        <f t="shared" si="154"/>
        <v>#VALUE!</v>
      </c>
      <c r="L1424" s="246" t="e">
        <f t="shared" si="155"/>
        <v>#VALUE!</v>
      </c>
      <c r="M1424" s="247" t="e">
        <f t="shared" si="156"/>
        <v>#VALUE!</v>
      </c>
      <c r="N1424" s="246" t="e">
        <f t="shared" si="157"/>
        <v>#VALUE!</v>
      </c>
      <c r="O1424" s="247" t="e">
        <f t="shared" si="158"/>
        <v>#VALUE!</v>
      </c>
      <c r="P1424" s="247">
        <f t="shared" si="159"/>
        <v>0</v>
      </c>
      <c r="Q1424" s="247" t="e">
        <f t="shared" si="160"/>
        <v>#VALUE!</v>
      </c>
    </row>
    <row r="1425" spans="1:17" ht="15" customHeight="1" x14ac:dyDescent="0.25">
      <c r="A1425" s="244"/>
      <c r="B1425" s="244"/>
      <c r="C1425" s="244"/>
      <c r="D1425" s="244"/>
      <c r="E1425" s="244"/>
      <c r="F1425" s="244"/>
      <c r="G1425" s="244"/>
      <c r="I1425" s="244"/>
      <c r="J1425" s="244"/>
      <c r="K1425" s="246" t="e">
        <f t="shared" si="154"/>
        <v>#VALUE!</v>
      </c>
      <c r="L1425" s="246" t="e">
        <f t="shared" si="155"/>
        <v>#VALUE!</v>
      </c>
      <c r="M1425" s="247" t="e">
        <f t="shared" si="156"/>
        <v>#VALUE!</v>
      </c>
      <c r="N1425" s="246" t="e">
        <f t="shared" si="157"/>
        <v>#VALUE!</v>
      </c>
      <c r="O1425" s="247" t="e">
        <f t="shared" si="158"/>
        <v>#VALUE!</v>
      </c>
      <c r="P1425" s="247">
        <f t="shared" si="159"/>
        <v>0</v>
      </c>
      <c r="Q1425" s="247" t="e">
        <f t="shared" si="160"/>
        <v>#VALUE!</v>
      </c>
    </row>
    <row r="1426" spans="1:17" ht="15" customHeight="1" x14ac:dyDescent="0.25">
      <c r="A1426" s="244"/>
      <c r="B1426" s="244"/>
      <c r="C1426" s="244"/>
      <c r="D1426" s="244"/>
      <c r="E1426" s="244"/>
      <c r="F1426" s="244"/>
      <c r="G1426" s="244"/>
      <c r="I1426" s="244"/>
      <c r="J1426" s="244"/>
      <c r="K1426" s="246" t="e">
        <f t="shared" si="154"/>
        <v>#VALUE!</v>
      </c>
      <c r="L1426" s="246" t="e">
        <f t="shared" si="155"/>
        <v>#VALUE!</v>
      </c>
      <c r="M1426" s="247" t="e">
        <f t="shared" si="156"/>
        <v>#VALUE!</v>
      </c>
      <c r="N1426" s="246" t="e">
        <f t="shared" si="157"/>
        <v>#VALUE!</v>
      </c>
      <c r="O1426" s="247" t="e">
        <f t="shared" si="158"/>
        <v>#VALUE!</v>
      </c>
      <c r="P1426" s="247">
        <f t="shared" si="159"/>
        <v>0</v>
      </c>
      <c r="Q1426" s="247" t="e">
        <f t="shared" si="160"/>
        <v>#VALUE!</v>
      </c>
    </row>
    <row r="1427" spans="1:17" ht="15" customHeight="1" x14ac:dyDescent="0.25">
      <c r="A1427" s="244"/>
      <c r="B1427" s="244"/>
      <c r="C1427" s="244"/>
      <c r="D1427" s="244"/>
      <c r="E1427" s="244"/>
      <c r="F1427" s="244"/>
      <c r="G1427" s="244"/>
      <c r="I1427" s="244"/>
      <c r="J1427" s="244"/>
      <c r="K1427" s="246" t="e">
        <f t="shared" si="154"/>
        <v>#VALUE!</v>
      </c>
      <c r="L1427" s="246" t="e">
        <f t="shared" si="155"/>
        <v>#VALUE!</v>
      </c>
      <c r="M1427" s="247" t="e">
        <f t="shared" si="156"/>
        <v>#VALUE!</v>
      </c>
      <c r="N1427" s="246" t="e">
        <f t="shared" si="157"/>
        <v>#VALUE!</v>
      </c>
      <c r="O1427" s="247" t="e">
        <f t="shared" si="158"/>
        <v>#VALUE!</v>
      </c>
      <c r="P1427" s="247">
        <f t="shared" si="159"/>
        <v>0</v>
      </c>
      <c r="Q1427" s="247" t="e">
        <f t="shared" si="160"/>
        <v>#VALUE!</v>
      </c>
    </row>
    <row r="1428" spans="1:17" ht="15" customHeight="1" x14ac:dyDescent="0.25">
      <c r="A1428" s="244"/>
      <c r="B1428" s="244"/>
      <c r="C1428" s="244"/>
      <c r="D1428" s="244"/>
      <c r="E1428" s="244"/>
      <c r="F1428" s="244"/>
      <c r="G1428" s="244"/>
      <c r="I1428" s="244"/>
      <c r="J1428" s="244"/>
      <c r="K1428" s="246" t="e">
        <f t="shared" si="154"/>
        <v>#VALUE!</v>
      </c>
      <c r="L1428" s="246" t="e">
        <f t="shared" si="155"/>
        <v>#VALUE!</v>
      </c>
      <c r="M1428" s="247" t="e">
        <f t="shared" si="156"/>
        <v>#VALUE!</v>
      </c>
      <c r="N1428" s="246" t="e">
        <f t="shared" si="157"/>
        <v>#VALUE!</v>
      </c>
      <c r="O1428" s="247" t="e">
        <f t="shared" si="158"/>
        <v>#VALUE!</v>
      </c>
      <c r="P1428" s="247">
        <f t="shared" si="159"/>
        <v>0</v>
      </c>
      <c r="Q1428" s="247" t="e">
        <f t="shared" si="160"/>
        <v>#VALUE!</v>
      </c>
    </row>
    <row r="1429" spans="1:17" ht="15" customHeight="1" x14ac:dyDescent="0.25">
      <c r="A1429" s="244"/>
      <c r="B1429" s="244"/>
      <c r="C1429" s="244"/>
      <c r="D1429" s="244"/>
      <c r="E1429" s="244"/>
      <c r="F1429" s="244"/>
      <c r="G1429" s="244"/>
      <c r="I1429" s="244"/>
      <c r="J1429" s="244"/>
      <c r="K1429" s="246" t="e">
        <f t="shared" si="154"/>
        <v>#VALUE!</v>
      </c>
      <c r="L1429" s="246" t="e">
        <f t="shared" si="155"/>
        <v>#VALUE!</v>
      </c>
      <c r="M1429" s="247" t="e">
        <f t="shared" si="156"/>
        <v>#VALUE!</v>
      </c>
      <c r="N1429" s="246" t="e">
        <f t="shared" si="157"/>
        <v>#VALUE!</v>
      </c>
      <c r="O1429" s="247" t="e">
        <f t="shared" si="158"/>
        <v>#VALUE!</v>
      </c>
      <c r="P1429" s="247">
        <f t="shared" si="159"/>
        <v>0</v>
      </c>
      <c r="Q1429" s="247" t="e">
        <f t="shared" si="160"/>
        <v>#VALUE!</v>
      </c>
    </row>
    <row r="1430" spans="1:17" ht="15" customHeight="1" x14ac:dyDescent="0.25">
      <c r="A1430" s="244"/>
      <c r="B1430" s="244"/>
      <c r="C1430" s="244"/>
      <c r="D1430" s="244"/>
      <c r="E1430" s="244"/>
      <c r="F1430" s="244"/>
      <c r="G1430" s="244"/>
      <c r="I1430" s="244"/>
      <c r="J1430" s="244"/>
      <c r="K1430" s="246" t="e">
        <f t="shared" si="154"/>
        <v>#VALUE!</v>
      </c>
      <c r="L1430" s="246" t="e">
        <f t="shared" si="155"/>
        <v>#VALUE!</v>
      </c>
      <c r="M1430" s="247" t="e">
        <f t="shared" si="156"/>
        <v>#VALUE!</v>
      </c>
      <c r="N1430" s="246" t="e">
        <f t="shared" si="157"/>
        <v>#VALUE!</v>
      </c>
      <c r="O1430" s="247" t="e">
        <f t="shared" si="158"/>
        <v>#VALUE!</v>
      </c>
      <c r="P1430" s="247">
        <f t="shared" si="159"/>
        <v>0</v>
      </c>
      <c r="Q1430" s="247" t="e">
        <f t="shared" si="160"/>
        <v>#VALUE!</v>
      </c>
    </row>
    <row r="1431" spans="1:17" ht="15" customHeight="1" x14ac:dyDescent="0.25">
      <c r="A1431" s="244"/>
      <c r="B1431" s="244"/>
      <c r="C1431" s="244"/>
      <c r="D1431" s="244"/>
      <c r="E1431" s="244"/>
      <c r="F1431" s="244"/>
      <c r="G1431" s="244"/>
      <c r="I1431" s="244"/>
      <c r="J1431" s="244"/>
      <c r="K1431" s="246" t="e">
        <f t="shared" si="154"/>
        <v>#VALUE!</v>
      </c>
      <c r="L1431" s="246" t="e">
        <f t="shared" si="155"/>
        <v>#VALUE!</v>
      </c>
      <c r="M1431" s="247" t="e">
        <f t="shared" si="156"/>
        <v>#VALUE!</v>
      </c>
      <c r="N1431" s="246" t="e">
        <f t="shared" si="157"/>
        <v>#VALUE!</v>
      </c>
      <c r="O1431" s="247" t="e">
        <f t="shared" si="158"/>
        <v>#VALUE!</v>
      </c>
      <c r="P1431" s="247">
        <f t="shared" si="159"/>
        <v>0</v>
      </c>
      <c r="Q1431" s="247" t="e">
        <f t="shared" si="160"/>
        <v>#VALUE!</v>
      </c>
    </row>
    <row r="1432" spans="1:17" ht="15" customHeight="1" x14ac:dyDescent="0.25">
      <c r="A1432" s="244"/>
      <c r="B1432" s="244"/>
      <c r="C1432" s="244"/>
      <c r="D1432" s="244"/>
      <c r="E1432" s="244"/>
      <c r="F1432" s="244"/>
      <c r="G1432" s="244"/>
      <c r="I1432" s="244"/>
      <c r="J1432" s="244"/>
      <c r="K1432" s="246" t="e">
        <f t="shared" si="154"/>
        <v>#VALUE!</v>
      </c>
      <c r="L1432" s="246" t="e">
        <f t="shared" si="155"/>
        <v>#VALUE!</v>
      </c>
      <c r="M1432" s="247" t="e">
        <f t="shared" si="156"/>
        <v>#VALUE!</v>
      </c>
      <c r="N1432" s="246" t="e">
        <f t="shared" si="157"/>
        <v>#VALUE!</v>
      </c>
      <c r="O1432" s="247" t="e">
        <f t="shared" si="158"/>
        <v>#VALUE!</v>
      </c>
      <c r="P1432" s="247">
        <f t="shared" si="159"/>
        <v>0</v>
      </c>
      <c r="Q1432" s="247" t="e">
        <f t="shared" si="160"/>
        <v>#VALUE!</v>
      </c>
    </row>
    <row r="1433" spans="1:17" ht="15" customHeight="1" x14ac:dyDescent="0.25">
      <c r="A1433" s="244"/>
      <c r="B1433" s="244"/>
      <c r="C1433" s="244"/>
      <c r="D1433" s="244"/>
      <c r="E1433" s="244"/>
      <c r="F1433" s="244"/>
      <c r="G1433" s="244"/>
      <c r="I1433" s="244"/>
      <c r="J1433" s="244"/>
      <c r="K1433" s="246" t="e">
        <f t="shared" si="154"/>
        <v>#VALUE!</v>
      </c>
      <c r="L1433" s="246" t="e">
        <f t="shared" si="155"/>
        <v>#VALUE!</v>
      </c>
      <c r="M1433" s="247" t="e">
        <f t="shared" si="156"/>
        <v>#VALUE!</v>
      </c>
      <c r="N1433" s="246" t="e">
        <f t="shared" si="157"/>
        <v>#VALUE!</v>
      </c>
      <c r="O1433" s="247" t="e">
        <f t="shared" si="158"/>
        <v>#VALUE!</v>
      </c>
      <c r="P1433" s="247">
        <f t="shared" si="159"/>
        <v>0</v>
      </c>
      <c r="Q1433" s="247" t="e">
        <f t="shared" si="160"/>
        <v>#VALUE!</v>
      </c>
    </row>
    <row r="1434" spans="1:17" ht="15" customHeight="1" x14ac:dyDescent="0.25">
      <c r="A1434" s="244"/>
      <c r="B1434" s="244"/>
      <c r="C1434" s="244"/>
      <c r="D1434" s="244"/>
      <c r="E1434" s="244"/>
      <c r="F1434" s="244"/>
      <c r="G1434" s="244"/>
      <c r="I1434" s="244"/>
      <c r="J1434" s="244"/>
      <c r="K1434" s="246" t="e">
        <f t="shared" si="154"/>
        <v>#VALUE!</v>
      </c>
      <c r="L1434" s="246" t="e">
        <f t="shared" si="155"/>
        <v>#VALUE!</v>
      </c>
      <c r="M1434" s="247" t="e">
        <f t="shared" si="156"/>
        <v>#VALUE!</v>
      </c>
      <c r="N1434" s="246" t="e">
        <f t="shared" si="157"/>
        <v>#VALUE!</v>
      </c>
      <c r="O1434" s="247" t="e">
        <f t="shared" si="158"/>
        <v>#VALUE!</v>
      </c>
      <c r="P1434" s="247">
        <f t="shared" si="159"/>
        <v>0</v>
      </c>
      <c r="Q1434" s="247" t="e">
        <f t="shared" si="160"/>
        <v>#VALUE!</v>
      </c>
    </row>
    <row r="1435" spans="1:17" ht="15" customHeight="1" x14ac:dyDescent="0.25">
      <c r="A1435" s="244"/>
      <c r="B1435" s="244"/>
      <c r="C1435" s="244"/>
      <c r="D1435" s="244"/>
      <c r="E1435" s="244"/>
      <c r="F1435" s="244"/>
      <c r="G1435" s="244"/>
      <c r="I1435" s="244"/>
      <c r="J1435" s="244"/>
      <c r="K1435" s="246" t="e">
        <f t="shared" si="154"/>
        <v>#VALUE!</v>
      </c>
      <c r="L1435" s="246" t="e">
        <f t="shared" si="155"/>
        <v>#VALUE!</v>
      </c>
      <c r="M1435" s="247" t="e">
        <f t="shared" si="156"/>
        <v>#VALUE!</v>
      </c>
      <c r="N1435" s="246" t="e">
        <f t="shared" si="157"/>
        <v>#VALUE!</v>
      </c>
      <c r="O1435" s="247" t="e">
        <f t="shared" si="158"/>
        <v>#VALUE!</v>
      </c>
      <c r="P1435" s="247">
        <f t="shared" si="159"/>
        <v>0</v>
      </c>
      <c r="Q1435" s="247" t="e">
        <f t="shared" si="160"/>
        <v>#VALUE!</v>
      </c>
    </row>
    <row r="1436" spans="1:17" ht="15" customHeight="1" x14ac:dyDescent="0.25">
      <c r="A1436" s="244"/>
      <c r="B1436" s="244"/>
      <c r="C1436" s="244"/>
      <c r="D1436" s="244"/>
      <c r="E1436" s="244"/>
      <c r="F1436" s="244"/>
      <c r="G1436" s="244"/>
      <c r="I1436" s="244"/>
      <c r="J1436" s="244"/>
      <c r="K1436" s="246" t="e">
        <f t="shared" si="154"/>
        <v>#VALUE!</v>
      </c>
      <c r="L1436" s="246" t="e">
        <f t="shared" si="155"/>
        <v>#VALUE!</v>
      </c>
      <c r="M1436" s="247" t="e">
        <f t="shared" si="156"/>
        <v>#VALUE!</v>
      </c>
      <c r="N1436" s="246" t="e">
        <f t="shared" si="157"/>
        <v>#VALUE!</v>
      </c>
      <c r="O1436" s="247" t="e">
        <f t="shared" si="158"/>
        <v>#VALUE!</v>
      </c>
      <c r="P1436" s="247">
        <f t="shared" si="159"/>
        <v>0</v>
      </c>
      <c r="Q1436" s="247" t="e">
        <f t="shared" si="160"/>
        <v>#VALUE!</v>
      </c>
    </row>
    <row r="1437" spans="1:17" ht="15" customHeight="1" x14ac:dyDescent="0.25">
      <c r="A1437" s="244"/>
      <c r="B1437" s="244"/>
      <c r="C1437" s="244"/>
      <c r="D1437" s="244"/>
      <c r="E1437" s="244"/>
      <c r="F1437" s="244"/>
      <c r="G1437" s="244"/>
      <c r="I1437" s="244"/>
      <c r="J1437" s="244"/>
      <c r="K1437" s="246" t="e">
        <f t="shared" si="154"/>
        <v>#VALUE!</v>
      </c>
      <c r="L1437" s="246" t="e">
        <f t="shared" si="155"/>
        <v>#VALUE!</v>
      </c>
      <c r="M1437" s="247" t="e">
        <f t="shared" si="156"/>
        <v>#VALUE!</v>
      </c>
      <c r="N1437" s="246" t="e">
        <f t="shared" si="157"/>
        <v>#VALUE!</v>
      </c>
      <c r="O1437" s="247" t="e">
        <f t="shared" si="158"/>
        <v>#VALUE!</v>
      </c>
      <c r="P1437" s="247">
        <f t="shared" si="159"/>
        <v>0</v>
      </c>
      <c r="Q1437" s="247" t="e">
        <f t="shared" si="160"/>
        <v>#VALUE!</v>
      </c>
    </row>
    <row r="1438" spans="1:17" ht="15" customHeight="1" x14ac:dyDescent="0.25">
      <c r="A1438" s="244"/>
      <c r="B1438" s="244"/>
      <c r="C1438" s="244"/>
      <c r="D1438" s="244"/>
      <c r="E1438" s="244"/>
      <c r="F1438" s="244"/>
      <c r="G1438" s="244"/>
      <c r="I1438" s="244"/>
      <c r="J1438" s="244"/>
      <c r="K1438" s="246" t="e">
        <f t="shared" si="154"/>
        <v>#VALUE!</v>
      </c>
      <c r="L1438" s="246" t="e">
        <f t="shared" si="155"/>
        <v>#VALUE!</v>
      </c>
      <c r="M1438" s="247" t="e">
        <f t="shared" si="156"/>
        <v>#VALUE!</v>
      </c>
      <c r="N1438" s="246" t="e">
        <f t="shared" si="157"/>
        <v>#VALUE!</v>
      </c>
      <c r="O1438" s="247" t="e">
        <f t="shared" si="158"/>
        <v>#VALUE!</v>
      </c>
      <c r="P1438" s="247">
        <f t="shared" si="159"/>
        <v>0</v>
      </c>
      <c r="Q1438" s="247" t="e">
        <f t="shared" si="160"/>
        <v>#VALUE!</v>
      </c>
    </row>
    <row r="1439" spans="1:17" ht="15" customHeight="1" x14ac:dyDescent="0.25">
      <c r="A1439" s="244"/>
      <c r="B1439" s="244"/>
      <c r="C1439" s="244"/>
      <c r="D1439" s="244"/>
      <c r="E1439" s="244"/>
      <c r="F1439" s="244"/>
      <c r="G1439" s="244"/>
      <c r="I1439" s="244"/>
      <c r="J1439" s="244"/>
      <c r="K1439" s="246" t="e">
        <f t="shared" si="154"/>
        <v>#VALUE!</v>
      </c>
      <c r="L1439" s="246" t="e">
        <f t="shared" si="155"/>
        <v>#VALUE!</v>
      </c>
      <c r="M1439" s="247" t="e">
        <f t="shared" si="156"/>
        <v>#VALUE!</v>
      </c>
      <c r="N1439" s="246" t="e">
        <f t="shared" si="157"/>
        <v>#VALUE!</v>
      </c>
      <c r="O1439" s="247" t="e">
        <f t="shared" si="158"/>
        <v>#VALUE!</v>
      </c>
      <c r="P1439" s="247">
        <f t="shared" si="159"/>
        <v>0</v>
      </c>
      <c r="Q1439" s="247" t="e">
        <f t="shared" si="160"/>
        <v>#VALUE!</v>
      </c>
    </row>
    <row r="1440" spans="1:17" ht="15" customHeight="1" x14ac:dyDescent="0.25">
      <c r="A1440" s="244"/>
      <c r="B1440" s="244"/>
      <c r="C1440" s="244"/>
      <c r="D1440" s="244"/>
      <c r="E1440" s="244"/>
      <c r="F1440" s="244"/>
      <c r="G1440" s="244"/>
      <c r="I1440" s="244"/>
      <c r="J1440" s="244"/>
      <c r="K1440" s="246" t="e">
        <f t="shared" si="154"/>
        <v>#VALUE!</v>
      </c>
      <c r="L1440" s="246" t="e">
        <f t="shared" si="155"/>
        <v>#VALUE!</v>
      </c>
      <c r="M1440" s="247" t="e">
        <f t="shared" si="156"/>
        <v>#VALUE!</v>
      </c>
      <c r="N1440" s="246" t="e">
        <f t="shared" si="157"/>
        <v>#VALUE!</v>
      </c>
      <c r="O1440" s="247" t="e">
        <f t="shared" si="158"/>
        <v>#VALUE!</v>
      </c>
      <c r="P1440" s="247">
        <f t="shared" si="159"/>
        <v>0</v>
      </c>
      <c r="Q1440" s="247" t="e">
        <f t="shared" si="160"/>
        <v>#VALUE!</v>
      </c>
    </row>
    <row r="1441" spans="1:17" ht="15" customHeight="1" x14ac:dyDescent="0.25">
      <c r="A1441" s="244"/>
      <c r="B1441" s="244"/>
      <c r="C1441" s="244"/>
      <c r="D1441" s="244"/>
      <c r="E1441" s="244"/>
      <c r="F1441" s="244"/>
      <c r="G1441" s="244"/>
      <c r="I1441" s="244"/>
      <c r="J1441" s="244"/>
      <c r="K1441" s="246" t="e">
        <f t="shared" si="154"/>
        <v>#VALUE!</v>
      </c>
      <c r="L1441" s="246" t="e">
        <f t="shared" si="155"/>
        <v>#VALUE!</v>
      </c>
      <c r="M1441" s="247" t="e">
        <f t="shared" si="156"/>
        <v>#VALUE!</v>
      </c>
      <c r="N1441" s="246" t="e">
        <f t="shared" si="157"/>
        <v>#VALUE!</v>
      </c>
      <c r="O1441" s="247" t="e">
        <f t="shared" si="158"/>
        <v>#VALUE!</v>
      </c>
      <c r="P1441" s="247">
        <f t="shared" si="159"/>
        <v>0</v>
      </c>
      <c r="Q1441" s="247" t="e">
        <f t="shared" si="160"/>
        <v>#VALUE!</v>
      </c>
    </row>
    <row r="1442" spans="1:17" ht="15" customHeight="1" x14ac:dyDescent="0.25">
      <c r="A1442" s="244"/>
      <c r="B1442" s="244"/>
      <c r="C1442" s="244"/>
      <c r="D1442" s="244"/>
      <c r="E1442" s="244"/>
      <c r="F1442" s="244"/>
      <c r="G1442" s="244"/>
      <c r="I1442" s="244"/>
      <c r="J1442" s="244"/>
      <c r="K1442" s="246" t="e">
        <f t="shared" si="154"/>
        <v>#VALUE!</v>
      </c>
      <c r="L1442" s="246" t="e">
        <f t="shared" si="155"/>
        <v>#VALUE!</v>
      </c>
      <c r="M1442" s="247" t="e">
        <f t="shared" si="156"/>
        <v>#VALUE!</v>
      </c>
      <c r="N1442" s="246" t="e">
        <f t="shared" si="157"/>
        <v>#VALUE!</v>
      </c>
      <c r="O1442" s="247" t="e">
        <f t="shared" si="158"/>
        <v>#VALUE!</v>
      </c>
      <c r="P1442" s="247">
        <f t="shared" si="159"/>
        <v>0</v>
      </c>
      <c r="Q1442" s="247" t="e">
        <f t="shared" si="160"/>
        <v>#VALUE!</v>
      </c>
    </row>
    <row r="1443" spans="1:17" ht="15" customHeight="1" x14ac:dyDescent="0.25">
      <c r="A1443" s="244"/>
      <c r="B1443" s="244"/>
      <c r="C1443" s="244"/>
      <c r="D1443" s="244"/>
      <c r="E1443" s="244"/>
      <c r="F1443" s="244"/>
      <c r="G1443" s="244"/>
      <c r="I1443" s="244"/>
      <c r="J1443" s="244"/>
      <c r="K1443" s="246" t="e">
        <f t="shared" si="154"/>
        <v>#VALUE!</v>
      </c>
      <c r="L1443" s="246" t="e">
        <f t="shared" si="155"/>
        <v>#VALUE!</v>
      </c>
      <c r="M1443" s="247" t="e">
        <f t="shared" si="156"/>
        <v>#VALUE!</v>
      </c>
      <c r="N1443" s="246" t="e">
        <f t="shared" si="157"/>
        <v>#VALUE!</v>
      </c>
      <c r="O1443" s="247" t="e">
        <f t="shared" si="158"/>
        <v>#VALUE!</v>
      </c>
      <c r="P1443" s="247">
        <f t="shared" si="159"/>
        <v>0</v>
      </c>
      <c r="Q1443" s="247" t="e">
        <f t="shared" si="160"/>
        <v>#VALUE!</v>
      </c>
    </row>
    <row r="1444" spans="1:17" ht="15" customHeight="1" x14ac:dyDescent="0.25">
      <c r="A1444" s="244"/>
      <c r="B1444" s="244"/>
      <c r="C1444" s="244"/>
      <c r="D1444" s="244"/>
      <c r="E1444" s="244"/>
      <c r="F1444" s="244"/>
      <c r="G1444" s="244"/>
      <c r="I1444" s="244"/>
      <c r="J1444" s="244"/>
      <c r="K1444" s="246" t="e">
        <f t="shared" si="154"/>
        <v>#VALUE!</v>
      </c>
      <c r="L1444" s="246" t="e">
        <f t="shared" si="155"/>
        <v>#VALUE!</v>
      </c>
      <c r="M1444" s="247" t="e">
        <f t="shared" si="156"/>
        <v>#VALUE!</v>
      </c>
      <c r="N1444" s="246" t="e">
        <f t="shared" si="157"/>
        <v>#VALUE!</v>
      </c>
      <c r="O1444" s="247" t="e">
        <f t="shared" si="158"/>
        <v>#VALUE!</v>
      </c>
      <c r="P1444" s="247">
        <f t="shared" si="159"/>
        <v>0</v>
      </c>
      <c r="Q1444" s="247" t="e">
        <f t="shared" si="160"/>
        <v>#VALUE!</v>
      </c>
    </row>
    <row r="1445" spans="1:17" ht="15" customHeight="1" x14ac:dyDescent="0.25">
      <c r="A1445" s="244"/>
      <c r="B1445" s="244"/>
      <c r="C1445" s="244"/>
      <c r="D1445" s="244"/>
      <c r="E1445" s="244"/>
      <c r="F1445" s="244"/>
      <c r="G1445" s="244"/>
      <c r="I1445" s="244"/>
      <c r="J1445" s="244"/>
      <c r="K1445" s="246" t="e">
        <f t="shared" si="154"/>
        <v>#VALUE!</v>
      </c>
      <c r="L1445" s="246" t="e">
        <f t="shared" si="155"/>
        <v>#VALUE!</v>
      </c>
      <c r="M1445" s="247" t="e">
        <f t="shared" si="156"/>
        <v>#VALUE!</v>
      </c>
      <c r="N1445" s="246" t="e">
        <f t="shared" si="157"/>
        <v>#VALUE!</v>
      </c>
      <c r="O1445" s="247" t="e">
        <f t="shared" si="158"/>
        <v>#VALUE!</v>
      </c>
      <c r="P1445" s="247">
        <f t="shared" si="159"/>
        <v>0</v>
      </c>
      <c r="Q1445" s="247" t="e">
        <f t="shared" si="160"/>
        <v>#VALUE!</v>
      </c>
    </row>
    <row r="1446" spans="1:17" ht="15" customHeight="1" x14ac:dyDescent="0.25">
      <c r="A1446" s="244"/>
      <c r="B1446" s="244"/>
      <c r="C1446" s="244"/>
      <c r="D1446" s="244"/>
      <c r="E1446" s="244"/>
      <c r="F1446" s="244"/>
      <c r="G1446" s="244"/>
      <c r="I1446" s="244"/>
      <c r="J1446" s="244"/>
      <c r="K1446" s="246" t="e">
        <f t="shared" si="154"/>
        <v>#VALUE!</v>
      </c>
      <c r="L1446" s="246" t="e">
        <f t="shared" si="155"/>
        <v>#VALUE!</v>
      </c>
      <c r="M1446" s="247" t="e">
        <f t="shared" si="156"/>
        <v>#VALUE!</v>
      </c>
      <c r="N1446" s="246" t="e">
        <f t="shared" si="157"/>
        <v>#VALUE!</v>
      </c>
      <c r="O1446" s="247" t="e">
        <f t="shared" si="158"/>
        <v>#VALUE!</v>
      </c>
      <c r="P1446" s="247">
        <f t="shared" si="159"/>
        <v>0</v>
      </c>
      <c r="Q1446" s="247" t="e">
        <f t="shared" si="160"/>
        <v>#VALUE!</v>
      </c>
    </row>
    <row r="1447" spans="1:17" ht="15" customHeight="1" x14ac:dyDescent="0.25">
      <c r="A1447" s="244"/>
      <c r="B1447" s="244"/>
      <c r="C1447" s="244"/>
      <c r="D1447" s="244"/>
      <c r="E1447" s="244"/>
      <c r="F1447" s="244"/>
      <c r="G1447" s="244"/>
      <c r="I1447" s="244"/>
      <c r="J1447" s="244"/>
      <c r="K1447" s="246" t="e">
        <f t="shared" si="154"/>
        <v>#VALUE!</v>
      </c>
      <c r="L1447" s="246" t="e">
        <f t="shared" si="155"/>
        <v>#VALUE!</v>
      </c>
      <c r="M1447" s="247" t="e">
        <f t="shared" si="156"/>
        <v>#VALUE!</v>
      </c>
      <c r="N1447" s="246" t="e">
        <f t="shared" si="157"/>
        <v>#VALUE!</v>
      </c>
      <c r="O1447" s="247" t="e">
        <f t="shared" si="158"/>
        <v>#VALUE!</v>
      </c>
      <c r="P1447" s="247">
        <f t="shared" si="159"/>
        <v>0</v>
      </c>
      <c r="Q1447" s="247" t="e">
        <f t="shared" si="160"/>
        <v>#VALUE!</v>
      </c>
    </row>
    <row r="1448" spans="1:17" ht="15" customHeight="1" x14ac:dyDescent="0.25">
      <c r="A1448" s="244"/>
      <c r="B1448" s="244"/>
      <c r="C1448" s="244"/>
      <c r="D1448" s="244"/>
      <c r="E1448" s="244"/>
      <c r="F1448" s="244"/>
      <c r="G1448" s="244"/>
      <c r="I1448" s="244"/>
      <c r="J1448" s="244"/>
      <c r="K1448" s="246" t="e">
        <f t="shared" si="154"/>
        <v>#VALUE!</v>
      </c>
      <c r="L1448" s="246" t="e">
        <f t="shared" si="155"/>
        <v>#VALUE!</v>
      </c>
      <c r="M1448" s="247" t="e">
        <f t="shared" si="156"/>
        <v>#VALUE!</v>
      </c>
      <c r="N1448" s="246" t="e">
        <f t="shared" si="157"/>
        <v>#VALUE!</v>
      </c>
      <c r="O1448" s="247" t="e">
        <f t="shared" si="158"/>
        <v>#VALUE!</v>
      </c>
      <c r="P1448" s="247">
        <f t="shared" si="159"/>
        <v>0</v>
      </c>
      <c r="Q1448" s="247" t="e">
        <f t="shared" si="160"/>
        <v>#VALUE!</v>
      </c>
    </row>
    <row r="1449" spans="1:17" ht="15" customHeight="1" x14ac:dyDescent="0.25">
      <c r="A1449" s="244"/>
      <c r="B1449" s="244"/>
      <c r="C1449" s="244"/>
      <c r="D1449" s="244"/>
      <c r="E1449" s="244"/>
      <c r="F1449" s="244"/>
      <c r="G1449" s="244"/>
      <c r="I1449" s="244"/>
      <c r="J1449" s="244"/>
      <c r="K1449" s="246" t="e">
        <f t="shared" si="154"/>
        <v>#VALUE!</v>
      </c>
      <c r="L1449" s="246" t="e">
        <f t="shared" si="155"/>
        <v>#VALUE!</v>
      </c>
      <c r="M1449" s="247" t="e">
        <f t="shared" si="156"/>
        <v>#VALUE!</v>
      </c>
      <c r="N1449" s="246" t="e">
        <f t="shared" si="157"/>
        <v>#VALUE!</v>
      </c>
      <c r="O1449" s="247" t="e">
        <f t="shared" si="158"/>
        <v>#VALUE!</v>
      </c>
      <c r="P1449" s="247">
        <f t="shared" si="159"/>
        <v>0</v>
      </c>
      <c r="Q1449" s="247" t="e">
        <f t="shared" si="160"/>
        <v>#VALUE!</v>
      </c>
    </row>
    <row r="1450" spans="1:17" ht="15" customHeight="1" x14ac:dyDescent="0.25">
      <c r="A1450" s="244"/>
      <c r="B1450" s="244"/>
      <c r="C1450" s="244"/>
      <c r="D1450" s="244"/>
      <c r="E1450" s="244"/>
      <c r="F1450" s="244"/>
      <c r="G1450" s="244"/>
      <c r="I1450" s="244"/>
      <c r="J1450" s="244"/>
      <c r="K1450" s="246" t="e">
        <f t="shared" si="154"/>
        <v>#VALUE!</v>
      </c>
      <c r="L1450" s="246" t="e">
        <f t="shared" si="155"/>
        <v>#VALUE!</v>
      </c>
      <c r="M1450" s="247" t="e">
        <f t="shared" si="156"/>
        <v>#VALUE!</v>
      </c>
      <c r="N1450" s="246" t="e">
        <f t="shared" si="157"/>
        <v>#VALUE!</v>
      </c>
      <c r="O1450" s="247" t="e">
        <f t="shared" si="158"/>
        <v>#VALUE!</v>
      </c>
      <c r="P1450" s="247">
        <f t="shared" si="159"/>
        <v>0</v>
      </c>
      <c r="Q1450" s="247" t="e">
        <f t="shared" si="160"/>
        <v>#VALUE!</v>
      </c>
    </row>
    <row r="1451" spans="1:17" ht="15" customHeight="1" x14ac:dyDescent="0.25">
      <c r="A1451" s="244"/>
      <c r="B1451" s="244"/>
      <c r="C1451" s="244"/>
      <c r="D1451" s="244"/>
      <c r="E1451" s="244"/>
      <c r="F1451" s="244"/>
      <c r="G1451" s="244"/>
      <c r="I1451" s="244"/>
      <c r="J1451" s="244"/>
      <c r="K1451" s="246" t="e">
        <f t="shared" si="154"/>
        <v>#VALUE!</v>
      </c>
      <c r="L1451" s="246" t="e">
        <f t="shared" si="155"/>
        <v>#VALUE!</v>
      </c>
      <c r="M1451" s="247" t="e">
        <f t="shared" si="156"/>
        <v>#VALUE!</v>
      </c>
      <c r="N1451" s="246" t="e">
        <f t="shared" si="157"/>
        <v>#VALUE!</v>
      </c>
      <c r="O1451" s="247" t="e">
        <f t="shared" si="158"/>
        <v>#VALUE!</v>
      </c>
      <c r="P1451" s="247">
        <f t="shared" si="159"/>
        <v>0</v>
      </c>
      <c r="Q1451" s="247" t="e">
        <f t="shared" si="160"/>
        <v>#VALUE!</v>
      </c>
    </row>
    <row r="1452" spans="1:17" ht="15" customHeight="1" x14ac:dyDescent="0.25">
      <c r="A1452" s="244"/>
      <c r="B1452" s="244"/>
      <c r="C1452" s="244"/>
      <c r="D1452" s="244"/>
      <c r="E1452" s="244"/>
      <c r="F1452" s="244"/>
      <c r="G1452" s="244"/>
      <c r="I1452" s="244"/>
      <c r="J1452" s="244"/>
      <c r="K1452" s="246" t="e">
        <f t="shared" si="154"/>
        <v>#VALUE!</v>
      </c>
      <c r="L1452" s="246" t="e">
        <f t="shared" si="155"/>
        <v>#VALUE!</v>
      </c>
      <c r="M1452" s="247" t="e">
        <f t="shared" si="156"/>
        <v>#VALUE!</v>
      </c>
      <c r="N1452" s="246" t="e">
        <f t="shared" si="157"/>
        <v>#VALUE!</v>
      </c>
      <c r="O1452" s="247" t="e">
        <f t="shared" si="158"/>
        <v>#VALUE!</v>
      </c>
      <c r="P1452" s="247">
        <f t="shared" si="159"/>
        <v>0</v>
      </c>
      <c r="Q1452" s="247" t="e">
        <f t="shared" si="160"/>
        <v>#VALUE!</v>
      </c>
    </row>
    <row r="1453" spans="1:17" ht="15" customHeight="1" x14ac:dyDescent="0.25">
      <c r="A1453" s="244"/>
      <c r="B1453" s="244"/>
      <c r="C1453" s="244"/>
      <c r="D1453" s="244"/>
      <c r="E1453" s="244"/>
      <c r="F1453" s="244"/>
      <c r="G1453" s="244"/>
      <c r="I1453" s="244"/>
      <c r="J1453" s="244"/>
      <c r="K1453" s="246" t="e">
        <f t="shared" si="154"/>
        <v>#VALUE!</v>
      </c>
      <c r="L1453" s="246" t="e">
        <f t="shared" si="155"/>
        <v>#VALUE!</v>
      </c>
      <c r="M1453" s="247" t="e">
        <f t="shared" si="156"/>
        <v>#VALUE!</v>
      </c>
      <c r="N1453" s="246" t="e">
        <f t="shared" si="157"/>
        <v>#VALUE!</v>
      </c>
      <c r="O1453" s="247" t="e">
        <f t="shared" si="158"/>
        <v>#VALUE!</v>
      </c>
      <c r="P1453" s="247">
        <f t="shared" si="159"/>
        <v>0</v>
      </c>
      <c r="Q1453" s="247" t="e">
        <f t="shared" si="160"/>
        <v>#VALUE!</v>
      </c>
    </row>
    <row r="1454" spans="1:17" ht="15" customHeight="1" x14ac:dyDescent="0.25">
      <c r="A1454" s="244"/>
      <c r="B1454" s="244"/>
      <c r="C1454" s="244"/>
      <c r="D1454" s="244"/>
      <c r="E1454" s="244"/>
      <c r="F1454" s="244"/>
      <c r="G1454" s="244"/>
      <c r="I1454" s="244"/>
      <c r="J1454" s="244"/>
      <c r="K1454" s="246" t="e">
        <f t="shared" si="154"/>
        <v>#VALUE!</v>
      </c>
      <c r="L1454" s="246" t="e">
        <f t="shared" si="155"/>
        <v>#VALUE!</v>
      </c>
      <c r="M1454" s="247" t="e">
        <f t="shared" si="156"/>
        <v>#VALUE!</v>
      </c>
      <c r="N1454" s="246" t="e">
        <f t="shared" si="157"/>
        <v>#VALUE!</v>
      </c>
      <c r="O1454" s="247" t="e">
        <f t="shared" si="158"/>
        <v>#VALUE!</v>
      </c>
      <c r="P1454" s="247">
        <f t="shared" si="159"/>
        <v>0</v>
      </c>
      <c r="Q1454" s="247" t="e">
        <f t="shared" si="160"/>
        <v>#VALUE!</v>
      </c>
    </row>
    <row r="1455" spans="1:17" ht="15" customHeight="1" x14ac:dyDescent="0.25">
      <c r="A1455" s="244"/>
      <c r="B1455" s="244"/>
      <c r="C1455" s="244"/>
      <c r="D1455" s="244"/>
      <c r="E1455" s="244"/>
      <c r="F1455" s="244"/>
      <c r="G1455" s="244"/>
      <c r="I1455" s="244"/>
      <c r="J1455" s="244"/>
      <c r="K1455" s="246" t="e">
        <f t="shared" si="154"/>
        <v>#VALUE!</v>
      </c>
      <c r="L1455" s="246" t="e">
        <f t="shared" si="155"/>
        <v>#VALUE!</v>
      </c>
      <c r="M1455" s="247" t="e">
        <f t="shared" si="156"/>
        <v>#VALUE!</v>
      </c>
      <c r="N1455" s="246" t="e">
        <f t="shared" si="157"/>
        <v>#VALUE!</v>
      </c>
      <c r="O1455" s="247" t="e">
        <f t="shared" si="158"/>
        <v>#VALUE!</v>
      </c>
      <c r="P1455" s="247">
        <f t="shared" si="159"/>
        <v>0</v>
      </c>
      <c r="Q1455" s="247" t="e">
        <f t="shared" si="160"/>
        <v>#VALUE!</v>
      </c>
    </row>
    <row r="1456" spans="1:17" ht="15" customHeight="1" x14ac:dyDescent="0.25">
      <c r="A1456" s="244"/>
      <c r="B1456" s="244"/>
      <c r="C1456" s="244"/>
      <c r="D1456" s="244"/>
      <c r="E1456" s="244"/>
      <c r="F1456" s="244"/>
      <c r="G1456" s="244"/>
      <c r="I1456" s="244"/>
      <c r="J1456" s="244"/>
      <c r="K1456" s="246" t="e">
        <f t="shared" si="154"/>
        <v>#VALUE!</v>
      </c>
      <c r="L1456" s="246" t="e">
        <f t="shared" si="155"/>
        <v>#VALUE!</v>
      </c>
      <c r="M1456" s="247" t="e">
        <f t="shared" si="156"/>
        <v>#VALUE!</v>
      </c>
      <c r="N1456" s="246" t="e">
        <f t="shared" si="157"/>
        <v>#VALUE!</v>
      </c>
      <c r="O1456" s="247" t="e">
        <f t="shared" si="158"/>
        <v>#VALUE!</v>
      </c>
      <c r="P1456" s="247">
        <f t="shared" si="159"/>
        <v>0</v>
      </c>
      <c r="Q1456" s="247" t="e">
        <f t="shared" si="160"/>
        <v>#VALUE!</v>
      </c>
    </row>
    <row r="1457" spans="1:17" ht="15" customHeight="1" x14ac:dyDescent="0.25">
      <c r="A1457" s="244"/>
      <c r="B1457" s="244"/>
      <c r="C1457" s="244"/>
      <c r="D1457" s="244"/>
      <c r="E1457" s="244"/>
      <c r="F1457" s="244"/>
      <c r="G1457" s="244"/>
      <c r="I1457" s="244"/>
      <c r="J1457" s="244"/>
      <c r="K1457" s="246" t="e">
        <f t="shared" si="154"/>
        <v>#VALUE!</v>
      </c>
      <c r="L1457" s="246" t="e">
        <f t="shared" si="155"/>
        <v>#VALUE!</v>
      </c>
      <c r="M1457" s="247" t="e">
        <f t="shared" si="156"/>
        <v>#VALUE!</v>
      </c>
      <c r="N1457" s="246" t="e">
        <f t="shared" si="157"/>
        <v>#VALUE!</v>
      </c>
      <c r="O1457" s="247" t="e">
        <f t="shared" si="158"/>
        <v>#VALUE!</v>
      </c>
      <c r="P1457" s="247">
        <f t="shared" si="159"/>
        <v>0</v>
      </c>
      <c r="Q1457" s="247" t="e">
        <f t="shared" si="160"/>
        <v>#VALUE!</v>
      </c>
    </row>
    <row r="1458" spans="1:17" ht="15" customHeight="1" x14ac:dyDescent="0.25">
      <c r="A1458" s="244"/>
      <c r="B1458" s="244"/>
      <c r="C1458" s="244"/>
      <c r="D1458" s="244"/>
      <c r="E1458" s="244"/>
      <c r="F1458" s="244"/>
      <c r="G1458" s="244"/>
      <c r="I1458" s="244"/>
      <c r="J1458" s="244"/>
      <c r="K1458" s="246" t="e">
        <f t="shared" si="154"/>
        <v>#VALUE!</v>
      </c>
      <c r="L1458" s="246" t="e">
        <f t="shared" si="155"/>
        <v>#VALUE!</v>
      </c>
      <c r="M1458" s="247" t="e">
        <f t="shared" si="156"/>
        <v>#VALUE!</v>
      </c>
      <c r="N1458" s="246" t="e">
        <f t="shared" si="157"/>
        <v>#VALUE!</v>
      </c>
      <c r="O1458" s="247" t="e">
        <f t="shared" si="158"/>
        <v>#VALUE!</v>
      </c>
      <c r="P1458" s="247">
        <f t="shared" si="159"/>
        <v>0</v>
      </c>
      <c r="Q1458" s="247" t="e">
        <f t="shared" si="160"/>
        <v>#VALUE!</v>
      </c>
    </row>
    <row r="1459" spans="1:17" ht="15" customHeight="1" x14ac:dyDescent="0.25">
      <c r="A1459" s="244"/>
      <c r="B1459" s="244"/>
      <c r="C1459" s="244"/>
      <c r="D1459" s="244"/>
      <c r="E1459" s="244"/>
      <c r="F1459" s="244"/>
      <c r="G1459" s="244"/>
      <c r="I1459" s="244"/>
      <c r="J1459" s="244"/>
      <c r="K1459" s="246" t="e">
        <f t="shared" si="154"/>
        <v>#VALUE!</v>
      </c>
      <c r="L1459" s="246" t="e">
        <f t="shared" si="155"/>
        <v>#VALUE!</v>
      </c>
      <c r="M1459" s="247" t="e">
        <f t="shared" si="156"/>
        <v>#VALUE!</v>
      </c>
      <c r="N1459" s="246" t="e">
        <f t="shared" si="157"/>
        <v>#VALUE!</v>
      </c>
      <c r="O1459" s="247" t="e">
        <f t="shared" si="158"/>
        <v>#VALUE!</v>
      </c>
      <c r="P1459" s="247">
        <f t="shared" si="159"/>
        <v>0</v>
      </c>
      <c r="Q1459" s="247" t="e">
        <f t="shared" si="160"/>
        <v>#VALUE!</v>
      </c>
    </row>
    <row r="1460" spans="1:17" ht="15" customHeight="1" x14ac:dyDescent="0.25">
      <c r="A1460" s="244"/>
      <c r="B1460" s="244"/>
      <c r="C1460" s="244"/>
      <c r="D1460" s="244"/>
      <c r="E1460" s="244"/>
      <c r="F1460" s="244"/>
      <c r="G1460" s="244"/>
      <c r="I1460" s="244"/>
      <c r="J1460" s="244"/>
      <c r="K1460" s="246" t="e">
        <f t="shared" si="154"/>
        <v>#VALUE!</v>
      </c>
      <c r="L1460" s="246" t="e">
        <f t="shared" si="155"/>
        <v>#VALUE!</v>
      </c>
      <c r="M1460" s="247" t="e">
        <f t="shared" si="156"/>
        <v>#VALUE!</v>
      </c>
      <c r="N1460" s="246" t="e">
        <f t="shared" si="157"/>
        <v>#VALUE!</v>
      </c>
      <c r="O1460" s="247" t="e">
        <f t="shared" si="158"/>
        <v>#VALUE!</v>
      </c>
      <c r="P1460" s="247">
        <f t="shared" si="159"/>
        <v>0</v>
      </c>
      <c r="Q1460" s="247" t="e">
        <f t="shared" si="160"/>
        <v>#VALUE!</v>
      </c>
    </row>
    <row r="1461" spans="1:17" ht="15" customHeight="1" x14ac:dyDescent="0.25">
      <c r="A1461" s="244"/>
      <c r="B1461" s="244"/>
      <c r="C1461" s="244"/>
      <c r="D1461" s="244"/>
      <c r="E1461" s="244"/>
      <c r="F1461" s="244"/>
      <c r="G1461" s="244"/>
      <c r="I1461" s="244"/>
      <c r="J1461" s="244"/>
      <c r="K1461" s="246" t="e">
        <f t="shared" si="154"/>
        <v>#VALUE!</v>
      </c>
      <c r="L1461" s="246" t="e">
        <f t="shared" si="155"/>
        <v>#VALUE!</v>
      </c>
      <c r="M1461" s="247" t="e">
        <f t="shared" si="156"/>
        <v>#VALUE!</v>
      </c>
      <c r="N1461" s="246" t="e">
        <f t="shared" si="157"/>
        <v>#VALUE!</v>
      </c>
      <c r="O1461" s="247" t="e">
        <f t="shared" si="158"/>
        <v>#VALUE!</v>
      </c>
      <c r="P1461" s="247">
        <f t="shared" si="159"/>
        <v>0</v>
      </c>
      <c r="Q1461" s="247" t="e">
        <f t="shared" si="160"/>
        <v>#VALUE!</v>
      </c>
    </row>
    <row r="1462" spans="1:17" ht="15" customHeight="1" x14ac:dyDescent="0.25">
      <c r="A1462" s="244"/>
      <c r="B1462" s="244"/>
      <c r="C1462" s="244"/>
      <c r="D1462" s="244"/>
      <c r="E1462" s="244"/>
      <c r="F1462" s="244"/>
      <c r="G1462" s="244"/>
      <c r="I1462" s="244"/>
      <c r="J1462" s="244"/>
      <c r="K1462" s="246" t="e">
        <f t="shared" si="154"/>
        <v>#VALUE!</v>
      </c>
      <c r="L1462" s="246" t="e">
        <f t="shared" si="155"/>
        <v>#VALUE!</v>
      </c>
      <c r="M1462" s="247" t="e">
        <f t="shared" si="156"/>
        <v>#VALUE!</v>
      </c>
      <c r="N1462" s="246" t="e">
        <f t="shared" si="157"/>
        <v>#VALUE!</v>
      </c>
      <c r="O1462" s="247" t="e">
        <f t="shared" si="158"/>
        <v>#VALUE!</v>
      </c>
      <c r="P1462" s="247">
        <f t="shared" si="159"/>
        <v>0</v>
      </c>
      <c r="Q1462" s="247" t="e">
        <f t="shared" si="160"/>
        <v>#VALUE!</v>
      </c>
    </row>
    <row r="1463" spans="1:17" ht="15" customHeight="1" x14ac:dyDescent="0.25">
      <c r="A1463" s="244"/>
      <c r="B1463" s="244"/>
      <c r="C1463" s="244"/>
      <c r="D1463" s="244"/>
      <c r="E1463" s="244"/>
      <c r="F1463" s="244"/>
      <c r="G1463" s="244"/>
      <c r="I1463" s="244"/>
      <c r="J1463" s="244"/>
      <c r="K1463" s="246" t="e">
        <f t="shared" si="154"/>
        <v>#VALUE!</v>
      </c>
      <c r="L1463" s="246" t="e">
        <f t="shared" si="155"/>
        <v>#VALUE!</v>
      </c>
      <c r="M1463" s="247" t="e">
        <f t="shared" si="156"/>
        <v>#VALUE!</v>
      </c>
      <c r="N1463" s="246" t="e">
        <f t="shared" si="157"/>
        <v>#VALUE!</v>
      </c>
      <c r="O1463" s="247" t="e">
        <f t="shared" si="158"/>
        <v>#VALUE!</v>
      </c>
      <c r="P1463" s="247">
        <f t="shared" si="159"/>
        <v>0</v>
      </c>
      <c r="Q1463" s="247" t="e">
        <f t="shared" si="160"/>
        <v>#VALUE!</v>
      </c>
    </row>
    <row r="1464" spans="1:17" ht="15" customHeight="1" x14ac:dyDescent="0.25">
      <c r="A1464" s="244"/>
      <c r="B1464" s="244"/>
      <c r="C1464" s="244"/>
      <c r="D1464" s="244"/>
      <c r="E1464" s="244"/>
      <c r="F1464" s="244"/>
      <c r="G1464" s="244"/>
      <c r="I1464" s="244"/>
      <c r="J1464" s="244"/>
      <c r="K1464" s="246" t="e">
        <f t="shared" si="154"/>
        <v>#VALUE!</v>
      </c>
      <c r="L1464" s="246" t="e">
        <f t="shared" si="155"/>
        <v>#VALUE!</v>
      </c>
      <c r="M1464" s="247" t="e">
        <f t="shared" si="156"/>
        <v>#VALUE!</v>
      </c>
      <c r="N1464" s="246" t="e">
        <f t="shared" si="157"/>
        <v>#VALUE!</v>
      </c>
      <c r="O1464" s="247" t="e">
        <f t="shared" si="158"/>
        <v>#VALUE!</v>
      </c>
      <c r="P1464" s="247">
        <f t="shared" si="159"/>
        <v>0</v>
      </c>
      <c r="Q1464" s="247" t="e">
        <f t="shared" si="160"/>
        <v>#VALUE!</v>
      </c>
    </row>
    <row r="1465" spans="1:17" ht="15" customHeight="1" x14ac:dyDescent="0.25">
      <c r="A1465" s="244"/>
      <c r="B1465" s="244"/>
      <c r="C1465" s="244"/>
      <c r="D1465" s="244"/>
      <c r="E1465" s="244"/>
      <c r="F1465" s="244"/>
      <c r="G1465" s="244"/>
      <c r="I1465" s="244"/>
      <c r="J1465" s="244"/>
      <c r="K1465" s="246" t="e">
        <f t="shared" si="154"/>
        <v>#VALUE!</v>
      </c>
      <c r="L1465" s="246" t="e">
        <f t="shared" si="155"/>
        <v>#VALUE!</v>
      </c>
      <c r="M1465" s="247" t="e">
        <f t="shared" si="156"/>
        <v>#VALUE!</v>
      </c>
      <c r="N1465" s="246" t="e">
        <f t="shared" si="157"/>
        <v>#VALUE!</v>
      </c>
      <c r="O1465" s="247" t="e">
        <f t="shared" si="158"/>
        <v>#VALUE!</v>
      </c>
      <c r="P1465" s="247">
        <f t="shared" si="159"/>
        <v>0</v>
      </c>
      <c r="Q1465" s="247" t="e">
        <f t="shared" si="160"/>
        <v>#VALUE!</v>
      </c>
    </row>
    <row r="1466" spans="1:17" ht="15" customHeight="1" x14ac:dyDescent="0.25">
      <c r="A1466" s="244"/>
      <c r="B1466" s="244"/>
      <c r="C1466" s="244"/>
      <c r="D1466" s="244"/>
      <c r="E1466" s="244"/>
      <c r="F1466" s="244"/>
      <c r="G1466" s="244"/>
      <c r="I1466" s="244"/>
      <c r="J1466" s="244"/>
      <c r="K1466" s="246" t="e">
        <f t="shared" si="154"/>
        <v>#VALUE!</v>
      </c>
      <c r="L1466" s="246" t="e">
        <f t="shared" si="155"/>
        <v>#VALUE!</v>
      </c>
      <c r="M1466" s="247" t="e">
        <f t="shared" si="156"/>
        <v>#VALUE!</v>
      </c>
      <c r="N1466" s="246" t="e">
        <f t="shared" si="157"/>
        <v>#VALUE!</v>
      </c>
      <c r="O1466" s="247" t="e">
        <f t="shared" si="158"/>
        <v>#VALUE!</v>
      </c>
      <c r="P1466" s="247">
        <f t="shared" si="159"/>
        <v>0</v>
      </c>
      <c r="Q1466" s="247" t="e">
        <f t="shared" si="160"/>
        <v>#VALUE!</v>
      </c>
    </row>
    <row r="1467" spans="1:17" ht="15" customHeight="1" x14ac:dyDescent="0.25">
      <c r="A1467" s="244"/>
      <c r="B1467" s="244"/>
      <c r="C1467" s="244"/>
      <c r="D1467" s="244"/>
      <c r="E1467" s="244"/>
      <c r="F1467" s="244"/>
      <c r="G1467" s="244"/>
      <c r="I1467" s="244"/>
      <c r="J1467" s="244"/>
      <c r="K1467" s="246" t="e">
        <f t="shared" si="154"/>
        <v>#VALUE!</v>
      </c>
      <c r="L1467" s="246" t="e">
        <f t="shared" si="155"/>
        <v>#VALUE!</v>
      </c>
      <c r="M1467" s="247" t="e">
        <f t="shared" si="156"/>
        <v>#VALUE!</v>
      </c>
      <c r="N1467" s="246" t="e">
        <f t="shared" si="157"/>
        <v>#VALUE!</v>
      </c>
      <c r="O1467" s="247" t="e">
        <f t="shared" si="158"/>
        <v>#VALUE!</v>
      </c>
      <c r="P1467" s="247">
        <f t="shared" si="159"/>
        <v>0</v>
      </c>
      <c r="Q1467" s="247" t="e">
        <f t="shared" si="160"/>
        <v>#VALUE!</v>
      </c>
    </row>
    <row r="1468" spans="1:17" ht="15" customHeight="1" x14ac:dyDescent="0.25">
      <c r="A1468" s="244"/>
      <c r="B1468" s="244"/>
      <c r="C1468" s="244"/>
      <c r="D1468" s="244"/>
      <c r="E1468" s="244"/>
      <c r="F1468" s="244"/>
      <c r="G1468" s="244"/>
      <c r="I1468" s="244"/>
      <c r="J1468" s="244"/>
      <c r="K1468" s="246" t="e">
        <f t="shared" si="154"/>
        <v>#VALUE!</v>
      </c>
      <c r="L1468" s="246" t="e">
        <f t="shared" si="155"/>
        <v>#VALUE!</v>
      </c>
      <c r="M1468" s="247" t="e">
        <f t="shared" si="156"/>
        <v>#VALUE!</v>
      </c>
      <c r="N1468" s="246" t="e">
        <f t="shared" si="157"/>
        <v>#VALUE!</v>
      </c>
      <c r="O1468" s="247" t="e">
        <f t="shared" si="158"/>
        <v>#VALUE!</v>
      </c>
      <c r="P1468" s="247">
        <f t="shared" si="159"/>
        <v>0</v>
      </c>
      <c r="Q1468" s="247" t="e">
        <f t="shared" si="160"/>
        <v>#VALUE!</v>
      </c>
    </row>
    <row r="1469" spans="1:17" ht="15" customHeight="1" x14ac:dyDescent="0.25">
      <c r="A1469" s="244"/>
      <c r="B1469" s="244"/>
      <c r="C1469" s="244"/>
      <c r="D1469" s="244"/>
      <c r="E1469" s="244"/>
      <c r="F1469" s="244"/>
      <c r="G1469" s="244"/>
      <c r="I1469" s="244"/>
      <c r="J1469" s="244"/>
      <c r="K1469" s="246" t="e">
        <f t="shared" si="154"/>
        <v>#VALUE!</v>
      </c>
      <c r="L1469" s="246" t="e">
        <f t="shared" si="155"/>
        <v>#VALUE!</v>
      </c>
      <c r="M1469" s="247" t="e">
        <f t="shared" si="156"/>
        <v>#VALUE!</v>
      </c>
      <c r="N1469" s="246" t="e">
        <f t="shared" si="157"/>
        <v>#VALUE!</v>
      </c>
      <c r="O1469" s="247" t="e">
        <f t="shared" si="158"/>
        <v>#VALUE!</v>
      </c>
      <c r="P1469" s="247">
        <f t="shared" si="159"/>
        <v>0</v>
      </c>
      <c r="Q1469" s="247" t="e">
        <f t="shared" si="160"/>
        <v>#VALUE!</v>
      </c>
    </row>
    <row r="1470" spans="1:17" ht="15" customHeight="1" x14ac:dyDescent="0.25">
      <c r="A1470" s="244"/>
      <c r="B1470" s="244"/>
      <c r="C1470" s="244"/>
      <c r="D1470" s="244"/>
      <c r="E1470" s="244"/>
      <c r="F1470" s="244"/>
      <c r="G1470" s="244"/>
      <c r="I1470" s="244"/>
      <c r="J1470" s="244"/>
      <c r="K1470" s="246" t="e">
        <f t="shared" si="154"/>
        <v>#VALUE!</v>
      </c>
      <c r="L1470" s="246" t="e">
        <f t="shared" si="155"/>
        <v>#VALUE!</v>
      </c>
      <c r="M1470" s="247" t="e">
        <f t="shared" si="156"/>
        <v>#VALUE!</v>
      </c>
      <c r="N1470" s="246" t="e">
        <f t="shared" si="157"/>
        <v>#VALUE!</v>
      </c>
      <c r="O1470" s="247" t="e">
        <f t="shared" si="158"/>
        <v>#VALUE!</v>
      </c>
      <c r="P1470" s="247">
        <f t="shared" si="159"/>
        <v>0</v>
      </c>
      <c r="Q1470" s="247" t="e">
        <f t="shared" si="160"/>
        <v>#VALUE!</v>
      </c>
    </row>
    <row r="1471" spans="1:17" ht="15" customHeight="1" x14ac:dyDescent="0.25">
      <c r="A1471" s="244"/>
      <c r="B1471" s="244"/>
      <c r="C1471" s="244"/>
      <c r="D1471" s="244"/>
      <c r="E1471" s="244"/>
      <c r="F1471" s="244"/>
      <c r="G1471" s="244"/>
      <c r="I1471" s="244"/>
      <c r="J1471" s="244"/>
      <c r="K1471" s="246" t="e">
        <f t="shared" si="154"/>
        <v>#VALUE!</v>
      </c>
      <c r="L1471" s="246" t="e">
        <f t="shared" si="155"/>
        <v>#VALUE!</v>
      </c>
      <c r="M1471" s="247" t="e">
        <f t="shared" si="156"/>
        <v>#VALUE!</v>
      </c>
      <c r="N1471" s="246" t="e">
        <f t="shared" si="157"/>
        <v>#VALUE!</v>
      </c>
      <c r="O1471" s="247" t="e">
        <f t="shared" si="158"/>
        <v>#VALUE!</v>
      </c>
      <c r="P1471" s="247">
        <f t="shared" si="159"/>
        <v>0</v>
      </c>
      <c r="Q1471" s="247" t="e">
        <f t="shared" si="160"/>
        <v>#VALUE!</v>
      </c>
    </row>
    <row r="1472" spans="1:17" ht="15" customHeight="1" x14ac:dyDescent="0.25">
      <c r="A1472" s="244"/>
      <c r="B1472" s="244"/>
      <c r="C1472" s="244"/>
      <c r="D1472" s="244"/>
      <c r="E1472" s="244"/>
      <c r="F1472" s="244"/>
      <c r="G1472" s="244"/>
      <c r="I1472" s="244"/>
      <c r="J1472" s="244"/>
      <c r="K1472" s="246" t="e">
        <f t="shared" si="154"/>
        <v>#VALUE!</v>
      </c>
      <c r="L1472" s="246" t="e">
        <f t="shared" si="155"/>
        <v>#VALUE!</v>
      </c>
      <c r="M1472" s="247" t="e">
        <f t="shared" si="156"/>
        <v>#VALUE!</v>
      </c>
      <c r="N1472" s="246" t="e">
        <f t="shared" si="157"/>
        <v>#VALUE!</v>
      </c>
      <c r="O1472" s="247" t="e">
        <f t="shared" si="158"/>
        <v>#VALUE!</v>
      </c>
      <c r="P1472" s="247">
        <f t="shared" si="159"/>
        <v>0</v>
      </c>
      <c r="Q1472" s="247" t="e">
        <f t="shared" si="160"/>
        <v>#VALUE!</v>
      </c>
    </row>
    <row r="1473" spans="1:17" ht="15" customHeight="1" x14ac:dyDescent="0.25">
      <c r="A1473" s="244"/>
      <c r="B1473" s="244"/>
      <c r="C1473" s="244"/>
      <c r="D1473" s="244"/>
      <c r="E1473" s="244"/>
      <c r="F1473" s="244"/>
      <c r="G1473" s="244"/>
      <c r="I1473" s="244"/>
      <c r="J1473" s="244"/>
      <c r="K1473" s="246" t="e">
        <f t="shared" si="154"/>
        <v>#VALUE!</v>
      </c>
      <c r="L1473" s="246" t="e">
        <f t="shared" si="155"/>
        <v>#VALUE!</v>
      </c>
      <c r="M1473" s="247" t="e">
        <f t="shared" si="156"/>
        <v>#VALUE!</v>
      </c>
      <c r="N1473" s="246" t="e">
        <f t="shared" si="157"/>
        <v>#VALUE!</v>
      </c>
      <c r="O1473" s="247" t="e">
        <f t="shared" si="158"/>
        <v>#VALUE!</v>
      </c>
      <c r="P1473" s="247">
        <f t="shared" si="159"/>
        <v>0</v>
      </c>
      <c r="Q1473" s="247" t="e">
        <f t="shared" si="160"/>
        <v>#VALUE!</v>
      </c>
    </row>
    <row r="1474" spans="1:17" ht="15" customHeight="1" x14ac:dyDescent="0.25">
      <c r="A1474" s="244"/>
      <c r="B1474" s="244"/>
      <c r="C1474" s="244"/>
      <c r="D1474" s="244"/>
      <c r="E1474" s="244"/>
      <c r="F1474" s="244"/>
      <c r="G1474" s="244"/>
      <c r="I1474" s="244"/>
      <c r="J1474" s="244"/>
      <c r="K1474" s="246" t="e">
        <f t="shared" ref="K1474:K1537" si="161">DATE(VALUE(LEFT(A1474,4)),VALUE(MID(A1474,5,2)),VALUE(RIGHT(A1474,2)))</f>
        <v>#VALUE!</v>
      </c>
      <c r="L1474" s="246" t="e">
        <f t="shared" ref="L1474:L1537" si="162">DATEVALUE(LEFT(F1474,10))</f>
        <v>#VALUE!</v>
      </c>
      <c r="M1474" s="247" t="e">
        <f t="shared" ref="M1474:M1537" si="163">TIMEVALUE(MID(F1474,12,8))</f>
        <v>#VALUE!</v>
      </c>
      <c r="N1474" s="246" t="e">
        <f t="shared" ref="N1474:N1537" si="164">DATEVALUE(LEFT(G1474,10))</f>
        <v>#VALUE!</v>
      </c>
      <c r="O1474" s="247" t="e">
        <f t="shared" ref="O1474:O1537" si="165">TIMEVALUE(MID(G1474,12,8))</f>
        <v>#VALUE!</v>
      </c>
      <c r="P1474" s="247">
        <f t="shared" ref="P1474:P1537" si="166">IFERROR(_xlfn.MINIFS($M:$M,$E:$E,$E1474,$K:$K,$K1474,$M:$M,"&gt;"&amp;$O1474),"")</f>
        <v>0</v>
      </c>
      <c r="Q1474" s="247" t="e">
        <f t="shared" ref="Q1474:Q1537" si="167">IF($P1474="","",$P1474-$O1474)</f>
        <v>#VALUE!</v>
      </c>
    </row>
    <row r="1475" spans="1:17" ht="15" customHeight="1" x14ac:dyDescent="0.25">
      <c r="A1475" s="244"/>
      <c r="B1475" s="244"/>
      <c r="C1475" s="244"/>
      <c r="D1475" s="244"/>
      <c r="E1475" s="244"/>
      <c r="F1475" s="244"/>
      <c r="G1475" s="244"/>
      <c r="I1475" s="244"/>
      <c r="J1475" s="244"/>
      <c r="K1475" s="246" t="e">
        <f t="shared" si="161"/>
        <v>#VALUE!</v>
      </c>
      <c r="L1475" s="246" t="e">
        <f t="shared" si="162"/>
        <v>#VALUE!</v>
      </c>
      <c r="M1475" s="247" t="e">
        <f t="shared" si="163"/>
        <v>#VALUE!</v>
      </c>
      <c r="N1475" s="246" t="e">
        <f t="shared" si="164"/>
        <v>#VALUE!</v>
      </c>
      <c r="O1475" s="247" t="e">
        <f t="shared" si="165"/>
        <v>#VALUE!</v>
      </c>
      <c r="P1475" s="247">
        <f t="shared" si="166"/>
        <v>0</v>
      </c>
      <c r="Q1475" s="247" t="e">
        <f t="shared" si="167"/>
        <v>#VALUE!</v>
      </c>
    </row>
    <row r="1476" spans="1:17" ht="15" customHeight="1" x14ac:dyDescent="0.25">
      <c r="A1476" s="244"/>
      <c r="B1476" s="244"/>
      <c r="C1476" s="244"/>
      <c r="D1476" s="244"/>
      <c r="E1476" s="244"/>
      <c r="F1476" s="244"/>
      <c r="G1476" s="244"/>
      <c r="I1476" s="244"/>
      <c r="J1476" s="244"/>
      <c r="K1476" s="246" t="e">
        <f t="shared" si="161"/>
        <v>#VALUE!</v>
      </c>
      <c r="L1476" s="246" t="e">
        <f t="shared" si="162"/>
        <v>#VALUE!</v>
      </c>
      <c r="M1476" s="247" t="e">
        <f t="shared" si="163"/>
        <v>#VALUE!</v>
      </c>
      <c r="N1476" s="246" t="e">
        <f t="shared" si="164"/>
        <v>#VALUE!</v>
      </c>
      <c r="O1476" s="247" t="e">
        <f t="shared" si="165"/>
        <v>#VALUE!</v>
      </c>
      <c r="P1476" s="247">
        <f t="shared" si="166"/>
        <v>0</v>
      </c>
      <c r="Q1476" s="247" t="e">
        <f t="shared" si="167"/>
        <v>#VALUE!</v>
      </c>
    </row>
    <row r="1477" spans="1:17" ht="15" customHeight="1" x14ac:dyDescent="0.25">
      <c r="A1477" s="244"/>
      <c r="B1477" s="244"/>
      <c r="C1477" s="244"/>
      <c r="D1477" s="244"/>
      <c r="E1477" s="244"/>
      <c r="F1477" s="244"/>
      <c r="G1477" s="244"/>
      <c r="I1477" s="244"/>
      <c r="J1477" s="244"/>
      <c r="K1477" s="246" t="e">
        <f t="shared" si="161"/>
        <v>#VALUE!</v>
      </c>
      <c r="L1477" s="246" t="e">
        <f t="shared" si="162"/>
        <v>#VALUE!</v>
      </c>
      <c r="M1477" s="247" t="e">
        <f t="shared" si="163"/>
        <v>#VALUE!</v>
      </c>
      <c r="N1477" s="246" t="e">
        <f t="shared" si="164"/>
        <v>#VALUE!</v>
      </c>
      <c r="O1477" s="247" t="e">
        <f t="shared" si="165"/>
        <v>#VALUE!</v>
      </c>
      <c r="P1477" s="247">
        <f t="shared" si="166"/>
        <v>0</v>
      </c>
      <c r="Q1477" s="247" t="e">
        <f t="shared" si="167"/>
        <v>#VALUE!</v>
      </c>
    </row>
    <row r="1478" spans="1:17" ht="15" customHeight="1" x14ac:dyDescent="0.25">
      <c r="A1478" s="244"/>
      <c r="B1478" s="244"/>
      <c r="C1478" s="244"/>
      <c r="D1478" s="244"/>
      <c r="E1478" s="244"/>
      <c r="F1478" s="244"/>
      <c r="G1478" s="244"/>
      <c r="I1478" s="244"/>
      <c r="J1478" s="244"/>
      <c r="K1478" s="246" t="e">
        <f t="shared" si="161"/>
        <v>#VALUE!</v>
      </c>
      <c r="L1478" s="246" t="e">
        <f t="shared" si="162"/>
        <v>#VALUE!</v>
      </c>
      <c r="M1478" s="247" t="e">
        <f t="shared" si="163"/>
        <v>#VALUE!</v>
      </c>
      <c r="N1478" s="246" t="e">
        <f t="shared" si="164"/>
        <v>#VALUE!</v>
      </c>
      <c r="O1478" s="247" t="e">
        <f t="shared" si="165"/>
        <v>#VALUE!</v>
      </c>
      <c r="P1478" s="247">
        <f t="shared" si="166"/>
        <v>0</v>
      </c>
      <c r="Q1478" s="247" t="e">
        <f t="shared" si="167"/>
        <v>#VALUE!</v>
      </c>
    </row>
    <row r="1479" spans="1:17" ht="15" customHeight="1" x14ac:dyDescent="0.25">
      <c r="A1479" s="244"/>
      <c r="B1479" s="244"/>
      <c r="C1479" s="244"/>
      <c r="D1479" s="244"/>
      <c r="E1479" s="244"/>
      <c r="F1479" s="244"/>
      <c r="G1479" s="244"/>
      <c r="I1479" s="244"/>
      <c r="J1479" s="244"/>
      <c r="K1479" s="246" t="e">
        <f t="shared" si="161"/>
        <v>#VALUE!</v>
      </c>
      <c r="L1479" s="246" t="e">
        <f t="shared" si="162"/>
        <v>#VALUE!</v>
      </c>
      <c r="M1479" s="247" t="e">
        <f t="shared" si="163"/>
        <v>#VALUE!</v>
      </c>
      <c r="N1479" s="246" t="e">
        <f t="shared" si="164"/>
        <v>#VALUE!</v>
      </c>
      <c r="O1479" s="247" t="e">
        <f t="shared" si="165"/>
        <v>#VALUE!</v>
      </c>
      <c r="P1479" s="247">
        <f t="shared" si="166"/>
        <v>0</v>
      </c>
      <c r="Q1479" s="247" t="e">
        <f t="shared" si="167"/>
        <v>#VALUE!</v>
      </c>
    </row>
    <row r="1480" spans="1:17" ht="15" customHeight="1" x14ac:dyDescent="0.25">
      <c r="A1480" s="244"/>
      <c r="B1480" s="244"/>
      <c r="C1480" s="244"/>
      <c r="D1480" s="244"/>
      <c r="E1480" s="244"/>
      <c r="F1480" s="244"/>
      <c r="G1480" s="244"/>
      <c r="I1480" s="244"/>
      <c r="J1480" s="244"/>
      <c r="K1480" s="246" t="e">
        <f t="shared" si="161"/>
        <v>#VALUE!</v>
      </c>
      <c r="L1480" s="246" t="e">
        <f t="shared" si="162"/>
        <v>#VALUE!</v>
      </c>
      <c r="M1480" s="247" t="e">
        <f t="shared" si="163"/>
        <v>#VALUE!</v>
      </c>
      <c r="N1480" s="246" t="e">
        <f t="shared" si="164"/>
        <v>#VALUE!</v>
      </c>
      <c r="O1480" s="247" t="e">
        <f t="shared" si="165"/>
        <v>#VALUE!</v>
      </c>
      <c r="P1480" s="247">
        <f t="shared" si="166"/>
        <v>0</v>
      </c>
      <c r="Q1480" s="247" t="e">
        <f t="shared" si="167"/>
        <v>#VALUE!</v>
      </c>
    </row>
    <row r="1481" spans="1:17" ht="15" customHeight="1" x14ac:dyDescent="0.25">
      <c r="A1481" s="244"/>
      <c r="B1481" s="244"/>
      <c r="C1481" s="244"/>
      <c r="D1481" s="244"/>
      <c r="E1481" s="244"/>
      <c r="F1481" s="244"/>
      <c r="G1481" s="244"/>
      <c r="I1481" s="244"/>
      <c r="J1481" s="244"/>
      <c r="K1481" s="246" t="e">
        <f t="shared" si="161"/>
        <v>#VALUE!</v>
      </c>
      <c r="L1481" s="246" t="e">
        <f t="shared" si="162"/>
        <v>#VALUE!</v>
      </c>
      <c r="M1481" s="247" t="e">
        <f t="shared" si="163"/>
        <v>#VALUE!</v>
      </c>
      <c r="N1481" s="246" t="e">
        <f t="shared" si="164"/>
        <v>#VALUE!</v>
      </c>
      <c r="O1481" s="247" t="e">
        <f t="shared" si="165"/>
        <v>#VALUE!</v>
      </c>
      <c r="P1481" s="247">
        <f t="shared" si="166"/>
        <v>0</v>
      </c>
      <c r="Q1481" s="247" t="e">
        <f t="shared" si="167"/>
        <v>#VALUE!</v>
      </c>
    </row>
    <row r="1482" spans="1:17" ht="15" customHeight="1" x14ac:dyDescent="0.25">
      <c r="A1482" s="244"/>
      <c r="B1482" s="244"/>
      <c r="C1482" s="244"/>
      <c r="D1482" s="244"/>
      <c r="E1482" s="244"/>
      <c r="F1482" s="244"/>
      <c r="G1482" s="244"/>
      <c r="I1482" s="244"/>
      <c r="J1482" s="244"/>
      <c r="K1482" s="246" t="e">
        <f t="shared" si="161"/>
        <v>#VALUE!</v>
      </c>
      <c r="L1482" s="246" t="e">
        <f t="shared" si="162"/>
        <v>#VALUE!</v>
      </c>
      <c r="M1482" s="247" t="e">
        <f t="shared" si="163"/>
        <v>#VALUE!</v>
      </c>
      <c r="N1482" s="246" t="e">
        <f t="shared" si="164"/>
        <v>#VALUE!</v>
      </c>
      <c r="O1482" s="247" t="e">
        <f t="shared" si="165"/>
        <v>#VALUE!</v>
      </c>
      <c r="P1482" s="247">
        <f t="shared" si="166"/>
        <v>0</v>
      </c>
      <c r="Q1482" s="247" t="e">
        <f t="shared" si="167"/>
        <v>#VALUE!</v>
      </c>
    </row>
    <row r="1483" spans="1:17" ht="15" customHeight="1" x14ac:dyDescent="0.25">
      <c r="A1483" s="244"/>
      <c r="B1483" s="244"/>
      <c r="C1483" s="244"/>
      <c r="D1483" s="244"/>
      <c r="E1483" s="244"/>
      <c r="F1483" s="244"/>
      <c r="G1483" s="244"/>
      <c r="I1483" s="244"/>
      <c r="J1483" s="244"/>
      <c r="K1483" s="246" t="e">
        <f t="shared" si="161"/>
        <v>#VALUE!</v>
      </c>
      <c r="L1483" s="246" t="e">
        <f t="shared" si="162"/>
        <v>#VALUE!</v>
      </c>
      <c r="M1483" s="247" t="e">
        <f t="shared" si="163"/>
        <v>#VALUE!</v>
      </c>
      <c r="N1483" s="246" t="e">
        <f t="shared" si="164"/>
        <v>#VALUE!</v>
      </c>
      <c r="O1483" s="247" t="e">
        <f t="shared" si="165"/>
        <v>#VALUE!</v>
      </c>
      <c r="P1483" s="247">
        <f t="shared" si="166"/>
        <v>0</v>
      </c>
      <c r="Q1483" s="247" t="e">
        <f t="shared" si="167"/>
        <v>#VALUE!</v>
      </c>
    </row>
    <row r="1484" spans="1:17" ht="15" customHeight="1" x14ac:dyDescent="0.25">
      <c r="A1484" s="244"/>
      <c r="B1484" s="244"/>
      <c r="C1484" s="244"/>
      <c r="D1484" s="244"/>
      <c r="E1484" s="244"/>
      <c r="F1484" s="244"/>
      <c r="G1484" s="244"/>
      <c r="I1484" s="244"/>
      <c r="J1484" s="244"/>
      <c r="K1484" s="246" t="e">
        <f t="shared" si="161"/>
        <v>#VALUE!</v>
      </c>
      <c r="L1484" s="246" t="e">
        <f t="shared" si="162"/>
        <v>#VALUE!</v>
      </c>
      <c r="M1484" s="247" t="e">
        <f t="shared" si="163"/>
        <v>#VALUE!</v>
      </c>
      <c r="N1484" s="246" t="e">
        <f t="shared" si="164"/>
        <v>#VALUE!</v>
      </c>
      <c r="O1484" s="247" t="e">
        <f t="shared" si="165"/>
        <v>#VALUE!</v>
      </c>
      <c r="P1484" s="247">
        <f t="shared" si="166"/>
        <v>0</v>
      </c>
      <c r="Q1484" s="247" t="e">
        <f t="shared" si="167"/>
        <v>#VALUE!</v>
      </c>
    </row>
    <row r="1485" spans="1:17" ht="15" customHeight="1" x14ac:dyDescent="0.25">
      <c r="A1485" s="244"/>
      <c r="B1485" s="244"/>
      <c r="C1485" s="244"/>
      <c r="D1485" s="244"/>
      <c r="E1485" s="244"/>
      <c r="F1485" s="244"/>
      <c r="G1485" s="244"/>
      <c r="I1485" s="244"/>
      <c r="J1485" s="244"/>
      <c r="K1485" s="246" t="e">
        <f t="shared" si="161"/>
        <v>#VALUE!</v>
      </c>
      <c r="L1485" s="246" t="e">
        <f t="shared" si="162"/>
        <v>#VALUE!</v>
      </c>
      <c r="M1485" s="247" t="e">
        <f t="shared" si="163"/>
        <v>#VALUE!</v>
      </c>
      <c r="N1485" s="246" t="e">
        <f t="shared" si="164"/>
        <v>#VALUE!</v>
      </c>
      <c r="O1485" s="247" t="e">
        <f t="shared" si="165"/>
        <v>#VALUE!</v>
      </c>
      <c r="P1485" s="247">
        <f t="shared" si="166"/>
        <v>0</v>
      </c>
      <c r="Q1485" s="247" t="e">
        <f t="shared" si="167"/>
        <v>#VALUE!</v>
      </c>
    </row>
    <row r="1486" spans="1:17" ht="15" customHeight="1" x14ac:dyDescent="0.25">
      <c r="A1486" s="244"/>
      <c r="B1486" s="244"/>
      <c r="C1486" s="244"/>
      <c r="D1486" s="244"/>
      <c r="E1486" s="244"/>
      <c r="F1486" s="244"/>
      <c r="G1486" s="244"/>
      <c r="I1486" s="244"/>
      <c r="J1486" s="244"/>
      <c r="K1486" s="246" t="e">
        <f t="shared" si="161"/>
        <v>#VALUE!</v>
      </c>
      <c r="L1486" s="246" t="e">
        <f t="shared" si="162"/>
        <v>#VALUE!</v>
      </c>
      <c r="M1486" s="247" t="e">
        <f t="shared" si="163"/>
        <v>#VALUE!</v>
      </c>
      <c r="N1486" s="246" t="e">
        <f t="shared" si="164"/>
        <v>#VALUE!</v>
      </c>
      <c r="O1486" s="247" t="e">
        <f t="shared" si="165"/>
        <v>#VALUE!</v>
      </c>
      <c r="P1486" s="247">
        <f t="shared" si="166"/>
        <v>0</v>
      </c>
      <c r="Q1486" s="247" t="e">
        <f t="shared" si="167"/>
        <v>#VALUE!</v>
      </c>
    </row>
    <row r="1487" spans="1:17" ht="15" customHeight="1" x14ac:dyDescent="0.25">
      <c r="A1487" s="244"/>
      <c r="B1487" s="244"/>
      <c r="C1487" s="244"/>
      <c r="D1487" s="244"/>
      <c r="E1487" s="244"/>
      <c r="F1487" s="244"/>
      <c r="G1487" s="244"/>
      <c r="I1487" s="244"/>
      <c r="J1487" s="244"/>
      <c r="K1487" s="246" t="e">
        <f t="shared" si="161"/>
        <v>#VALUE!</v>
      </c>
      <c r="L1487" s="246" t="e">
        <f t="shared" si="162"/>
        <v>#VALUE!</v>
      </c>
      <c r="M1487" s="247" t="e">
        <f t="shared" si="163"/>
        <v>#VALUE!</v>
      </c>
      <c r="N1487" s="246" t="e">
        <f t="shared" si="164"/>
        <v>#VALUE!</v>
      </c>
      <c r="O1487" s="247" t="e">
        <f t="shared" si="165"/>
        <v>#VALUE!</v>
      </c>
      <c r="P1487" s="247">
        <f t="shared" si="166"/>
        <v>0</v>
      </c>
      <c r="Q1487" s="247" t="e">
        <f t="shared" si="167"/>
        <v>#VALUE!</v>
      </c>
    </row>
    <row r="1488" spans="1:17" ht="15" customHeight="1" x14ac:dyDescent="0.25">
      <c r="A1488" s="244"/>
      <c r="B1488" s="244"/>
      <c r="C1488" s="244"/>
      <c r="D1488" s="244"/>
      <c r="E1488" s="244"/>
      <c r="F1488" s="244"/>
      <c r="G1488" s="244"/>
      <c r="I1488" s="244"/>
      <c r="J1488" s="244"/>
      <c r="K1488" s="246" t="e">
        <f t="shared" si="161"/>
        <v>#VALUE!</v>
      </c>
      <c r="L1488" s="246" t="e">
        <f t="shared" si="162"/>
        <v>#VALUE!</v>
      </c>
      <c r="M1488" s="247" t="e">
        <f t="shared" si="163"/>
        <v>#VALUE!</v>
      </c>
      <c r="N1488" s="246" t="e">
        <f t="shared" si="164"/>
        <v>#VALUE!</v>
      </c>
      <c r="O1488" s="247" t="e">
        <f t="shared" si="165"/>
        <v>#VALUE!</v>
      </c>
      <c r="P1488" s="247">
        <f t="shared" si="166"/>
        <v>0</v>
      </c>
      <c r="Q1488" s="247" t="e">
        <f t="shared" si="167"/>
        <v>#VALUE!</v>
      </c>
    </row>
    <row r="1489" spans="1:17" ht="15" customHeight="1" x14ac:dyDescent="0.25">
      <c r="A1489" s="244"/>
      <c r="B1489" s="244"/>
      <c r="C1489" s="244"/>
      <c r="D1489" s="244"/>
      <c r="E1489" s="244"/>
      <c r="F1489" s="244"/>
      <c r="G1489" s="244"/>
      <c r="I1489" s="244"/>
      <c r="J1489" s="244"/>
      <c r="K1489" s="246" t="e">
        <f t="shared" si="161"/>
        <v>#VALUE!</v>
      </c>
      <c r="L1489" s="246" t="e">
        <f t="shared" si="162"/>
        <v>#VALUE!</v>
      </c>
      <c r="M1489" s="247" t="e">
        <f t="shared" si="163"/>
        <v>#VALUE!</v>
      </c>
      <c r="N1489" s="246" t="e">
        <f t="shared" si="164"/>
        <v>#VALUE!</v>
      </c>
      <c r="O1489" s="247" t="e">
        <f t="shared" si="165"/>
        <v>#VALUE!</v>
      </c>
      <c r="P1489" s="247">
        <f t="shared" si="166"/>
        <v>0</v>
      </c>
      <c r="Q1489" s="247" t="e">
        <f t="shared" si="167"/>
        <v>#VALUE!</v>
      </c>
    </row>
    <row r="1490" spans="1:17" ht="15" customHeight="1" x14ac:dyDescent="0.25">
      <c r="A1490" s="244"/>
      <c r="B1490" s="244"/>
      <c r="C1490" s="244"/>
      <c r="D1490" s="244"/>
      <c r="E1490" s="244"/>
      <c r="F1490" s="244"/>
      <c r="G1490" s="244"/>
      <c r="I1490" s="244"/>
      <c r="J1490" s="244"/>
      <c r="K1490" s="246" t="e">
        <f t="shared" si="161"/>
        <v>#VALUE!</v>
      </c>
      <c r="L1490" s="246" t="e">
        <f t="shared" si="162"/>
        <v>#VALUE!</v>
      </c>
      <c r="M1490" s="247" t="e">
        <f t="shared" si="163"/>
        <v>#VALUE!</v>
      </c>
      <c r="N1490" s="246" t="e">
        <f t="shared" si="164"/>
        <v>#VALUE!</v>
      </c>
      <c r="O1490" s="247" t="e">
        <f t="shared" si="165"/>
        <v>#VALUE!</v>
      </c>
      <c r="P1490" s="247">
        <f t="shared" si="166"/>
        <v>0</v>
      </c>
      <c r="Q1490" s="247" t="e">
        <f t="shared" si="167"/>
        <v>#VALUE!</v>
      </c>
    </row>
    <row r="1491" spans="1:17" ht="15" customHeight="1" x14ac:dyDescent="0.25">
      <c r="A1491" s="244"/>
      <c r="B1491" s="244"/>
      <c r="C1491" s="244"/>
      <c r="D1491" s="244"/>
      <c r="E1491" s="244"/>
      <c r="F1491" s="244"/>
      <c r="G1491" s="244"/>
      <c r="I1491" s="244"/>
      <c r="J1491" s="244"/>
      <c r="K1491" s="246" t="e">
        <f t="shared" si="161"/>
        <v>#VALUE!</v>
      </c>
      <c r="L1491" s="246" t="e">
        <f t="shared" si="162"/>
        <v>#VALUE!</v>
      </c>
      <c r="M1491" s="247" t="e">
        <f t="shared" si="163"/>
        <v>#VALUE!</v>
      </c>
      <c r="N1491" s="246" t="e">
        <f t="shared" si="164"/>
        <v>#VALUE!</v>
      </c>
      <c r="O1491" s="247" t="e">
        <f t="shared" si="165"/>
        <v>#VALUE!</v>
      </c>
      <c r="P1491" s="247">
        <f t="shared" si="166"/>
        <v>0</v>
      </c>
      <c r="Q1491" s="247" t="e">
        <f t="shared" si="167"/>
        <v>#VALUE!</v>
      </c>
    </row>
    <row r="1492" spans="1:17" ht="15" customHeight="1" x14ac:dyDescent="0.25">
      <c r="A1492" s="244"/>
      <c r="B1492" s="244"/>
      <c r="C1492" s="244"/>
      <c r="D1492" s="244"/>
      <c r="E1492" s="244"/>
      <c r="F1492" s="244"/>
      <c r="G1492" s="244"/>
      <c r="I1492" s="244"/>
      <c r="J1492" s="244"/>
      <c r="K1492" s="246" t="e">
        <f t="shared" si="161"/>
        <v>#VALUE!</v>
      </c>
      <c r="L1492" s="246" t="e">
        <f t="shared" si="162"/>
        <v>#VALUE!</v>
      </c>
      <c r="M1492" s="247" t="e">
        <f t="shared" si="163"/>
        <v>#VALUE!</v>
      </c>
      <c r="N1492" s="246" t="e">
        <f t="shared" si="164"/>
        <v>#VALUE!</v>
      </c>
      <c r="O1492" s="247" t="e">
        <f t="shared" si="165"/>
        <v>#VALUE!</v>
      </c>
      <c r="P1492" s="247">
        <f t="shared" si="166"/>
        <v>0</v>
      </c>
      <c r="Q1492" s="247" t="e">
        <f t="shared" si="167"/>
        <v>#VALUE!</v>
      </c>
    </row>
    <row r="1493" spans="1:17" ht="15" customHeight="1" x14ac:dyDescent="0.25">
      <c r="A1493" s="244"/>
      <c r="B1493" s="244"/>
      <c r="C1493" s="244"/>
      <c r="D1493" s="244"/>
      <c r="E1493" s="244"/>
      <c r="F1493" s="244"/>
      <c r="G1493" s="244"/>
      <c r="I1493" s="244"/>
      <c r="J1493" s="244"/>
      <c r="K1493" s="246" t="e">
        <f t="shared" si="161"/>
        <v>#VALUE!</v>
      </c>
      <c r="L1493" s="246" t="e">
        <f t="shared" si="162"/>
        <v>#VALUE!</v>
      </c>
      <c r="M1493" s="247" t="e">
        <f t="shared" si="163"/>
        <v>#VALUE!</v>
      </c>
      <c r="N1493" s="246" t="e">
        <f t="shared" si="164"/>
        <v>#VALUE!</v>
      </c>
      <c r="O1493" s="247" t="e">
        <f t="shared" si="165"/>
        <v>#VALUE!</v>
      </c>
      <c r="P1493" s="247">
        <f t="shared" si="166"/>
        <v>0</v>
      </c>
      <c r="Q1493" s="247" t="e">
        <f t="shared" si="167"/>
        <v>#VALUE!</v>
      </c>
    </row>
    <row r="1494" spans="1:17" ht="15" customHeight="1" x14ac:dyDescent="0.25">
      <c r="A1494" s="244"/>
      <c r="B1494" s="244"/>
      <c r="C1494" s="244"/>
      <c r="D1494" s="244"/>
      <c r="E1494" s="244"/>
      <c r="F1494" s="244"/>
      <c r="G1494" s="244"/>
      <c r="I1494" s="244"/>
      <c r="J1494" s="244"/>
      <c r="K1494" s="246" t="e">
        <f t="shared" si="161"/>
        <v>#VALUE!</v>
      </c>
      <c r="L1494" s="246" t="e">
        <f t="shared" si="162"/>
        <v>#VALUE!</v>
      </c>
      <c r="M1494" s="247" t="e">
        <f t="shared" si="163"/>
        <v>#VALUE!</v>
      </c>
      <c r="N1494" s="246" t="e">
        <f t="shared" si="164"/>
        <v>#VALUE!</v>
      </c>
      <c r="O1494" s="247" t="e">
        <f t="shared" si="165"/>
        <v>#VALUE!</v>
      </c>
      <c r="P1494" s="247">
        <f t="shared" si="166"/>
        <v>0</v>
      </c>
      <c r="Q1494" s="247" t="e">
        <f t="shared" si="167"/>
        <v>#VALUE!</v>
      </c>
    </row>
    <row r="1495" spans="1:17" ht="15" customHeight="1" x14ac:dyDescent="0.25">
      <c r="A1495" s="244"/>
      <c r="B1495" s="244"/>
      <c r="C1495" s="244"/>
      <c r="D1495" s="244"/>
      <c r="E1495" s="244"/>
      <c r="F1495" s="244"/>
      <c r="G1495" s="244"/>
      <c r="I1495" s="244"/>
      <c r="J1495" s="244"/>
      <c r="K1495" s="246" t="e">
        <f t="shared" si="161"/>
        <v>#VALUE!</v>
      </c>
      <c r="L1495" s="246" t="e">
        <f t="shared" si="162"/>
        <v>#VALUE!</v>
      </c>
      <c r="M1495" s="247" t="e">
        <f t="shared" si="163"/>
        <v>#VALUE!</v>
      </c>
      <c r="N1495" s="246" t="e">
        <f t="shared" si="164"/>
        <v>#VALUE!</v>
      </c>
      <c r="O1495" s="247" t="e">
        <f t="shared" si="165"/>
        <v>#VALUE!</v>
      </c>
      <c r="P1495" s="247">
        <f t="shared" si="166"/>
        <v>0</v>
      </c>
      <c r="Q1495" s="247" t="e">
        <f t="shared" si="167"/>
        <v>#VALUE!</v>
      </c>
    </row>
    <row r="1496" spans="1:17" ht="15" customHeight="1" x14ac:dyDescent="0.25">
      <c r="A1496" s="244"/>
      <c r="B1496" s="244"/>
      <c r="C1496" s="244"/>
      <c r="D1496" s="244"/>
      <c r="E1496" s="244"/>
      <c r="F1496" s="244"/>
      <c r="G1496" s="244"/>
      <c r="I1496" s="244"/>
      <c r="J1496" s="244"/>
      <c r="K1496" s="246" t="e">
        <f t="shared" si="161"/>
        <v>#VALUE!</v>
      </c>
      <c r="L1496" s="246" t="e">
        <f t="shared" si="162"/>
        <v>#VALUE!</v>
      </c>
      <c r="M1496" s="247" t="e">
        <f t="shared" si="163"/>
        <v>#VALUE!</v>
      </c>
      <c r="N1496" s="246" t="e">
        <f t="shared" si="164"/>
        <v>#VALUE!</v>
      </c>
      <c r="O1496" s="247" t="e">
        <f t="shared" si="165"/>
        <v>#VALUE!</v>
      </c>
      <c r="P1496" s="247">
        <f t="shared" si="166"/>
        <v>0</v>
      </c>
      <c r="Q1496" s="247" t="e">
        <f t="shared" si="167"/>
        <v>#VALUE!</v>
      </c>
    </row>
    <row r="1497" spans="1:17" ht="15" customHeight="1" x14ac:dyDescent="0.25">
      <c r="A1497" s="244"/>
      <c r="B1497" s="244"/>
      <c r="C1497" s="244"/>
      <c r="D1497" s="244"/>
      <c r="E1497" s="244"/>
      <c r="F1497" s="244"/>
      <c r="G1497" s="244"/>
      <c r="I1497" s="244"/>
      <c r="J1497" s="244"/>
      <c r="K1497" s="246" t="e">
        <f t="shared" si="161"/>
        <v>#VALUE!</v>
      </c>
      <c r="L1497" s="246" t="e">
        <f t="shared" si="162"/>
        <v>#VALUE!</v>
      </c>
      <c r="M1497" s="247" t="e">
        <f t="shared" si="163"/>
        <v>#VALUE!</v>
      </c>
      <c r="N1497" s="246" t="e">
        <f t="shared" si="164"/>
        <v>#VALUE!</v>
      </c>
      <c r="O1497" s="247" t="e">
        <f t="shared" si="165"/>
        <v>#VALUE!</v>
      </c>
      <c r="P1497" s="247">
        <f t="shared" si="166"/>
        <v>0</v>
      </c>
      <c r="Q1497" s="247" t="e">
        <f t="shared" si="167"/>
        <v>#VALUE!</v>
      </c>
    </row>
    <row r="1498" spans="1:17" ht="15" customHeight="1" x14ac:dyDescent="0.25">
      <c r="A1498" s="244"/>
      <c r="B1498" s="244"/>
      <c r="C1498" s="244"/>
      <c r="D1498" s="244"/>
      <c r="E1498" s="244"/>
      <c r="F1498" s="244"/>
      <c r="G1498" s="244"/>
      <c r="I1498" s="244"/>
      <c r="J1498" s="244"/>
      <c r="K1498" s="246" t="e">
        <f t="shared" si="161"/>
        <v>#VALUE!</v>
      </c>
      <c r="L1498" s="246" t="e">
        <f t="shared" si="162"/>
        <v>#VALUE!</v>
      </c>
      <c r="M1498" s="247" t="e">
        <f t="shared" si="163"/>
        <v>#VALUE!</v>
      </c>
      <c r="N1498" s="246" t="e">
        <f t="shared" si="164"/>
        <v>#VALUE!</v>
      </c>
      <c r="O1498" s="247" t="e">
        <f t="shared" si="165"/>
        <v>#VALUE!</v>
      </c>
      <c r="P1498" s="247">
        <f t="shared" si="166"/>
        <v>0</v>
      </c>
      <c r="Q1498" s="247" t="e">
        <f t="shared" si="167"/>
        <v>#VALUE!</v>
      </c>
    </row>
    <row r="1499" spans="1:17" ht="15" customHeight="1" x14ac:dyDescent="0.25">
      <c r="A1499" s="244"/>
      <c r="B1499" s="244"/>
      <c r="C1499" s="244"/>
      <c r="D1499" s="244"/>
      <c r="E1499" s="244"/>
      <c r="F1499" s="244"/>
      <c r="G1499" s="244"/>
      <c r="I1499" s="244"/>
      <c r="J1499" s="244"/>
      <c r="K1499" s="246" t="e">
        <f t="shared" si="161"/>
        <v>#VALUE!</v>
      </c>
      <c r="L1499" s="246" t="e">
        <f t="shared" si="162"/>
        <v>#VALUE!</v>
      </c>
      <c r="M1499" s="247" t="e">
        <f t="shared" si="163"/>
        <v>#VALUE!</v>
      </c>
      <c r="N1499" s="246" t="e">
        <f t="shared" si="164"/>
        <v>#VALUE!</v>
      </c>
      <c r="O1499" s="247" t="e">
        <f t="shared" si="165"/>
        <v>#VALUE!</v>
      </c>
      <c r="P1499" s="247">
        <f t="shared" si="166"/>
        <v>0</v>
      </c>
      <c r="Q1499" s="247" t="e">
        <f t="shared" si="167"/>
        <v>#VALUE!</v>
      </c>
    </row>
    <row r="1500" spans="1:17" ht="15" customHeight="1" x14ac:dyDescent="0.25">
      <c r="A1500" s="244"/>
      <c r="B1500" s="244"/>
      <c r="C1500" s="244"/>
      <c r="D1500" s="244"/>
      <c r="E1500" s="244"/>
      <c r="F1500" s="244"/>
      <c r="G1500" s="244"/>
      <c r="I1500" s="244"/>
      <c r="J1500" s="244"/>
      <c r="K1500" s="246" t="e">
        <f t="shared" si="161"/>
        <v>#VALUE!</v>
      </c>
      <c r="L1500" s="246" t="e">
        <f t="shared" si="162"/>
        <v>#VALUE!</v>
      </c>
      <c r="M1500" s="247" t="e">
        <f t="shared" si="163"/>
        <v>#VALUE!</v>
      </c>
      <c r="N1500" s="246" t="e">
        <f t="shared" si="164"/>
        <v>#VALUE!</v>
      </c>
      <c r="O1500" s="247" t="e">
        <f t="shared" si="165"/>
        <v>#VALUE!</v>
      </c>
      <c r="P1500" s="247">
        <f t="shared" si="166"/>
        <v>0</v>
      </c>
      <c r="Q1500" s="247" t="e">
        <f t="shared" si="167"/>
        <v>#VALUE!</v>
      </c>
    </row>
    <row r="1501" spans="1:17" ht="15" customHeight="1" x14ac:dyDescent="0.25">
      <c r="A1501" s="244"/>
      <c r="B1501" s="244"/>
      <c r="C1501" s="244"/>
      <c r="D1501" s="244"/>
      <c r="E1501" s="244"/>
      <c r="F1501" s="244"/>
      <c r="G1501" s="244"/>
      <c r="I1501" s="244"/>
      <c r="J1501" s="244"/>
      <c r="K1501" s="246" t="e">
        <f t="shared" si="161"/>
        <v>#VALUE!</v>
      </c>
      <c r="L1501" s="246" t="e">
        <f t="shared" si="162"/>
        <v>#VALUE!</v>
      </c>
      <c r="M1501" s="247" t="e">
        <f t="shared" si="163"/>
        <v>#VALUE!</v>
      </c>
      <c r="N1501" s="246" t="e">
        <f t="shared" si="164"/>
        <v>#VALUE!</v>
      </c>
      <c r="O1501" s="247" t="e">
        <f t="shared" si="165"/>
        <v>#VALUE!</v>
      </c>
      <c r="P1501" s="247">
        <f t="shared" si="166"/>
        <v>0</v>
      </c>
      <c r="Q1501" s="247" t="e">
        <f t="shared" si="167"/>
        <v>#VALUE!</v>
      </c>
    </row>
    <row r="1502" spans="1:17" ht="15" customHeight="1" x14ac:dyDescent="0.25">
      <c r="A1502" s="244"/>
      <c r="B1502" s="244"/>
      <c r="C1502" s="244"/>
      <c r="D1502" s="244"/>
      <c r="E1502" s="244"/>
      <c r="F1502" s="244"/>
      <c r="G1502" s="244"/>
      <c r="I1502" s="244"/>
      <c r="J1502" s="244"/>
      <c r="K1502" s="246" t="e">
        <f t="shared" si="161"/>
        <v>#VALUE!</v>
      </c>
      <c r="L1502" s="246" t="e">
        <f t="shared" si="162"/>
        <v>#VALUE!</v>
      </c>
      <c r="M1502" s="247" t="e">
        <f t="shared" si="163"/>
        <v>#VALUE!</v>
      </c>
      <c r="N1502" s="246" t="e">
        <f t="shared" si="164"/>
        <v>#VALUE!</v>
      </c>
      <c r="O1502" s="247" t="e">
        <f t="shared" si="165"/>
        <v>#VALUE!</v>
      </c>
      <c r="P1502" s="247">
        <f t="shared" si="166"/>
        <v>0</v>
      </c>
      <c r="Q1502" s="247" t="e">
        <f t="shared" si="167"/>
        <v>#VALUE!</v>
      </c>
    </row>
    <row r="1503" spans="1:17" ht="15" customHeight="1" x14ac:dyDescent="0.25">
      <c r="A1503" s="244"/>
      <c r="B1503" s="244"/>
      <c r="C1503" s="244"/>
      <c r="D1503" s="244"/>
      <c r="E1503" s="244"/>
      <c r="F1503" s="244"/>
      <c r="G1503" s="244"/>
      <c r="I1503" s="244"/>
      <c r="J1503" s="244"/>
      <c r="K1503" s="246" t="e">
        <f t="shared" si="161"/>
        <v>#VALUE!</v>
      </c>
      <c r="L1503" s="246" t="e">
        <f t="shared" si="162"/>
        <v>#VALUE!</v>
      </c>
      <c r="M1503" s="247" t="e">
        <f t="shared" si="163"/>
        <v>#VALUE!</v>
      </c>
      <c r="N1503" s="246" t="e">
        <f t="shared" si="164"/>
        <v>#VALUE!</v>
      </c>
      <c r="O1503" s="247" t="e">
        <f t="shared" si="165"/>
        <v>#VALUE!</v>
      </c>
      <c r="P1503" s="247">
        <f t="shared" si="166"/>
        <v>0</v>
      </c>
      <c r="Q1503" s="247" t="e">
        <f t="shared" si="167"/>
        <v>#VALUE!</v>
      </c>
    </row>
    <row r="1504" spans="1:17" ht="15" customHeight="1" x14ac:dyDescent="0.25">
      <c r="A1504" s="244"/>
      <c r="B1504" s="244"/>
      <c r="C1504" s="244"/>
      <c r="D1504" s="244"/>
      <c r="E1504" s="244"/>
      <c r="F1504" s="244"/>
      <c r="G1504" s="244"/>
      <c r="I1504" s="244"/>
      <c r="J1504" s="244"/>
      <c r="K1504" s="246" t="e">
        <f t="shared" si="161"/>
        <v>#VALUE!</v>
      </c>
      <c r="L1504" s="246" t="e">
        <f t="shared" si="162"/>
        <v>#VALUE!</v>
      </c>
      <c r="M1504" s="247" t="e">
        <f t="shared" si="163"/>
        <v>#VALUE!</v>
      </c>
      <c r="N1504" s="246" t="e">
        <f t="shared" si="164"/>
        <v>#VALUE!</v>
      </c>
      <c r="O1504" s="247" t="e">
        <f t="shared" si="165"/>
        <v>#VALUE!</v>
      </c>
      <c r="P1504" s="247">
        <f t="shared" si="166"/>
        <v>0</v>
      </c>
      <c r="Q1504" s="247" t="e">
        <f t="shared" si="167"/>
        <v>#VALUE!</v>
      </c>
    </row>
    <row r="1505" spans="1:17" ht="15" customHeight="1" x14ac:dyDescent="0.25">
      <c r="A1505" s="244"/>
      <c r="B1505" s="244"/>
      <c r="C1505" s="244"/>
      <c r="D1505" s="244"/>
      <c r="E1505" s="244"/>
      <c r="F1505" s="244"/>
      <c r="G1505" s="244"/>
      <c r="I1505" s="244"/>
      <c r="J1505" s="244"/>
      <c r="K1505" s="246" t="e">
        <f t="shared" si="161"/>
        <v>#VALUE!</v>
      </c>
      <c r="L1505" s="246" t="e">
        <f t="shared" si="162"/>
        <v>#VALUE!</v>
      </c>
      <c r="M1505" s="247" t="e">
        <f t="shared" si="163"/>
        <v>#VALUE!</v>
      </c>
      <c r="N1505" s="246" t="e">
        <f t="shared" si="164"/>
        <v>#VALUE!</v>
      </c>
      <c r="O1505" s="247" t="e">
        <f t="shared" si="165"/>
        <v>#VALUE!</v>
      </c>
      <c r="P1505" s="247">
        <f t="shared" si="166"/>
        <v>0</v>
      </c>
      <c r="Q1505" s="247" t="e">
        <f t="shared" si="167"/>
        <v>#VALUE!</v>
      </c>
    </row>
    <row r="1506" spans="1:17" ht="15" customHeight="1" x14ac:dyDescent="0.25">
      <c r="A1506" s="244"/>
      <c r="B1506" s="244"/>
      <c r="C1506" s="244"/>
      <c r="D1506" s="244"/>
      <c r="E1506" s="244"/>
      <c r="F1506" s="244"/>
      <c r="G1506" s="244"/>
      <c r="I1506" s="244"/>
      <c r="J1506" s="244"/>
      <c r="K1506" s="246" t="e">
        <f t="shared" si="161"/>
        <v>#VALUE!</v>
      </c>
      <c r="L1506" s="246" t="e">
        <f t="shared" si="162"/>
        <v>#VALUE!</v>
      </c>
      <c r="M1506" s="247" t="e">
        <f t="shared" si="163"/>
        <v>#VALUE!</v>
      </c>
      <c r="N1506" s="246" t="e">
        <f t="shared" si="164"/>
        <v>#VALUE!</v>
      </c>
      <c r="O1506" s="247" t="e">
        <f t="shared" si="165"/>
        <v>#VALUE!</v>
      </c>
      <c r="P1506" s="247">
        <f t="shared" si="166"/>
        <v>0</v>
      </c>
      <c r="Q1506" s="247" t="e">
        <f t="shared" si="167"/>
        <v>#VALUE!</v>
      </c>
    </row>
    <row r="1507" spans="1:17" ht="15" customHeight="1" x14ac:dyDescent="0.25">
      <c r="A1507" s="244"/>
      <c r="B1507" s="244"/>
      <c r="C1507" s="244"/>
      <c r="D1507" s="244"/>
      <c r="E1507" s="244"/>
      <c r="F1507" s="244"/>
      <c r="G1507" s="244"/>
      <c r="I1507" s="244"/>
      <c r="J1507" s="244"/>
      <c r="K1507" s="246" t="e">
        <f t="shared" si="161"/>
        <v>#VALUE!</v>
      </c>
      <c r="L1507" s="246" t="e">
        <f t="shared" si="162"/>
        <v>#VALUE!</v>
      </c>
      <c r="M1507" s="247" t="e">
        <f t="shared" si="163"/>
        <v>#VALUE!</v>
      </c>
      <c r="N1507" s="246" t="e">
        <f t="shared" si="164"/>
        <v>#VALUE!</v>
      </c>
      <c r="O1507" s="247" t="e">
        <f t="shared" si="165"/>
        <v>#VALUE!</v>
      </c>
      <c r="P1507" s="247">
        <f t="shared" si="166"/>
        <v>0</v>
      </c>
      <c r="Q1507" s="247" t="e">
        <f t="shared" si="167"/>
        <v>#VALUE!</v>
      </c>
    </row>
    <row r="1508" spans="1:17" ht="15" customHeight="1" x14ac:dyDescent="0.25">
      <c r="A1508" s="244"/>
      <c r="B1508" s="244"/>
      <c r="C1508" s="244"/>
      <c r="D1508" s="244"/>
      <c r="E1508" s="244"/>
      <c r="F1508" s="244"/>
      <c r="G1508" s="244"/>
      <c r="I1508" s="244"/>
      <c r="J1508" s="244"/>
      <c r="K1508" s="246" t="e">
        <f t="shared" si="161"/>
        <v>#VALUE!</v>
      </c>
      <c r="L1508" s="246" t="e">
        <f t="shared" si="162"/>
        <v>#VALUE!</v>
      </c>
      <c r="M1508" s="247" t="e">
        <f t="shared" si="163"/>
        <v>#VALUE!</v>
      </c>
      <c r="N1508" s="246" t="e">
        <f t="shared" si="164"/>
        <v>#VALUE!</v>
      </c>
      <c r="O1508" s="247" t="e">
        <f t="shared" si="165"/>
        <v>#VALUE!</v>
      </c>
      <c r="P1508" s="247">
        <f t="shared" si="166"/>
        <v>0</v>
      </c>
      <c r="Q1508" s="247" t="e">
        <f t="shared" si="167"/>
        <v>#VALUE!</v>
      </c>
    </row>
    <row r="1509" spans="1:17" ht="15" customHeight="1" x14ac:dyDescent="0.25">
      <c r="A1509" s="244"/>
      <c r="B1509" s="244"/>
      <c r="C1509" s="244"/>
      <c r="D1509" s="244"/>
      <c r="E1509" s="244"/>
      <c r="F1509" s="244"/>
      <c r="G1509" s="244"/>
      <c r="I1509" s="244"/>
      <c r="J1509" s="244"/>
      <c r="K1509" s="246" t="e">
        <f t="shared" si="161"/>
        <v>#VALUE!</v>
      </c>
      <c r="L1509" s="246" t="e">
        <f t="shared" si="162"/>
        <v>#VALUE!</v>
      </c>
      <c r="M1509" s="247" t="e">
        <f t="shared" si="163"/>
        <v>#VALUE!</v>
      </c>
      <c r="N1509" s="246" t="e">
        <f t="shared" si="164"/>
        <v>#VALUE!</v>
      </c>
      <c r="O1509" s="247" t="e">
        <f t="shared" si="165"/>
        <v>#VALUE!</v>
      </c>
      <c r="P1509" s="247">
        <f t="shared" si="166"/>
        <v>0</v>
      </c>
      <c r="Q1509" s="247" t="e">
        <f t="shared" si="167"/>
        <v>#VALUE!</v>
      </c>
    </row>
    <row r="1510" spans="1:17" ht="15" customHeight="1" x14ac:dyDescent="0.25">
      <c r="A1510" s="244"/>
      <c r="B1510" s="244"/>
      <c r="C1510" s="244"/>
      <c r="D1510" s="244"/>
      <c r="E1510" s="244"/>
      <c r="F1510" s="244"/>
      <c r="G1510" s="244"/>
      <c r="I1510" s="244"/>
      <c r="J1510" s="244"/>
      <c r="K1510" s="246" t="e">
        <f t="shared" si="161"/>
        <v>#VALUE!</v>
      </c>
      <c r="L1510" s="246" t="e">
        <f t="shared" si="162"/>
        <v>#VALUE!</v>
      </c>
      <c r="M1510" s="247" t="e">
        <f t="shared" si="163"/>
        <v>#VALUE!</v>
      </c>
      <c r="N1510" s="246" t="e">
        <f t="shared" si="164"/>
        <v>#VALUE!</v>
      </c>
      <c r="O1510" s="247" t="e">
        <f t="shared" si="165"/>
        <v>#VALUE!</v>
      </c>
      <c r="P1510" s="247">
        <f t="shared" si="166"/>
        <v>0</v>
      </c>
      <c r="Q1510" s="247" t="e">
        <f t="shared" si="167"/>
        <v>#VALUE!</v>
      </c>
    </row>
    <row r="1511" spans="1:17" ht="15" customHeight="1" x14ac:dyDescent="0.25">
      <c r="A1511" s="244"/>
      <c r="B1511" s="244"/>
      <c r="C1511" s="244"/>
      <c r="D1511" s="244"/>
      <c r="E1511" s="244"/>
      <c r="F1511" s="244"/>
      <c r="G1511" s="244"/>
      <c r="I1511" s="244"/>
      <c r="J1511" s="244"/>
      <c r="K1511" s="246" t="e">
        <f t="shared" si="161"/>
        <v>#VALUE!</v>
      </c>
      <c r="L1511" s="246" t="e">
        <f t="shared" si="162"/>
        <v>#VALUE!</v>
      </c>
      <c r="M1511" s="247" t="e">
        <f t="shared" si="163"/>
        <v>#VALUE!</v>
      </c>
      <c r="N1511" s="246" t="e">
        <f t="shared" si="164"/>
        <v>#VALUE!</v>
      </c>
      <c r="O1511" s="247" t="e">
        <f t="shared" si="165"/>
        <v>#VALUE!</v>
      </c>
      <c r="P1511" s="247">
        <f t="shared" si="166"/>
        <v>0</v>
      </c>
      <c r="Q1511" s="247" t="e">
        <f t="shared" si="167"/>
        <v>#VALUE!</v>
      </c>
    </row>
    <row r="1512" spans="1:17" ht="15" customHeight="1" x14ac:dyDescent="0.25">
      <c r="A1512" s="244"/>
      <c r="B1512" s="244"/>
      <c r="C1512" s="244"/>
      <c r="D1512" s="244"/>
      <c r="E1512" s="244"/>
      <c r="F1512" s="244"/>
      <c r="G1512" s="244"/>
      <c r="I1512" s="244"/>
      <c r="J1512" s="244"/>
      <c r="K1512" s="246" t="e">
        <f t="shared" si="161"/>
        <v>#VALUE!</v>
      </c>
      <c r="L1512" s="246" t="e">
        <f t="shared" si="162"/>
        <v>#VALUE!</v>
      </c>
      <c r="M1512" s="247" t="e">
        <f t="shared" si="163"/>
        <v>#VALUE!</v>
      </c>
      <c r="N1512" s="246" t="e">
        <f t="shared" si="164"/>
        <v>#VALUE!</v>
      </c>
      <c r="O1512" s="247" t="e">
        <f t="shared" si="165"/>
        <v>#VALUE!</v>
      </c>
      <c r="P1512" s="247">
        <f t="shared" si="166"/>
        <v>0</v>
      </c>
      <c r="Q1512" s="247" t="e">
        <f t="shared" si="167"/>
        <v>#VALUE!</v>
      </c>
    </row>
    <row r="1513" spans="1:17" ht="15" customHeight="1" x14ac:dyDescent="0.25">
      <c r="A1513" s="244"/>
      <c r="B1513" s="244"/>
      <c r="C1513" s="244"/>
      <c r="D1513" s="244"/>
      <c r="E1513" s="244"/>
      <c r="F1513" s="244"/>
      <c r="G1513" s="244"/>
      <c r="I1513" s="244"/>
      <c r="J1513" s="244"/>
      <c r="K1513" s="246" t="e">
        <f t="shared" si="161"/>
        <v>#VALUE!</v>
      </c>
      <c r="L1513" s="246" t="e">
        <f t="shared" si="162"/>
        <v>#VALUE!</v>
      </c>
      <c r="M1513" s="247" t="e">
        <f t="shared" si="163"/>
        <v>#VALUE!</v>
      </c>
      <c r="N1513" s="246" t="e">
        <f t="shared" si="164"/>
        <v>#VALUE!</v>
      </c>
      <c r="O1513" s="247" t="e">
        <f t="shared" si="165"/>
        <v>#VALUE!</v>
      </c>
      <c r="P1513" s="247">
        <f t="shared" si="166"/>
        <v>0</v>
      </c>
      <c r="Q1513" s="247" t="e">
        <f t="shared" si="167"/>
        <v>#VALUE!</v>
      </c>
    </row>
    <row r="1514" spans="1:17" ht="15" customHeight="1" x14ac:dyDescent="0.25">
      <c r="A1514" s="244"/>
      <c r="B1514" s="244"/>
      <c r="C1514" s="244"/>
      <c r="D1514" s="244"/>
      <c r="E1514" s="244"/>
      <c r="F1514" s="244"/>
      <c r="G1514" s="244"/>
      <c r="I1514" s="244"/>
      <c r="J1514" s="244"/>
      <c r="K1514" s="246" t="e">
        <f t="shared" si="161"/>
        <v>#VALUE!</v>
      </c>
      <c r="L1514" s="246" t="e">
        <f t="shared" si="162"/>
        <v>#VALUE!</v>
      </c>
      <c r="M1514" s="247" t="e">
        <f t="shared" si="163"/>
        <v>#VALUE!</v>
      </c>
      <c r="N1514" s="246" t="e">
        <f t="shared" si="164"/>
        <v>#VALUE!</v>
      </c>
      <c r="O1514" s="247" t="e">
        <f t="shared" si="165"/>
        <v>#VALUE!</v>
      </c>
      <c r="P1514" s="247">
        <f t="shared" si="166"/>
        <v>0</v>
      </c>
      <c r="Q1514" s="247" t="e">
        <f t="shared" si="167"/>
        <v>#VALUE!</v>
      </c>
    </row>
    <row r="1515" spans="1:17" ht="15" customHeight="1" x14ac:dyDescent="0.25">
      <c r="A1515" s="244"/>
      <c r="B1515" s="244"/>
      <c r="C1515" s="244"/>
      <c r="D1515" s="244"/>
      <c r="E1515" s="244"/>
      <c r="F1515" s="244"/>
      <c r="G1515" s="244"/>
      <c r="I1515" s="244"/>
      <c r="J1515" s="244"/>
      <c r="K1515" s="246" t="e">
        <f t="shared" si="161"/>
        <v>#VALUE!</v>
      </c>
      <c r="L1515" s="246" t="e">
        <f t="shared" si="162"/>
        <v>#VALUE!</v>
      </c>
      <c r="M1515" s="247" t="e">
        <f t="shared" si="163"/>
        <v>#VALUE!</v>
      </c>
      <c r="N1515" s="246" t="e">
        <f t="shared" si="164"/>
        <v>#VALUE!</v>
      </c>
      <c r="O1515" s="247" t="e">
        <f t="shared" si="165"/>
        <v>#VALUE!</v>
      </c>
      <c r="P1515" s="247">
        <f t="shared" si="166"/>
        <v>0</v>
      </c>
      <c r="Q1515" s="247" t="e">
        <f t="shared" si="167"/>
        <v>#VALUE!</v>
      </c>
    </row>
    <row r="1516" spans="1:17" ht="15" customHeight="1" x14ac:dyDescent="0.25">
      <c r="A1516" s="244"/>
      <c r="B1516" s="244"/>
      <c r="C1516" s="244"/>
      <c r="D1516" s="244"/>
      <c r="E1516" s="244"/>
      <c r="F1516" s="244"/>
      <c r="G1516" s="244"/>
      <c r="I1516" s="244"/>
      <c r="J1516" s="244"/>
      <c r="K1516" s="246" t="e">
        <f t="shared" si="161"/>
        <v>#VALUE!</v>
      </c>
      <c r="L1516" s="246" t="e">
        <f t="shared" si="162"/>
        <v>#VALUE!</v>
      </c>
      <c r="M1516" s="247" t="e">
        <f t="shared" si="163"/>
        <v>#VALUE!</v>
      </c>
      <c r="N1516" s="246" t="e">
        <f t="shared" si="164"/>
        <v>#VALUE!</v>
      </c>
      <c r="O1516" s="247" t="e">
        <f t="shared" si="165"/>
        <v>#VALUE!</v>
      </c>
      <c r="P1516" s="247">
        <f t="shared" si="166"/>
        <v>0</v>
      </c>
      <c r="Q1516" s="247" t="e">
        <f t="shared" si="167"/>
        <v>#VALUE!</v>
      </c>
    </row>
    <row r="1517" spans="1:17" ht="15" customHeight="1" x14ac:dyDescent="0.25">
      <c r="A1517" s="244"/>
      <c r="B1517" s="244"/>
      <c r="C1517" s="244"/>
      <c r="D1517" s="244"/>
      <c r="E1517" s="244"/>
      <c r="F1517" s="244"/>
      <c r="G1517" s="244"/>
      <c r="I1517" s="244"/>
      <c r="J1517" s="244"/>
      <c r="K1517" s="246" t="e">
        <f t="shared" si="161"/>
        <v>#VALUE!</v>
      </c>
      <c r="L1517" s="246" t="e">
        <f t="shared" si="162"/>
        <v>#VALUE!</v>
      </c>
      <c r="M1517" s="247" t="e">
        <f t="shared" si="163"/>
        <v>#VALUE!</v>
      </c>
      <c r="N1517" s="246" t="e">
        <f t="shared" si="164"/>
        <v>#VALUE!</v>
      </c>
      <c r="O1517" s="247" t="e">
        <f t="shared" si="165"/>
        <v>#VALUE!</v>
      </c>
      <c r="P1517" s="247">
        <f t="shared" si="166"/>
        <v>0</v>
      </c>
      <c r="Q1517" s="247" t="e">
        <f t="shared" si="167"/>
        <v>#VALUE!</v>
      </c>
    </row>
    <row r="1518" spans="1:17" ht="15" customHeight="1" x14ac:dyDescent="0.25">
      <c r="A1518" s="244"/>
      <c r="B1518" s="244"/>
      <c r="C1518" s="244"/>
      <c r="D1518" s="244"/>
      <c r="E1518" s="244"/>
      <c r="F1518" s="244"/>
      <c r="G1518" s="244"/>
      <c r="I1518" s="244"/>
      <c r="J1518" s="244"/>
      <c r="K1518" s="246" t="e">
        <f t="shared" si="161"/>
        <v>#VALUE!</v>
      </c>
      <c r="L1518" s="246" t="e">
        <f t="shared" si="162"/>
        <v>#VALUE!</v>
      </c>
      <c r="M1518" s="247" t="e">
        <f t="shared" si="163"/>
        <v>#VALUE!</v>
      </c>
      <c r="N1518" s="246" t="e">
        <f t="shared" si="164"/>
        <v>#VALUE!</v>
      </c>
      <c r="O1518" s="247" t="e">
        <f t="shared" si="165"/>
        <v>#VALUE!</v>
      </c>
      <c r="P1518" s="247">
        <f t="shared" si="166"/>
        <v>0</v>
      </c>
      <c r="Q1518" s="247" t="e">
        <f t="shared" si="167"/>
        <v>#VALUE!</v>
      </c>
    </row>
    <row r="1519" spans="1:17" ht="15" customHeight="1" x14ac:dyDescent="0.25">
      <c r="A1519" s="244"/>
      <c r="B1519" s="244"/>
      <c r="C1519" s="244"/>
      <c r="D1519" s="244"/>
      <c r="E1519" s="244"/>
      <c r="F1519" s="244"/>
      <c r="G1519" s="244"/>
      <c r="I1519" s="244"/>
      <c r="J1519" s="244"/>
      <c r="K1519" s="246" t="e">
        <f t="shared" si="161"/>
        <v>#VALUE!</v>
      </c>
      <c r="L1519" s="246" t="e">
        <f t="shared" si="162"/>
        <v>#VALUE!</v>
      </c>
      <c r="M1519" s="247" t="e">
        <f t="shared" si="163"/>
        <v>#VALUE!</v>
      </c>
      <c r="N1519" s="246" t="e">
        <f t="shared" si="164"/>
        <v>#VALUE!</v>
      </c>
      <c r="O1519" s="247" t="e">
        <f t="shared" si="165"/>
        <v>#VALUE!</v>
      </c>
      <c r="P1519" s="247">
        <f t="shared" si="166"/>
        <v>0</v>
      </c>
      <c r="Q1519" s="247" t="e">
        <f t="shared" si="167"/>
        <v>#VALUE!</v>
      </c>
    </row>
    <row r="1520" spans="1:17" ht="15" customHeight="1" x14ac:dyDescent="0.25">
      <c r="A1520" s="244"/>
      <c r="B1520" s="244"/>
      <c r="C1520" s="244"/>
      <c r="D1520" s="244"/>
      <c r="E1520" s="244"/>
      <c r="F1520" s="244"/>
      <c r="G1520" s="244"/>
      <c r="I1520" s="244"/>
      <c r="J1520" s="244"/>
      <c r="K1520" s="246" t="e">
        <f t="shared" si="161"/>
        <v>#VALUE!</v>
      </c>
      <c r="L1520" s="246" t="e">
        <f t="shared" si="162"/>
        <v>#VALUE!</v>
      </c>
      <c r="M1520" s="247" t="e">
        <f t="shared" si="163"/>
        <v>#VALUE!</v>
      </c>
      <c r="N1520" s="246" t="e">
        <f t="shared" si="164"/>
        <v>#VALUE!</v>
      </c>
      <c r="O1520" s="247" t="e">
        <f t="shared" si="165"/>
        <v>#VALUE!</v>
      </c>
      <c r="P1520" s="247">
        <f t="shared" si="166"/>
        <v>0</v>
      </c>
      <c r="Q1520" s="247" t="e">
        <f t="shared" si="167"/>
        <v>#VALUE!</v>
      </c>
    </row>
    <row r="1521" spans="1:17" ht="15" customHeight="1" x14ac:dyDescent="0.25">
      <c r="A1521" s="244"/>
      <c r="B1521" s="244"/>
      <c r="C1521" s="244"/>
      <c r="D1521" s="244"/>
      <c r="E1521" s="244"/>
      <c r="F1521" s="244"/>
      <c r="G1521" s="244"/>
      <c r="I1521" s="244"/>
      <c r="J1521" s="244"/>
      <c r="K1521" s="246" t="e">
        <f t="shared" si="161"/>
        <v>#VALUE!</v>
      </c>
      <c r="L1521" s="246" t="e">
        <f t="shared" si="162"/>
        <v>#VALUE!</v>
      </c>
      <c r="M1521" s="247" t="e">
        <f t="shared" si="163"/>
        <v>#VALUE!</v>
      </c>
      <c r="N1521" s="246" t="e">
        <f t="shared" si="164"/>
        <v>#VALUE!</v>
      </c>
      <c r="O1521" s="247" t="e">
        <f t="shared" si="165"/>
        <v>#VALUE!</v>
      </c>
      <c r="P1521" s="247">
        <f t="shared" si="166"/>
        <v>0</v>
      </c>
      <c r="Q1521" s="247" t="e">
        <f t="shared" si="167"/>
        <v>#VALUE!</v>
      </c>
    </row>
    <row r="1522" spans="1:17" ht="15" customHeight="1" x14ac:dyDescent="0.25">
      <c r="A1522" s="244"/>
      <c r="B1522" s="244"/>
      <c r="C1522" s="244"/>
      <c r="D1522" s="244"/>
      <c r="E1522" s="244"/>
      <c r="F1522" s="244"/>
      <c r="G1522" s="244"/>
      <c r="I1522" s="244"/>
      <c r="J1522" s="244"/>
      <c r="K1522" s="246" t="e">
        <f t="shared" si="161"/>
        <v>#VALUE!</v>
      </c>
      <c r="L1522" s="246" t="e">
        <f t="shared" si="162"/>
        <v>#VALUE!</v>
      </c>
      <c r="M1522" s="247" t="e">
        <f t="shared" si="163"/>
        <v>#VALUE!</v>
      </c>
      <c r="N1522" s="246" t="e">
        <f t="shared" si="164"/>
        <v>#VALUE!</v>
      </c>
      <c r="O1522" s="247" t="e">
        <f t="shared" si="165"/>
        <v>#VALUE!</v>
      </c>
      <c r="P1522" s="247">
        <f t="shared" si="166"/>
        <v>0</v>
      </c>
      <c r="Q1522" s="247" t="e">
        <f t="shared" si="167"/>
        <v>#VALUE!</v>
      </c>
    </row>
    <row r="1523" spans="1:17" ht="15" customHeight="1" x14ac:dyDescent="0.25">
      <c r="A1523" s="244"/>
      <c r="B1523" s="244"/>
      <c r="C1523" s="244"/>
      <c r="D1523" s="244"/>
      <c r="E1523" s="244"/>
      <c r="F1523" s="244"/>
      <c r="G1523" s="244"/>
      <c r="I1523" s="244"/>
      <c r="J1523" s="244"/>
      <c r="K1523" s="246" t="e">
        <f t="shared" si="161"/>
        <v>#VALUE!</v>
      </c>
      <c r="L1523" s="246" t="e">
        <f t="shared" si="162"/>
        <v>#VALUE!</v>
      </c>
      <c r="M1523" s="247" t="e">
        <f t="shared" si="163"/>
        <v>#VALUE!</v>
      </c>
      <c r="N1523" s="246" t="e">
        <f t="shared" si="164"/>
        <v>#VALUE!</v>
      </c>
      <c r="O1523" s="247" t="e">
        <f t="shared" si="165"/>
        <v>#VALUE!</v>
      </c>
      <c r="P1523" s="247">
        <f t="shared" si="166"/>
        <v>0</v>
      </c>
      <c r="Q1523" s="247" t="e">
        <f t="shared" si="167"/>
        <v>#VALUE!</v>
      </c>
    </row>
    <row r="1524" spans="1:17" ht="15" customHeight="1" x14ac:dyDescent="0.25">
      <c r="A1524" s="244"/>
      <c r="B1524" s="244"/>
      <c r="C1524" s="244"/>
      <c r="D1524" s="244"/>
      <c r="E1524" s="244"/>
      <c r="F1524" s="244"/>
      <c r="G1524" s="244"/>
      <c r="I1524" s="244"/>
      <c r="J1524" s="244"/>
      <c r="K1524" s="246" t="e">
        <f t="shared" si="161"/>
        <v>#VALUE!</v>
      </c>
      <c r="L1524" s="246" t="e">
        <f t="shared" si="162"/>
        <v>#VALUE!</v>
      </c>
      <c r="M1524" s="247" t="e">
        <f t="shared" si="163"/>
        <v>#VALUE!</v>
      </c>
      <c r="N1524" s="246" t="e">
        <f t="shared" si="164"/>
        <v>#VALUE!</v>
      </c>
      <c r="O1524" s="247" t="e">
        <f t="shared" si="165"/>
        <v>#VALUE!</v>
      </c>
      <c r="P1524" s="247">
        <f t="shared" si="166"/>
        <v>0</v>
      </c>
      <c r="Q1524" s="247" t="e">
        <f t="shared" si="167"/>
        <v>#VALUE!</v>
      </c>
    </row>
    <row r="1525" spans="1:17" ht="15" customHeight="1" x14ac:dyDescent="0.25">
      <c r="A1525" s="244"/>
      <c r="B1525" s="244"/>
      <c r="C1525" s="244"/>
      <c r="D1525" s="244"/>
      <c r="E1525" s="244"/>
      <c r="F1525" s="244"/>
      <c r="G1525" s="244"/>
      <c r="I1525" s="244"/>
      <c r="J1525" s="244"/>
      <c r="K1525" s="246" t="e">
        <f t="shared" si="161"/>
        <v>#VALUE!</v>
      </c>
      <c r="L1525" s="246" t="e">
        <f t="shared" si="162"/>
        <v>#VALUE!</v>
      </c>
      <c r="M1525" s="247" t="e">
        <f t="shared" si="163"/>
        <v>#VALUE!</v>
      </c>
      <c r="N1525" s="246" t="e">
        <f t="shared" si="164"/>
        <v>#VALUE!</v>
      </c>
      <c r="O1525" s="247" t="e">
        <f t="shared" si="165"/>
        <v>#VALUE!</v>
      </c>
      <c r="P1525" s="247">
        <f t="shared" si="166"/>
        <v>0</v>
      </c>
      <c r="Q1525" s="247" t="e">
        <f t="shared" si="167"/>
        <v>#VALUE!</v>
      </c>
    </row>
    <row r="1526" spans="1:17" ht="15" customHeight="1" x14ac:dyDescent="0.25">
      <c r="A1526" s="244"/>
      <c r="B1526" s="244"/>
      <c r="C1526" s="244"/>
      <c r="D1526" s="244"/>
      <c r="E1526" s="244"/>
      <c r="F1526" s="244"/>
      <c r="G1526" s="244"/>
      <c r="I1526" s="244"/>
      <c r="J1526" s="244"/>
      <c r="K1526" s="246" t="e">
        <f t="shared" si="161"/>
        <v>#VALUE!</v>
      </c>
      <c r="L1526" s="246" t="e">
        <f t="shared" si="162"/>
        <v>#VALUE!</v>
      </c>
      <c r="M1526" s="247" t="e">
        <f t="shared" si="163"/>
        <v>#VALUE!</v>
      </c>
      <c r="N1526" s="246" t="e">
        <f t="shared" si="164"/>
        <v>#VALUE!</v>
      </c>
      <c r="O1526" s="247" t="e">
        <f t="shared" si="165"/>
        <v>#VALUE!</v>
      </c>
      <c r="P1526" s="247">
        <f t="shared" si="166"/>
        <v>0</v>
      </c>
      <c r="Q1526" s="247" t="e">
        <f t="shared" si="167"/>
        <v>#VALUE!</v>
      </c>
    </row>
    <row r="1527" spans="1:17" ht="15" customHeight="1" x14ac:dyDescent="0.25">
      <c r="A1527" s="244"/>
      <c r="B1527" s="244"/>
      <c r="C1527" s="244"/>
      <c r="D1527" s="244"/>
      <c r="E1527" s="244"/>
      <c r="F1527" s="244"/>
      <c r="G1527" s="244"/>
      <c r="I1527" s="244"/>
      <c r="J1527" s="244"/>
      <c r="K1527" s="246" t="e">
        <f t="shared" si="161"/>
        <v>#VALUE!</v>
      </c>
      <c r="L1527" s="246" t="e">
        <f t="shared" si="162"/>
        <v>#VALUE!</v>
      </c>
      <c r="M1527" s="247" t="e">
        <f t="shared" si="163"/>
        <v>#VALUE!</v>
      </c>
      <c r="N1527" s="246" t="e">
        <f t="shared" si="164"/>
        <v>#VALUE!</v>
      </c>
      <c r="O1527" s="247" t="e">
        <f t="shared" si="165"/>
        <v>#VALUE!</v>
      </c>
      <c r="P1527" s="247">
        <f t="shared" si="166"/>
        <v>0</v>
      </c>
      <c r="Q1527" s="247" t="e">
        <f t="shared" si="167"/>
        <v>#VALUE!</v>
      </c>
    </row>
    <row r="1528" spans="1:17" ht="15" customHeight="1" x14ac:dyDescent="0.25">
      <c r="A1528" s="244"/>
      <c r="B1528" s="244"/>
      <c r="C1528" s="244"/>
      <c r="D1528" s="244"/>
      <c r="E1528" s="244"/>
      <c r="F1528" s="244"/>
      <c r="G1528" s="244"/>
      <c r="I1528" s="244"/>
      <c r="J1528" s="244"/>
      <c r="K1528" s="246" t="e">
        <f t="shared" si="161"/>
        <v>#VALUE!</v>
      </c>
      <c r="L1528" s="246" t="e">
        <f t="shared" si="162"/>
        <v>#VALUE!</v>
      </c>
      <c r="M1528" s="247" t="e">
        <f t="shared" si="163"/>
        <v>#VALUE!</v>
      </c>
      <c r="N1528" s="246" t="e">
        <f t="shared" si="164"/>
        <v>#VALUE!</v>
      </c>
      <c r="O1528" s="247" t="e">
        <f t="shared" si="165"/>
        <v>#VALUE!</v>
      </c>
      <c r="P1528" s="247">
        <f t="shared" si="166"/>
        <v>0</v>
      </c>
      <c r="Q1528" s="247" t="e">
        <f t="shared" si="167"/>
        <v>#VALUE!</v>
      </c>
    </row>
    <row r="1529" spans="1:17" ht="15" customHeight="1" x14ac:dyDescent="0.25">
      <c r="A1529" s="244"/>
      <c r="B1529" s="244"/>
      <c r="C1529" s="244"/>
      <c r="D1529" s="244"/>
      <c r="E1529" s="244"/>
      <c r="F1529" s="244"/>
      <c r="G1529" s="244"/>
      <c r="I1529" s="244"/>
      <c r="J1529" s="244"/>
      <c r="K1529" s="246" t="e">
        <f t="shared" si="161"/>
        <v>#VALUE!</v>
      </c>
      <c r="L1529" s="246" t="e">
        <f t="shared" si="162"/>
        <v>#VALUE!</v>
      </c>
      <c r="M1529" s="247" t="e">
        <f t="shared" si="163"/>
        <v>#VALUE!</v>
      </c>
      <c r="N1529" s="246" t="e">
        <f t="shared" si="164"/>
        <v>#VALUE!</v>
      </c>
      <c r="O1529" s="247" t="e">
        <f t="shared" si="165"/>
        <v>#VALUE!</v>
      </c>
      <c r="P1529" s="247">
        <f t="shared" si="166"/>
        <v>0</v>
      </c>
      <c r="Q1529" s="247" t="e">
        <f t="shared" si="167"/>
        <v>#VALUE!</v>
      </c>
    </row>
    <row r="1530" spans="1:17" ht="15" customHeight="1" x14ac:dyDescent="0.25">
      <c r="A1530" s="244"/>
      <c r="B1530" s="244"/>
      <c r="C1530" s="244"/>
      <c r="D1530" s="244"/>
      <c r="E1530" s="244"/>
      <c r="F1530" s="244"/>
      <c r="G1530" s="244"/>
      <c r="I1530" s="244"/>
      <c r="J1530" s="244"/>
      <c r="K1530" s="246" t="e">
        <f t="shared" si="161"/>
        <v>#VALUE!</v>
      </c>
      <c r="L1530" s="246" t="e">
        <f t="shared" si="162"/>
        <v>#VALUE!</v>
      </c>
      <c r="M1530" s="247" t="e">
        <f t="shared" si="163"/>
        <v>#VALUE!</v>
      </c>
      <c r="N1530" s="246" t="e">
        <f t="shared" si="164"/>
        <v>#VALUE!</v>
      </c>
      <c r="O1530" s="247" t="e">
        <f t="shared" si="165"/>
        <v>#VALUE!</v>
      </c>
      <c r="P1530" s="247">
        <f t="shared" si="166"/>
        <v>0</v>
      </c>
      <c r="Q1530" s="247" t="e">
        <f t="shared" si="167"/>
        <v>#VALUE!</v>
      </c>
    </row>
    <row r="1531" spans="1:17" ht="15" customHeight="1" x14ac:dyDescent="0.25">
      <c r="A1531" s="244"/>
      <c r="B1531" s="244"/>
      <c r="C1531" s="244"/>
      <c r="D1531" s="244"/>
      <c r="E1531" s="244"/>
      <c r="F1531" s="244"/>
      <c r="G1531" s="244"/>
      <c r="I1531" s="244"/>
      <c r="J1531" s="244"/>
      <c r="K1531" s="246" t="e">
        <f t="shared" si="161"/>
        <v>#VALUE!</v>
      </c>
      <c r="L1531" s="246" t="e">
        <f t="shared" si="162"/>
        <v>#VALUE!</v>
      </c>
      <c r="M1531" s="247" t="e">
        <f t="shared" si="163"/>
        <v>#VALUE!</v>
      </c>
      <c r="N1531" s="246" t="e">
        <f t="shared" si="164"/>
        <v>#VALUE!</v>
      </c>
      <c r="O1531" s="247" t="e">
        <f t="shared" si="165"/>
        <v>#VALUE!</v>
      </c>
      <c r="P1531" s="247">
        <f t="shared" si="166"/>
        <v>0</v>
      </c>
      <c r="Q1531" s="247" t="e">
        <f t="shared" si="167"/>
        <v>#VALUE!</v>
      </c>
    </row>
    <row r="1532" spans="1:17" ht="15" customHeight="1" x14ac:dyDescent="0.25">
      <c r="A1532" s="244"/>
      <c r="B1532" s="244"/>
      <c r="C1532" s="244"/>
      <c r="D1532" s="244"/>
      <c r="E1532" s="244"/>
      <c r="F1532" s="244"/>
      <c r="G1532" s="244"/>
      <c r="I1532" s="244"/>
      <c r="J1532" s="244"/>
      <c r="K1532" s="246" t="e">
        <f t="shared" si="161"/>
        <v>#VALUE!</v>
      </c>
      <c r="L1532" s="246" t="e">
        <f t="shared" si="162"/>
        <v>#VALUE!</v>
      </c>
      <c r="M1532" s="247" t="e">
        <f t="shared" si="163"/>
        <v>#VALUE!</v>
      </c>
      <c r="N1532" s="246" t="e">
        <f t="shared" si="164"/>
        <v>#VALUE!</v>
      </c>
      <c r="O1532" s="247" t="e">
        <f t="shared" si="165"/>
        <v>#VALUE!</v>
      </c>
      <c r="P1532" s="247">
        <f t="shared" si="166"/>
        <v>0</v>
      </c>
      <c r="Q1532" s="247" t="e">
        <f t="shared" si="167"/>
        <v>#VALUE!</v>
      </c>
    </row>
    <row r="1533" spans="1:17" ht="15" customHeight="1" x14ac:dyDescent="0.25">
      <c r="A1533" s="244"/>
      <c r="B1533" s="244"/>
      <c r="C1533" s="244"/>
      <c r="D1533" s="244"/>
      <c r="E1533" s="244"/>
      <c r="F1533" s="244"/>
      <c r="G1533" s="244"/>
      <c r="I1533" s="244"/>
      <c r="J1533" s="244"/>
      <c r="K1533" s="246" t="e">
        <f t="shared" si="161"/>
        <v>#VALUE!</v>
      </c>
      <c r="L1533" s="246" t="e">
        <f t="shared" si="162"/>
        <v>#VALUE!</v>
      </c>
      <c r="M1533" s="247" t="e">
        <f t="shared" si="163"/>
        <v>#VALUE!</v>
      </c>
      <c r="N1533" s="246" t="e">
        <f t="shared" si="164"/>
        <v>#VALUE!</v>
      </c>
      <c r="O1533" s="247" t="e">
        <f t="shared" si="165"/>
        <v>#VALUE!</v>
      </c>
      <c r="P1533" s="247">
        <f t="shared" si="166"/>
        <v>0</v>
      </c>
      <c r="Q1533" s="247" t="e">
        <f t="shared" si="167"/>
        <v>#VALUE!</v>
      </c>
    </row>
    <row r="1534" spans="1:17" ht="15" customHeight="1" x14ac:dyDescent="0.25">
      <c r="A1534" s="244"/>
      <c r="B1534" s="244"/>
      <c r="C1534" s="244"/>
      <c r="D1534" s="244"/>
      <c r="E1534" s="244"/>
      <c r="F1534" s="244"/>
      <c r="G1534" s="244"/>
      <c r="I1534" s="244"/>
      <c r="J1534" s="244"/>
      <c r="K1534" s="246" t="e">
        <f t="shared" si="161"/>
        <v>#VALUE!</v>
      </c>
      <c r="L1534" s="246" t="e">
        <f t="shared" si="162"/>
        <v>#VALUE!</v>
      </c>
      <c r="M1534" s="247" t="e">
        <f t="shared" si="163"/>
        <v>#VALUE!</v>
      </c>
      <c r="N1534" s="246" t="e">
        <f t="shared" si="164"/>
        <v>#VALUE!</v>
      </c>
      <c r="O1534" s="247" t="e">
        <f t="shared" si="165"/>
        <v>#VALUE!</v>
      </c>
      <c r="P1534" s="247">
        <f t="shared" si="166"/>
        <v>0</v>
      </c>
      <c r="Q1534" s="247" t="e">
        <f t="shared" si="167"/>
        <v>#VALUE!</v>
      </c>
    </row>
    <row r="1535" spans="1:17" ht="15" customHeight="1" x14ac:dyDescent="0.25">
      <c r="A1535" s="244"/>
      <c r="B1535" s="244"/>
      <c r="C1535" s="244"/>
      <c r="D1535" s="244"/>
      <c r="E1535" s="244"/>
      <c r="F1535" s="244"/>
      <c r="G1535" s="244"/>
      <c r="I1535" s="244"/>
      <c r="J1535" s="244"/>
      <c r="K1535" s="246" t="e">
        <f t="shared" si="161"/>
        <v>#VALUE!</v>
      </c>
      <c r="L1535" s="246" t="e">
        <f t="shared" si="162"/>
        <v>#VALUE!</v>
      </c>
      <c r="M1535" s="247" t="e">
        <f t="shared" si="163"/>
        <v>#VALUE!</v>
      </c>
      <c r="N1535" s="246" t="e">
        <f t="shared" si="164"/>
        <v>#VALUE!</v>
      </c>
      <c r="O1535" s="247" t="e">
        <f t="shared" si="165"/>
        <v>#VALUE!</v>
      </c>
      <c r="P1535" s="247">
        <f t="shared" si="166"/>
        <v>0</v>
      </c>
      <c r="Q1535" s="247" t="e">
        <f t="shared" si="167"/>
        <v>#VALUE!</v>
      </c>
    </row>
    <row r="1536" spans="1:17" ht="15" customHeight="1" x14ac:dyDescent="0.25">
      <c r="A1536" s="244"/>
      <c r="B1536" s="244"/>
      <c r="C1536" s="244"/>
      <c r="D1536" s="244"/>
      <c r="E1536" s="244"/>
      <c r="F1536" s="244"/>
      <c r="G1536" s="244"/>
      <c r="I1536" s="244"/>
      <c r="J1536" s="244"/>
      <c r="K1536" s="246" t="e">
        <f t="shared" si="161"/>
        <v>#VALUE!</v>
      </c>
      <c r="L1536" s="246" t="e">
        <f t="shared" si="162"/>
        <v>#VALUE!</v>
      </c>
      <c r="M1536" s="247" t="e">
        <f t="shared" si="163"/>
        <v>#VALUE!</v>
      </c>
      <c r="N1536" s="246" t="e">
        <f t="shared" si="164"/>
        <v>#VALUE!</v>
      </c>
      <c r="O1536" s="247" t="e">
        <f t="shared" si="165"/>
        <v>#VALUE!</v>
      </c>
      <c r="P1536" s="247">
        <f t="shared" si="166"/>
        <v>0</v>
      </c>
      <c r="Q1536" s="247" t="e">
        <f t="shared" si="167"/>
        <v>#VALUE!</v>
      </c>
    </row>
    <row r="1537" spans="1:17" ht="15" customHeight="1" x14ac:dyDescent="0.25">
      <c r="A1537" s="244"/>
      <c r="B1537" s="244"/>
      <c r="C1537" s="244"/>
      <c r="D1537" s="244"/>
      <c r="E1537" s="244"/>
      <c r="F1537" s="244"/>
      <c r="G1537" s="244"/>
      <c r="I1537" s="244"/>
      <c r="J1537" s="244"/>
      <c r="K1537" s="246" t="e">
        <f t="shared" si="161"/>
        <v>#VALUE!</v>
      </c>
      <c r="L1537" s="246" t="e">
        <f t="shared" si="162"/>
        <v>#VALUE!</v>
      </c>
      <c r="M1537" s="247" t="e">
        <f t="shared" si="163"/>
        <v>#VALUE!</v>
      </c>
      <c r="N1537" s="246" t="e">
        <f t="shared" si="164"/>
        <v>#VALUE!</v>
      </c>
      <c r="O1537" s="247" t="e">
        <f t="shared" si="165"/>
        <v>#VALUE!</v>
      </c>
      <c r="P1537" s="247">
        <f t="shared" si="166"/>
        <v>0</v>
      </c>
      <c r="Q1537" s="247" t="e">
        <f t="shared" si="167"/>
        <v>#VALUE!</v>
      </c>
    </row>
    <row r="1538" spans="1:17" ht="15" customHeight="1" x14ac:dyDescent="0.25">
      <c r="A1538" s="244"/>
      <c r="B1538" s="244"/>
      <c r="C1538" s="244"/>
      <c r="D1538" s="244"/>
      <c r="E1538" s="244"/>
      <c r="F1538" s="244"/>
      <c r="G1538" s="244"/>
      <c r="I1538" s="244"/>
      <c r="J1538" s="244"/>
      <c r="K1538" s="246" t="e">
        <f t="shared" ref="K1538:K1601" si="168">DATE(VALUE(LEFT(A1538,4)),VALUE(MID(A1538,5,2)),VALUE(RIGHT(A1538,2)))</f>
        <v>#VALUE!</v>
      </c>
      <c r="L1538" s="246" t="e">
        <f t="shared" ref="L1538:L1601" si="169">DATEVALUE(LEFT(F1538,10))</f>
        <v>#VALUE!</v>
      </c>
      <c r="M1538" s="247" t="e">
        <f t="shared" ref="M1538:M1601" si="170">TIMEVALUE(MID(F1538,12,8))</f>
        <v>#VALUE!</v>
      </c>
      <c r="N1538" s="246" t="e">
        <f t="shared" ref="N1538:N1601" si="171">DATEVALUE(LEFT(G1538,10))</f>
        <v>#VALUE!</v>
      </c>
      <c r="O1538" s="247" t="e">
        <f t="shared" ref="O1538:O1601" si="172">TIMEVALUE(MID(G1538,12,8))</f>
        <v>#VALUE!</v>
      </c>
      <c r="P1538" s="247">
        <f t="shared" ref="P1538:P1601" si="173">IFERROR(_xlfn.MINIFS($M:$M,$E:$E,$E1538,$K:$K,$K1538,$M:$M,"&gt;"&amp;$O1538),"")</f>
        <v>0</v>
      </c>
      <c r="Q1538" s="247" t="e">
        <f t="shared" ref="Q1538:Q1601" si="174">IF($P1538="","",$P1538-$O1538)</f>
        <v>#VALUE!</v>
      </c>
    </row>
    <row r="1539" spans="1:17" ht="15" customHeight="1" x14ac:dyDescent="0.25">
      <c r="A1539" s="244"/>
      <c r="B1539" s="244"/>
      <c r="C1539" s="244"/>
      <c r="D1539" s="244"/>
      <c r="E1539" s="244"/>
      <c r="F1539" s="244"/>
      <c r="G1539" s="244"/>
      <c r="I1539" s="244"/>
      <c r="J1539" s="244"/>
      <c r="K1539" s="246" t="e">
        <f t="shared" si="168"/>
        <v>#VALUE!</v>
      </c>
      <c r="L1539" s="246" t="e">
        <f t="shared" si="169"/>
        <v>#VALUE!</v>
      </c>
      <c r="M1539" s="247" t="e">
        <f t="shared" si="170"/>
        <v>#VALUE!</v>
      </c>
      <c r="N1539" s="246" t="e">
        <f t="shared" si="171"/>
        <v>#VALUE!</v>
      </c>
      <c r="O1539" s="247" t="e">
        <f t="shared" si="172"/>
        <v>#VALUE!</v>
      </c>
      <c r="P1539" s="247">
        <f t="shared" si="173"/>
        <v>0</v>
      </c>
      <c r="Q1539" s="247" t="e">
        <f t="shared" si="174"/>
        <v>#VALUE!</v>
      </c>
    </row>
    <row r="1540" spans="1:17" ht="15" customHeight="1" x14ac:dyDescent="0.25">
      <c r="A1540" s="244"/>
      <c r="B1540" s="244"/>
      <c r="C1540" s="244"/>
      <c r="D1540" s="244"/>
      <c r="E1540" s="244"/>
      <c r="F1540" s="244"/>
      <c r="G1540" s="244"/>
      <c r="I1540" s="244"/>
      <c r="J1540" s="244"/>
      <c r="K1540" s="246" t="e">
        <f t="shared" si="168"/>
        <v>#VALUE!</v>
      </c>
      <c r="L1540" s="246" t="e">
        <f t="shared" si="169"/>
        <v>#VALUE!</v>
      </c>
      <c r="M1540" s="247" t="e">
        <f t="shared" si="170"/>
        <v>#VALUE!</v>
      </c>
      <c r="N1540" s="246" t="e">
        <f t="shared" si="171"/>
        <v>#VALUE!</v>
      </c>
      <c r="O1540" s="247" t="e">
        <f t="shared" si="172"/>
        <v>#VALUE!</v>
      </c>
      <c r="P1540" s="247">
        <f t="shared" si="173"/>
        <v>0</v>
      </c>
      <c r="Q1540" s="247" t="e">
        <f t="shared" si="174"/>
        <v>#VALUE!</v>
      </c>
    </row>
    <row r="1541" spans="1:17" ht="15" customHeight="1" x14ac:dyDescent="0.25">
      <c r="A1541" s="244"/>
      <c r="B1541" s="244"/>
      <c r="C1541" s="244"/>
      <c r="D1541" s="244"/>
      <c r="E1541" s="244"/>
      <c r="F1541" s="244"/>
      <c r="G1541" s="244"/>
      <c r="I1541" s="244"/>
      <c r="J1541" s="244"/>
      <c r="K1541" s="246" t="e">
        <f t="shared" si="168"/>
        <v>#VALUE!</v>
      </c>
      <c r="L1541" s="246" t="e">
        <f t="shared" si="169"/>
        <v>#VALUE!</v>
      </c>
      <c r="M1541" s="247" t="e">
        <f t="shared" si="170"/>
        <v>#VALUE!</v>
      </c>
      <c r="N1541" s="246" t="e">
        <f t="shared" si="171"/>
        <v>#VALUE!</v>
      </c>
      <c r="O1541" s="247" t="e">
        <f t="shared" si="172"/>
        <v>#VALUE!</v>
      </c>
      <c r="P1541" s="247">
        <f t="shared" si="173"/>
        <v>0</v>
      </c>
      <c r="Q1541" s="247" t="e">
        <f t="shared" si="174"/>
        <v>#VALUE!</v>
      </c>
    </row>
    <row r="1542" spans="1:17" ht="15" customHeight="1" x14ac:dyDescent="0.25">
      <c r="A1542" s="244"/>
      <c r="B1542" s="244"/>
      <c r="C1542" s="244"/>
      <c r="D1542" s="244"/>
      <c r="E1542" s="244"/>
      <c r="F1542" s="244"/>
      <c r="G1542" s="244"/>
      <c r="I1542" s="244"/>
      <c r="J1542" s="244"/>
      <c r="K1542" s="246" t="e">
        <f t="shared" si="168"/>
        <v>#VALUE!</v>
      </c>
      <c r="L1542" s="246" t="e">
        <f t="shared" si="169"/>
        <v>#VALUE!</v>
      </c>
      <c r="M1542" s="247" t="e">
        <f t="shared" si="170"/>
        <v>#VALUE!</v>
      </c>
      <c r="N1542" s="246" t="e">
        <f t="shared" si="171"/>
        <v>#VALUE!</v>
      </c>
      <c r="O1542" s="247" t="e">
        <f t="shared" si="172"/>
        <v>#VALUE!</v>
      </c>
      <c r="P1542" s="247">
        <f t="shared" si="173"/>
        <v>0</v>
      </c>
      <c r="Q1542" s="247" t="e">
        <f t="shared" si="174"/>
        <v>#VALUE!</v>
      </c>
    </row>
    <row r="1543" spans="1:17" ht="15" customHeight="1" x14ac:dyDescent="0.25">
      <c r="A1543" s="244"/>
      <c r="B1543" s="244"/>
      <c r="C1543" s="244"/>
      <c r="D1543" s="244"/>
      <c r="E1543" s="244"/>
      <c r="F1543" s="244"/>
      <c r="G1543" s="244"/>
      <c r="I1543" s="244"/>
      <c r="J1543" s="244"/>
      <c r="K1543" s="246" t="e">
        <f t="shared" si="168"/>
        <v>#VALUE!</v>
      </c>
      <c r="L1543" s="246" t="e">
        <f t="shared" si="169"/>
        <v>#VALUE!</v>
      </c>
      <c r="M1543" s="247" t="e">
        <f t="shared" si="170"/>
        <v>#VALUE!</v>
      </c>
      <c r="N1543" s="246" t="e">
        <f t="shared" si="171"/>
        <v>#VALUE!</v>
      </c>
      <c r="O1543" s="247" t="e">
        <f t="shared" si="172"/>
        <v>#VALUE!</v>
      </c>
      <c r="P1543" s="247">
        <f t="shared" si="173"/>
        <v>0</v>
      </c>
      <c r="Q1543" s="247" t="e">
        <f t="shared" si="174"/>
        <v>#VALUE!</v>
      </c>
    </row>
    <row r="1544" spans="1:17" ht="15" customHeight="1" x14ac:dyDescent="0.25">
      <c r="A1544" s="244"/>
      <c r="B1544" s="244"/>
      <c r="C1544" s="244"/>
      <c r="D1544" s="244"/>
      <c r="E1544" s="244"/>
      <c r="F1544" s="244"/>
      <c r="G1544" s="244"/>
      <c r="I1544" s="244"/>
      <c r="J1544" s="244"/>
      <c r="K1544" s="246" t="e">
        <f t="shared" si="168"/>
        <v>#VALUE!</v>
      </c>
      <c r="L1544" s="246" t="e">
        <f t="shared" si="169"/>
        <v>#VALUE!</v>
      </c>
      <c r="M1544" s="247" t="e">
        <f t="shared" si="170"/>
        <v>#VALUE!</v>
      </c>
      <c r="N1544" s="246" t="e">
        <f t="shared" si="171"/>
        <v>#VALUE!</v>
      </c>
      <c r="O1544" s="247" t="e">
        <f t="shared" si="172"/>
        <v>#VALUE!</v>
      </c>
      <c r="P1544" s="247">
        <f t="shared" si="173"/>
        <v>0</v>
      </c>
      <c r="Q1544" s="247" t="e">
        <f t="shared" si="174"/>
        <v>#VALUE!</v>
      </c>
    </row>
    <row r="1545" spans="1:17" ht="15" customHeight="1" x14ac:dyDescent="0.25">
      <c r="A1545" s="244"/>
      <c r="B1545" s="244"/>
      <c r="C1545" s="244"/>
      <c r="D1545" s="244"/>
      <c r="E1545" s="244"/>
      <c r="F1545" s="244"/>
      <c r="G1545" s="244"/>
      <c r="I1545" s="244"/>
      <c r="J1545" s="244"/>
      <c r="K1545" s="246" t="e">
        <f t="shared" si="168"/>
        <v>#VALUE!</v>
      </c>
      <c r="L1545" s="246" t="e">
        <f t="shared" si="169"/>
        <v>#VALUE!</v>
      </c>
      <c r="M1545" s="247" t="e">
        <f t="shared" si="170"/>
        <v>#VALUE!</v>
      </c>
      <c r="N1545" s="246" t="e">
        <f t="shared" si="171"/>
        <v>#VALUE!</v>
      </c>
      <c r="O1545" s="247" t="e">
        <f t="shared" si="172"/>
        <v>#VALUE!</v>
      </c>
      <c r="P1545" s="247">
        <f t="shared" si="173"/>
        <v>0</v>
      </c>
      <c r="Q1545" s="247" t="e">
        <f t="shared" si="174"/>
        <v>#VALUE!</v>
      </c>
    </row>
    <row r="1546" spans="1:17" ht="15" customHeight="1" x14ac:dyDescent="0.25">
      <c r="A1546" s="244"/>
      <c r="B1546" s="244"/>
      <c r="C1546" s="244"/>
      <c r="D1546" s="244"/>
      <c r="E1546" s="244"/>
      <c r="F1546" s="244"/>
      <c r="G1546" s="244"/>
      <c r="I1546" s="244"/>
      <c r="J1546" s="244"/>
      <c r="K1546" s="246" t="e">
        <f t="shared" si="168"/>
        <v>#VALUE!</v>
      </c>
      <c r="L1546" s="246" t="e">
        <f t="shared" si="169"/>
        <v>#VALUE!</v>
      </c>
      <c r="M1546" s="247" t="e">
        <f t="shared" si="170"/>
        <v>#VALUE!</v>
      </c>
      <c r="N1546" s="246" t="e">
        <f t="shared" si="171"/>
        <v>#VALUE!</v>
      </c>
      <c r="O1546" s="247" t="e">
        <f t="shared" si="172"/>
        <v>#VALUE!</v>
      </c>
      <c r="P1546" s="247">
        <f t="shared" si="173"/>
        <v>0</v>
      </c>
      <c r="Q1546" s="247" t="e">
        <f t="shared" si="174"/>
        <v>#VALUE!</v>
      </c>
    </row>
    <row r="1547" spans="1:17" ht="15" customHeight="1" x14ac:dyDescent="0.25">
      <c r="A1547" s="244"/>
      <c r="B1547" s="244"/>
      <c r="C1547" s="244"/>
      <c r="D1547" s="244"/>
      <c r="E1547" s="244"/>
      <c r="F1547" s="244"/>
      <c r="G1547" s="244"/>
      <c r="I1547" s="244"/>
      <c r="J1547" s="244"/>
      <c r="K1547" s="246" t="e">
        <f t="shared" si="168"/>
        <v>#VALUE!</v>
      </c>
      <c r="L1547" s="246" t="e">
        <f t="shared" si="169"/>
        <v>#VALUE!</v>
      </c>
      <c r="M1547" s="247" t="e">
        <f t="shared" si="170"/>
        <v>#VALUE!</v>
      </c>
      <c r="N1547" s="246" t="e">
        <f t="shared" si="171"/>
        <v>#VALUE!</v>
      </c>
      <c r="O1547" s="247" t="e">
        <f t="shared" si="172"/>
        <v>#VALUE!</v>
      </c>
      <c r="P1547" s="247">
        <f t="shared" si="173"/>
        <v>0</v>
      </c>
      <c r="Q1547" s="247" t="e">
        <f t="shared" si="174"/>
        <v>#VALUE!</v>
      </c>
    </row>
    <row r="1548" spans="1:17" ht="15" customHeight="1" x14ac:dyDescent="0.25">
      <c r="A1548" s="244"/>
      <c r="B1548" s="244"/>
      <c r="C1548" s="244"/>
      <c r="D1548" s="244"/>
      <c r="E1548" s="244"/>
      <c r="F1548" s="244"/>
      <c r="G1548" s="244"/>
      <c r="I1548" s="244"/>
      <c r="J1548" s="244"/>
      <c r="K1548" s="246" t="e">
        <f t="shared" si="168"/>
        <v>#VALUE!</v>
      </c>
      <c r="L1548" s="246" t="e">
        <f t="shared" si="169"/>
        <v>#VALUE!</v>
      </c>
      <c r="M1548" s="247" t="e">
        <f t="shared" si="170"/>
        <v>#VALUE!</v>
      </c>
      <c r="N1548" s="246" t="e">
        <f t="shared" si="171"/>
        <v>#VALUE!</v>
      </c>
      <c r="O1548" s="247" t="e">
        <f t="shared" si="172"/>
        <v>#VALUE!</v>
      </c>
      <c r="P1548" s="247">
        <f t="shared" si="173"/>
        <v>0</v>
      </c>
      <c r="Q1548" s="247" t="e">
        <f t="shared" si="174"/>
        <v>#VALUE!</v>
      </c>
    </row>
    <row r="1549" spans="1:17" ht="15" customHeight="1" x14ac:dyDescent="0.25">
      <c r="A1549" s="244"/>
      <c r="B1549" s="244"/>
      <c r="C1549" s="244"/>
      <c r="D1549" s="244"/>
      <c r="E1549" s="244"/>
      <c r="F1549" s="244"/>
      <c r="G1549" s="244"/>
      <c r="I1549" s="244"/>
      <c r="J1549" s="244"/>
      <c r="K1549" s="246" t="e">
        <f t="shared" si="168"/>
        <v>#VALUE!</v>
      </c>
      <c r="L1549" s="246" t="e">
        <f t="shared" si="169"/>
        <v>#VALUE!</v>
      </c>
      <c r="M1549" s="247" t="e">
        <f t="shared" si="170"/>
        <v>#VALUE!</v>
      </c>
      <c r="N1549" s="246" t="e">
        <f t="shared" si="171"/>
        <v>#VALUE!</v>
      </c>
      <c r="O1549" s="247" t="e">
        <f t="shared" si="172"/>
        <v>#VALUE!</v>
      </c>
      <c r="P1549" s="247">
        <f t="shared" si="173"/>
        <v>0</v>
      </c>
      <c r="Q1549" s="247" t="e">
        <f t="shared" si="174"/>
        <v>#VALUE!</v>
      </c>
    </row>
    <row r="1550" spans="1:17" ht="15" customHeight="1" x14ac:dyDescent="0.25">
      <c r="A1550" s="244"/>
      <c r="B1550" s="244"/>
      <c r="C1550" s="244"/>
      <c r="D1550" s="244"/>
      <c r="E1550" s="244"/>
      <c r="F1550" s="244"/>
      <c r="G1550" s="244"/>
      <c r="I1550" s="244"/>
      <c r="J1550" s="244"/>
      <c r="K1550" s="246" t="e">
        <f t="shared" si="168"/>
        <v>#VALUE!</v>
      </c>
      <c r="L1550" s="246" t="e">
        <f t="shared" si="169"/>
        <v>#VALUE!</v>
      </c>
      <c r="M1550" s="247" t="e">
        <f t="shared" si="170"/>
        <v>#VALUE!</v>
      </c>
      <c r="N1550" s="246" t="e">
        <f t="shared" si="171"/>
        <v>#VALUE!</v>
      </c>
      <c r="O1550" s="247" t="e">
        <f t="shared" si="172"/>
        <v>#VALUE!</v>
      </c>
      <c r="P1550" s="247">
        <f t="shared" si="173"/>
        <v>0</v>
      </c>
      <c r="Q1550" s="247" t="e">
        <f t="shared" si="174"/>
        <v>#VALUE!</v>
      </c>
    </row>
    <row r="1551" spans="1:17" ht="15" customHeight="1" x14ac:dyDescent="0.25">
      <c r="A1551" s="244"/>
      <c r="B1551" s="244"/>
      <c r="C1551" s="244"/>
      <c r="D1551" s="244"/>
      <c r="E1551" s="244"/>
      <c r="F1551" s="244"/>
      <c r="G1551" s="244"/>
      <c r="I1551" s="244"/>
      <c r="J1551" s="244"/>
      <c r="K1551" s="246" t="e">
        <f t="shared" si="168"/>
        <v>#VALUE!</v>
      </c>
      <c r="L1551" s="246" t="e">
        <f t="shared" si="169"/>
        <v>#VALUE!</v>
      </c>
      <c r="M1551" s="247" t="e">
        <f t="shared" si="170"/>
        <v>#VALUE!</v>
      </c>
      <c r="N1551" s="246" t="e">
        <f t="shared" si="171"/>
        <v>#VALUE!</v>
      </c>
      <c r="O1551" s="247" t="e">
        <f t="shared" si="172"/>
        <v>#VALUE!</v>
      </c>
      <c r="P1551" s="247">
        <f t="shared" si="173"/>
        <v>0</v>
      </c>
      <c r="Q1551" s="247" t="e">
        <f t="shared" si="174"/>
        <v>#VALUE!</v>
      </c>
    </row>
    <row r="1552" spans="1:17" ht="15" customHeight="1" x14ac:dyDescent="0.25">
      <c r="A1552" s="244"/>
      <c r="B1552" s="244"/>
      <c r="C1552" s="244"/>
      <c r="D1552" s="244"/>
      <c r="E1552" s="244"/>
      <c r="F1552" s="244"/>
      <c r="G1552" s="244"/>
      <c r="I1552" s="244"/>
      <c r="J1552" s="244"/>
      <c r="K1552" s="246" t="e">
        <f t="shared" si="168"/>
        <v>#VALUE!</v>
      </c>
      <c r="L1552" s="246" t="e">
        <f t="shared" si="169"/>
        <v>#VALUE!</v>
      </c>
      <c r="M1552" s="247" t="e">
        <f t="shared" si="170"/>
        <v>#VALUE!</v>
      </c>
      <c r="N1552" s="246" t="e">
        <f t="shared" si="171"/>
        <v>#VALUE!</v>
      </c>
      <c r="O1552" s="247" t="e">
        <f t="shared" si="172"/>
        <v>#VALUE!</v>
      </c>
      <c r="P1552" s="247">
        <f t="shared" si="173"/>
        <v>0</v>
      </c>
      <c r="Q1552" s="247" t="e">
        <f t="shared" si="174"/>
        <v>#VALUE!</v>
      </c>
    </row>
    <row r="1553" spans="1:17" ht="15" customHeight="1" x14ac:dyDescent="0.25">
      <c r="A1553" s="244"/>
      <c r="B1553" s="244"/>
      <c r="C1553" s="244"/>
      <c r="D1553" s="244"/>
      <c r="E1553" s="244"/>
      <c r="F1553" s="244"/>
      <c r="G1553" s="244"/>
      <c r="I1553" s="244"/>
      <c r="J1553" s="244"/>
      <c r="K1553" s="246" t="e">
        <f t="shared" si="168"/>
        <v>#VALUE!</v>
      </c>
      <c r="L1553" s="246" t="e">
        <f t="shared" si="169"/>
        <v>#VALUE!</v>
      </c>
      <c r="M1553" s="247" t="e">
        <f t="shared" si="170"/>
        <v>#VALUE!</v>
      </c>
      <c r="N1553" s="246" t="e">
        <f t="shared" si="171"/>
        <v>#VALUE!</v>
      </c>
      <c r="O1553" s="247" t="e">
        <f t="shared" si="172"/>
        <v>#VALUE!</v>
      </c>
      <c r="P1553" s="247">
        <f t="shared" si="173"/>
        <v>0</v>
      </c>
      <c r="Q1553" s="247" t="e">
        <f t="shared" si="174"/>
        <v>#VALUE!</v>
      </c>
    </row>
    <row r="1554" spans="1:17" ht="15" customHeight="1" x14ac:dyDescent="0.25">
      <c r="A1554" s="244"/>
      <c r="B1554" s="244"/>
      <c r="C1554" s="244"/>
      <c r="D1554" s="244"/>
      <c r="E1554" s="244"/>
      <c r="F1554" s="244"/>
      <c r="G1554" s="244"/>
      <c r="I1554" s="244"/>
      <c r="J1554" s="244"/>
      <c r="K1554" s="246" t="e">
        <f t="shared" si="168"/>
        <v>#VALUE!</v>
      </c>
      <c r="L1554" s="246" t="e">
        <f t="shared" si="169"/>
        <v>#VALUE!</v>
      </c>
      <c r="M1554" s="247" t="e">
        <f t="shared" si="170"/>
        <v>#VALUE!</v>
      </c>
      <c r="N1554" s="246" t="e">
        <f t="shared" si="171"/>
        <v>#VALUE!</v>
      </c>
      <c r="O1554" s="247" t="e">
        <f t="shared" si="172"/>
        <v>#VALUE!</v>
      </c>
      <c r="P1554" s="247">
        <f t="shared" si="173"/>
        <v>0</v>
      </c>
      <c r="Q1554" s="247" t="e">
        <f t="shared" si="174"/>
        <v>#VALUE!</v>
      </c>
    </row>
    <row r="1555" spans="1:17" ht="15" customHeight="1" x14ac:dyDescent="0.25">
      <c r="A1555" s="244"/>
      <c r="B1555" s="244"/>
      <c r="C1555" s="244"/>
      <c r="D1555" s="244"/>
      <c r="E1555" s="244"/>
      <c r="F1555" s="244"/>
      <c r="G1555" s="244"/>
      <c r="I1555" s="244"/>
      <c r="J1555" s="244"/>
      <c r="K1555" s="246" t="e">
        <f t="shared" si="168"/>
        <v>#VALUE!</v>
      </c>
      <c r="L1555" s="246" t="e">
        <f t="shared" si="169"/>
        <v>#VALUE!</v>
      </c>
      <c r="M1555" s="247" t="e">
        <f t="shared" si="170"/>
        <v>#VALUE!</v>
      </c>
      <c r="N1555" s="246" t="e">
        <f t="shared" si="171"/>
        <v>#VALUE!</v>
      </c>
      <c r="O1555" s="247" t="e">
        <f t="shared" si="172"/>
        <v>#VALUE!</v>
      </c>
      <c r="P1555" s="247">
        <f t="shared" si="173"/>
        <v>0</v>
      </c>
      <c r="Q1555" s="247" t="e">
        <f t="shared" si="174"/>
        <v>#VALUE!</v>
      </c>
    </row>
    <row r="1556" spans="1:17" ht="15" customHeight="1" x14ac:dyDescent="0.25">
      <c r="A1556" s="244"/>
      <c r="B1556" s="244"/>
      <c r="C1556" s="244"/>
      <c r="D1556" s="244"/>
      <c r="E1556" s="244"/>
      <c r="F1556" s="244"/>
      <c r="G1556" s="244"/>
      <c r="I1556" s="244"/>
      <c r="J1556" s="244"/>
      <c r="K1556" s="246" t="e">
        <f t="shared" si="168"/>
        <v>#VALUE!</v>
      </c>
      <c r="L1556" s="246" t="e">
        <f t="shared" si="169"/>
        <v>#VALUE!</v>
      </c>
      <c r="M1556" s="247" t="e">
        <f t="shared" si="170"/>
        <v>#VALUE!</v>
      </c>
      <c r="N1556" s="246" t="e">
        <f t="shared" si="171"/>
        <v>#VALUE!</v>
      </c>
      <c r="O1556" s="247" t="e">
        <f t="shared" si="172"/>
        <v>#VALUE!</v>
      </c>
      <c r="P1556" s="247">
        <f t="shared" si="173"/>
        <v>0</v>
      </c>
      <c r="Q1556" s="247" t="e">
        <f t="shared" si="174"/>
        <v>#VALUE!</v>
      </c>
    </row>
    <row r="1557" spans="1:17" ht="15" customHeight="1" x14ac:dyDescent="0.25">
      <c r="A1557" s="244"/>
      <c r="B1557" s="244"/>
      <c r="C1557" s="244"/>
      <c r="D1557" s="244"/>
      <c r="E1557" s="244"/>
      <c r="F1557" s="244"/>
      <c r="G1557" s="244"/>
      <c r="I1557" s="244"/>
      <c r="J1557" s="244"/>
      <c r="K1557" s="246" t="e">
        <f t="shared" si="168"/>
        <v>#VALUE!</v>
      </c>
      <c r="L1557" s="246" t="e">
        <f t="shared" si="169"/>
        <v>#VALUE!</v>
      </c>
      <c r="M1557" s="247" t="e">
        <f t="shared" si="170"/>
        <v>#VALUE!</v>
      </c>
      <c r="N1557" s="246" t="e">
        <f t="shared" si="171"/>
        <v>#VALUE!</v>
      </c>
      <c r="O1557" s="247" t="e">
        <f t="shared" si="172"/>
        <v>#VALUE!</v>
      </c>
      <c r="P1557" s="247">
        <f t="shared" si="173"/>
        <v>0</v>
      </c>
      <c r="Q1557" s="247" t="e">
        <f t="shared" si="174"/>
        <v>#VALUE!</v>
      </c>
    </row>
    <row r="1558" spans="1:17" ht="15" customHeight="1" x14ac:dyDescent="0.25">
      <c r="A1558" s="244"/>
      <c r="B1558" s="244"/>
      <c r="C1558" s="244"/>
      <c r="D1558" s="244"/>
      <c r="E1558" s="244"/>
      <c r="F1558" s="244"/>
      <c r="G1558" s="244"/>
      <c r="I1558" s="244"/>
      <c r="J1558" s="244"/>
      <c r="K1558" s="246" t="e">
        <f t="shared" si="168"/>
        <v>#VALUE!</v>
      </c>
      <c r="L1558" s="246" t="e">
        <f t="shared" si="169"/>
        <v>#VALUE!</v>
      </c>
      <c r="M1558" s="247" t="e">
        <f t="shared" si="170"/>
        <v>#VALUE!</v>
      </c>
      <c r="N1558" s="246" t="e">
        <f t="shared" si="171"/>
        <v>#VALUE!</v>
      </c>
      <c r="O1558" s="247" t="e">
        <f t="shared" si="172"/>
        <v>#VALUE!</v>
      </c>
      <c r="P1558" s="247">
        <f t="shared" si="173"/>
        <v>0</v>
      </c>
      <c r="Q1558" s="247" t="e">
        <f t="shared" si="174"/>
        <v>#VALUE!</v>
      </c>
    </row>
    <row r="1559" spans="1:17" ht="15" customHeight="1" x14ac:dyDescent="0.25">
      <c r="A1559" s="244"/>
      <c r="B1559" s="244"/>
      <c r="C1559" s="244"/>
      <c r="D1559" s="244"/>
      <c r="E1559" s="244"/>
      <c r="F1559" s="244"/>
      <c r="G1559" s="244"/>
      <c r="I1559" s="244"/>
      <c r="J1559" s="244"/>
      <c r="K1559" s="246" t="e">
        <f t="shared" si="168"/>
        <v>#VALUE!</v>
      </c>
      <c r="L1559" s="246" t="e">
        <f t="shared" si="169"/>
        <v>#VALUE!</v>
      </c>
      <c r="M1559" s="247" t="e">
        <f t="shared" si="170"/>
        <v>#VALUE!</v>
      </c>
      <c r="N1559" s="246" t="e">
        <f t="shared" si="171"/>
        <v>#VALUE!</v>
      </c>
      <c r="O1559" s="247" t="e">
        <f t="shared" si="172"/>
        <v>#VALUE!</v>
      </c>
      <c r="P1559" s="247">
        <f t="shared" si="173"/>
        <v>0</v>
      </c>
      <c r="Q1559" s="247" t="e">
        <f t="shared" si="174"/>
        <v>#VALUE!</v>
      </c>
    </row>
    <row r="1560" spans="1:17" ht="15" customHeight="1" x14ac:dyDescent="0.25">
      <c r="A1560" s="244"/>
      <c r="B1560" s="244"/>
      <c r="C1560" s="244"/>
      <c r="D1560" s="244"/>
      <c r="E1560" s="244"/>
      <c r="F1560" s="244"/>
      <c r="G1560" s="244"/>
      <c r="I1560" s="244"/>
      <c r="J1560" s="244"/>
      <c r="K1560" s="246" t="e">
        <f t="shared" si="168"/>
        <v>#VALUE!</v>
      </c>
      <c r="L1560" s="246" t="e">
        <f t="shared" si="169"/>
        <v>#VALUE!</v>
      </c>
      <c r="M1560" s="247" t="e">
        <f t="shared" si="170"/>
        <v>#VALUE!</v>
      </c>
      <c r="N1560" s="246" t="e">
        <f t="shared" si="171"/>
        <v>#VALUE!</v>
      </c>
      <c r="O1560" s="247" t="e">
        <f t="shared" si="172"/>
        <v>#VALUE!</v>
      </c>
      <c r="P1560" s="247">
        <f t="shared" si="173"/>
        <v>0</v>
      </c>
      <c r="Q1560" s="247" t="e">
        <f t="shared" si="174"/>
        <v>#VALUE!</v>
      </c>
    </row>
    <row r="1561" spans="1:17" ht="15" customHeight="1" x14ac:dyDescent="0.25">
      <c r="A1561" s="244"/>
      <c r="B1561" s="244"/>
      <c r="C1561" s="244"/>
      <c r="D1561" s="244"/>
      <c r="E1561" s="244"/>
      <c r="F1561" s="244"/>
      <c r="G1561" s="244"/>
      <c r="I1561" s="244"/>
      <c r="J1561" s="244"/>
      <c r="K1561" s="246" t="e">
        <f t="shared" si="168"/>
        <v>#VALUE!</v>
      </c>
      <c r="L1561" s="246" t="e">
        <f t="shared" si="169"/>
        <v>#VALUE!</v>
      </c>
      <c r="M1561" s="247" t="e">
        <f t="shared" si="170"/>
        <v>#VALUE!</v>
      </c>
      <c r="N1561" s="246" t="e">
        <f t="shared" si="171"/>
        <v>#VALUE!</v>
      </c>
      <c r="O1561" s="247" t="e">
        <f t="shared" si="172"/>
        <v>#VALUE!</v>
      </c>
      <c r="P1561" s="247">
        <f t="shared" si="173"/>
        <v>0</v>
      </c>
      <c r="Q1561" s="247" t="e">
        <f t="shared" si="174"/>
        <v>#VALUE!</v>
      </c>
    </row>
    <row r="1562" spans="1:17" ht="15" customHeight="1" x14ac:dyDescent="0.25">
      <c r="A1562" s="244"/>
      <c r="B1562" s="244"/>
      <c r="C1562" s="244"/>
      <c r="D1562" s="244"/>
      <c r="E1562" s="244"/>
      <c r="F1562" s="244"/>
      <c r="G1562" s="244"/>
      <c r="I1562" s="244"/>
      <c r="J1562" s="244"/>
      <c r="K1562" s="246" t="e">
        <f t="shared" si="168"/>
        <v>#VALUE!</v>
      </c>
      <c r="L1562" s="246" t="e">
        <f t="shared" si="169"/>
        <v>#VALUE!</v>
      </c>
      <c r="M1562" s="247" t="e">
        <f t="shared" si="170"/>
        <v>#VALUE!</v>
      </c>
      <c r="N1562" s="246" t="e">
        <f t="shared" si="171"/>
        <v>#VALUE!</v>
      </c>
      <c r="O1562" s="247" t="e">
        <f t="shared" si="172"/>
        <v>#VALUE!</v>
      </c>
      <c r="P1562" s="247">
        <f t="shared" si="173"/>
        <v>0</v>
      </c>
      <c r="Q1562" s="247" t="e">
        <f t="shared" si="174"/>
        <v>#VALUE!</v>
      </c>
    </row>
    <row r="1563" spans="1:17" ht="15" customHeight="1" x14ac:dyDescent="0.25">
      <c r="A1563" s="244"/>
      <c r="B1563" s="244"/>
      <c r="C1563" s="244"/>
      <c r="D1563" s="244"/>
      <c r="E1563" s="244"/>
      <c r="F1563" s="244"/>
      <c r="G1563" s="244"/>
      <c r="I1563" s="244"/>
      <c r="J1563" s="244"/>
      <c r="K1563" s="246" t="e">
        <f t="shared" si="168"/>
        <v>#VALUE!</v>
      </c>
      <c r="L1563" s="246" t="e">
        <f t="shared" si="169"/>
        <v>#VALUE!</v>
      </c>
      <c r="M1563" s="247" t="e">
        <f t="shared" si="170"/>
        <v>#VALUE!</v>
      </c>
      <c r="N1563" s="246" t="e">
        <f t="shared" si="171"/>
        <v>#VALUE!</v>
      </c>
      <c r="O1563" s="247" t="e">
        <f t="shared" si="172"/>
        <v>#VALUE!</v>
      </c>
      <c r="P1563" s="247">
        <f t="shared" si="173"/>
        <v>0</v>
      </c>
      <c r="Q1563" s="247" t="e">
        <f t="shared" si="174"/>
        <v>#VALUE!</v>
      </c>
    </row>
    <row r="1564" spans="1:17" ht="15" customHeight="1" x14ac:dyDescent="0.25">
      <c r="A1564" s="244"/>
      <c r="B1564" s="244"/>
      <c r="C1564" s="244"/>
      <c r="D1564" s="244"/>
      <c r="E1564" s="244"/>
      <c r="F1564" s="244"/>
      <c r="G1564" s="244"/>
      <c r="I1564" s="244"/>
      <c r="J1564" s="244"/>
      <c r="K1564" s="246" t="e">
        <f t="shared" si="168"/>
        <v>#VALUE!</v>
      </c>
      <c r="L1564" s="246" t="e">
        <f t="shared" si="169"/>
        <v>#VALUE!</v>
      </c>
      <c r="M1564" s="247" t="e">
        <f t="shared" si="170"/>
        <v>#VALUE!</v>
      </c>
      <c r="N1564" s="246" t="e">
        <f t="shared" si="171"/>
        <v>#VALUE!</v>
      </c>
      <c r="O1564" s="247" t="e">
        <f t="shared" si="172"/>
        <v>#VALUE!</v>
      </c>
      <c r="P1564" s="247">
        <f t="shared" si="173"/>
        <v>0</v>
      </c>
      <c r="Q1564" s="247" t="e">
        <f t="shared" si="174"/>
        <v>#VALUE!</v>
      </c>
    </row>
    <row r="1565" spans="1:17" ht="15" customHeight="1" x14ac:dyDescent="0.25">
      <c r="A1565" s="244"/>
      <c r="B1565" s="244"/>
      <c r="C1565" s="244"/>
      <c r="D1565" s="244"/>
      <c r="E1565" s="244"/>
      <c r="F1565" s="244"/>
      <c r="G1565" s="244"/>
      <c r="I1565" s="244"/>
      <c r="J1565" s="244"/>
      <c r="K1565" s="246" t="e">
        <f t="shared" si="168"/>
        <v>#VALUE!</v>
      </c>
      <c r="L1565" s="246" t="e">
        <f t="shared" si="169"/>
        <v>#VALUE!</v>
      </c>
      <c r="M1565" s="247" t="e">
        <f t="shared" si="170"/>
        <v>#VALUE!</v>
      </c>
      <c r="N1565" s="246" t="e">
        <f t="shared" si="171"/>
        <v>#VALUE!</v>
      </c>
      <c r="O1565" s="247" t="e">
        <f t="shared" si="172"/>
        <v>#VALUE!</v>
      </c>
      <c r="P1565" s="247">
        <f t="shared" si="173"/>
        <v>0</v>
      </c>
      <c r="Q1565" s="247" t="e">
        <f t="shared" si="174"/>
        <v>#VALUE!</v>
      </c>
    </row>
    <row r="1566" spans="1:17" ht="15" customHeight="1" x14ac:dyDescent="0.25">
      <c r="A1566" s="244"/>
      <c r="B1566" s="244"/>
      <c r="C1566" s="244"/>
      <c r="D1566" s="244"/>
      <c r="E1566" s="244"/>
      <c r="F1566" s="244"/>
      <c r="G1566" s="244"/>
      <c r="I1566" s="244"/>
      <c r="J1566" s="244"/>
      <c r="K1566" s="246" t="e">
        <f t="shared" si="168"/>
        <v>#VALUE!</v>
      </c>
      <c r="L1566" s="246" t="e">
        <f t="shared" si="169"/>
        <v>#VALUE!</v>
      </c>
      <c r="M1566" s="247" t="e">
        <f t="shared" si="170"/>
        <v>#VALUE!</v>
      </c>
      <c r="N1566" s="246" t="e">
        <f t="shared" si="171"/>
        <v>#VALUE!</v>
      </c>
      <c r="O1566" s="247" t="e">
        <f t="shared" si="172"/>
        <v>#VALUE!</v>
      </c>
      <c r="P1566" s="247">
        <f t="shared" si="173"/>
        <v>0</v>
      </c>
      <c r="Q1566" s="247" t="e">
        <f t="shared" si="174"/>
        <v>#VALUE!</v>
      </c>
    </row>
    <row r="1567" spans="1:17" ht="15" customHeight="1" x14ac:dyDescent="0.25">
      <c r="A1567" s="244"/>
      <c r="B1567" s="244"/>
      <c r="C1567" s="244"/>
      <c r="D1567" s="244"/>
      <c r="E1567" s="244"/>
      <c r="F1567" s="244"/>
      <c r="G1567" s="244"/>
      <c r="I1567" s="244"/>
      <c r="J1567" s="244"/>
      <c r="K1567" s="246" t="e">
        <f t="shared" si="168"/>
        <v>#VALUE!</v>
      </c>
      <c r="L1567" s="246" t="e">
        <f t="shared" si="169"/>
        <v>#VALUE!</v>
      </c>
      <c r="M1567" s="247" t="e">
        <f t="shared" si="170"/>
        <v>#VALUE!</v>
      </c>
      <c r="N1567" s="246" t="e">
        <f t="shared" si="171"/>
        <v>#VALUE!</v>
      </c>
      <c r="O1567" s="247" t="e">
        <f t="shared" si="172"/>
        <v>#VALUE!</v>
      </c>
      <c r="P1567" s="247">
        <f t="shared" si="173"/>
        <v>0</v>
      </c>
      <c r="Q1567" s="247" t="e">
        <f t="shared" si="174"/>
        <v>#VALUE!</v>
      </c>
    </row>
    <row r="1568" spans="1:17" ht="15" customHeight="1" x14ac:dyDescent="0.25">
      <c r="A1568" s="244"/>
      <c r="B1568" s="244"/>
      <c r="C1568" s="244"/>
      <c r="D1568" s="244"/>
      <c r="E1568" s="244"/>
      <c r="F1568" s="244"/>
      <c r="G1568" s="244"/>
      <c r="I1568" s="244"/>
      <c r="J1568" s="244"/>
      <c r="K1568" s="246" t="e">
        <f t="shared" si="168"/>
        <v>#VALUE!</v>
      </c>
      <c r="L1568" s="246" t="e">
        <f t="shared" si="169"/>
        <v>#VALUE!</v>
      </c>
      <c r="M1568" s="247" t="e">
        <f t="shared" si="170"/>
        <v>#VALUE!</v>
      </c>
      <c r="N1568" s="246" t="e">
        <f t="shared" si="171"/>
        <v>#VALUE!</v>
      </c>
      <c r="O1568" s="247" t="e">
        <f t="shared" si="172"/>
        <v>#VALUE!</v>
      </c>
      <c r="P1568" s="247">
        <f t="shared" si="173"/>
        <v>0</v>
      </c>
      <c r="Q1568" s="247" t="e">
        <f t="shared" si="174"/>
        <v>#VALUE!</v>
      </c>
    </row>
    <row r="1569" spans="1:17" ht="15" customHeight="1" x14ac:dyDescent="0.25">
      <c r="A1569" s="244"/>
      <c r="B1569" s="244"/>
      <c r="C1569" s="244"/>
      <c r="D1569" s="244"/>
      <c r="E1569" s="244"/>
      <c r="F1569" s="244"/>
      <c r="G1569" s="244"/>
      <c r="I1569" s="244"/>
      <c r="J1569" s="244"/>
      <c r="K1569" s="246" t="e">
        <f t="shared" si="168"/>
        <v>#VALUE!</v>
      </c>
      <c r="L1569" s="246" t="e">
        <f t="shared" si="169"/>
        <v>#VALUE!</v>
      </c>
      <c r="M1569" s="247" t="e">
        <f t="shared" si="170"/>
        <v>#VALUE!</v>
      </c>
      <c r="N1569" s="246" t="e">
        <f t="shared" si="171"/>
        <v>#VALUE!</v>
      </c>
      <c r="O1569" s="247" t="e">
        <f t="shared" si="172"/>
        <v>#VALUE!</v>
      </c>
      <c r="P1569" s="247">
        <f t="shared" si="173"/>
        <v>0</v>
      </c>
      <c r="Q1569" s="247" t="e">
        <f t="shared" si="174"/>
        <v>#VALUE!</v>
      </c>
    </row>
    <row r="1570" spans="1:17" ht="15" customHeight="1" x14ac:dyDescent="0.25">
      <c r="A1570" s="244"/>
      <c r="B1570" s="244"/>
      <c r="C1570" s="244"/>
      <c r="D1570" s="244"/>
      <c r="E1570" s="244"/>
      <c r="F1570" s="244"/>
      <c r="G1570" s="244"/>
      <c r="I1570" s="244"/>
      <c r="J1570" s="244"/>
      <c r="K1570" s="246" t="e">
        <f t="shared" si="168"/>
        <v>#VALUE!</v>
      </c>
      <c r="L1570" s="246" t="e">
        <f t="shared" si="169"/>
        <v>#VALUE!</v>
      </c>
      <c r="M1570" s="247" t="e">
        <f t="shared" si="170"/>
        <v>#VALUE!</v>
      </c>
      <c r="N1570" s="246" t="e">
        <f t="shared" si="171"/>
        <v>#VALUE!</v>
      </c>
      <c r="O1570" s="247" t="e">
        <f t="shared" si="172"/>
        <v>#VALUE!</v>
      </c>
      <c r="P1570" s="247">
        <f t="shared" si="173"/>
        <v>0</v>
      </c>
      <c r="Q1570" s="247" t="e">
        <f t="shared" si="174"/>
        <v>#VALUE!</v>
      </c>
    </row>
    <row r="1571" spans="1:17" ht="15" customHeight="1" x14ac:dyDescent="0.25">
      <c r="A1571" s="244"/>
      <c r="B1571" s="244"/>
      <c r="C1571" s="244"/>
      <c r="D1571" s="244"/>
      <c r="E1571" s="244"/>
      <c r="F1571" s="244"/>
      <c r="G1571" s="244"/>
      <c r="I1571" s="244"/>
      <c r="J1571" s="244"/>
      <c r="K1571" s="246" t="e">
        <f t="shared" si="168"/>
        <v>#VALUE!</v>
      </c>
      <c r="L1571" s="246" t="e">
        <f t="shared" si="169"/>
        <v>#VALUE!</v>
      </c>
      <c r="M1571" s="247" t="e">
        <f t="shared" si="170"/>
        <v>#VALUE!</v>
      </c>
      <c r="N1571" s="246" t="e">
        <f t="shared" si="171"/>
        <v>#VALUE!</v>
      </c>
      <c r="O1571" s="247" t="e">
        <f t="shared" si="172"/>
        <v>#VALUE!</v>
      </c>
      <c r="P1571" s="247">
        <f t="shared" si="173"/>
        <v>0</v>
      </c>
      <c r="Q1571" s="247" t="e">
        <f t="shared" si="174"/>
        <v>#VALUE!</v>
      </c>
    </row>
    <row r="1572" spans="1:17" ht="15" customHeight="1" x14ac:dyDescent="0.25">
      <c r="A1572" s="244"/>
      <c r="B1572" s="244"/>
      <c r="C1572" s="244"/>
      <c r="D1572" s="244"/>
      <c r="E1572" s="244"/>
      <c r="F1572" s="244"/>
      <c r="G1572" s="244"/>
      <c r="I1572" s="244"/>
      <c r="J1572" s="244"/>
      <c r="K1572" s="246" t="e">
        <f t="shared" si="168"/>
        <v>#VALUE!</v>
      </c>
      <c r="L1572" s="246" t="e">
        <f t="shared" si="169"/>
        <v>#VALUE!</v>
      </c>
      <c r="M1572" s="247" t="e">
        <f t="shared" si="170"/>
        <v>#VALUE!</v>
      </c>
      <c r="N1572" s="246" t="e">
        <f t="shared" si="171"/>
        <v>#VALUE!</v>
      </c>
      <c r="O1572" s="247" t="e">
        <f t="shared" si="172"/>
        <v>#VALUE!</v>
      </c>
      <c r="P1572" s="247">
        <f t="shared" si="173"/>
        <v>0</v>
      </c>
      <c r="Q1572" s="247" t="e">
        <f t="shared" si="174"/>
        <v>#VALUE!</v>
      </c>
    </row>
    <row r="1573" spans="1:17" ht="15" customHeight="1" x14ac:dyDescent="0.25">
      <c r="A1573" s="244"/>
      <c r="B1573" s="244"/>
      <c r="C1573" s="244"/>
      <c r="D1573" s="244"/>
      <c r="E1573" s="244"/>
      <c r="F1573" s="244"/>
      <c r="G1573" s="244"/>
      <c r="I1573" s="244"/>
      <c r="J1573" s="244"/>
      <c r="K1573" s="246" t="e">
        <f t="shared" si="168"/>
        <v>#VALUE!</v>
      </c>
      <c r="L1573" s="246" t="e">
        <f t="shared" si="169"/>
        <v>#VALUE!</v>
      </c>
      <c r="M1573" s="247" t="e">
        <f t="shared" si="170"/>
        <v>#VALUE!</v>
      </c>
      <c r="N1573" s="246" t="e">
        <f t="shared" si="171"/>
        <v>#VALUE!</v>
      </c>
      <c r="O1573" s="247" t="e">
        <f t="shared" si="172"/>
        <v>#VALUE!</v>
      </c>
      <c r="P1573" s="247">
        <f t="shared" si="173"/>
        <v>0</v>
      </c>
      <c r="Q1573" s="247" t="e">
        <f t="shared" si="174"/>
        <v>#VALUE!</v>
      </c>
    </row>
    <row r="1574" spans="1:17" ht="15" customHeight="1" x14ac:dyDescent="0.25">
      <c r="A1574" s="244"/>
      <c r="B1574" s="244"/>
      <c r="C1574" s="244"/>
      <c r="D1574" s="244"/>
      <c r="E1574" s="244"/>
      <c r="F1574" s="244"/>
      <c r="G1574" s="244"/>
      <c r="I1574" s="244"/>
      <c r="J1574" s="244"/>
      <c r="K1574" s="246" t="e">
        <f t="shared" si="168"/>
        <v>#VALUE!</v>
      </c>
      <c r="L1574" s="246" t="e">
        <f t="shared" si="169"/>
        <v>#VALUE!</v>
      </c>
      <c r="M1574" s="247" t="e">
        <f t="shared" si="170"/>
        <v>#VALUE!</v>
      </c>
      <c r="N1574" s="246" t="e">
        <f t="shared" si="171"/>
        <v>#VALUE!</v>
      </c>
      <c r="O1574" s="247" t="e">
        <f t="shared" si="172"/>
        <v>#VALUE!</v>
      </c>
      <c r="P1574" s="247">
        <f t="shared" si="173"/>
        <v>0</v>
      </c>
      <c r="Q1574" s="247" t="e">
        <f t="shared" si="174"/>
        <v>#VALUE!</v>
      </c>
    </row>
    <row r="1575" spans="1:17" ht="15" customHeight="1" x14ac:dyDescent="0.25">
      <c r="A1575" s="244"/>
      <c r="B1575" s="244"/>
      <c r="C1575" s="244"/>
      <c r="D1575" s="244"/>
      <c r="E1575" s="244"/>
      <c r="F1575" s="244"/>
      <c r="G1575" s="244"/>
      <c r="I1575" s="244"/>
      <c r="J1575" s="244"/>
      <c r="K1575" s="246" t="e">
        <f t="shared" si="168"/>
        <v>#VALUE!</v>
      </c>
      <c r="L1575" s="246" t="e">
        <f t="shared" si="169"/>
        <v>#VALUE!</v>
      </c>
      <c r="M1575" s="247" t="e">
        <f t="shared" si="170"/>
        <v>#VALUE!</v>
      </c>
      <c r="N1575" s="246" t="e">
        <f t="shared" si="171"/>
        <v>#VALUE!</v>
      </c>
      <c r="O1575" s="247" t="e">
        <f t="shared" si="172"/>
        <v>#VALUE!</v>
      </c>
      <c r="P1575" s="247">
        <f t="shared" si="173"/>
        <v>0</v>
      </c>
      <c r="Q1575" s="247" t="e">
        <f t="shared" si="174"/>
        <v>#VALUE!</v>
      </c>
    </row>
    <row r="1576" spans="1:17" ht="15" customHeight="1" x14ac:dyDescent="0.25">
      <c r="A1576" s="244"/>
      <c r="B1576" s="244"/>
      <c r="C1576" s="244"/>
      <c r="D1576" s="244"/>
      <c r="E1576" s="244"/>
      <c r="F1576" s="244"/>
      <c r="G1576" s="244"/>
      <c r="I1576" s="244"/>
      <c r="J1576" s="244"/>
      <c r="K1576" s="246" t="e">
        <f t="shared" si="168"/>
        <v>#VALUE!</v>
      </c>
      <c r="L1576" s="246" t="e">
        <f t="shared" si="169"/>
        <v>#VALUE!</v>
      </c>
      <c r="M1576" s="247" t="e">
        <f t="shared" si="170"/>
        <v>#VALUE!</v>
      </c>
      <c r="N1576" s="246" t="e">
        <f t="shared" si="171"/>
        <v>#VALUE!</v>
      </c>
      <c r="O1576" s="247" t="e">
        <f t="shared" si="172"/>
        <v>#VALUE!</v>
      </c>
      <c r="P1576" s="247">
        <f t="shared" si="173"/>
        <v>0</v>
      </c>
      <c r="Q1576" s="247" t="e">
        <f t="shared" si="174"/>
        <v>#VALUE!</v>
      </c>
    </row>
    <row r="1577" spans="1:17" ht="15" customHeight="1" x14ac:dyDescent="0.25">
      <c r="A1577" s="244"/>
      <c r="B1577" s="244"/>
      <c r="C1577" s="244"/>
      <c r="D1577" s="244"/>
      <c r="E1577" s="244"/>
      <c r="F1577" s="244"/>
      <c r="G1577" s="244"/>
      <c r="I1577" s="244"/>
      <c r="J1577" s="244"/>
      <c r="K1577" s="246" t="e">
        <f t="shared" si="168"/>
        <v>#VALUE!</v>
      </c>
      <c r="L1577" s="246" t="e">
        <f t="shared" si="169"/>
        <v>#VALUE!</v>
      </c>
      <c r="M1577" s="247" t="e">
        <f t="shared" si="170"/>
        <v>#VALUE!</v>
      </c>
      <c r="N1577" s="246" t="e">
        <f t="shared" si="171"/>
        <v>#VALUE!</v>
      </c>
      <c r="O1577" s="247" t="e">
        <f t="shared" si="172"/>
        <v>#VALUE!</v>
      </c>
      <c r="P1577" s="247">
        <f t="shared" si="173"/>
        <v>0</v>
      </c>
      <c r="Q1577" s="247" t="e">
        <f t="shared" si="174"/>
        <v>#VALUE!</v>
      </c>
    </row>
    <row r="1578" spans="1:17" ht="15" customHeight="1" x14ac:dyDescent="0.25">
      <c r="A1578" s="244"/>
      <c r="B1578" s="244"/>
      <c r="C1578" s="244"/>
      <c r="D1578" s="244"/>
      <c r="E1578" s="244"/>
      <c r="F1578" s="244"/>
      <c r="G1578" s="244"/>
      <c r="I1578" s="244"/>
      <c r="J1578" s="244"/>
      <c r="K1578" s="246" t="e">
        <f t="shared" si="168"/>
        <v>#VALUE!</v>
      </c>
      <c r="L1578" s="246" t="e">
        <f t="shared" si="169"/>
        <v>#VALUE!</v>
      </c>
      <c r="M1578" s="247" t="e">
        <f t="shared" si="170"/>
        <v>#VALUE!</v>
      </c>
      <c r="N1578" s="246" t="e">
        <f t="shared" si="171"/>
        <v>#VALUE!</v>
      </c>
      <c r="O1578" s="247" t="e">
        <f t="shared" si="172"/>
        <v>#VALUE!</v>
      </c>
      <c r="P1578" s="247">
        <f t="shared" si="173"/>
        <v>0</v>
      </c>
      <c r="Q1578" s="247" t="e">
        <f t="shared" si="174"/>
        <v>#VALUE!</v>
      </c>
    </row>
    <row r="1579" spans="1:17" ht="15" customHeight="1" x14ac:dyDescent="0.25">
      <c r="A1579" s="244"/>
      <c r="B1579" s="244"/>
      <c r="C1579" s="244"/>
      <c r="D1579" s="244"/>
      <c r="E1579" s="244"/>
      <c r="F1579" s="244"/>
      <c r="G1579" s="244"/>
      <c r="I1579" s="244"/>
      <c r="J1579" s="244"/>
      <c r="K1579" s="246" t="e">
        <f t="shared" si="168"/>
        <v>#VALUE!</v>
      </c>
      <c r="L1579" s="246" t="e">
        <f t="shared" si="169"/>
        <v>#VALUE!</v>
      </c>
      <c r="M1579" s="247" t="e">
        <f t="shared" si="170"/>
        <v>#VALUE!</v>
      </c>
      <c r="N1579" s="246" t="e">
        <f t="shared" si="171"/>
        <v>#VALUE!</v>
      </c>
      <c r="O1579" s="247" t="e">
        <f t="shared" si="172"/>
        <v>#VALUE!</v>
      </c>
      <c r="P1579" s="247">
        <f t="shared" si="173"/>
        <v>0</v>
      </c>
      <c r="Q1579" s="247" t="e">
        <f t="shared" si="174"/>
        <v>#VALUE!</v>
      </c>
    </row>
    <row r="1580" spans="1:17" ht="15" customHeight="1" x14ac:dyDescent="0.25">
      <c r="A1580" s="244"/>
      <c r="B1580" s="244"/>
      <c r="C1580" s="244"/>
      <c r="D1580" s="244"/>
      <c r="E1580" s="244"/>
      <c r="F1580" s="244"/>
      <c r="G1580" s="244"/>
      <c r="I1580" s="244"/>
      <c r="J1580" s="244"/>
      <c r="K1580" s="246" t="e">
        <f t="shared" si="168"/>
        <v>#VALUE!</v>
      </c>
      <c r="L1580" s="246" t="e">
        <f t="shared" si="169"/>
        <v>#VALUE!</v>
      </c>
      <c r="M1580" s="247" t="e">
        <f t="shared" si="170"/>
        <v>#VALUE!</v>
      </c>
      <c r="N1580" s="246" t="e">
        <f t="shared" si="171"/>
        <v>#VALUE!</v>
      </c>
      <c r="O1580" s="247" t="e">
        <f t="shared" si="172"/>
        <v>#VALUE!</v>
      </c>
      <c r="P1580" s="247">
        <f t="shared" si="173"/>
        <v>0</v>
      </c>
      <c r="Q1580" s="247" t="e">
        <f t="shared" si="174"/>
        <v>#VALUE!</v>
      </c>
    </row>
    <row r="1581" spans="1:17" ht="15" customHeight="1" x14ac:dyDescent="0.25">
      <c r="A1581" s="244"/>
      <c r="B1581" s="244"/>
      <c r="C1581" s="244"/>
      <c r="D1581" s="244"/>
      <c r="E1581" s="244"/>
      <c r="F1581" s="244"/>
      <c r="G1581" s="244"/>
      <c r="I1581" s="244"/>
      <c r="J1581" s="244"/>
      <c r="K1581" s="246" t="e">
        <f t="shared" si="168"/>
        <v>#VALUE!</v>
      </c>
      <c r="L1581" s="246" t="e">
        <f t="shared" si="169"/>
        <v>#VALUE!</v>
      </c>
      <c r="M1581" s="247" t="e">
        <f t="shared" si="170"/>
        <v>#VALUE!</v>
      </c>
      <c r="N1581" s="246" t="e">
        <f t="shared" si="171"/>
        <v>#VALUE!</v>
      </c>
      <c r="O1581" s="247" t="e">
        <f t="shared" si="172"/>
        <v>#VALUE!</v>
      </c>
      <c r="P1581" s="247">
        <f t="shared" si="173"/>
        <v>0</v>
      </c>
      <c r="Q1581" s="247" t="e">
        <f t="shared" si="174"/>
        <v>#VALUE!</v>
      </c>
    </row>
    <row r="1582" spans="1:17" ht="15" customHeight="1" x14ac:dyDescent="0.25">
      <c r="A1582" s="244"/>
      <c r="B1582" s="244"/>
      <c r="C1582" s="244"/>
      <c r="D1582" s="244"/>
      <c r="E1582" s="244"/>
      <c r="F1582" s="244"/>
      <c r="G1582" s="244"/>
      <c r="I1582" s="244"/>
      <c r="J1582" s="244"/>
      <c r="K1582" s="246" t="e">
        <f t="shared" si="168"/>
        <v>#VALUE!</v>
      </c>
      <c r="L1582" s="246" t="e">
        <f t="shared" si="169"/>
        <v>#VALUE!</v>
      </c>
      <c r="M1582" s="247" t="e">
        <f t="shared" si="170"/>
        <v>#VALUE!</v>
      </c>
      <c r="N1582" s="246" t="e">
        <f t="shared" si="171"/>
        <v>#VALUE!</v>
      </c>
      <c r="O1582" s="247" t="e">
        <f t="shared" si="172"/>
        <v>#VALUE!</v>
      </c>
      <c r="P1582" s="247">
        <f t="shared" si="173"/>
        <v>0</v>
      </c>
      <c r="Q1582" s="247" t="e">
        <f t="shared" si="174"/>
        <v>#VALUE!</v>
      </c>
    </row>
    <row r="1583" spans="1:17" ht="15" customHeight="1" x14ac:dyDescent="0.25">
      <c r="A1583" s="244"/>
      <c r="B1583" s="244"/>
      <c r="C1583" s="244"/>
      <c r="D1583" s="244"/>
      <c r="E1583" s="244"/>
      <c r="F1583" s="244"/>
      <c r="G1583" s="244"/>
      <c r="I1583" s="244"/>
      <c r="J1583" s="244"/>
      <c r="K1583" s="246" t="e">
        <f t="shared" si="168"/>
        <v>#VALUE!</v>
      </c>
      <c r="L1583" s="246" t="e">
        <f t="shared" si="169"/>
        <v>#VALUE!</v>
      </c>
      <c r="M1583" s="247" t="e">
        <f t="shared" si="170"/>
        <v>#VALUE!</v>
      </c>
      <c r="N1583" s="246" t="e">
        <f t="shared" si="171"/>
        <v>#VALUE!</v>
      </c>
      <c r="O1583" s="247" t="e">
        <f t="shared" si="172"/>
        <v>#VALUE!</v>
      </c>
      <c r="P1583" s="247">
        <f t="shared" si="173"/>
        <v>0</v>
      </c>
      <c r="Q1583" s="247" t="e">
        <f t="shared" si="174"/>
        <v>#VALUE!</v>
      </c>
    </row>
    <row r="1584" spans="1:17" ht="15" customHeight="1" x14ac:dyDescent="0.25">
      <c r="A1584" s="244"/>
      <c r="B1584" s="244"/>
      <c r="C1584" s="244"/>
      <c r="D1584" s="244"/>
      <c r="E1584" s="244"/>
      <c r="F1584" s="244"/>
      <c r="G1584" s="244"/>
      <c r="I1584" s="244"/>
      <c r="J1584" s="244"/>
      <c r="K1584" s="246" t="e">
        <f t="shared" si="168"/>
        <v>#VALUE!</v>
      </c>
      <c r="L1584" s="246" t="e">
        <f t="shared" si="169"/>
        <v>#VALUE!</v>
      </c>
      <c r="M1584" s="247" t="e">
        <f t="shared" si="170"/>
        <v>#VALUE!</v>
      </c>
      <c r="N1584" s="246" t="e">
        <f t="shared" si="171"/>
        <v>#VALUE!</v>
      </c>
      <c r="O1584" s="247" t="e">
        <f t="shared" si="172"/>
        <v>#VALUE!</v>
      </c>
      <c r="P1584" s="247">
        <f t="shared" si="173"/>
        <v>0</v>
      </c>
      <c r="Q1584" s="247" t="e">
        <f t="shared" si="174"/>
        <v>#VALUE!</v>
      </c>
    </row>
    <row r="1585" spans="1:17" ht="15" customHeight="1" x14ac:dyDescent="0.25">
      <c r="A1585" s="244"/>
      <c r="B1585" s="244"/>
      <c r="C1585" s="244"/>
      <c r="D1585" s="244"/>
      <c r="E1585" s="244"/>
      <c r="F1585" s="244"/>
      <c r="G1585" s="244"/>
      <c r="I1585" s="244"/>
      <c r="J1585" s="244"/>
      <c r="K1585" s="246" t="e">
        <f t="shared" si="168"/>
        <v>#VALUE!</v>
      </c>
      <c r="L1585" s="246" t="e">
        <f t="shared" si="169"/>
        <v>#VALUE!</v>
      </c>
      <c r="M1585" s="247" t="e">
        <f t="shared" si="170"/>
        <v>#VALUE!</v>
      </c>
      <c r="N1585" s="246" t="e">
        <f t="shared" si="171"/>
        <v>#VALUE!</v>
      </c>
      <c r="O1585" s="247" t="e">
        <f t="shared" si="172"/>
        <v>#VALUE!</v>
      </c>
      <c r="P1585" s="247">
        <f t="shared" si="173"/>
        <v>0</v>
      </c>
      <c r="Q1585" s="247" t="e">
        <f t="shared" si="174"/>
        <v>#VALUE!</v>
      </c>
    </row>
    <row r="1586" spans="1:17" ht="15" customHeight="1" x14ac:dyDescent="0.25">
      <c r="A1586" s="244"/>
      <c r="B1586" s="244"/>
      <c r="C1586" s="244"/>
      <c r="D1586" s="244"/>
      <c r="E1586" s="244"/>
      <c r="F1586" s="244"/>
      <c r="G1586" s="244"/>
      <c r="I1586" s="244"/>
      <c r="J1586" s="244"/>
      <c r="K1586" s="246" t="e">
        <f t="shared" si="168"/>
        <v>#VALUE!</v>
      </c>
      <c r="L1586" s="246" t="e">
        <f t="shared" si="169"/>
        <v>#VALUE!</v>
      </c>
      <c r="M1586" s="247" t="e">
        <f t="shared" si="170"/>
        <v>#VALUE!</v>
      </c>
      <c r="N1586" s="246" t="e">
        <f t="shared" si="171"/>
        <v>#VALUE!</v>
      </c>
      <c r="O1586" s="247" t="e">
        <f t="shared" si="172"/>
        <v>#VALUE!</v>
      </c>
      <c r="P1586" s="247">
        <f t="shared" si="173"/>
        <v>0</v>
      </c>
      <c r="Q1586" s="247" t="e">
        <f t="shared" si="174"/>
        <v>#VALUE!</v>
      </c>
    </row>
    <row r="1587" spans="1:17" ht="15" customHeight="1" x14ac:dyDescent="0.25">
      <c r="A1587" s="244"/>
      <c r="B1587" s="244"/>
      <c r="C1587" s="244"/>
      <c r="D1587" s="244"/>
      <c r="E1587" s="244"/>
      <c r="F1587" s="244"/>
      <c r="G1587" s="244"/>
      <c r="I1587" s="244"/>
      <c r="J1587" s="244"/>
      <c r="K1587" s="246" t="e">
        <f t="shared" si="168"/>
        <v>#VALUE!</v>
      </c>
      <c r="L1587" s="246" t="e">
        <f t="shared" si="169"/>
        <v>#VALUE!</v>
      </c>
      <c r="M1587" s="247" t="e">
        <f t="shared" si="170"/>
        <v>#VALUE!</v>
      </c>
      <c r="N1587" s="246" t="e">
        <f t="shared" si="171"/>
        <v>#VALUE!</v>
      </c>
      <c r="O1587" s="247" t="e">
        <f t="shared" si="172"/>
        <v>#VALUE!</v>
      </c>
      <c r="P1587" s="247">
        <f t="shared" si="173"/>
        <v>0</v>
      </c>
      <c r="Q1587" s="247" t="e">
        <f t="shared" si="174"/>
        <v>#VALUE!</v>
      </c>
    </row>
    <row r="1588" spans="1:17" ht="15" customHeight="1" x14ac:dyDescent="0.25">
      <c r="A1588" s="244"/>
      <c r="B1588" s="244"/>
      <c r="C1588" s="244"/>
      <c r="D1588" s="244"/>
      <c r="E1588" s="244"/>
      <c r="F1588" s="244"/>
      <c r="G1588" s="244"/>
      <c r="I1588" s="244"/>
      <c r="J1588" s="244"/>
      <c r="K1588" s="246" t="e">
        <f t="shared" si="168"/>
        <v>#VALUE!</v>
      </c>
      <c r="L1588" s="246" t="e">
        <f t="shared" si="169"/>
        <v>#VALUE!</v>
      </c>
      <c r="M1588" s="247" t="e">
        <f t="shared" si="170"/>
        <v>#VALUE!</v>
      </c>
      <c r="N1588" s="246" t="e">
        <f t="shared" si="171"/>
        <v>#VALUE!</v>
      </c>
      <c r="O1588" s="247" t="e">
        <f t="shared" si="172"/>
        <v>#VALUE!</v>
      </c>
      <c r="P1588" s="247">
        <f t="shared" si="173"/>
        <v>0</v>
      </c>
      <c r="Q1588" s="247" t="e">
        <f t="shared" si="174"/>
        <v>#VALUE!</v>
      </c>
    </row>
    <row r="1589" spans="1:17" ht="15" customHeight="1" x14ac:dyDescent="0.25">
      <c r="A1589" s="244"/>
      <c r="B1589" s="244"/>
      <c r="C1589" s="244"/>
      <c r="D1589" s="244"/>
      <c r="E1589" s="244"/>
      <c r="F1589" s="244"/>
      <c r="G1589" s="244"/>
      <c r="I1589" s="244"/>
      <c r="J1589" s="244"/>
      <c r="K1589" s="246" t="e">
        <f t="shared" si="168"/>
        <v>#VALUE!</v>
      </c>
      <c r="L1589" s="246" t="e">
        <f t="shared" si="169"/>
        <v>#VALUE!</v>
      </c>
      <c r="M1589" s="247" t="e">
        <f t="shared" si="170"/>
        <v>#VALUE!</v>
      </c>
      <c r="N1589" s="246" t="e">
        <f t="shared" si="171"/>
        <v>#VALUE!</v>
      </c>
      <c r="O1589" s="247" t="e">
        <f t="shared" si="172"/>
        <v>#VALUE!</v>
      </c>
      <c r="P1589" s="247">
        <f t="shared" si="173"/>
        <v>0</v>
      </c>
      <c r="Q1589" s="247" t="e">
        <f t="shared" si="174"/>
        <v>#VALUE!</v>
      </c>
    </row>
    <row r="1590" spans="1:17" ht="15" customHeight="1" x14ac:dyDescent="0.25">
      <c r="A1590" s="244"/>
      <c r="B1590" s="244"/>
      <c r="C1590" s="244"/>
      <c r="D1590" s="244"/>
      <c r="E1590" s="244"/>
      <c r="F1590" s="244"/>
      <c r="G1590" s="244"/>
      <c r="I1590" s="244"/>
      <c r="J1590" s="244"/>
      <c r="K1590" s="246" t="e">
        <f t="shared" si="168"/>
        <v>#VALUE!</v>
      </c>
      <c r="L1590" s="246" t="e">
        <f t="shared" si="169"/>
        <v>#VALUE!</v>
      </c>
      <c r="M1590" s="247" t="e">
        <f t="shared" si="170"/>
        <v>#VALUE!</v>
      </c>
      <c r="N1590" s="246" t="e">
        <f t="shared" si="171"/>
        <v>#VALUE!</v>
      </c>
      <c r="O1590" s="247" t="e">
        <f t="shared" si="172"/>
        <v>#VALUE!</v>
      </c>
      <c r="P1590" s="247">
        <f t="shared" si="173"/>
        <v>0</v>
      </c>
      <c r="Q1590" s="247" t="e">
        <f t="shared" si="174"/>
        <v>#VALUE!</v>
      </c>
    </row>
    <row r="1591" spans="1:17" ht="15" customHeight="1" x14ac:dyDescent="0.25">
      <c r="A1591" s="244"/>
      <c r="B1591" s="244"/>
      <c r="C1591" s="244"/>
      <c r="D1591" s="244"/>
      <c r="E1591" s="244"/>
      <c r="F1591" s="244"/>
      <c r="G1591" s="244"/>
      <c r="I1591" s="244"/>
      <c r="J1591" s="244"/>
      <c r="K1591" s="246" t="e">
        <f t="shared" si="168"/>
        <v>#VALUE!</v>
      </c>
      <c r="L1591" s="246" t="e">
        <f t="shared" si="169"/>
        <v>#VALUE!</v>
      </c>
      <c r="M1591" s="247" t="e">
        <f t="shared" si="170"/>
        <v>#VALUE!</v>
      </c>
      <c r="N1591" s="246" t="e">
        <f t="shared" si="171"/>
        <v>#VALUE!</v>
      </c>
      <c r="O1591" s="247" t="e">
        <f t="shared" si="172"/>
        <v>#VALUE!</v>
      </c>
      <c r="P1591" s="247">
        <f t="shared" si="173"/>
        <v>0</v>
      </c>
      <c r="Q1591" s="247" t="e">
        <f t="shared" si="174"/>
        <v>#VALUE!</v>
      </c>
    </row>
    <row r="1592" spans="1:17" ht="15" customHeight="1" x14ac:dyDescent="0.25">
      <c r="A1592" s="244"/>
      <c r="B1592" s="244"/>
      <c r="C1592" s="244"/>
      <c r="D1592" s="244"/>
      <c r="E1592" s="244"/>
      <c r="F1592" s="244"/>
      <c r="G1592" s="244"/>
      <c r="I1592" s="244"/>
      <c r="J1592" s="244"/>
      <c r="K1592" s="246" t="e">
        <f t="shared" si="168"/>
        <v>#VALUE!</v>
      </c>
      <c r="L1592" s="246" t="e">
        <f t="shared" si="169"/>
        <v>#VALUE!</v>
      </c>
      <c r="M1592" s="247" t="e">
        <f t="shared" si="170"/>
        <v>#VALUE!</v>
      </c>
      <c r="N1592" s="246" t="e">
        <f t="shared" si="171"/>
        <v>#VALUE!</v>
      </c>
      <c r="O1592" s="247" t="e">
        <f t="shared" si="172"/>
        <v>#VALUE!</v>
      </c>
      <c r="P1592" s="247">
        <f t="shared" si="173"/>
        <v>0</v>
      </c>
      <c r="Q1592" s="247" t="e">
        <f t="shared" si="174"/>
        <v>#VALUE!</v>
      </c>
    </row>
    <row r="1593" spans="1:17" ht="15" customHeight="1" x14ac:dyDescent="0.25">
      <c r="A1593" s="244"/>
      <c r="B1593" s="244"/>
      <c r="C1593" s="244"/>
      <c r="D1593" s="244"/>
      <c r="E1593" s="244"/>
      <c r="F1593" s="244"/>
      <c r="G1593" s="244"/>
      <c r="I1593" s="244"/>
      <c r="J1593" s="244"/>
      <c r="K1593" s="246" t="e">
        <f t="shared" si="168"/>
        <v>#VALUE!</v>
      </c>
      <c r="L1593" s="246" t="e">
        <f t="shared" si="169"/>
        <v>#VALUE!</v>
      </c>
      <c r="M1593" s="247" t="e">
        <f t="shared" si="170"/>
        <v>#VALUE!</v>
      </c>
      <c r="N1593" s="246" t="e">
        <f t="shared" si="171"/>
        <v>#VALUE!</v>
      </c>
      <c r="O1593" s="247" t="e">
        <f t="shared" si="172"/>
        <v>#VALUE!</v>
      </c>
      <c r="P1593" s="247">
        <f t="shared" si="173"/>
        <v>0</v>
      </c>
      <c r="Q1593" s="247" t="e">
        <f t="shared" si="174"/>
        <v>#VALUE!</v>
      </c>
    </row>
    <row r="1594" spans="1:17" ht="15" customHeight="1" x14ac:dyDescent="0.25">
      <c r="A1594" s="244"/>
      <c r="B1594" s="244"/>
      <c r="C1594" s="244"/>
      <c r="D1594" s="244"/>
      <c r="E1594" s="244"/>
      <c r="F1594" s="244"/>
      <c r="G1594" s="244"/>
      <c r="I1594" s="244"/>
      <c r="J1594" s="244"/>
      <c r="K1594" s="246" t="e">
        <f t="shared" si="168"/>
        <v>#VALUE!</v>
      </c>
      <c r="L1594" s="246" t="e">
        <f t="shared" si="169"/>
        <v>#VALUE!</v>
      </c>
      <c r="M1594" s="247" t="e">
        <f t="shared" si="170"/>
        <v>#VALUE!</v>
      </c>
      <c r="N1594" s="246" t="e">
        <f t="shared" si="171"/>
        <v>#VALUE!</v>
      </c>
      <c r="O1594" s="247" t="e">
        <f t="shared" si="172"/>
        <v>#VALUE!</v>
      </c>
      <c r="P1594" s="247">
        <f t="shared" si="173"/>
        <v>0</v>
      </c>
      <c r="Q1594" s="247" t="e">
        <f t="shared" si="174"/>
        <v>#VALUE!</v>
      </c>
    </row>
    <row r="1595" spans="1:17" ht="15" customHeight="1" x14ac:dyDescent="0.25">
      <c r="A1595" s="244"/>
      <c r="B1595" s="244"/>
      <c r="C1595" s="244"/>
      <c r="D1595" s="244"/>
      <c r="E1595" s="244"/>
      <c r="F1595" s="244"/>
      <c r="G1595" s="244"/>
      <c r="I1595" s="244"/>
      <c r="J1595" s="244"/>
      <c r="K1595" s="246" t="e">
        <f t="shared" si="168"/>
        <v>#VALUE!</v>
      </c>
      <c r="L1595" s="246" t="e">
        <f t="shared" si="169"/>
        <v>#VALUE!</v>
      </c>
      <c r="M1595" s="247" t="e">
        <f t="shared" si="170"/>
        <v>#VALUE!</v>
      </c>
      <c r="N1595" s="246" t="e">
        <f t="shared" si="171"/>
        <v>#VALUE!</v>
      </c>
      <c r="O1595" s="247" t="e">
        <f t="shared" si="172"/>
        <v>#VALUE!</v>
      </c>
      <c r="P1595" s="247">
        <f t="shared" si="173"/>
        <v>0</v>
      </c>
      <c r="Q1595" s="247" t="e">
        <f t="shared" si="174"/>
        <v>#VALUE!</v>
      </c>
    </row>
    <row r="1596" spans="1:17" ht="15" customHeight="1" x14ac:dyDescent="0.25">
      <c r="A1596" s="244"/>
      <c r="B1596" s="244"/>
      <c r="C1596" s="244"/>
      <c r="D1596" s="244"/>
      <c r="E1596" s="244"/>
      <c r="F1596" s="244"/>
      <c r="G1596" s="244"/>
      <c r="I1596" s="244"/>
      <c r="J1596" s="244"/>
      <c r="K1596" s="246" t="e">
        <f t="shared" si="168"/>
        <v>#VALUE!</v>
      </c>
      <c r="L1596" s="246" t="e">
        <f t="shared" si="169"/>
        <v>#VALUE!</v>
      </c>
      <c r="M1596" s="247" t="e">
        <f t="shared" si="170"/>
        <v>#VALUE!</v>
      </c>
      <c r="N1596" s="246" t="e">
        <f t="shared" si="171"/>
        <v>#VALUE!</v>
      </c>
      <c r="O1596" s="247" t="e">
        <f t="shared" si="172"/>
        <v>#VALUE!</v>
      </c>
      <c r="P1596" s="247">
        <f t="shared" si="173"/>
        <v>0</v>
      </c>
      <c r="Q1596" s="247" t="e">
        <f t="shared" si="174"/>
        <v>#VALUE!</v>
      </c>
    </row>
    <row r="1597" spans="1:17" ht="15" customHeight="1" x14ac:dyDescent="0.25">
      <c r="A1597" s="244"/>
      <c r="B1597" s="244"/>
      <c r="C1597" s="244"/>
      <c r="D1597" s="244"/>
      <c r="E1597" s="244"/>
      <c r="F1597" s="244"/>
      <c r="G1597" s="244"/>
      <c r="I1597" s="244"/>
      <c r="J1597" s="244"/>
      <c r="K1597" s="246" t="e">
        <f t="shared" si="168"/>
        <v>#VALUE!</v>
      </c>
      <c r="L1597" s="246" t="e">
        <f t="shared" si="169"/>
        <v>#VALUE!</v>
      </c>
      <c r="M1597" s="247" t="e">
        <f t="shared" si="170"/>
        <v>#VALUE!</v>
      </c>
      <c r="N1597" s="246" t="e">
        <f t="shared" si="171"/>
        <v>#VALUE!</v>
      </c>
      <c r="O1597" s="247" t="e">
        <f t="shared" si="172"/>
        <v>#VALUE!</v>
      </c>
      <c r="P1597" s="247">
        <f t="shared" si="173"/>
        <v>0</v>
      </c>
      <c r="Q1597" s="247" t="e">
        <f t="shared" si="174"/>
        <v>#VALUE!</v>
      </c>
    </row>
    <row r="1598" spans="1:17" ht="15" customHeight="1" x14ac:dyDescent="0.25">
      <c r="A1598" s="244"/>
      <c r="B1598" s="244"/>
      <c r="C1598" s="244"/>
      <c r="D1598" s="244"/>
      <c r="E1598" s="244"/>
      <c r="F1598" s="244"/>
      <c r="G1598" s="244"/>
      <c r="I1598" s="244"/>
      <c r="J1598" s="244"/>
      <c r="K1598" s="246" t="e">
        <f t="shared" si="168"/>
        <v>#VALUE!</v>
      </c>
      <c r="L1598" s="246" t="e">
        <f t="shared" si="169"/>
        <v>#VALUE!</v>
      </c>
      <c r="M1598" s="247" t="e">
        <f t="shared" si="170"/>
        <v>#VALUE!</v>
      </c>
      <c r="N1598" s="246" t="e">
        <f t="shared" si="171"/>
        <v>#VALUE!</v>
      </c>
      <c r="O1598" s="247" t="e">
        <f t="shared" si="172"/>
        <v>#VALUE!</v>
      </c>
      <c r="P1598" s="247">
        <f t="shared" si="173"/>
        <v>0</v>
      </c>
      <c r="Q1598" s="247" t="e">
        <f t="shared" si="174"/>
        <v>#VALUE!</v>
      </c>
    </row>
    <row r="1599" spans="1:17" ht="15" customHeight="1" x14ac:dyDescent="0.25">
      <c r="A1599" s="244"/>
      <c r="B1599" s="244"/>
      <c r="C1599" s="244"/>
      <c r="D1599" s="244"/>
      <c r="E1599" s="244"/>
      <c r="F1599" s="244"/>
      <c r="G1599" s="244"/>
      <c r="I1599" s="244"/>
      <c r="J1599" s="244"/>
      <c r="K1599" s="246" t="e">
        <f t="shared" si="168"/>
        <v>#VALUE!</v>
      </c>
      <c r="L1599" s="246" t="e">
        <f t="shared" si="169"/>
        <v>#VALUE!</v>
      </c>
      <c r="M1599" s="247" t="e">
        <f t="shared" si="170"/>
        <v>#VALUE!</v>
      </c>
      <c r="N1599" s="246" t="e">
        <f t="shared" si="171"/>
        <v>#VALUE!</v>
      </c>
      <c r="O1599" s="247" t="e">
        <f t="shared" si="172"/>
        <v>#VALUE!</v>
      </c>
      <c r="P1599" s="247">
        <f t="shared" si="173"/>
        <v>0</v>
      </c>
      <c r="Q1599" s="247" t="e">
        <f t="shared" si="174"/>
        <v>#VALUE!</v>
      </c>
    </row>
    <row r="1600" spans="1:17" ht="15" customHeight="1" x14ac:dyDescent="0.25">
      <c r="A1600" s="244"/>
      <c r="B1600" s="244"/>
      <c r="C1600" s="244"/>
      <c r="D1600" s="244"/>
      <c r="E1600" s="244"/>
      <c r="F1600" s="244"/>
      <c r="G1600" s="244"/>
      <c r="I1600" s="244"/>
      <c r="J1600" s="244"/>
      <c r="K1600" s="246" t="e">
        <f t="shared" si="168"/>
        <v>#VALUE!</v>
      </c>
      <c r="L1600" s="246" t="e">
        <f t="shared" si="169"/>
        <v>#VALUE!</v>
      </c>
      <c r="M1600" s="247" t="e">
        <f t="shared" si="170"/>
        <v>#VALUE!</v>
      </c>
      <c r="N1600" s="246" t="e">
        <f t="shared" si="171"/>
        <v>#VALUE!</v>
      </c>
      <c r="O1600" s="247" t="e">
        <f t="shared" si="172"/>
        <v>#VALUE!</v>
      </c>
      <c r="P1600" s="247">
        <f t="shared" si="173"/>
        <v>0</v>
      </c>
      <c r="Q1600" s="247" t="e">
        <f t="shared" si="174"/>
        <v>#VALUE!</v>
      </c>
    </row>
    <row r="1601" spans="1:17" ht="15" customHeight="1" x14ac:dyDescent="0.25">
      <c r="A1601" s="244"/>
      <c r="B1601" s="244"/>
      <c r="C1601" s="244"/>
      <c r="D1601" s="244"/>
      <c r="E1601" s="244"/>
      <c r="F1601" s="244"/>
      <c r="G1601" s="244"/>
      <c r="I1601" s="244"/>
      <c r="J1601" s="244"/>
      <c r="K1601" s="246" t="e">
        <f t="shared" si="168"/>
        <v>#VALUE!</v>
      </c>
      <c r="L1601" s="246" t="e">
        <f t="shared" si="169"/>
        <v>#VALUE!</v>
      </c>
      <c r="M1601" s="247" t="e">
        <f t="shared" si="170"/>
        <v>#VALUE!</v>
      </c>
      <c r="N1601" s="246" t="e">
        <f t="shared" si="171"/>
        <v>#VALUE!</v>
      </c>
      <c r="O1601" s="247" t="e">
        <f t="shared" si="172"/>
        <v>#VALUE!</v>
      </c>
      <c r="P1601" s="247">
        <f t="shared" si="173"/>
        <v>0</v>
      </c>
      <c r="Q1601" s="247" t="e">
        <f t="shared" si="174"/>
        <v>#VALUE!</v>
      </c>
    </row>
    <row r="1602" spans="1:17" ht="15" customHeight="1" x14ac:dyDescent="0.25">
      <c r="A1602" s="244"/>
      <c r="B1602" s="244"/>
      <c r="C1602" s="244"/>
      <c r="D1602" s="244"/>
      <c r="E1602" s="244"/>
      <c r="F1602" s="244"/>
      <c r="G1602" s="244"/>
      <c r="I1602" s="244"/>
      <c r="J1602" s="244"/>
      <c r="K1602" s="246" t="e">
        <f t="shared" ref="K1602:K1665" si="175">DATE(VALUE(LEFT(A1602,4)),VALUE(MID(A1602,5,2)),VALUE(RIGHT(A1602,2)))</f>
        <v>#VALUE!</v>
      </c>
      <c r="L1602" s="246" t="e">
        <f t="shared" ref="L1602:L1665" si="176">DATEVALUE(LEFT(F1602,10))</f>
        <v>#VALUE!</v>
      </c>
      <c r="M1602" s="247" t="e">
        <f t="shared" ref="M1602:M1665" si="177">TIMEVALUE(MID(F1602,12,8))</f>
        <v>#VALUE!</v>
      </c>
      <c r="N1602" s="246" t="e">
        <f t="shared" ref="N1602:N1665" si="178">DATEVALUE(LEFT(G1602,10))</f>
        <v>#VALUE!</v>
      </c>
      <c r="O1602" s="247" t="e">
        <f t="shared" ref="O1602:O1665" si="179">TIMEVALUE(MID(G1602,12,8))</f>
        <v>#VALUE!</v>
      </c>
      <c r="P1602" s="247">
        <f t="shared" ref="P1602:P1665" si="180">IFERROR(_xlfn.MINIFS($M:$M,$E:$E,$E1602,$K:$K,$K1602,$M:$M,"&gt;"&amp;$O1602),"")</f>
        <v>0</v>
      </c>
      <c r="Q1602" s="247" t="e">
        <f t="shared" ref="Q1602:Q1665" si="181">IF($P1602="","",$P1602-$O1602)</f>
        <v>#VALUE!</v>
      </c>
    </row>
    <row r="1603" spans="1:17" ht="15" customHeight="1" x14ac:dyDescent="0.25">
      <c r="A1603" s="244"/>
      <c r="B1603" s="244"/>
      <c r="C1603" s="244"/>
      <c r="D1603" s="244"/>
      <c r="E1603" s="244"/>
      <c r="F1603" s="244"/>
      <c r="G1603" s="244"/>
      <c r="I1603" s="244"/>
      <c r="J1603" s="244"/>
      <c r="K1603" s="246" t="e">
        <f t="shared" si="175"/>
        <v>#VALUE!</v>
      </c>
      <c r="L1603" s="246" t="e">
        <f t="shared" si="176"/>
        <v>#VALUE!</v>
      </c>
      <c r="M1603" s="247" t="e">
        <f t="shared" si="177"/>
        <v>#VALUE!</v>
      </c>
      <c r="N1603" s="246" t="e">
        <f t="shared" si="178"/>
        <v>#VALUE!</v>
      </c>
      <c r="O1603" s="247" t="e">
        <f t="shared" si="179"/>
        <v>#VALUE!</v>
      </c>
      <c r="P1603" s="247">
        <f t="shared" si="180"/>
        <v>0</v>
      </c>
      <c r="Q1603" s="247" t="e">
        <f t="shared" si="181"/>
        <v>#VALUE!</v>
      </c>
    </row>
    <row r="1604" spans="1:17" ht="15" customHeight="1" x14ac:dyDescent="0.25">
      <c r="A1604" s="244"/>
      <c r="B1604" s="244"/>
      <c r="C1604" s="244"/>
      <c r="D1604" s="244"/>
      <c r="E1604" s="244"/>
      <c r="F1604" s="244"/>
      <c r="G1604" s="244"/>
      <c r="I1604" s="244"/>
      <c r="J1604" s="244"/>
      <c r="K1604" s="246" t="e">
        <f t="shared" si="175"/>
        <v>#VALUE!</v>
      </c>
      <c r="L1604" s="246" t="e">
        <f t="shared" si="176"/>
        <v>#VALUE!</v>
      </c>
      <c r="M1604" s="247" t="e">
        <f t="shared" si="177"/>
        <v>#VALUE!</v>
      </c>
      <c r="N1604" s="246" t="e">
        <f t="shared" si="178"/>
        <v>#VALUE!</v>
      </c>
      <c r="O1604" s="247" t="e">
        <f t="shared" si="179"/>
        <v>#VALUE!</v>
      </c>
      <c r="P1604" s="247">
        <f t="shared" si="180"/>
        <v>0</v>
      </c>
      <c r="Q1604" s="247" t="e">
        <f t="shared" si="181"/>
        <v>#VALUE!</v>
      </c>
    </row>
    <row r="1605" spans="1:17" ht="15" customHeight="1" x14ac:dyDescent="0.25">
      <c r="A1605" s="244"/>
      <c r="B1605" s="244"/>
      <c r="C1605" s="244"/>
      <c r="D1605" s="244"/>
      <c r="E1605" s="244"/>
      <c r="F1605" s="244"/>
      <c r="G1605" s="244"/>
      <c r="I1605" s="244"/>
      <c r="J1605" s="244"/>
      <c r="K1605" s="246" t="e">
        <f t="shared" si="175"/>
        <v>#VALUE!</v>
      </c>
      <c r="L1605" s="246" t="e">
        <f t="shared" si="176"/>
        <v>#VALUE!</v>
      </c>
      <c r="M1605" s="247" t="e">
        <f t="shared" si="177"/>
        <v>#VALUE!</v>
      </c>
      <c r="N1605" s="246" t="e">
        <f t="shared" si="178"/>
        <v>#VALUE!</v>
      </c>
      <c r="O1605" s="247" t="e">
        <f t="shared" si="179"/>
        <v>#VALUE!</v>
      </c>
      <c r="P1605" s="247">
        <f t="shared" si="180"/>
        <v>0</v>
      </c>
      <c r="Q1605" s="247" t="e">
        <f t="shared" si="181"/>
        <v>#VALUE!</v>
      </c>
    </row>
    <row r="1606" spans="1:17" ht="15" customHeight="1" x14ac:dyDescent="0.25">
      <c r="A1606" s="244"/>
      <c r="B1606" s="244"/>
      <c r="C1606" s="244"/>
      <c r="D1606" s="244"/>
      <c r="E1606" s="244"/>
      <c r="F1606" s="244"/>
      <c r="G1606" s="244"/>
      <c r="I1606" s="244"/>
      <c r="J1606" s="244"/>
      <c r="K1606" s="246" t="e">
        <f t="shared" si="175"/>
        <v>#VALUE!</v>
      </c>
      <c r="L1606" s="246" t="e">
        <f t="shared" si="176"/>
        <v>#VALUE!</v>
      </c>
      <c r="M1606" s="247" t="e">
        <f t="shared" si="177"/>
        <v>#VALUE!</v>
      </c>
      <c r="N1606" s="246" t="e">
        <f t="shared" si="178"/>
        <v>#VALUE!</v>
      </c>
      <c r="O1606" s="247" t="e">
        <f t="shared" si="179"/>
        <v>#VALUE!</v>
      </c>
      <c r="P1606" s="247">
        <f t="shared" si="180"/>
        <v>0</v>
      </c>
      <c r="Q1606" s="247" t="e">
        <f t="shared" si="181"/>
        <v>#VALUE!</v>
      </c>
    </row>
    <row r="1607" spans="1:17" ht="15" customHeight="1" x14ac:dyDescent="0.25">
      <c r="A1607" s="244"/>
      <c r="B1607" s="244"/>
      <c r="C1607" s="244"/>
      <c r="D1607" s="244"/>
      <c r="E1607" s="244"/>
      <c r="F1607" s="244"/>
      <c r="G1607" s="244"/>
      <c r="I1607" s="244"/>
      <c r="J1607" s="244"/>
      <c r="K1607" s="246" t="e">
        <f t="shared" si="175"/>
        <v>#VALUE!</v>
      </c>
      <c r="L1607" s="246" t="e">
        <f t="shared" si="176"/>
        <v>#VALUE!</v>
      </c>
      <c r="M1607" s="247" t="e">
        <f t="shared" si="177"/>
        <v>#VALUE!</v>
      </c>
      <c r="N1607" s="246" t="e">
        <f t="shared" si="178"/>
        <v>#VALUE!</v>
      </c>
      <c r="O1607" s="247" t="e">
        <f t="shared" si="179"/>
        <v>#VALUE!</v>
      </c>
      <c r="P1607" s="247">
        <f t="shared" si="180"/>
        <v>0</v>
      </c>
      <c r="Q1607" s="247" t="e">
        <f t="shared" si="181"/>
        <v>#VALUE!</v>
      </c>
    </row>
    <row r="1608" spans="1:17" ht="15" customHeight="1" x14ac:dyDescent="0.25">
      <c r="A1608" s="244"/>
      <c r="B1608" s="244"/>
      <c r="C1608" s="244"/>
      <c r="D1608" s="244"/>
      <c r="E1608" s="244"/>
      <c r="F1608" s="244"/>
      <c r="G1608" s="244"/>
      <c r="I1608" s="244"/>
      <c r="J1608" s="244"/>
      <c r="K1608" s="246" t="e">
        <f t="shared" si="175"/>
        <v>#VALUE!</v>
      </c>
      <c r="L1608" s="246" t="e">
        <f t="shared" si="176"/>
        <v>#VALUE!</v>
      </c>
      <c r="M1608" s="247" t="e">
        <f t="shared" si="177"/>
        <v>#VALUE!</v>
      </c>
      <c r="N1608" s="246" t="e">
        <f t="shared" si="178"/>
        <v>#VALUE!</v>
      </c>
      <c r="O1608" s="247" t="e">
        <f t="shared" si="179"/>
        <v>#VALUE!</v>
      </c>
      <c r="P1608" s="247">
        <f t="shared" si="180"/>
        <v>0</v>
      </c>
      <c r="Q1608" s="247" t="e">
        <f t="shared" si="181"/>
        <v>#VALUE!</v>
      </c>
    </row>
    <row r="1609" spans="1:17" ht="15" customHeight="1" x14ac:dyDescent="0.25">
      <c r="A1609" s="244"/>
      <c r="B1609" s="244"/>
      <c r="C1609" s="244"/>
      <c r="D1609" s="244"/>
      <c r="E1609" s="244"/>
      <c r="F1609" s="244"/>
      <c r="G1609" s="244"/>
      <c r="I1609" s="244"/>
      <c r="J1609" s="244"/>
      <c r="K1609" s="246" t="e">
        <f t="shared" si="175"/>
        <v>#VALUE!</v>
      </c>
      <c r="L1609" s="246" t="e">
        <f t="shared" si="176"/>
        <v>#VALUE!</v>
      </c>
      <c r="M1609" s="247" t="e">
        <f t="shared" si="177"/>
        <v>#VALUE!</v>
      </c>
      <c r="N1609" s="246" t="e">
        <f t="shared" si="178"/>
        <v>#VALUE!</v>
      </c>
      <c r="O1609" s="247" t="e">
        <f t="shared" si="179"/>
        <v>#VALUE!</v>
      </c>
      <c r="P1609" s="247">
        <f t="shared" si="180"/>
        <v>0</v>
      </c>
      <c r="Q1609" s="247" t="e">
        <f t="shared" si="181"/>
        <v>#VALUE!</v>
      </c>
    </row>
    <row r="1610" spans="1:17" ht="15" customHeight="1" x14ac:dyDescent="0.25">
      <c r="A1610" s="244"/>
      <c r="B1610" s="244"/>
      <c r="C1610" s="244"/>
      <c r="D1610" s="244"/>
      <c r="E1610" s="244"/>
      <c r="F1610" s="244"/>
      <c r="G1610" s="244"/>
      <c r="I1610" s="244"/>
      <c r="J1610" s="244"/>
      <c r="K1610" s="246" t="e">
        <f t="shared" si="175"/>
        <v>#VALUE!</v>
      </c>
      <c r="L1610" s="246" t="e">
        <f t="shared" si="176"/>
        <v>#VALUE!</v>
      </c>
      <c r="M1610" s="247" t="e">
        <f t="shared" si="177"/>
        <v>#VALUE!</v>
      </c>
      <c r="N1610" s="246" t="e">
        <f t="shared" si="178"/>
        <v>#VALUE!</v>
      </c>
      <c r="O1610" s="247" t="e">
        <f t="shared" si="179"/>
        <v>#VALUE!</v>
      </c>
      <c r="P1610" s="247">
        <f t="shared" si="180"/>
        <v>0</v>
      </c>
      <c r="Q1610" s="247" t="e">
        <f t="shared" si="181"/>
        <v>#VALUE!</v>
      </c>
    </row>
    <row r="1611" spans="1:17" ht="15" customHeight="1" x14ac:dyDescent="0.25">
      <c r="A1611" s="244"/>
      <c r="B1611" s="244"/>
      <c r="C1611" s="244"/>
      <c r="D1611" s="244"/>
      <c r="E1611" s="244"/>
      <c r="F1611" s="244"/>
      <c r="G1611" s="244"/>
      <c r="I1611" s="244"/>
      <c r="J1611" s="244"/>
      <c r="K1611" s="246" t="e">
        <f t="shared" si="175"/>
        <v>#VALUE!</v>
      </c>
      <c r="L1611" s="246" t="e">
        <f t="shared" si="176"/>
        <v>#VALUE!</v>
      </c>
      <c r="M1611" s="247" t="e">
        <f t="shared" si="177"/>
        <v>#VALUE!</v>
      </c>
      <c r="N1611" s="246" t="e">
        <f t="shared" si="178"/>
        <v>#VALUE!</v>
      </c>
      <c r="O1611" s="247" t="e">
        <f t="shared" si="179"/>
        <v>#VALUE!</v>
      </c>
      <c r="P1611" s="247">
        <f t="shared" si="180"/>
        <v>0</v>
      </c>
      <c r="Q1611" s="247" t="e">
        <f t="shared" si="181"/>
        <v>#VALUE!</v>
      </c>
    </row>
    <row r="1612" spans="1:17" ht="15" customHeight="1" x14ac:dyDescent="0.25">
      <c r="A1612" s="244"/>
      <c r="B1612" s="244"/>
      <c r="C1612" s="244"/>
      <c r="D1612" s="244"/>
      <c r="E1612" s="244"/>
      <c r="F1612" s="244"/>
      <c r="G1612" s="244"/>
      <c r="I1612" s="244"/>
      <c r="J1612" s="244"/>
      <c r="K1612" s="246" t="e">
        <f t="shared" si="175"/>
        <v>#VALUE!</v>
      </c>
      <c r="L1612" s="246" t="e">
        <f t="shared" si="176"/>
        <v>#VALUE!</v>
      </c>
      <c r="M1612" s="247" t="e">
        <f t="shared" si="177"/>
        <v>#VALUE!</v>
      </c>
      <c r="N1612" s="246" t="e">
        <f t="shared" si="178"/>
        <v>#VALUE!</v>
      </c>
      <c r="O1612" s="247" t="e">
        <f t="shared" si="179"/>
        <v>#VALUE!</v>
      </c>
      <c r="P1612" s="247">
        <f t="shared" si="180"/>
        <v>0</v>
      </c>
      <c r="Q1612" s="247" t="e">
        <f t="shared" si="181"/>
        <v>#VALUE!</v>
      </c>
    </row>
    <row r="1613" spans="1:17" ht="15" customHeight="1" x14ac:dyDescent="0.25">
      <c r="A1613" s="244"/>
      <c r="B1613" s="244"/>
      <c r="C1613" s="244"/>
      <c r="D1613" s="244"/>
      <c r="E1613" s="244"/>
      <c r="F1613" s="244"/>
      <c r="G1613" s="244"/>
      <c r="I1613" s="244"/>
      <c r="J1613" s="244"/>
      <c r="K1613" s="246" t="e">
        <f t="shared" si="175"/>
        <v>#VALUE!</v>
      </c>
      <c r="L1613" s="246" t="e">
        <f t="shared" si="176"/>
        <v>#VALUE!</v>
      </c>
      <c r="M1613" s="247" t="e">
        <f t="shared" si="177"/>
        <v>#VALUE!</v>
      </c>
      <c r="N1613" s="246" t="e">
        <f t="shared" si="178"/>
        <v>#VALUE!</v>
      </c>
      <c r="O1613" s="247" t="e">
        <f t="shared" si="179"/>
        <v>#VALUE!</v>
      </c>
      <c r="P1613" s="247">
        <f t="shared" si="180"/>
        <v>0</v>
      </c>
      <c r="Q1613" s="247" t="e">
        <f t="shared" si="181"/>
        <v>#VALUE!</v>
      </c>
    </row>
    <row r="1614" spans="1:17" ht="15" customHeight="1" x14ac:dyDescent="0.25">
      <c r="A1614" s="244"/>
      <c r="B1614" s="244"/>
      <c r="C1614" s="244"/>
      <c r="D1614" s="244"/>
      <c r="E1614" s="244"/>
      <c r="F1614" s="244"/>
      <c r="G1614" s="244"/>
      <c r="I1614" s="244"/>
      <c r="J1614" s="244"/>
      <c r="K1614" s="246" t="e">
        <f t="shared" si="175"/>
        <v>#VALUE!</v>
      </c>
      <c r="L1614" s="246" t="e">
        <f t="shared" si="176"/>
        <v>#VALUE!</v>
      </c>
      <c r="M1614" s="247" t="e">
        <f t="shared" si="177"/>
        <v>#VALUE!</v>
      </c>
      <c r="N1614" s="246" t="e">
        <f t="shared" si="178"/>
        <v>#VALUE!</v>
      </c>
      <c r="O1614" s="247" t="e">
        <f t="shared" si="179"/>
        <v>#VALUE!</v>
      </c>
      <c r="P1614" s="247">
        <f t="shared" si="180"/>
        <v>0</v>
      </c>
      <c r="Q1614" s="247" t="e">
        <f t="shared" si="181"/>
        <v>#VALUE!</v>
      </c>
    </row>
    <row r="1615" spans="1:17" ht="15" customHeight="1" x14ac:dyDescent="0.25">
      <c r="A1615" s="244"/>
      <c r="B1615" s="244"/>
      <c r="C1615" s="244"/>
      <c r="D1615" s="244"/>
      <c r="E1615" s="244"/>
      <c r="F1615" s="244"/>
      <c r="G1615" s="244"/>
      <c r="I1615" s="244"/>
      <c r="J1615" s="244"/>
      <c r="K1615" s="246" t="e">
        <f t="shared" si="175"/>
        <v>#VALUE!</v>
      </c>
      <c r="L1615" s="246" t="e">
        <f t="shared" si="176"/>
        <v>#VALUE!</v>
      </c>
      <c r="M1615" s="247" t="e">
        <f t="shared" si="177"/>
        <v>#VALUE!</v>
      </c>
      <c r="N1615" s="246" t="e">
        <f t="shared" si="178"/>
        <v>#VALUE!</v>
      </c>
      <c r="O1615" s="247" t="e">
        <f t="shared" si="179"/>
        <v>#VALUE!</v>
      </c>
      <c r="P1615" s="247">
        <f t="shared" si="180"/>
        <v>0</v>
      </c>
      <c r="Q1615" s="247" t="e">
        <f t="shared" si="181"/>
        <v>#VALUE!</v>
      </c>
    </row>
    <row r="1616" spans="1:17" ht="15" customHeight="1" x14ac:dyDescent="0.25">
      <c r="A1616" s="244"/>
      <c r="B1616" s="244"/>
      <c r="C1616" s="244"/>
      <c r="D1616" s="244"/>
      <c r="E1616" s="244"/>
      <c r="F1616" s="244"/>
      <c r="G1616" s="244"/>
      <c r="I1616" s="244"/>
      <c r="J1616" s="244"/>
      <c r="K1616" s="246" t="e">
        <f t="shared" si="175"/>
        <v>#VALUE!</v>
      </c>
      <c r="L1616" s="246" t="e">
        <f t="shared" si="176"/>
        <v>#VALUE!</v>
      </c>
      <c r="M1616" s="247" t="e">
        <f t="shared" si="177"/>
        <v>#VALUE!</v>
      </c>
      <c r="N1616" s="246" t="e">
        <f t="shared" si="178"/>
        <v>#VALUE!</v>
      </c>
      <c r="O1616" s="247" t="e">
        <f t="shared" si="179"/>
        <v>#VALUE!</v>
      </c>
      <c r="P1616" s="247">
        <f t="shared" si="180"/>
        <v>0</v>
      </c>
      <c r="Q1616" s="247" t="e">
        <f t="shared" si="181"/>
        <v>#VALUE!</v>
      </c>
    </row>
    <row r="1617" spans="1:17" ht="15" customHeight="1" x14ac:dyDescent="0.25">
      <c r="A1617" s="244"/>
      <c r="B1617" s="244"/>
      <c r="C1617" s="244"/>
      <c r="D1617" s="244"/>
      <c r="E1617" s="244"/>
      <c r="F1617" s="244"/>
      <c r="G1617" s="244"/>
      <c r="I1617" s="244"/>
      <c r="J1617" s="244"/>
      <c r="K1617" s="246" t="e">
        <f t="shared" si="175"/>
        <v>#VALUE!</v>
      </c>
      <c r="L1617" s="246" t="e">
        <f t="shared" si="176"/>
        <v>#VALUE!</v>
      </c>
      <c r="M1617" s="247" t="e">
        <f t="shared" si="177"/>
        <v>#VALUE!</v>
      </c>
      <c r="N1617" s="246" t="e">
        <f t="shared" si="178"/>
        <v>#VALUE!</v>
      </c>
      <c r="O1617" s="247" t="e">
        <f t="shared" si="179"/>
        <v>#VALUE!</v>
      </c>
      <c r="P1617" s="247">
        <f t="shared" si="180"/>
        <v>0</v>
      </c>
      <c r="Q1617" s="247" t="e">
        <f t="shared" si="181"/>
        <v>#VALUE!</v>
      </c>
    </row>
    <row r="1618" spans="1:17" ht="15" customHeight="1" x14ac:dyDescent="0.25">
      <c r="A1618" s="244"/>
      <c r="B1618" s="244"/>
      <c r="C1618" s="244"/>
      <c r="D1618" s="244"/>
      <c r="E1618" s="244"/>
      <c r="F1618" s="244"/>
      <c r="G1618" s="244"/>
      <c r="I1618" s="244"/>
      <c r="J1618" s="244"/>
      <c r="K1618" s="246" t="e">
        <f t="shared" si="175"/>
        <v>#VALUE!</v>
      </c>
      <c r="L1618" s="246" t="e">
        <f t="shared" si="176"/>
        <v>#VALUE!</v>
      </c>
      <c r="M1618" s="247" t="e">
        <f t="shared" si="177"/>
        <v>#VALUE!</v>
      </c>
      <c r="N1618" s="246" t="e">
        <f t="shared" si="178"/>
        <v>#VALUE!</v>
      </c>
      <c r="O1618" s="247" t="e">
        <f t="shared" si="179"/>
        <v>#VALUE!</v>
      </c>
      <c r="P1618" s="247">
        <f t="shared" si="180"/>
        <v>0</v>
      </c>
      <c r="Q1618" s="247" t="e">
        <f t="shared" si="181"/>
        <v>#VALUE!</v>
      </c>
    </row>
    <row r="1619" spans="1:17" ht="15" customHeight="1" x14ac:dyDescent="0.25">
      <c r="A1619" s="244"/>
      <c r="B1619" s="244"/>
      <c r="C1619" s="244"/>
      <c r="D1619" s="244"/>
      <c r="E1619" s="244"/>
      <c r="F1619" s="244"/>
      <c r="G1619" s="244"/>
      <c r="I1619" s="244"/>
      <c r="J1619" s="244"/>
      <c r="K1619" s="246" t="e">
        <f t="shared" si="175"/>
        <v>#VALUE!</v>
      </c>
      <c r="L1619" s="246" t="e">
        <f t="shared" si="176"/>
        <v>#VALUE!</v>
      </c>
      <c r="M1619" s="247" t="e">
        <f t="shared" si="177"/>
        <v>#VALUE!</v>
      </c>
      <c r="N1619" s="246" t="e">
        <f t="shared" si="178"/>
        <v>#VALUE!</v>
      </c>
      <c r="O1619" s="247" t="e">
        <f t="shared" si="179"/>
        <v>#VALUE!</v>
      </c>
      <c r="P1619" s="247">
        <f t="shared" si="180"/>
        <v>0</v>
      </c>
      <c r="Q1619" s="247" t="e">
        <f t="shared" si="181"/>
        <v>#VALUE!</v>
      </c>
    </row>
    <row r="1620" spans="1:17" ht="15" customHeight="1" x14ac:dyDescent="0.25">
      <c r="A1620" s="244"/>
      <c r="B1620" s="244"/>
      <c r="C1620" s="244"/>
      <c r="D1620" s="244"/>
      <c r="E1620" s="244"/>
      <c r="F1620" s="244"/>
      <c r="G1620" s="244"/>
      <c r="I1620" s="244"/>
      <c r="J1620" s="244"/>
      <c r="K1620" s="246" t="e">
        <f t="shared" si="175"/>
        <v>#VALUE!</v>
      </c>
      <c r="L1620" s="246" t="e">
        <f t="shared" si="176"/>
        <v>#VALUE!</v>
      </c>
      <c r="M1620" s="247" t="e">
        <f t="shared" si="177"/>
        <v>#VALUE!</v>
      </c>
      <c r="N1620" s="246" t="e">
        <f t="shared" si="178"/>
        <v>#VALUE!</v>
      </c>
      <c r="O1620" s="247" t="e">
        <f t="shared" si="179"/>
        <v>#VALUE!</v>
      </c>
      <c r="P1620" s="247">
        <f t="shared" si="180"/>
        <v>0</v>
      </c>
      <c r="Q1620" s="247" t="e">
        <f t="shared" si="181"/>
        <v>#VALUE!</v>
      </c>
    </row>
    <row r="1621" spans="1:17" ht="15" customHeight="1" x14ac:dyDescent="0.25">
      <c r="A1621" s="244"/>
      <c r="B1621" s="244"/>
      <c r="C1621" s="244"/>
      <c r="D1621" s="244"/>
      <c r="E1621" s="244"/>
      <c r="F1621" s="244"/>
      <c r="G1621" s="244"/>
      <c r="I1621" s="244"/>
      <c r="J1621" s="244"/>
      <c r="K1621" s="246" t="e">
        <f t="shared" si="175"/>
        <v>#VALUE!</v>
      </c>
      <c r="L1621" s="246" t="e">
        <f t="shared" si="176"/>
        <v>#VALUE!</v>
      </c>
      <c r="M1621" s="247" t="e">
        <f t="shared" si="177"/>
        <v>#VALUE!</v>
      </c>
      <c r="N1621" s="246" t="e">
        <f t="shared" si="178"/>
        <v>#VALUE!</v>
      </c>
      <c r="O1621" s="247" t="e">
        <f t="shared" si="179"/>
        <v>#VALUE!</v>
      </c>
      <c r="P1621" s="247">
        <f t="shared" si="180"/>
        <v>0</v>
      </c>
      <c r="Q1621" s="247" t="e">
        <f t="shared" si="181"/>
        <v>#VALUE!</v>
      </c>
    </row>
    <row r="1622" spans="1:17" ht="15" customHeight="1" x14ac:dyDescent="0.25">
      <c r="A1622" s="244"/>
      <c r="B1622" s="244"/>
      <c r="C1622" s="244"/>
      <c r="D1622" s="244"/>
      <c r="E1622" s="244"/>
      <c r="F1622" s="244"/>
      <c r="G1622" s="244"/>
      <c r="I1622" s="244"/>
      <c r="J1622" s="244"/>
      <c r="K1622" s="246" t="e">
        <f t="shared" si="175"/>
        <v>#VALUE!</v>
      </c>
      <c r="L1622" s="246" t="e">
        <f t="shared" si="176"/>
        <v>#VALUE!</v>
      </c>
      <c r="M1622" s="247" t="e">
        <f t="shared" si="177"/>
        <v>#VALUE!</v>
      </c>
      <c r="N1622" s="246" t="e">
        <f t="shared" si="178"/>
        <v>#VALUE!</v>
      </c>
      <c r="O1622" s="247" t="e">
        <f t="shared" si="179"/>
        <v>#VALUE!</v>
      </c>
      <c r="P1622" s="247">
        <f t="shared" si="180"/>
        <v>0</v>
      </c>
      <c r="Q1622" s="247" t="e">
        <f t="shared" si="181"/>
        <v>#VALUE!</v>
      </c>
    </row>
    <row r="1623" spans="1:17" ht="15" customHeight="1" x14ac:dyDescent="0.25">
      <c r="A1623" s="244"/>
      <c r="B1623" s="244"/>
      <c r="C1623" s="244"/>
      <c r="D1623" s="244"/>
      <c r="E1623" s="244"/>
      <c r="F1623" s="244"/>
      <c r="G1623" s="244"/>
      <c r="I1623" s="244"/>
      <c r="J1623" s="244"/>
      <c r="K1623" s="246" t="e">
        <f t="shared" si="175"/>
        <v>#VALUE!</v>
      </c>
      <c r="L1623" s="246" t="e">
        <f t="shared" si="176"/>
        <v>#VALUE!</v>
      </c>
      <c r="M1623" s="247" t="e">
        <f t="shared" si="177"/>
        <v>#VALUE!</v>
      </c>
      <c r="N1623" s="246" t="e">
        <f t="shared" si="178"/>
        <v>#VALUE!</v>
      </c>
      <c r="O1623" s="247" t="e">
        <f t="shared" si="179"/>
        <v>#VALUE!</v>
      </c>
      <c r="P1623" s="247">
        <f t="shared" si="180"/>
        <v>0</v>
      </c>
      <c r="Q1623" s="247" t="e">
        <f t="shared" si="181"/>
        <v>#VALUE!</v>
      </c>
    </row>
    <row r="1624" spans="1:17" ht="15" customHeight="1" x14ac:dyDescent="0.25">
      <c r="A1624" s="244"/>
      <c r="B1624" s="244"/>
      <c r="C1624" s="244"/>
      <c r="D1624" s="244"/>
      <c r="E1624" s="244"/>
      <c r="F1624" s="244"/>
      <c r="G1624" s="244"/>
      <c r="I1624" s="244"/>
      <c r="J1624" s="244"/>
      <c r="K1624" s="246" t="e">
        <f t="shared" si="175"/>
        <v>#VALUE!</v>
      </c>
      <c r="L1624" s="246" t="e">
        <f t="shared" si="176"/>
        <v>#VALUE!</v>
      </c>
      <c r="M1624" s="247" t="e">
        <f t="shared" si="177"/>
        <v>#VALUE!</v>
      </c>
      <c r="N1624" s="246" t="e">
        <f t="shared" si="178"/>
        <v>#VALUE!</v>
      </c>
      <c r="O1624" s="247" t="e">
        <f t="shared" si="179"/>
        <v>#VALUE!</v>
      </c>
      <c r="P1624" s="247">
        <f t="shared" si="180"/>
        <v>0</v>
      </c>
      <c r="Q1624" s="247" t="e">
        <f t="shared" si="181"/>
        <v>#VALUE!</v>
      </c>
    </row>
    <row r="1625" spans="1:17" ht="15" customHeight="1" x14ac:dyDescent="0.25">
      <c r="A1625" s="244"/>
      <c r="B1625" s="244"/>
      <c r="C1625" s="244"/>
      <c r="D1625" s="244"/>
      <c r="E1625" s="244"/>
      <c r="F1625" s="244"/>
      <c r="G1625" s="244"/>
      <c r="I1625" s="244"/>
      <c r="J1625" s="244"/>
      <c r="K1625" s="246" t="e">
        <f t="shared" si="175"/>
        <v>#VALUE!</v>
      </c>
      <c r="L1625" s="246" t="e">
        <f t="shared" si="176"/>
        <v>#VALUE!</v>
      </c>
      <c r="M1625" s="247" t="e">
        <f t="shared" si="177"/>
        <v>#VALUE!</v>
      </c>
      <c r="N1625" s="246" t="e">
        <f t="shared" si="178"/>
        <v>#VALUE!</v>
      </c>
      <c r="O1625" s="247" t="e">
        <f t="shared" si="179"/>
        <v>#VALUE!</v>
      </c>
      <c r="P1625" s="247">
        <f t="shared" si="180"/>
        <v>0</v>
      </c>
      <c r="Q1625" s="247" t="e">
        <f t="shared" si="181"/>
        <v>#VALUE!</v>
      </c>
    </row>
    <row r="1626" spans="1:17" ht="15" customHeight="1" x14ac:dyDescent="0.25">
      <c r="A1626" s="244"/>
      <c r="B1626" s="244"/>
      <c r="C1626" s="244"/>
      <c r="D1626" s="244"/>
      <c r="E1626" s="244"/>
      <c r="F1626" s="244"/>
      <c r="G1626" s="244"/>
      <c r="I1626" s="244"/>
      <c r="J1626" s="244"/>
      <c r="K1626" s="246" t="e">
        <f t="shared" si="175"/>
        <v>#VALUE!</v>
      </c>
      <c r="L1626" s="246" t="e">
        <f t="shared" si="176"/>
        <v>#VALUE!</v>
      </c>
      <c r="M1626" s="247" t="e">
        <f t="shared" si="177"/>
        <v>#VALUE!</v>
      </c>
      <c r="N1626" s="246" t="e">
        <f t="shared" si="178"/>
        <v>#VALUE!</v>
      </c>
      <c r="O1626" s="247" t="e">
        <f t="shared" si="179"/>
        <v>#VALUE!</v>
      </c>
      <c r="P1626" s="247">
        <f t="shared" si="180"/>
        <v>0</v>
      </c>
      <c r="Q1626" s="247" t="e">
        <f t="shared" si="181"/>
        <v>#VALUE!</v>
      </c>
    </row>
    <row r="1627" spans="1:17" ht="15" customHeight="1" x14ac:dyDescent="0.25">
      <c r="A1627" s="244"/>
      <c r="B1627" s="244"/>
      <c r="C1627" s="244"/>
      <c r="D1627" s="244"/>
      <c r="E1627" s="244"/>
      <c r="F1627" s="244"/>
      <c r="G1627" s="244"/>
      <c r="I1627" s="244"/>
      <c r="J1627" s="244"/>
      <c r="K1627" s="246" t="e">
        <f t="shared" si="175"/>
        <v>#VALUE!</v>
      </c>
      <c r="L1627" s="246" t="e">
        <f t="shared" si="176"/>
        <v>#VALUE!</v>
      </c>
      <c r="M1627" s="247" t="e">
        <f t="shared" si="177"/>
        <v>#VALUE!</v>
      </c>
      <c r="N1627" s="246" t="e">
        <f t="shared" si="178"/>
        <v>#VALUE!</v>
      </c>
      <c r="O1627" s="247" t="e">
        <f t="shared" si="179"/>
        <v>#VALUE!</v>
      </c>
      <c r="P1627" s="247">
        <f t="shared" si="180"/>
        <v>0</v>
      </c>
      <c r="Q1627" s="247" t="e">
        <f t="shared" si="181"/>
        <v>#VALUE!</v>
      </c>
    </row>
    <row r="1628" spans="1:17" ht="15" customHeight="1" x14ac:dyDescent="0.25">
      <c r="A1628" s="244"/>
      <c r="B1628" s="244"/>
      <c r="C1628" s="244"/>
      <c r="D1628" s="244"/>
      <c r="E1628" s="244"/>
      <c r="F1628" s="244"/>
      <c r="G1628" s="244"/>
      <c r="I1628" s="244"/>
      <c r="J1628" s="244"/>
      <c r="K1628" s="246" t="e">
        <f t="shared" si="175"/>
        <v>#VALUE!</v>
      </c>
      <c r="L1628" s="246" t="e">
        <f t="shared" si="176"/>
        <v>#VALUE!</v>
      </c>
      <c r="M1628" s="247" t="e">
        <f t="shared" si="177"/>
        <v>#VALUE!</v>
      </c>
      <c r="N1628" s="246" t="e">
        <f t="shared" si="178"/>
        <v>#VALUE!</v>
      </c>
      <c r="O1628" s="247" t="e">
        <f t="shared" si="179"/>
        <v>#VALUE!</v>
      </c>
      <c r="P1628" s="247">
        <f t="shared" si="180"/>
        <v>0</v>
      </c>
      <c r="Q1628" s="247" t="e">
        <f t="shared" si="181"/>
        <v>#VALUE!</v>
      </c>
    </row>
    <row r="1629" spans="1:17" ht="15" customHeight="1" x14ac:dyDescent="0.25">
      <c r="A1629" s="244"/>
      <c r="B1629" s="244"/>
      <c r="C1629" s="244"/>
      <c r="D1629" s="244"/>
      <c r="E1629" s="244"/>
      <c r="F1629" s="244"/>
      <c r="G1629" s="244"/>
      <c r="I1629" s="244"/>
      <c r="J1629" s="244"/>
      <c r="K1629" s="246" t="e">
        <f t="shared" si="175"/>
        <v>#VALUE!</v>
      </c>
      <c r="L1629" s="246" t="e">
        <f t="shared" si="176"/>
        <v>#VALUE!</v>
      </c>
      <c r="M1629" s="247" t="e">
        <f t="shared" si="177"/>
        <v>#VALUE!</v>
      </c>
      <c r="N1629" s="246" t="e">
        <f t="shared" si="178"/>
        <v>#VALUE!</v>
      </c>
      <c r="O1629" s="247" t="e">
        <f t="shared" si="179"/>
        <v>#VALUE!</v>
      </c>
      <c r="P1629" s="247">
        <f t="shared" si="180"/>
        <v>0</v>
      </c>
      <c r="Q1629" s="247" t="e">
        <f t="shared" si="181"/>
        <v>#VALUE!</v>
      </c>
    </row>
    <row r="1630" spans="1:17" ht="15" customHeight="1" x14ac:dyDescent="0.25">
      <c r="A1630" s="244"/>
      <c r="B1630" s="244"/>
      <c r="C1630" s="244"/>
      <c r="D1630" s="244"/>
      <c r="E1630" s="244"/>
      <c r="F1630" s="244"/>
      <c r="G1630" s="244"/>
      <c r="I1630" s="244"/>
      <c r="J1630" s="244"/>
      <c r="K1630" s="246" t="e">
        <f t="shared" si="175"/>
        <v>#VALUE!</v>
      </c>
      <c r="L1630" s="246" t="e">
        <f t="shared" si="176"/>
        <v>#VALUE!</v>
      </c>
      <c r="M1630" s="247" t="e">
        <f t="shared" si="177"/>
        <v>#VALUE!</v>
      </c>
      <c r="N1630" s="246" t="e">
        <f t="shared" si="178"/>
        <v>#VALUE!</v>
      </c>
      <c r="O1630" s="247" t="e">
        <f t="shared" si="179"/>
        <v>#VALUE!</v>
      </c>
      <c r="P1630" s="247">
        <f t="shared" si="180"/>
        <v>0</v>
      </c>
      <c r="Q1630" s="247" t="e">
        <f t="shared" si="181"/>
        <v>#VALUE!</v>
      </c>
    </row>
    <row r="1631" spans="1:17" ht="15" customHeight="1" x14ac:dyDescent="0.25">
      <c r="A1631" s="244"/>
      <c r="B1631" s="244"/>
      <c r="C1631" s="244"/>
      <c r="D1631" s="244"/>
      <c r="E1631" s="244"/>
      <c r="F1631" s="244"/>
      <c r="G1631" s="244"/>
      <c r="I1631" s="244"/>
      <c r="J1631" s="244"/>
      <c r="K1631" s="246" t="e">
        <f t="shared" si="175"/>
        <v>#VALUE!</v>
      </c>
      <c r="L1631" s="246" t="e">
        <f t="shared" si="176"/>
        <v>#VALUE!</v>
      </c>
      <c r="M1631" s="247" t="e">
        <f t="shared" si="177"/>
        <v>#VALUE!</v>
      </c>
      <c r="N1631" s="246" t="e">
        <f t="shared" si="178"/>
        <v>#VALUE!</v>
      </c>
      <c r="O1631" s="247" t="e">
        <f t="shared" si="179"/>
        <v>#VALUE!</v>
      </c>
      <c r="P1631" s="247">
        <f t="shared" si="180"/>
        <v>0</v>
      </c>
      <c r="Q1631" s="247" t="e">
        <f t="shared" si="181"/>
        <v>#VALUE!</v>
      </c>
    </row>
    <row r="1632" spans="1:17" ht="15" customHeight="1" x14ac:dyDescent="0.25">
      <c r="A1632" s="244"/>
      <c r="B1632" s="244"/>
      <c r="C1632" s="244"/>
      <c r="D1632" s="244"/>
      <c r="E1632" s="244"/>
      <c r="F1632" s="244"/>
      <c r="G1632" s="244"/>
      <c r="I1632" s="244"/>
      <c r="J1632" s="244"/>
      <c r="K1632" s="246" t="e">
        <f t="shared" si="175"/>
        <v>#VALUE!</v>
      </c>
      <c r="L1632" s="246" t="e">
        <f t="shared" si="176"/>
        <v>#VALUE!</v>
      </c>
      <c r="M1632" s="247" t="e">
        <f t="shared" si="177"/>
        <v>#VALUE!</v>
      </c>
      <c r="N1632" s="246" t="e">
        <f t="shared" si="178"/>
        <v>#VALUE!</v>
      </c>
      <c r="O1632" s="247" t="e">
        <f t="shared" si="179"/>
        <v>#VALUE!</v>
      </c>
      <c r="P1632" s="247">
        <f t="shared" si="180"/>
        <v>0</v>
      </c>
      <c r="Q1632" s="247" t="e">
        <f t="shared" si="181"/>
        <v>#VALUE!</v>
      </c>
    </row>
    <row r="1633" spans="1:17" ht="15" customHeight="1" x14ac:dyDescent="0.25">
      <c r="A1633" s="244"/>
      <c r="B1633" s="244"/>
      <c r="C1633" s="244"/>
      <c r="D1633" s="244"/>
      <c r="E1633" s="244"/>
      <c r="F1633" s="244"/>
      <c r="G1633" s="244"/>
      <c r="I1633" s="244"/>
      <c r="J1633" s="244"/>
      <c r="K1633" s="246" t="e">
        <f t="shared" si="175"/>
        <v>#VALUE!</v>
      </c>
      <c r="L1633" s="246" t="e">
        <f t="shared" si="176"/>
        <v>#VALUE!</v>
      </c>
      <c r="M1633" s="247" t="e">
        <f t="shared" si="177"/>
        <v>#VALUE!</v>
      </c>
      <c r="N1633" s="246" t="e">
        <f t="shared" si="178"/>
        <v>#VALUE!</v>
      </c>
      <c r="O1633" s="247" t="e">
        <f t="shared" si="179"/>
        <v>#VALUE!</v>
      </c>
      <c r="P1633" s="247">
        <f t="shared" si="180"/>
        <v>0</v>
      </c>
      <c r="Q1633" s="247" t="e">
        <f t="shared" si="181"/>
        <v>#VALUE!</v>
      </c>
    </row>
    <row r="1634" spans="1:17" ht="15" customHeight="1" x14ac:dyDescent="0.25">
      <c r="A1634" s="244"/>
      <c r="B1634" s="244"/>
      <c r="C1634" s="244"/>
      <c r="D1634" s="244"/>
      <c r="E1634" s="244"/>
      <c r="F1634" s="244"/>
      <c r="G1634" s="244"/>
      <c r="I1634" s="244"/>
      <c r="J1634" s="244"/>
      <c r="K1634" s="246" t="e">
        <f t="shared" si="175"/>
        <v>#VALUE!</v>
      </c>
      <c r="L1634" s="246" t="e">
        <f t="shared" si="176"/>
        <v>#VALUE!</v>
      </c>
      <c r="M1634" s="247" t="e">
        <f t="shared" si="177"/>
        <v>#VALUE!</v>
      </c>
      <c r="N1634" s="246" t="e">
        <f t="shared" si="178"/>
        <v>#VALUE!</v>
      </c>
      <c r="O1634" s="247" t="e">
        <f t="shared" si="179"/>
        <v>#VALUE!</v>
      </c>
      <c r="P1634" s="247">
        <f t="shared" si="180"/>
        <v>0</v>
      </c>
      <c r="Q1634" s="247" t="e">
        <f t="shared" si="181"/>
        <v>#VALUE!</v>
      </c>
    </row>
    <row r="1635" spans="1:17" ht="15" customHeight="1" x14ac:dyDescent="0.25">
      <c r="A1635" s="244"/>
      <c r="B1635" s="244"/>
      <c r="C1635" s="244"/>
      <c r="D1635" s="244"/>
      <c r="E1635" s="244"/>
      <c r="F1635" s="244"/>
      <c r="G1635" s="244"/>
      <c r="I1635" s="244"/>
      <c r="J1635" s="244"/>
      <c r="K1635" s="246" t="e">
        <f t="shared" si="175"/>
        <v>#VALUE!</v>
      </c>
      <c r="L1635" s="246" t="e">
        <f t="shared" si="176"/>
        <v>#VALUE!</v>
      </c>
      <c r="M1635" s="247" t="e">
        <f t="shared" si="177"/>
        <v>#VALUE!</v>
      </c>
      <c r="N1635" s="246" t="e">
        <f t="shared" si="178"/>
        <v>#VALUE!</v>
      </c>
      <c r="O1635" s="247" t="e">
        <f t="shared" si="179"/>
        <v>#VALUE!</v>
      </c>
      <c r="P1635" s="247">
        <f t="shared" si="180"/>
        <v>0</v>
      </c>
      <c r="Q1635" s="247" t="e">
        <f t="shared" si="181"/>
        <v>#VALUE!</v>
      </c>
    </row>
    <row r="1636" spans="1:17" ht="15" customHeight="1" x14ac:dyDescent="0.25">
      <c r="A1636" s="244"/>
      <c r="B1636" s="244"/>
      <c r="C1636" s="244"/>
      <c r="D1636" s="244"/>
      <c r="E1636" s="244"/>
      <c r="F1636" s="244"/>
      <c r="G1636" s="244"/>
      <c r="I1636" s="244"/>
      <c r="J1636" s="244"/>
      <c r="K1636" s="246" t="e">
        <f t="shared" si="175"/>
        <v>#VALUE!</v>
      </c>
      <c r="L1636" s="246" t="e">
        <f t="shared" si="176"/>
        <v>#VALUE!</v>
      </c>
      <c r="M1636" s="247" t="e">
        <f t="shared" si="177"/>
        <v>#VALUE!</v>
      </c>
      <c r="N1636" s="246" t="e">
        <f t="shared" si="178"/>
        <v>#VALUE!</v>
      </c>
      <c r="O1636" s="247" t="e">
        <f t="shared" si="179"/>
        <v>#VALUE!</v>
      </c>
      <c r="P1636" s="247">
        <f t="shared" si="180"/>
        <v>0</v>
      </c>
      <c r="Q1636" s="247" t="e">
        <f t="shared" si="181"/>
        <v>#VALUE!</v>
      </c>
    </row>
    <row r="1637" spans="1:17" ht="15" customHeight="1" x14ac:dyDescent="0.25">
      <c r="A1637" s="244"/>
      <c r="B1637" s="244"/>
      <c r="C1637" s="244"/>
      <c r="D1637" s="244"/>
      <c r="E1637" s="244"/>
      <c r="F1637" s="244"/>
      <c r="G1637" s="244"/>
      <c r="I1637" s="244"/>
      <c r="J1637" s="244"/>
      <c r="K1637" s="246" t="e">
        <f t="shared" si="175"/>
        <v>#VALUE!</v>
      </c>
      <c r="L1637" s="246" t="e">
        <f t="shared" si="176"/>
        <v>#VALUE!</v>
      </c>
      <c r="M1637" s="247" t="e">
        <f t="shared" si="177"/>
        <v>#VALUE!</v>
      </c>
      <c r="N1637" s="246" t="e">
        <f t="shared" si="178"/>
        <v>#VALUE!</v>
      </c>
      <c r="O1637" s="247" t="e">
        <f t="shared" si="179"/>
        <v>#VALUE!</v>
      </c>
      <c r="P1637" s="247">
        <f t="shared" si="180"/>
        <v>0</v>
      </c>
      <c r="Q1637" s="247" t="e">
        <f t="shared" si="181"/>
        <v>#VALUE!</v>
      </c>
    </row>
    <row r="1638" spans="1:17" ht="15" customHeight="1" x14ac:dyDescent="0.25">
      <c r="A1638" s="244"/>
      <c r="B1638" s="244"/>
      <c r="C1638" s="244"/>
      <c r="D1638" s="244"/>
      <c r="E1638" s="244"/>
      <c r="F1638" s="244"/>
      <c r="G1638" s="244"/>
      <c r="I1638" s="244"/>
      <c r="J1638" s="244"/>
      <c r="K1638" s="246" t="e">
        <f t="shared" si="175"/>
        <v>#VALUE!</v>
      </c>
      <c r="L1638" s="246" t="e">
        <f t="shared" si="176"/>
        <v>#VALUE!</v>
      </c>
      <c r="M1638" s="247" t="e">
        <f t="shared" si="177"/>
        <v>#VALUE!</v>
      </c>
      <c r="N1638" s="246" t="e">
        <f t="shared" si="178"/>
        <v>#VALUE!</v>
      </c>
      <c r="O1638" s="247" t="e">
        <f t="shared" si="179"/>
        <v>#VALUE!</v>
      </c>
      <c r="P1638" s="247">
        <f t="shared" si="180"/>
        <v>0</v>
      </c>
      <c r="Q1638" s="247" t="e">
        <f t="shared" si="181"/>
        <v>#VALUE!</v>
      </c>
    </row>
    <row r="1639" spans="1:17" ht="15" customHeight="1" x14ac:dyDescent="0.25">
      <c r="A1639" s="244"/>
      <c r="B1639" s="244"/>
      <c r="C1639" s="244"/>
      <c r="D1639" s="244"/>
      <c r="E1639" s="244"/>
      <c r="F1639" s="244"/>
      <c r="G1639" s="244"/>
      <c r="I1639" s="244"/>
      <c r="J1639" s="244"/>
      <c r="K1639" s="246" t="e">
        <f t="shared" si="175"/>
        <v>#VALUE!</v>
      </c>
      <c r="L1639" s="246" t="e">
        <f t="shared" si="176"/>
        <v>#VALUE!</v>
      </c>
      <c r="M1639" s="247" t="e">
        <f t="shared" si="177"/>
        <v>#VALUE!</v>
      </c>
      <c r="N1639" s="246" t="e">
        <f t="shared" si="178"/>
        <v>#VALUE!</v>
      </c>
      <c r="O1639" s="247" t="e">
        <f t="shared" si="179"/>
        <v>#VALUE!</v>
      </c>
      <c r="P1639" s="247">
        <f t="shared" si="180"/>
        <v>0</v>
      </c>
      <c r="Q1639" s="247" t="e">
        <f t="shared" si="181"/>
        <v>#VALUE!</v>
      </c>
    </row>
    <row r="1640" spans="1:17" ht="15" customHeight="1" x14ac:dyDescent="0.25">
      <c r="A1640" s="244"/>
      <c r="B1640" s="244"/>
      <c r="C1640" s="244"/>
      <c r="D1640" s="244"/>
      <c r="E1640" s="244"/>
      <c r="F1640" s="244"/>
      <c r="G1640" s="244"/>
      <c r="I1640" s="244"/>
      <c r="J1640" s="244"/>
      <c r="K1640" s="246" t="e">
        <f t="shared" si="175"/>
        <v>#VALUE!</v>
      </c>
      <c r="L1640" s="246" t="e">
        <f t="shared" si="176"/>
        <v>#VALUE!</v>
      </c>
      <c r="M1640" s="247" t="e">
        <f t="shared" si="177"/>
        <v>#VALUE!</v>
      </c>
      <c r="N1640" s="246" t="e">
        <f t="shared" si="178"/>
        <v>#VALUE!</v>
      </c>
      <c r="O1640" s="247" t="e">
        <f t="shared" si="179"/>
        <v>#VALUE!</v>
      </c>
      <c r="P1640" s="247">
        <f t="shared" si="180"/>
        <v>0</v>
      </c>
      <c r="Q1640" s="247" t="e">
        <f t="shared" si="181"/>
        <v>#VALUE!</v>
      </c>
    </row>
    <row r="1641" spans="1:17" ht="15" customHeight="1" x14ac:dyDescent="0.25">
      <c r="A1641" s="244"/>
      <c r="B1641" s="244"/>
      <c r="C1641" s="244"/>
      <c r="D1641" s="244"/>
      <c r="E1641" s="244"/>
      <c r="F1641" s="244"/>
      <c r="G1641" s="244"/>
      <c r="I1641" s="244"/>
      <c r="J1641" s="244"/>
      <c r="K1641" s="246" t="e">
        <f t="shared" si="175"/>
        <v>#VALUE!</v>
      </c>
      <c r="L1641" s="246" t="e">
        <f t="shared" si="176"/>
        <v>#VALUE!</v>
      </c>
      <c r="M1641" s="247" t="e">
        <f t="shared" si="177"/>
        <v>#VALUE!</v>
      </c>
      <c r="N1641" s="246" t="e">
        <f t="shared" si="178"/>
        <v>#VALUE!</v>
      </c>
      <c r="O1641" s="247" t="e">
        <f t="shared" si="179"/>
        <v>#VALUE!</v>
      </c>
      <c r="P1641" s="247">
        <f t="shared" si="180"/>
        <v>0</v>
      </c>
      <c r="Q1641" s="247" t="e">
        <f t="shared" si="181"/>
        <v>#VALUE!</v>
      </c>
    </row>
    <row r="1642" spans="1:17" ht="15" customHeight="1" x14ac:dyDescent="0.25">
      <c r="A1642" s="244"/>
      <c r="B1642" s="244"/>
      <c r="C1642" s="244"/>
      <c r="D1642" s="244"/>
      <c r="E1642" s="244"/>
      <c r="F1642" s="244"/>
      <c r="G1642" s="244"/>
      <c r="I1642" s="244"/>
      <c r="J1642" s="244"/>
      <c r="K1642" s="246" t="e">
        <f t="shared" si="175"/>
        <v>#VALUE!</v>
      </c>
      <c r="L1642" s="246" t="e">
        <f t="shared" si="176"/>
        <v>#VALUE!</v>
      </c>
      <c r="M1642" s="247" t="e">
        <f t="shared" si="177"/>
        <v>#VALUE!</v>
      </c>
      <c r="N1642" s="246" t="e">
        <f t="shared" si="178"/>
        <v>#VALUE!</v>
      </c>
      <c r="O1642" s="247" t="e">
        <f t="shared" si="179"/>
        <v>#VALUE!</v>
      </c>
      <c r="P1642" s="247">
        <f t="shared" si="180"/>
        <v>0</v>
      </c>
      <c r="Q1642" s="247" t="e">
        <f t="shared" si="181"/>
        <v>#VALUE!</v>
      </c>
    </row>
    <row r="1643" spans="1:17" ht="15" customHeight="1" x14ac:dyDescent="0.25">
      <c r="A1643" s="244"/>
      <c r="B1643" s="244"/>
      <c r="C1643" s="244"/>
      <c r="D1643" s="244"/>
      <c r="E1643" s="244"/>
      <c r="F1643" s="244"/>
      <c r="G1643" s="244"/>
      <c r="I1643" s="244"/>
      <c r="J1643" s="244"/>
      <c r="K1643" s="246" t="e">
        <f t="shared" si="175"/>
        <v>#VALUE!</v>
      </c>
      <c r="L1643" s="246" t="e">
        <f t="shared" si="176"/>
        <v>#VALUE!</v>
      </c>
      <c r="M1643" s="247" t="e">
        <f t="shared" si="177"/>
        <v>#VALUE!</v>
      </c>
      <c r="N1643" s="246" t="e">
        <f t="shared" si="178"/>
        <v>#VALUE!</v>
      </c>
      <c r="O1643" s="247" t="e">
        <f t="shared" si="179"/>
        <v>#VALUE!</v>
      </c>
      <c r="P1643" s="247">
        <f t="shared" si="180"/>
        <v>0</v>
      </c>
      <c r="Q1643" s="247" t="e">
        <f t="shared" si="181"/>
        <v>#VALUE!</v>
      </c>
    </row>
    <row r="1644" spans="1:17" ht="15" customHeight="1" x14ac:dyDescent="0.25">
      <c r="A1644" s="244"/>
      <c r="B1644" s="244"/>
      <c r="C1644" s="244"/>
      <c r="D1644" s="244"/>
      <c r="E1644" s="244"/>
      <c r="F1644" s="244"/>
      <c r="G1644" s="244"/>
      <c r="I1644" s="244"/>
      <c r="J1644" s="244"/>
      <c r="K1644" s="246" t="e">
        <f t="shared" si="175"/>
        <v>#VALUE!</v>
      </c>
      <c r="L1644" s="246" t="e">
        <f t="shared" si="176"/>
        <v>#VALUE!</v>
      </c>
      <c r="M1644" s="247" t="e">
        <f t="shared" si="177"/>
        <v>#VALUE!</v>
      </c>
      <c r="N1644" s="246" t="e">
        <f t="shared" si="178"/>
        <v>#VALUE!</v>
      </c>
      <c r="O1644" s="247" t="e">
        <f t="shared" si="179"/>
        <v>#VALUE!</v>
      </c>
      <c r="P1644" s="247">
        <f t="shared" si="180"/>
        <v>0</v>
      </c>
      <c r="Q1644" s="247" t="e">
        <f t="shared" si="181"/>
        <v>#VALUE!</v>
      </c>
    </row>
    <row r="1645" spans="1:17" ht="15" customHeight="1" x14ac:dyDescent="0.25">
      <c r="A1645" s="244"/>
      <c r="B1645" s="244"/>
      <c r="C1645" s="244"/>
      <c r="D1645" s="244"/>
      <c r="E1645" s="244"/>
      <c r="F1645" s="244"/>
      <c r="G1645" s="244"/>
      <c r="I1645" s="244"/>
      <c r="J1645" s="244"/>
      <c r="K1645" s="246" t="e">
        <f t="shared" si="175"/>
        <v>#VALUE!</v>
      </c>
      <c r="L1645" s="246" t="e">
        <f t="shared" si="176"/>
        <v>#VALUE!</v>
      </c>
      <c r="M1645" s="247" t="e">
        <f t="shared" si="177"/>
        <v>#VALUE!</v>
      </c>
      <c r="N1645" s="246" t="e">
        <f t="shared" si="178"/>
        <v>#VALUE!</v>
      </c>
      <c r="O1645" s="247" t="e">
        <f t="shared" si="179"/>
        <v>#VALUE!</v>
      </c>
      <c r="P1645" s="247">
        <f t="shared" si="180"/>
        <v>0</v>
      </c>
      <c r="Q1645" s="247" t="e">
        <f t="shared" si="181"/>
        <v>#VALUE!</v>
      </c>
    </row>
    <row r="1646" spans="1:17" ht="15" customHeight="1" x14ac:dyDescent="0.25">
      <c r="A1646" s="244"/>
      <c r="B1646" s="244"/>
      <c r="C1646" s="244"/>
      <c r="D1646" s="244"/>
      <c r="E1646" s="244"/>
      <c r="F1646" s="244"/>
      <c r="G1646" s="244"/>
      <c r="I1646" s="244"/>
      <c r="J1646" s="244"/>
      <c r="K1646" s="246" t="e">
        <f t="shared" si="175"/>
        <v>#VALUE!</v>
      </c>
      <c r="L1646" s="246" t="e">
        <f t="shared" si="176"/>
        <v>#VALUE!</v>
      </c>
      <c r="M1646" s="247" t="e">
        <f t="shared" si="177"/>
        <v>#VALUE!</v>
      </c>
      <c r="N1646" s="246" t="e">
        <f t="shared" si="178"/>
        <v>#VALUE!</v>
      </c>
      <c r="O1646" s="247" t="e">
        <f t="shared" si="179"/>
        <v>#VALUE!</v>
      </c>
      <c r="P1646" s="247">
        <f t="shared" si="180"/>
        <v>0</v>
      </c>
      <c r="Q1646" s="247" t="e">
        <f t="shared" si="181"/>
        <v>#VALUE!</v>
      </c>
    </row>
    <row r="1647" spans="1:17" ht="15" customHeight="1" x14ac:dyDescent="0.25">
      <c r="A1647" s="244"/>
      <c r="B1647" s="244"/>
      <c r="C1647" s="244"/>
      <c r="D1647" s="244"/>
      <c r="E1647" s="244"/>
      <c r="F1647" s="244"/>
      <c r="G1647" s="244"/>
      <c r="I1647" s="244"/>
      <c r="J1647" s="244"/>
      <c r="K1647" s="246" t="e">
        <f t="shared" si="175"/>
        <v>#VALUE!</v>
      </c>
      <c r="L1647" s="246" t="e">
        <f t="shared" si="176"/>
        <v>#VALUE!</v>
      </c>
      <c r="M1647" s="247" t="e">
        <f t="shared" si="177"/>
        <v>#VALUE!</v>
      </c>
      <c r="N1647" s="246" t="e">
        <f t="shared" si="178"/>
        <v>#VALUE!</v>
      </c>
      <c r="O1647" s="247" t="e">
        <f t="shared" si="179"/>
        <v>#VALUE!</v>
      </c>
      <c r="P1647" s="247">
        <f t="shared" si="180"/>
        <v>0</v>
      </c>
      <c r="Q1647" s="247" t="e">
        <f t="shared" si="181"/>
        <v>#VALUE!</v>
      </c>
    </row>
    <row r="1648" spans="1:17" ht="15" customHeight="1" x14ac:dyDescent="0.25">
      <c r="A1648" s="244"/>
      <c r="B1648" s="244"/>
      <c r="C1648" s="244"/>
      <c r="D1648" s="244"/>
      <c r="E1648" s="244"/>
      <c r="F1648" s="244"/>
      <c r="G1648" s="244"/>
      <c r="I1648" s="244"/>
      <c r="J1648" s="244"/>
      <c r="K1648" s="246" t="e">
        <f t="shared" si="175"/>
        <v>#VALUE!</v>
      </c>
      <c r="L1648" s="246" t="e">
        <f t="shared" si="176"/>
        <v>#VALUE!</v>
      </c>
      <c r="M1648" s="247" t="e">
        <f t="shared" si="177"/>
        <v>#VALUE!</v>
      </c>
      <c r="N1648" s="246" t="e">
        <f t="shared" si="178"/>
        <v>#VALUE!</v>
      </c>
      <c r="O1648" s="247" t="e">
        <f t="shared" si="179"/>
        <v>#VALUE!</v>
      </c>
      <c r="P1648" s="247">
        <f t="shared" si="180"/>
        <v>0</v>
      </c>
      <c r="Q1648" s="247" t="e">
        <f t="shared" si="181"/>
        <v>#VALUE!</v>
      </c>
    </row>
    <row r="1649" spans="1:17" ht="15" customHeight="1" x14ac:dyDescent="0.25">
      <c r="A1649" s="244"/>
      <c r="B1649" s="244"/>
      <c r="C1649" s="244"/>
      <c r="D1649" s="244"/>
      <c r="E1649" s="244"/>
      <c r="F1649" s="244"/>
      <c r="G1649" s="244"/>
      <c r="I1649" s="244"/>
      <c r="J1649" s="244"/>
      <c r="K1649" s="246" t="e">
        <f t="shared" si="175"/>
        <v>#VALUE!</v>
      </c>
      <c r="L1649" s="246" t="e">
        <f t="shared" si="176"/>
        <v>#VALUE!</v>
      </c>
      <c r="M1649" s="247" t="e">
        <f t="shared" si="177"/>
        <v>#VALUE!</v>
      </c>
      <c r="N1649" s="246" t="e">
        <f t="shared" si="178"/>
        <v>#VALUE!</v>
      </c>
      <c r="O1649" s="247" t="e">
        <f t="shared" si="179"/>
        <v>#VALUE!</v>
      </c>
      <c r="P1649" s="247">
        <f t="shared" si="180"/>
        <v>0</v>
      </c>
      <c r="Q1649" s="247" t="e">
        <f t="shared" si="181"/>
        <v>#VALUE!</v>
      </c>
    </row>
    <row r="1650" spans="1:17" ht="15" customHeight="1" x14ac:dyDescent="0.25">
      <c r="A1650" s="244"/>
      <c r="B1650" s="244"/>
      <c r="C1650" s="244"/>
      <c r="D1650" s="244"/>
      <c r="E1650" s="244"/>
      <c r="F1650" s="244"/>
      <c r="G1650" s="244"/>
      <c r="I1650" s="244"/>
      <c r="J1650" s="244"/>
      <c r="K1650" s="246" t="e">
        <f t="shared" si="175"/>
        <v>#VALUE!</v>
      </c>
      <c r="L1650" s="246" t="e">
        <f t="shared" si="176"/>
        <v>#VALUE!</v>
      </c>
      <c r="M1650" s="247" t="e">
        <f t="shared" si="177"/>
        <v>#VALUE!</v>
      </c>
      <c r="N1650" s="246" t="e">
        <f t="shared" si="178"/>
        <v>#VALUE!</v>
      </c>
      <c r="O1650" s="247" t="e">
        <f t="shared" si="179"/>
        <v>#VALUE!</v>
      </c>
      <c r="P1650" s="247">
        <f t="shared" si="180"/>
        <v>0</v>
      </c>
      <c r="Q1650" s="247" t="e">
        <f t="shared" si="181"/>
        <v>#VALUE!</v>
      </c>
    </row>
    <row r="1651" spans="1:17" ht="15" customHeight="1" x14ac:dyDescent="0.25">
      <c r="A1651" s="244"/>
      <c r="B1651" s="244"/>
      <c r="C1651" s="244"/>
      <c r="D1651" s="244"/>
      <c r="E1651" s="244"/>
      <c r="F1651" s="244"/>
      <c r="G1651" s="244"/>
      <c r="I1651" s="244"/>
      <c r="J1651" s="244"/>
      <c r="K1651" s="246" t="e">
        <f t="shared" si="175"/>
        <v>#VALUE!</v>
      </c>
      <c r="L1651" s="246" t="e">
        <f t="shared" si="176"/>
        <v>#VALUE!</v>
      </c>
      <c r="M1651" s="247" t="e">
        <f t="shared" si="177"/>
        <v>#VALUE!</v>
      </c>
      <c r="N1651" s="246" t="e">
        <f t="shared" si="178"/>
        <v>#VALUE!</v>
      </c>
      <c r="O1651" s="247" t="e">
        <f t="shared" si="179"/>
        <v>#VALUE!</v>
      </c>
      <c r="P1651" s="247">
        <f t="shared" si="180"/>
        <v>0</v>
      </c>
      <c r="Q1651" s="247" t="e">
        <f t="shared" si="181"/>
        <v>#VALUE!</v>
      </c>
    </row>
    <row r="1652" spans="1:17" ht="15" customHeight="1" x14ac:dyDescent="0.25">
      <c r="A1652" s="244"/>
      <c r="B1652" s="244"/>
      <c r="C1652" s="244"/>
      <c r="D1652" s="244"/>
      <c r="E1652" s="244"/>
      <c r="F1652" s="244"/>
      <c r="G1652" s="244"/>
      <c r="I1652" s="244"/>
      <c r="J1652" s="244"/>
      <c r="K1652" s="246" t="e">
        <f t="shared" si="175"/>
        <v>#VALUE!</v>
      </c>
      <c r="L1652" s="246" t="e">
        <f t="shared" si="176"/>
        <v>#VALUE!</v>
      </c>
      <c r="M1652" s="247" t="e">
        <f t="shared" si="177"/>
        <v>#VALUE!</v>
      </c>
      <c r="N1652" s="246" t="e">
        <f t="shared" si="178"/>
        <v>#VALUE!</v>
      </c>
      <c r="O1652" s="247" t="e">
        <f t="shared" si="179"/>
        <v>#VALUE!</v>
      </c>
      <c r="P1652" s="247">
        <f t="shared" si="180"/>
        <v>0</v>
      </c>
      <c r="Q1652" s="247" t="e">
        <f t="shared" si="181"/>
        <v>#VALUE!</v>
      </c>
    </row>
    <row r="1653" spans="1:17" ht="15" customHeight="1" x14ac:dyDescent="0.25">
      <c r="A1653" s="244"/>
      <c r="B1653" s="244"/>
      <c r="C1653" s="244"/>
      <c r="D1653" s="244"/>
      <c r="E1653" s="244"/>
      <c r="F1653" s="244"/>
      <c r="G1653" s="244"/>
      <c r="I1653" s="244"/>
      <c r="J1653" s="244"/>
      <c r="K1653" s="246" t="e">
        <f t="shared" si="175"/>
        <v>#VALUE!</v>
      </c>
      <c r="L1653" s="246" t="e">
        <f t="shared" si="176"/>
        <v>#VALUE!</v>
      </c>
      <c r="M1653" s="247" t="e">
        <f t="shared" si="177"/>
        <v>#VALUE!</v>
      </c>
      <c r="N1653" s="246" t="e">
        <f t="shared" si="178"/>
        <v>#VALUE!</v>
      </c>
      <c r="O1653" s="247" t="e">
        <f t="shared" si="179"/>
        <v>#VALUE!</v>
      </c>
      <c r="P1653" s="247">
        <f t="shared" si="180"/>
        <v>0</v>
      </c>
      <c r="Q1653" s="247" t="e">
        <f t="shared" si="181"/>
        <v>#VALUE!</v>
      </c>
    </row>
    <row r="1654" spans="1:17" ht="15" customHeight="1" x14ac:dyDescent="0.25">
      <c r="A1654" s="244"/>
      <c r="B1654" s="244"/>
      <c r="C1654" s="244"/>
      <c r="D1654" s="244"/>
      <c r="E1654" s="244"/>
      <c r="F1654" s="244"/>
      <c r="G1654" s="244"/>
      <c r="I1654" s="244"/>
      <c r="J1654" s="244"/>
      <c r="K1654" s="246" t="e">
        <f t="shared" si="175"/>
        <v>#VALUE!</v>
      </c>
      <c r="L1654" s="246" t="e">
        <f t="shared" si="176"/>
        <v>#VALUE!</v>
      </c>
      <c r="M1654" s="247" t="e">
        <f t="shared" si="177"/>
        <v>#VALUE!</v>
      </c>
      <c r="N1654" s="246" t="e">
        <f t="shared" si="178"/>
        <v>#VALUE!</v>
      </c>
      <c r="O1654" s="247" t="e">
        <f t="shared" si="179"/>
        <v>#VALUE!</v>
      </c>
      <c r="P1654" s="247">
        <f t="shared" si="180"/>
        <v>0</v>
      </c>
      <c r="Q1654" s="247" t="e">
        <f t="shared" si="181"/>
        <v>#VALUE!</v>
      </c>
    </row>
    <row r="1655" spans="1:17" ht="15" customHeight="1" x14ac:dyDescent="0.25">
      <c r="A1655" s="244"/>
      <c r="B1655" s="244"/>
      <c r="C1655" s="244"/>
      <c r="D1655" s="244"/>
      <c r="E1655" s="244"/>
      <c r="F1655" s="244"/>
      <c r="G1655" s="244"/>
      <c r="I1655" s="244"/>
      <c r="J1655" s="244"/>
      <c r="K1655" s="246" t="e">
        <f t="shared" si="175"/>
        <v>#VALUE!</v>
      </c>
      <c r="L1655" s="246" t="e">
        <f t="shared" si="176"/>
        <v>#VALUE!</v>
      </c>
      <c r="M1655" s="247" t="e">
        <f t="shared" si="177"/>
        <v>#VALUE!</v>
      </c>
      <c r="N1655" s="246" t="e">
        <f t="shared" si="178"/>
        <v>#VALUE!</v>
      </c>
      <c r="O1655" s="247" t="e">
        <f t="shared" si="179"/>
        <v>#VALUE!</v>
      </c>
      <c r="P1655" s="247">
        <f t="shared" si="180"/>
        <v>0</v>
      </c>
      <c r="Q1655" s="247" t="e">
        <f t="shared" si="181"/>
        <v>#VALUE!</v>
      </c>
    </row>
    <row r="1656" spans="1:17" ht="15" customHeight="1" x14ac:dyDescent="0.25">
      <c r="A1656" s="244"/>
      <c r="B1656" s="244"/>
      <c r="C1656" s="244"/>
      <c r="D1656" s="244"/>
      <c r="E1656" s="244"/>
      <c r="F1656" s="244"/>
      <c r="G1656" s="244"/>
      <c r="I1656" s="244"/>
      <c r="J1656" s="244"/>
      <c r="K1656" s="246" t="e">
        <f t="shared" si="175"/>
        <v>#VALUE!</v>
      </c>
      <c r="L1656" s="246" t="e">
        <f t="shared" si="176"/>
        <v>#VALUE!</v>
      </c>
      <c r="M1656" s="247" t="e">
        <f t="shared" si="177"/>
        <v>#VALUE!</v>
      </c>
      <c r="N1656" s="246" t="e">
        <f t="shared" si="178"/>
        <v>#VALUE!</v>
      </c>
      <c r="O1656" s="247" t="e">
        <f t="shared" si="179"/>
        <v>#VALUE!</v>
      </c>
      <c r="P1656" s="247">
        <f t="shared" si="180"/>
        <v>0</v>
      </c>
      <c r="Q1656" s="247" t="e">
        <f t="shared" si="181"/>
        <v>#VALUE!</v>
      </c>
    </row>
    <row r="1657" spans="1:17" ht="15" customHeight="1" x14ac:dyDescent="0.25">
      <c r="A1657" s="244"/>
      <c r="B1657" s="244"/>
      <c r="C1657" s="244"/>
      <c r="D1657" s="244"/>
      <c r="E1657" s="244"/>
      <c r="F1657" s="244"/>
      <c r="G1657" s="244"/>
      <c r="I1657" s="244"/>
      <c r="J1657" s="244"/>
      <c r="K1657" s="246" t="e">
        <f t="shared" si="175"/>
        <v>#VALUE!</v>
      </c>
      <c r="L1657" s="246" t="e">
        <f t="shared" si="176"/>
        <v>#VALUE!</v>
      </c>
      <c r="M1657" s="247" t="e">
        <f t="shared" si="177"/>
        <v>#VALUE!</v>
      </c>
      <c r="N1657" s="246" t="e">
        <f t="shared" si="178"/>
        <v>#VALUE!</v>
      </c>
      <c r="O1657" s="247" t="e">
        <f t="shared" si="179"/>
        <v>#VALUE!</v>
      </c>
      <c r="P1657" s="247">
        <f t="shared" si="180"/>
        <v>0</v>
      </c>
      <c r="Q1657" s="247" t="e">
        <f t="shared" si="181"/>
        <v>#VALUE!</v>
      </c>
    </row>
    <row r="1658" spans="1:17" ht="15" customHeight="1" x14ac:dyDescent="0.25">
      <c r="A1658" s="244"/>
      <c r="B1658" s="244"/>
      <c r="C1658" s="244"/>
      <c r="D1658" s="244"/>
      <c r="E1658" s="244"/>
      <c r="F1658" s="244"/>
      <c r="G1658" s="244"/>
      <c r="I1658" s="244"/>
      <c r="J1658" s="244"/>
      <c r="K1658" s="246" t="e">
        <f t="shared" si="175"/>
        <v>#VALUE!</v>
      </c>
      <c r="L1658" s="246" t="e">
        <f t="shared" si="176"/>
        <v>#VALUE!</v>
      </c>
      <c r="M1658" s="247" t="e">
        <f t="shared" si="177"/>
        <v>#VALUE!</v>
      </c>
      <c r="N1658" s="246" t="e">
        <f t="shared" si="178"/>
        <v>#VALUE!</v>
      </c>
      <c r="O1658" s="247" t="e">
        <f t="shared" si="179"/>
        <v>#VALUE!</v>
      </c>
      <c r="P1658" s="247">
        <f t="shared" si="180"/>
        <v>0</v>
      </c>
      <c r="Q1658" s="247" t="e">
        <f t="shared" si="181"/>
        <v>#VALUE!</v>
      </c>
    </row>
    <row r="1659" spans="1:17" ht="15" customHeight="1" x14ac:dyDescent="0.25">
      <c r="A1659" s="244"/>
      <c r="B1659" s="244"/>
      <c r="C1659" s="244"/>
      <c r="D1659" s="244"/>
      <c r="E1659" s="244"/>
      <c r="F1659" s="244"/>
      <c r="G1659" s="244"/>
      <c r="I1659" s="244"/>
      <c r="J1659" s="244"/>
      <c r="K1659" s="246" t="e">
        <f t="shared" si="175"/>
        <v>#VALUE!</v>
      </c>
      <c r="L1659" s="246" t="e">
        <f t="shared" si="176"/>
        <v>#VALUE!</v>
      </c>
      <c r="M1659" s="247" t="e">
        <f t="shared" si="177"/>
        <v>#VALUE!</v>
      </c>
      <c r="N1659" s="246" t="e">
        <f t="shared" si="178"/>
        <v>#VALUE!</v>
      </c>
      <c r="O1659" s="247" t="e">
        <f t="shared" si="179"/>
        <v>#VALUE!</v>
      </c>
      <c r="P1659" s="247">
        <f t="shared" si="180"/>
        <v>0</v>
      </c>
      <c r="Q1659" s="247" t="e">
        <f t="shared" si="181"/>
        <v>#VALUE!</v>
      </c>
    </row>
    <row r="1660" spans="1:17" ht="15" customHeight="1" x14ac:dyDescent="0.25">
      <c r="A1660" s="244"/>
      <c r="B1660" s="244"/>
      <c r="C1660" s="244"/>
      <c r="D1660" s="244"/>
      <c r="E1660" s="244"/>
      <c r="F1660" s="244"/>
      <c r="G1660" s="244"/>
      <c r="I1660" s="244"/>
      <c r="J1660" s="244"/>
      <c r="K1660" s="246" t="e">
        <f t="shared" si="175"/>
        <v>#VALUE!</v>
      </c>
      <c r="L1660" s="246" t="e">
        <f t="shared" si="176"/>
        <v>#VALUE!</v>
      </c>
      <c r="M1660" s="247" t="e">
        <f t="shared" si="177"/>
        <v>#VALUE!</v>
      </c>
      <c r="N1660" s="246" t="e">
        <f t="shared" si="178"/>
        <v>#VALUE!</v>
      </c>
      <c r="O1660" s="247" t="e">
        <f t="shared" si="179"/>
        <v>#VALUE!</v>
      </c>
      <c r="P1660" s="247">
        <f t="shared" si="180"/>
        <v>0</v>
      </c>
      <c r="Q1660" s="247" t="e">
        <f t="shared" si="181"/>
        <v>#VALUE!</v>
      </c>
    </row>
    <row r="1661" spans="1:17" ht="15" customHeight="1" x14ac:dyDescent="0.25">
      <c r="A1661" s="244"/>
      <c r="B1661" s="244"/>
      <c r="C1661" s="244"/>
      <c r="D1661" s="244"/>
      <c r="E1661" s="244"/>
      <c r="F1661" s="244"/>
      <c r="G1661" s="244"/>
      <c r="I1661" s="244"/>
      <c r="J1661" s="244"/>
      <c r="K1661" s="246" t="e">
        <f t="shared" si="175"/>
        <v>#VALUE!</v>
      </c>
      <c r="L1661" s="246" t="e">
        <f t="shared" si="176"/>
        <v>#VALUE!</v>
      </c>
      <c r="M1661" s="247" t="e">
        <f t="shared" si="177"/>
        <v>#VALUE!</v>
      </c>
      <c r="N1661" s="246" t="e">
        <f t="shared" si="178"/>
        <v>#VALUE!</v>
      </c>
      <c r="O1661" s="247" t="e">
        <f t="shared" si="179"/>
        <v>#VALUE!</v>
      </c>
      <c r="P1661" s="247">
        <f t="shared" si="180"/>
        <v>0</v>
      </c>
      <c r="Q1661" s="247" t="e">
        <f t="shared" si="181"/>
        <v>#VALUE!</v>
      </c>
    </row>
    <row r="1662" spans="1:17" ht="15" customHeight="1" x14ac:dyDescent="0.25">
      <c r="A1662" s="244"/>
      <c r="B1662" s="244"/>
      <c r="C1662" s="244"/>
      <c r="D1662" s="244"/>
      <c r="E1662" s="244"/>
      <c r="F1662" s="244"/>
      <c r="G1662" s="244"/>
      <c r="I1662" s="244"/>
      <c r="J1662" s="244"/>
      <c r="K1662" s="246" t="e">
        <f t="shared" si="175"/>
        <v>#VALUE!</v>
      </c>
      <c r="L1662" s="246" t="e">
        <f t="shared" si="176"/>
        <v>#VALUE!</v>
      </c>
      <c r="M1662" s="247" t="e">
        <f t="shared" si="177"/>
        <v>#VALUE!</v>
      </c>
      <c r="N1662" s="246" t="e">
        <f t="shared" si="178"/>
        <v>#VALUE!</v>
      </c>
      <c r="O1662" s="247" t="e">
        <f t="shared" si="179"/>
        <v>#VALUE!</v>
      </c>
      <c r="P1662" s="247">
        <f t="shared" si="180"/>
        <v>0</v>
      </c>
      <c r="Q1662" s="247" t="e">
        <f t="shared" si="181"/>
        <v>#VALUE!</v>
      </c>
    </row>
    <row r="1663" spans="1:17" ht="15" customHeight="1" x14ac:dyDescent="0.25">
      <c r="A1663" s="244"/>
      <c r="B1663" s="244"/>
      <c r="C1663" s="244"/>
      <c r="D1663" s="244"/>
      <c r="E1663" s="244"/>
      <c r="F1663" s="244"/>
      <c r="G1663" s="244"/>
      <c r="I1663" s="244"/>
      <c r="J1663" s="244"/>
      <c r="K1663" s="246" t="e">
        <f t="shared" si="175"/>
        <v>#VALUE!</v>
      </c>
      <c r="L1663" s="246" t="e">
        <f t="shared" si="176"/>
        <v>#VALUE!</v>
      </c>
      <c r="M1663" s="247" t="e">
        <f t="shared" si="177"/>
        <v>#VALUE!</v>
      </c>
      <c r="N1663" s="246" t="e">
        <f t="shared" si="178"/>
        <v>#VALUE!</v>
      </c>
      <c r="O1663" s="247" t="e">
        <f t="shared" si="179"/>
        <v>#VALUE!</v>
      </c>
      <c r="P1663" s="247">
        <f t="shared" si="180"/>
        <v>0</v>
      </c>
      <c r="Q1663" s="247" t="e">
        <f t="shared" si="181"/>
        <v>#VALUE!</v>
      </c>
    </row>
    <row r="1664" spans="1:17" ht="15" customHeight="1" x14ac:dyDescent="0.25">
      <c r="A1664" s="244"/>
      <c r="B1664" s="244"/>
      <c r="C1664" s="244"/>
      <c r="D1664" s="244"/>
      <c r="E1664" s="244"/>
      <c r="F1664" s="244"/>
      <c r="G1664" s="244"/>
      <c r="I1664" s="244"/>
      <c r="J1664" s="244"/>
      <c r="K1664" s="246" t="e">
        <f t="shared" si="175"/>
        <v>#VALUE!</v>
      </c>
      <c r="L1664" s="246" t="e">
        <f t="shared" si="176"/>
        <v>#VALUE!</v>
      </c>
      <c r="M1664" s="247" t="e">
        <f t="shared" si="177"/>
        <v>#VALUE!</v>
      </c>
      <c r="N1664" s="246" t="e">
        <f t="shared" si="178"/>
        <v>#VALUE!</v>
      </c>
      <c r="O1664" s="247" t="e">
        <f t="shared" si="179"/>
        <v>#VALUE!</v>
      </c>
      <c r="P1664" s="247">
        <f t="shared" si="180"/>
        <v>0</v>
      </c>
      <c r="Q1664" s="247" t="e">
        <f t="shared" si="181"/>
        <v>#VALUE!</v>
      </c>
    </row>
    <row r="1665" spans="1:17" ht="15" customHeight="1" x14ac:dyDescent="0.25">
      <c r="A1665" s="244"/>
      <c r="B1665" s="244"/>
      <c r="C1665" s="244"/>
      <c r="D1665" s="244"/>
      <c r="E1665" s="244"/>
      <c r="F1665" s="244"/>
      <c r="G1665" s="244"/>
      <c r="I1665" s="244"/>
      <c r="J1665" s="244"/>
      <c r="K1665" s="246" t="e">
        <f t="shared" si="175"/>
        <v>#VALUE!</v>
      </c>
      <c r="L1665" s="246" t="e">
        <f t="shared" si="176"/>
        <v>#VALUE!</v>
      </c>
      <c r="M1665" s="247" t="e">
        <f t="shared" si="177"/>
        <v>#VALUE!</v>
      </c>
      <c r="N1665" s="246" t="e">
        <f t="shared" si="178"/>
        <v>#VALUE!</v>
      </c>
      <c r="O1665" s="247" t="e">
        <f t="shared" si="179"/>
        <v>#VALUE!</v>
      </c>
      <c r="P1665" s="247">
        <f t="shared" si="180"/>
        <v>0</v>
      </c>
      <c r="Q1665" s="247" t="e">
        <f t="shared" si="181"/>
        <v>#VALUE!</v>
      </c>
    </row>
    <row r="1666" spans="1:17" ht="15" customHeight="1" x14ac:dyDescent="0.25">
      <c r="A1666" s="244"/>
      <c r="B1666" s="244"/>
      <c r="C1666" s="244"/>
      <c r="D1666" s="244"/>
      <c r="E1666" s="244"/>
      <c r="F1666" s="244"/>
      <c r="G1666" s="244"/>
      <c r="I1666" s="244"/>
      <c r="J1666" s="244"/>
      <c r="K1666" s="246" t="e">
        <f t="shared" ref="K1666:K1729" si="182">DATE(VALUE(LEFT(A1666,4)),VALUE(MID(A1666,5,2)),VALUE(RIGHT(A1666,2)))</f>
        <v>#VALUE!</v>
      </c>
      <c r="L1666" s="246" t="e">
        <f t="shared" ref="L1666:L1729" si="183">DATEVALUE(LEFT(F1666,10))</f>
        <v>#VALUE!</v>
      </c>
      <c r="M1666" s="247" t="e">
        <f t="shared" ref="M1666:M1729" si="184">TIMEVALUE(MID(F1666,12,8))</f>
        <v>#VALUE!</v>
      </c>
      <c r="N1666" s="246" t="e">
        <f t="shared" ref="N1666:N1729" si="185">DATEVALUE(LEFT(G1666,10))</f>
        <v>#VALUE!</v>
      </c>
      <c r="O1666" s="247" t="e">
        <f t="shared" ref="O1666:O1729" si="186">TIMEVALUE(MID(G1666,12,8))</f>
        <v>#VALUE!</v>
      </c>
      <c r="P1666" s="247">
        <f t="shared" ref="P1666:P1729" si="187">IFERROR(_xlfn.MINIFS($M:$M,$E:$E,$E1666,$K:$K,$K1666,$M:$M,"&gt;"&amp;$O1666),"")</f>
        <v>0</v>
      </c>
      <c r="Q1666" s="247" t="e">
        <f t="shared" ref="Q1666:Q1729" si="188">IF($P1666="","",$P1666-$O1666)</f>
        <v>#VALUE!</v>
      </c>
    </row>
    <row r="1667" spans="1:17" ht="15" customHeight="1" x14ac:dyDescent="0.25">
      <c r="A1667" s="244"/>
      <c r="B1667" s="244"/>
      <c r="C1667" s="244"/>
      <c r="D1667" s="244"/>
      <c r="E1667" s="244"/>
      <c r="F1667" s="244"/>
      <c r="G1667" s="244"/>
      <c r="I1667" s="244"/>
      <c r="J1667" s="244"/>
      <c r="K1667" s="246" t="e">
        <f t="shared" si="182"/>
        <v>#VALUE!</v>
      </c>
      <c r="L1667" s="246" t="e">
        <f t="shared" si="183"/>
        <v>#VALUE!</v>
      </c>
      <c r="M1667" s="247" t="e">
        <f t="shared" si="184"/>
        <v>#VALUE!</v>
      </c>
      <c r="N1667" s="246" t="e">
        <f t="shared" si="185"/>
        <v>#VALUE!</v>
      </c>
      <c r="O1667" s="247" t="e">
        <f t="shared" si="186"/>
        <v>#VALUE!</v>
      </c>
      <c r="P1667" s="247">
        <f t="shared" si="187"/>
        <v>0</v>
      </c>
      <c r="Q1667" s="247" t="e">
        <f t="shared" si="188"/>
        <v>#VALUE!</v>
      </c>
    </row>
    <row r="1668" spans="1:17" ht="15" customHeight="1" x14ac:dyDescent="0.25">
      <c r="A1668" s="244"/>
      <c r="B1668" s="244"/>
      <c r="C1668" s="244"/>
      <c r="D1668" s="244"/>
      <c r="E1668" s="244"/>
      <c r="F1668" s="244"/>
      <c r="G1668" s="244"/>
      <c r="I1668" s="244"/>
      <c r="J1668" s="244"/>
      <c r="K1668" s="246" t="e">
        <f t="shared" si="182"/>
        <v>#VALUE!</v>
      </c>
      <c r="L1668" s="246" t="e">
        <f t="shared" si="183"/>
        <v>#VALUE!</v>
      </c>
      <c r="M1668" s="247" t="e">
        <f t="shared" si="184"/>
        <v>#VALUE!</v>
      </c>
      <c r="N1668" s="246" t="e">
        <f t="shared" si="185"/>
        <v>#VALUE!</v>
      </c>
      <c r="O1668" s="247" t="e">
        <f t="shared" si="186"/>
        <v>#VALUE!</v>
      </c>
      <c r="P1668" s="247">
        <f t="shared" si="187"/>
        <v>0</v>
      </c>
      <c r="Q1668" s="247" t="e">
        <f t="shared" si="188"/>
        <v>#VALUE!</v>
      </c>
    </row>
    <row r="1669" spans="1:17" ht="15" customHeight="1" x14ac:dyDescent="0.25">
      <c r="A1669" s="244"/>
      <c r="B1669" s="244"/>
      <c r="C1669" s="244"/>
      <c r="D1669" s="244"/>
      <c r="E1669" s="244"/>
      <c r="F1669" s="244"/>
      <c r="G1669" s="244"/>
      <c r="I1669" s="244"/>
      <c r="J1669" s="244"/>
      <c r="K1669" s="246" t="e">
        <f t="shared" si="182"/>
        <v>#VALUE!</v>
      </c>
      <c r="L1669" s="246" t="e">
        <f t="shared" si="183"/>
        <v>#VALUE!</v>
      </c>
      <c r="M1669" s="247" t="e">
        <f t="shared" si="184"/>
        <v>#VALUE!</v>
      </c>
      <c r="N1669" s="246" t="e">
        <f t="shared" si="185"/>
        <v>#VALUE!</v>
      </c>
      <c r="O1669" s="247" t="e">
        <f t="shared" si="186"/>
        <v>#VALUE!</v>
      </c>
      <c r="P1669" s="247">
        <f t="shared" si="187"/>
        <v>0</v>
      </c>
      <c r="Q1669" s="247" t="e">
        <f t="shared" si="188"/>
        <v>#VALUE!</v>
      </c>
    </row>
    <row r="1670" spans="1:17" ht="15" customHeight="1" x14ac:dyDescent="0.25">
      <c r="A1670" s="244"/>
      <c r="B1670" s="244"/>
      <c r="C1670" s="244"/>
      <c r="D1670" s="244"/>
      <c r="E1670" s="244"/>
      <c r="F1670" s="244"/>
      <c r="G1670" s="244"/>
      <c r="I1670" s="244"/>
      <c r="J1670" s="244"/>
      <c r="K1670" s="246" t="e">
        <f t="shared" si="182"/>
        <v>#VALUE!</v>
      </c>
      <c r="L1670" s="246" t="e">
        <f t="shared" si="183"/>
        <v>#VALUE!</v>
      </c>
      <c r="M1670" s="247" t="e">
        <f t="shared" si="184"/>
        <v>#VALUE!</v>
      </c>
      <c r="N1670" s="246" t="e">
        <f t="shared" si="185"/>
        <v>#VALUE!</v>
      </c>
      <c r="O1670" s="247" t="e">
        <f t="shared" si="186"/>
        <v>#VALUE!</v>
      </c>
      <c r="P1670" s="247">
        <f t="shared" si="187"/>
        <v>0</v>
      </c>
      <c r="Q1670" s="247" t="e">
        <f t="shared" si="188"/>
        <v>#VALUE!</v>
      </c>
    </row>
    <row r="1671" spans="1:17" ht="15" customHeight="1" x14ac:dyDescent="0.25">
      <c r="A1671" s="244"/>
      <c r="B1671" s="244"/>
      <c r="C1671" s="244"/>
      <c r="D1671" s="244"/>
      <c r="E1671" s="244"/>
      <c r="F1671" s="244"/>
      <c r="G1671" s="244"/>
      <c r="I1671" s="244"/>
      <c r="J1671" s="244"/>
      <c r="K1671" s="246" t="e">
        <f t="shared" si="182"/>
        <v>#VALUE!</v>
      </c>
      <c r="L1671" s="246" t="e">
        <f t="shared" si="183"/>
        <v>#VALUE!</v>
      </c>
      <c r="M1671" s="247" t="e">
        <f t="shared" si="184"/>
        <v>#VALUE!</v>
      </c>
      <c r="N1671" s="246" t="e">
        <f t="shared" si="185"/>
        <v>#VALUE!</v>
      </c>
      <c r="O1671" s="247" t="e">
        <f t="shared" si="186"/>
        <v>#VALUE!</v>
      </c>
      <c r="P1671" s="247">
        <f t="shared" si="187"/>
        <v>0</v>
      </c>
      <c r="Q1671" s="247" t="e">
        <f t="shared" si="188"/>
        <v>#VALUE!</v>
      </c>
    </row>
    <row r="1672" spans="1:17" ht="15" customHeight="1" x14ac:dyDescent="0.25">
      <c r="A1672" s="244"/>
      <c r="B1672" s="244"/>
      <c r="C1672" s="244"/>
      <c r="D1672" s="244"/>
      <c r="E1672" s="244"/>
      <c r="F1672" s="244"/>
      <c r="G1672" s="244"/>
      <c r="I1672" s="244"/>
      <c r="J1672" s="244"/>
      <c r="K1672" s="246" t="e">
        <f t="shared" si="182"/>
        <v>#VALUE!</v>
      </c>
      <c r="L1672" s="246" t="e">
        <f t="shared" si="183"/>
        <v>#VALUE!</v>
      </c>
      <c r="M1672" s="247" t="e">
        <f t="shared" si="184"/>
        <v>#VALUE!</v>
      </c>
      <c r="N1672" s="246" t="e">
        <f t="shared" si="185"/>
        <v>#VALUE!</v>
      </c>
      <c r="O1672" s="247" t="e">
        <f t="shared" si="186"/>
        <v>#VALUE!</v>
      </c>
      <c r="P1672" s="247">
        <f t="shared" si="187"/>
        <v>0</v>
      </c>
      <c r="Q1672" s="247" t="e">
        <f t="shared" si="188"/>
        <v>#VALUE!</v>
      </c>
    </row>
    <row r="1673" spans="1:17" ht="15" customHeight="1" x14ac:dyDescent="0.25">
      <c r="A1673" s="244"/>
      <c r="B1673" s="244"/>
      <c r="C1673" s="244"/>
      <c r="D1673" s="244"/>
      <c r="E1673" s="244"/>
      <c r="F1673" s="244"/>
      <c r="G1673" s="244"/>
      <c r="I1673" s="244"/>
      <c r="J1673" s="244"/>
      <c r="K1673" s="246" t="e">
        <f t="shared" si="182"/>
        <v>#VALUE!</v>
      </c>
      <c r="L1673" s="246" t="e">
        <f t="shared" si="183"/>
        <v>#VALUE!</v>
      </c>
      <c r="M1673" s="247" t="e">
        <f t="shared" si="184"/>
        <v>#VALUE!</v>
      </c>
      <c r="N1673" s="246" t="e">
        <f t="shared" si="185"/>
        <v>#VALUE!</v>
      </c>
      <c r="O1673" s="247" t="e">
        <f t="shared" si="186"/>
        <v>#VALUE!</v>
      </c>
      <c r="P1673" s="247">
        <f t="shared" si="187"/>
        <v>0</v>
      </c>
      <c r="Q1673" s="247" t="e">
        <f t="shared" si="188"/>
        <v>#VALUE!</v>
      </c>
    </row>
    <row r="1674" spans="1:17" ht="15" customHeight="1" x14ac:dyDescent="0.25">
      <c r="A1674" s="244"/>
      <c r="B1674" s="244"/>
      <c r="C1674" s="244"/>
      <c r="D1674" s="244"/>
      <c r="E1674" s="244"/>
      <c r="F1674" s="244"/>
      <c r="G1674" s="244"/>
      <c r="I1674" s="244"/>
      <c r="J1674" s="244"/>
      <c r="K1674" s="246" t="e">
        <f t="shared" si="182"/>
        <v>#VALUE!</v>
      </c>
      <c r="L1674" s="246" t="e">
        <f t="shared" si="183"/>
        <v>#VALUE!</v>
      </c>
      <c r="M1674" s="247" t="e">
        <f t="shared" si="184"/>
        <v>#VALUE!</v>
      </c>
      <c r="N1674" s="246" t="e">
        <f t="shared" si="185"/>
        <v>#VALUE!</v>
      </c>
      <c r="O1674" s="247" t="e">
        <f t="shared" si="186"/>
        <v>#VALUE!</v>
      </c>
      <c r="P1674" s="247">
        <f t="shared" si="187"/>
        <v>0</v>
      </c>
      <c r="Q1674" s="247" t="e">
        <f t="shared" si="188"/>
        <v>#VALUE!</v>
      </c>
    </row>
    <row r="1675" spans="1:17" ht="15" customHeight="1" x14ac:dyDescent="0.25">
      <c r="A1675" s="244"/>
      <c r="B1675" s="244"/>
      <c r="C1675" s="244"/>
      <c r="D1675" s="244"/>
      <c r="E1675" s="244"/>
      <c r="F1675" s="244"/>
      <c r="G1675" s="244"/>
      <c r="I1675" s="244"/>
      <c r="J1675" s="244"/>
      <c r="K1675" s="246" t="e">
        <f t="shared" si="182"/>
        <v>#VALUE!</v>
      </c>
      <c r="L1675" s="246" t="e">
        <f t="shared" si="183"/>
        <v>#VALUE!</v>
      </c>
      <c r="M1675" s="247" t="e">
        <f t="shared" si="184"/>
        <v>#VALUE!</v>
      </c>
      <c r="N1675" s="246" t="e">
        <f t="shared" si="185"/>
        <v>#VALUE!</v>
      </c>
      <c r="O1675" s="247" t="e">
        <f t="shared" si="186"/>
        <v>#VALUE!</v>
      </c>
      <c r="P1675" s="247">
        <f t="shared" si="187"/>
        <v>0</v>
      </c>
      <c r="Q1675" s="247" t="e">
        <f t="shared" si="188"/>
        <v>#VALUE!</v>
      </c>
    </row>
    <row r="1676" spans="1:17" ht="15" customHeight="1" x14ac:dyDescent="0.25">
      <c r="A1676" s="244"/>
      <c r="B1676" s="244"/>
      <c r="C1676" s="244"/>
      <c r="D1676" s="244"/>
      <c r="E1676" s="244"/>
      <c r="F1676" s="244"/>
      <c r="G1676" s="244"/>
      <c r="I1676" s="244"/>
      <c r="J1676" s="244"/>
      <c r="K1676" s="246" t="e">
        <f t="shared" si="182"/>
        <v>#VALUE!</v>
      </c>
      <c r="L1676" s="246" t="e">
        <f t="shared" si="183"/>
        <v>#VALUE!</v>
      </c>
      <c r="M1676" s="247" t="e">
        <f t="shared" si="184"/>
        <v>#VALUE!</v>
      </c>
      <c r="N1676" s="246" t="e">
        <f t="shared" si="185"/>
        <v>#VALUE!</v>
      </c>
      <c r="O1676" s="247" t="e">
        <f t="shared" si="186"/>
        <v>#VALUE!</v>
      </c>
      <c r="P1676" s="247">
        <f t="shared" si="187"/>
        <v>0</v>
      </c>
      <c r="Q1676" s="247" t="e">
        <f t="shared" si="188"/>
        <v>#VALUE!</v>
      </c>
    </row>
    <row r="1677" spans="1:17" ht="15" customHeight="1" x14ac:dyDescent="0.25">
      <c r="A1677" s="244"/>
      <c r="B1677" s="244"/>
      <c r="C1677" s="244"/>
      <c r="D1677" s="244"/>
      <c r="E1677" s="244"/>
      <c r="F1677" s="244"/>
      <c r="G1677" s="244"/>
      <c r="I1677" s="244"/>
      <c r="J1677" s="244"/>
      <c r="K1677" s="246" t="e">
        <f t="shared" si="182"/>
        <v>#VALUE!</v>
      </c>
      <c r="L1677" s="246" t="e">
        <f t="shared" si="183"/>
        <v>#VALUE!</v>
      </c>
      <c r="M1677" s="247" t="e">
        <f t="shared" si="184"/>
        <v>#VALUE!</v>
      </c>
      <c r="N1677" s="246" t="e">
        <f t="shared" si="185"/>
        <v>#VALUE!</v>
      </c>
      <c r="O1677" s="247" t="e">
        <f t="shared" si="186"/>
        <v>#VALUE!</v>
      </c>
      <c r="P1677" s="247">
        <f t="shared" si="187"/>
        <v>0</v>
      </c>
      <c r="Q1677" s="247" t="e">
        <f t="shared" si="188"/>
        <v>#VALUE!</v>
      </c>
    </row>
    <row r="1678" spans="1:17" ht="15" customHeight="1" x14ac:dyDescent="0.25">
      <c r="A1678" s="244"/>
      <c r="B1678" s="244"/>
      <c r="C1678" s="244"/>
      <c r="D1678" s="244"/>
      <c r="E1678" s="244"/>
      <c r="F1678" s="244"/>
      <c r="G1678" s="244"/>
      <c r="I1678" s="244"/>
      <c r="J1678" s="244"/>
      <c r="K1678" s="246" t="e">
        <f t="shared" si="182"/>
        <v>#VALUE!</v>
      </c>
      <c r="L1678" s="246" t="e">
        <f t="shared" si="183"/>
        <v>#VALUE!</v>
      </c>
      <c r="M1678" s="247" t="e">
        <f t="shared" si="184"/>
        <v>#VALUE!</v>
      </c>
      <c r="N1678" s="246" t="e">
        <f t="shared" si="185"/>
        <v>#VALUE!</v>
      </c>
      <c r="O1678" s="247" t="e">
        <f t="shared" si="186"/>
        <v>#VALUE!</v>
      </c>
      <c r="P1678" s="247">
        <f t="shared" si="187"/>
        <v>0</v>
      </c>
      <c r="Q1678" s="247" t="e">
        <f t="shared" si="188"/>
        <v>#VALUE!</v>
      </c>
    </row>
    <row r="1679" spans="1:17" ht="15" customHeight="1" x14ac:dyDescent="0.25">
      <c r="A1679" s="244"/>
      <c r="B1679" s="244"/>
      <c r="C1679" s="244"/>
      <c r="D1679" s="244"/>
      <c r="E1679" s="244"/>
      <c r="F1679" s="244"/>
      <c r="G1679" s="244"/>
      <c r="I1679" s="244"/>
      <c r="J1679" s="244"/>
      <c r="K1679" s="246" t="e">
        <f t="shared" si="182"/>
        <v>#VALUE!</v>
      </c>
      <c r="L1679" s="246" t="e">
        <f t="shared" si="183"/>
        <v>#VALUE!</v>
      </c>
      <c r="M1679" s="247" t="e">
        <f t="shared" si="184"/>
        <v>#VALUE!</v>
      </c>
      <c r="N1679" s="246" t="e">
        <f t="shared" si="185"/>
        <v>#VALUE!</v>
      </c>
      <c r="O1679" s="247" t="e">
        <f t="shared" si="186"/>
        <v>#VALUE!</v>
      </c>
      <c r="P1679" s="247">
        <f t="shared" si="187"/>
        <v>0</v>
      </c>
      <c r="Q1679" s="247" t="e">
        <f t="shared" si="188"/>
        <v>#VALUE!</v>
      </c>
    </row>
    <row r="1680" spans="1:17" ht="15" customHeight="1" x14ac:dyDescent="0.25">
      <c r="A1680" s="244"/>
      <c r="B1680" s="244"/>
      <c r="C1680" s="244"/>
      <c r="D1680" s="244"/>
      <c r="E1680" s="244"/>
      <c r="F1680" s="244"/>
      <c r="G1680" s="244"/>
      <c r="I1680" s="244"/>
      <c r="J1680" s="244"/>
      <c r="K1680" s="246" t="e">
        <f t="shared" si="182"/>
        <v>#VALUE!</v>
      </c>
      <c r="L1680" s="246" t="e">
        <f t="shared" si="183"/>
        <v>#VALUE!</v>
      </c>
      <c r="M1680" s="247" t="e">
        <f t="shared" si="184"/>
        <v>#VALUE!</v>
      </c>
      <c r="N1680" s="246" t="e">
        <f t="shared" si="185"/>
        <v>#VALUE!</v>
      </c>
      <c r="O1680" s="247" t="e">
        <f t="shared" si="186"/>
        <v>#VALUE!</v>
      </c>
      <c r="P1680" s="247">
        <f t="shared" si="187"/>
        <v>0</v>
      </c>
      <c r="Q1680" s="247" t="e">
        <f t="shared" si="188"/>
        <v>#VALUE!</v>
      </c>
    </row>
    <row r="1681" spans="1:17" ht="15" customHeight="1" x14ac:dyDescent="0.25">
      <c r="A1681" s="244"/>
      <c r="B1681" s="244"/>
      <c r="C1681" s="244"/>
      <c r="D1681" s="244"/>
      <c r="E1681" s="244"/>
      <c r="F1681" s="244"/>
      <c r="G1681" s="244"/>
      <c r="I1681" s="244"/>
      <c r="J1681" s="244"/>
      <c r="K1681" s="246" t="e">
        <f t="shared" si="182"/>
        <v>#VALUE!</v>
      </c>
      <c r="L1681" s="246" t="e">
        <f t="shared" si="183"/>
        <v>#VALUE!</v>
      </c>
      <c r="M1681" s="247" t="e">
        <f t="shared" si="184"/>
        <v>#VALUE!</v>
      </c>
      <c r="N1681" s="246" t="e">
        <f t="shared" si="185"/>
        <v>#VALUE!</v>
      </c>
      <c r="O1681" s="247" t="e">
        <f t="shared" si="186"/>
        <v>#VALUE!</v>
      </c>
      <c r="P1681" s="247">
        <f t="shared" si="187"/>
        <v>0</v>
      </c>
      <c r="Q1681" s="247" t="e">
        <f t="shared" si="188"/>
        <v>#VALUE!</v>
      </c>
    </row>
    <row r="1682" spans="1:17" ht="15" customHeight="1" x14ac:dyDescent="0.25">
      <c r="A1682" s="244"/>
      <c r="B1682" s="244"/>
      <c r="C1682" s="244"/>
      <c r="D1682" s="244"/>
      <c r="E1682" s="244"/>
      <c r="F1682" s="244"/>
      <c r="G1682" s="244"/>
      <c r="I1682" s="244"/>
      <c r="J1682" s="244"/>
      <c r="K1682" s="246" t="e">
        <f t="shared" si="182"/>
        <v>#VALUE!</v>
      </c>
      <c r="L1682" s="246" t="e">
        <f t="shared" si="183"/>
        <v>#VALUE!</v>
      </c>
      <c r="M1682" s="247" t="e">
        <f t="shared" si="184"/>
        <v>#VALUE!</v>
      </c>
      <c r="N1682" s="246" t="e">
        <f t="shared" si="185"/>
        <v>#VALUE!</v>
      </c>
      <c r="O1682" s="247" t="e">
        <f t="shared" si="186"/>
        <v>#VALUE!</v>
      </c>
      <c r="P1682" s="247">
        <f t="shared" si="187"/>
        <v>0</v>
      </c>
      <c r="Q1682" s="247" t="e">
        <f t="shared" si="188"/>
        <v>#VALUE!</v>
      </c>
    </row>
    <row r="1683" spans="1:17" ht="15" customHeight="1" x14ac:dyDescent="0.25">
      <c r="A1683" s="244"/>
      <c r="B1683" s="244"/>
      <c r="C1683" s="244"/>
      <c r="D1683" s="244"/>
      <c r="E1683" s="244"/>
      <c r="F1683" s="244"/>
      <c r="G1683" s="244"/>
      <c r="I1683" s="244"/>
      <c r="J1683" s="244"/>
      <c r="K1683" s="246" t="e">
        <f t="shared" si="182"/>
        <v>#VALUE!</v>
      </c>
      <c r="L1683" s="246" t="e">
        <f t="shared" si="183"/>
        <v>#VALUE!</v>
      </c>
      <c r="M1683" s="247" t="e">
        <f t="shared" si="184"/>
        <v>#VALUE!</v>
      </c>
      <c r="N1683" s="246" t="e">
        <f t="shared" si="185"/>
        <v>#VALUE!</v>
      </c>
      <c r="O1683" s="247" t="e">
        <f t="shared" si="186"/>
        <v>#VALUE!</v>
      </c>
      <c r="P1683" s="247">
        <f t="shared" si="187"/>
        <v>0</v>
      </c>
      <c r="Q1683" s="247" t="e">
        <f t="shared" si="188"/>
        <v>#VALUE!</v>
      </c>
    </row>
    <row r="1684" spans="1:17" ht="15" customHeight="1" x14ac:dyDescent="0.25">
      <c r="A1684" s="244"/>
      <c r="B1684" s="244"/>
      <c r="C1684" s="244"/>
      <c r="D1684" s="244"/>
      <c r="E1684" s="244"/>
      <c r="F1684" s="244"/>
      <c r="G1684" s="244"/>
      <c r="I1684" s="244"/>
      <c r="J1684" s="244"/>
      <c r="K1684" s="246" t="e">
        <f t="shared" si="182"/>
        <v>#VALUE!</v>
      </c>
      <c r="L1684" s="246" t="e">
        <f t="shared" si="183"/>
        <v>#VALUE!</v>
      </c>
      <c r="M1684" s="247" t="e">
        <f t="shared" si="184"/>
        <v>#VALUE!</v>
      </c>
      <c r="N1684" s="246" t="e">
        <f t="shared" si="185"/>
        <v>#VALUE!</v>
      </c>
      <c r="O1684" s="247" t="e">
        <f t="shared" si="186"/>
        <v>#VALUE!</v>
      </c>
      <c r="P1684" s="247">
        <f t="shared" si="187"/>
        <v>0</v>
      </c>
      <c r="Q1684" s="247" t="e">
        <f t="shared" si="188"/>
        <v>#VALUE!</v>
      </c>
    </row>
    <row r="1685" spans="1:17" ht="15" customHeight="1" x14ac:dyDescent="0.25">
      <c r="A1685" s="244"/>
      <c r="B1685" s="244"/>
      <c r="C1685" s="244"/>
      <c r="D1685" s="244"/>
      <c r="E1685" s="244"/>
      <c r="F1685" s="244"/>
      <c r="G1685" s="244"/>
      <c r="I1685" s="244"/>
      <c r="J1685" s="244"/>
      <c r="K1685" s="246" t="e">
        <f t="shared" si="182"/>
        <v>#VALUE!</v>
      </c>
      <c r="L1685" s="246" t="e">
        <f t="shared" si="183"/>
        <v>#VALUE!</v>
      </c>
      <c r="M1685" s="247" t="e">
        <f t="shared" si="184"/>
        <v>#VALUE!</v>
      </c>
      <c r="N1685" s="246" t="e">
        <f t="shared" si="185"/>
        <v>#VALUE!</v>
      </c>
      <c r="O1685" s="247" t="e">
        <f t="shared" si="186"/>
        <v>#VALUE!</v>
      </c>
      <c r="P1685" s="247">
        <f t="shared" si="187"/>
        <v>0</v>
      </c>
      <c r="Q1685" s="247" t="e">
        <f t="shared" si="188"/>
        <v>#VALUE!</v>
      </c>
    </row>
    <row r="1686" spans="1:17" ht="15" customHeight="1" x14ac:dyDescent="0.25">
      <c r="A1686" s="244"/>
      <c r="B1686" s="244"/>
      <c r="C1686" s="244"/>
      <c r="D1686" s="244"/>
      <c r="E1686" s="244"/>
      <c r="F1686" s="244"/>
      <c r="G1686" s="244"/>
      <c r="I1686" s="244"/>
      <c r="J1686" s="244"/>
      <c r="K1686" s="246" t="e">
        <f t="shared" si="182"/>
        <v>#VALUE!</v>
      </c>
      <c r="L1686" s="246" t="e">
        <f t="shared" si="183"/>
        <v>#VALUE!</v>
      </c>
      <c r="M1686" s="247" t="e">
        <f t="shared" si="184"/>
        <v>#VALUE!</v>
      </c>
      <c r="N1686" s="246" t="e">
        <f t="shared" si="185"/>
        <v>#VALUE!</v>
      </c>
      <c r="O1686" s="247" t="e">
        <f t="shared" si="186"/>
        <v>#VALUE!</v>
      </c>
      <c r="P1686" s="247">
        <f t="shared" si="187"/>
        <v>0</v>
      </c>
      <c r="Q1686" s="247" t="e">
        <f t="shared" si="188"/>
        <v>#VALUE!</v>
      </c>
    </row>
    <row r="1687" spans="1:17" ht="15" customHeight="1" x14ac:dyDescent="0.25">
      <c r="A1687" s="244"/>
      <c r="B1687" s="244"/>
      <c r="C1687" s="244"/>
      <c r="D1687" s="244"/>
      <c r="E1687" s="244"/>
      <c r="F1687" s="244"/>
      <c r="G1687" s="244"/>
      <c r="I1687" s="244"/>
      <c r="J1687" s="244"/>
      <c r="K1687" s="246" t="e">
        <f t="shared" si="182"/>
        <v>#VALUE!</v>
      </c>
      <c r="L1687" s="246" t="e">
        <f t="shared" si="183"/>
        <v>#VALUE!</v>
      </c>
      <c r="M1687" s="247" t="e">
        <f t="shared" si="184"/>
        <v>#VALUE!</v>
      </c>
      <c r="N1687" s="246" t="e">
        <f t="shared" si="185"/>
        <v>#VALUE!</v>
      </c>
      <c r="O1687" s="247" t="e">
        <f t="shared" si="186"/>
        <v>#VALUE!</v>
      </c>
      <c r="P1687" s="247">
        <f t="shared" si="187"/>
        <v>0</v>
      </c>
      <c r="Q1687" s="247" t="e">
        <f t="shared" si="188"/>
        <v>#VALUE!</v>
      </c>
    </row>
    <row r="1688" spans="1:17" ht="15" customHeight="1" x14ac:dyDescent="0.25">
      <c r="A1688" s="244"/>
      <c r="B1688" s="244"/>
      <c r="C1688" s="244"/>
      <c r="D1688" s="244"/>
      <c r="E1688" s="244"/>
      <c r="F1688" s="244"/>
      <c r="G1688" s="244"/>
      <c r="I1688" s="244"/>
      <c r="J1688" s="244"/>
      <c r="K1688" s="246" t="e">
        <f t="shared" si="182"/>
        <v>#VALUE!</v>
      </c>
      <c r="L1688" s="246" t="e">
        <f t="shared" si="183"/>
        <v>#VALUE!</v>
      </c>
      <c r="M1688" s="247" t="e">
        <f t="shared" si="184"/>
        <v>#VALUE!</v>
      </c>
      <c r="N1688" s="246" t="e">
        <f t="shared" si="185"/>
        <v>#VALUE!</v>
      </c>
      <c r="O1688" s="247" t="e">
        <f t="shared" si="186"/>
        <v>#VALUE!</v>
      </c>
      <c r="P1688" s="247">
        <f t="shared" si="187"/>
        <v>0</v>
      </c>
      <c r="Q1688" s="247" t="e">
        <f t="shared" si="188"/>
        <v>#VALUE!</v>
      </c>
    </row>
    <row r="1689" spans="1:17" ht="15" customHeight="1" x14ac:dyDescent="0.25">
      <c r="A1689" s="244"/>
      <c r="B1689" s="244"/>
      <c r="C1689" s="244"/>
      <c r="D1689" s="244"/>
      <c r="E1689" s="244"/>
      <c r="F1689" s="244"/>
      <c r="G1689" s="244"/>
      <c r="I1689" s="244"/>
      <c r="J1689" s="244"/>
      <c r="K1689" s="246" t="e">
        <f t="shared" si="182"/>
        <v>#VALUE!</v>
      </c>
      <c r="L1689" s="246" t="e">
        <f t="shared" si="183"/>
        <v>#VALUE!</v>
      </c>
      <c r="M1689" s="247" t="e">
        <f t="shared" si="184"/>
        <v>#VALUE!</v>
      </c>
      <c r="N1689" s="246" t="e">
        <f t="shared" si="185"/>
        <v>#VALUE!</v>
      </c>
      <c r="O1689" s="247" t="e">
        <f t="shared" si="186"/>
        <v>#VALUE!</v>
      </c>
      <c r="P1689" s="247">
        <f t="shared" si="187"/>
        <v>0</v>
      </c>
      <c r="Q1689" s="247" t="e">
        <f t="shared" si="188"/>
        <v>#VALUE!</v>
      </c>
    </row>
    <row r="1690" spans="1:17" ht="15" customHeight="1" x14ac:dyDescent="0.25">
      <c r="A1690" s="244"/>
      <c r="B1690" s="244"/>
      <c r="C1690" s="244"/>
      <c r="D1690" s="244"/>
      <c r="E1690" s="244"/>
      <c r="F1690" s="244"/>
      <c r="G1690" s="244"/>
      <c r="I1690" s="244"/>
      <c r="J1690" s="244"/>
      <c r="K1690" s="246" t="e">
        <f t="shared" si="182"/>
        <v>#VALUE!</v>
      </c>
      <c r="L1690" s="246" t="e">
        <f t="shared" si="183"/>
        <v>#VALUE!</v>
      </c>
      <c r="M1690" s="247" t="e">
        <f t="shared" si="184"/>
        <v>#VALUE!</v>
      </c>
      <c r="N1690" s="246" t="e">
        <f t="shared" si="185"/>
        <v>#VALUE!</v>
      </c>
      <c r="O1690" s="247" t="e">
        <f t="shared" si="186"/>
        <v>#VALUE!</v>
      </c>
      <c r="P1690" s="247">
        <f t="shared" si="187"/>
        <v>0</v>
      </c>
      <c r="Q1690" s="247" t="e">
        <f t="shared" si="188"/>
        <v>#VALUE!</v>
      </c>
    </row>
    <row r="1691" spans="1:17" ht="15" customHeight="1" x14ac:dyDescent="0.25">
      <c r="A1691" s="244"/>
      <c r="B1691" s="244"/>
      <c r="C1691" s="244"/>
      <c r="D1691" s="244"/>
      <c r="E1691" s="244"/>
      <c r="F1691" s="244"/>
      <c r="G1691" s="244"/>
      <c r="I1691" s="244"/>
      <c r="J1691" s="244"/>
      <c r="K1691" s="246" t="e">
        <f t="shared" si="182"/>
        <v>#VALUE!</v>
      </c>
      <c r="L1691" s="246" t="e">
        <f t="shared" si="183"/>
        <v>#VALUE!</v>
      </c>
      <c r="M1691" s="247" t="e">
        <f t="shared" si="184"/>
        <v>#VALUE!</v>
      </c>
      <c r="N1691" s="246" t="e">
        <f t="shared" si="185"/>
        <v>#VALUE!</v>
      </c>
      <c r="O1691" s="247" t="e">
        <f t="shared" si="186"/>
        <v>#VALUE!</v>
      </c>
      <c r="P1691" s="247">
        <f t="shared" si="187"/>
        <v>0</v>
      </c>
      <c r="Q1691" s="247" t="e">
        <f t="shared" si="188"/>
        <v>#VALUE!</v>
      </c>
    </row>
    <row r="1692" spans="1:17" ht="15" customHeight="1" x14ac:dyDescent="0.25">
      <c r="A1692" s="244"/>
      <c r="B1692" s="244"/>
      <c r="C1692" s="244"/>
      <c r="D1692" s="244"/>
      <c r="E1692" s="244"/>
      <c r="F1692" s="244"/>
      <c r="G1692" s="244"/>
      <c r="I1692" s="244"/>
      <c r="J1692" s="244"/>
      <c r="K1692" s="246" t="e">
        <f t="shared" si="182"/>
        <v>#VALUE!</v>
      </c>
      <c r="L1692" s="246" t="e">
        <f t="shared" si="183"/>
        <v>#VALUE!</v>
      </c>
      <c r="M1692" s="247" t="e">
        <f t="shared" si="184"/>
        <v>#VALUE!</v>
      </c>
      <c r="N1692" s="246" t="e">
        <f t="shared" si="185"/>
        <v>#VALUE!</v>
      </c>
      <c r="O1692" s="247" t="e">
        <f t="shared" si="186"/>
        <v>#VALUE!</v>
      </c>
      <c r="P1692" s="247">
        <f t="shared" si="187"/>
        <v>0</v>
      </c>
      <c r="Q1692" s="247" t="e">
        <f t="shared" si="188"/>
        <v>#VALUE!</v>
      </c>
    </row>
    <row r="1693" spans="1:17" ht="15" customHeight="1" x14ac:dyDescent="0.25">
      <c r="A1693" s="244"/>
      <c r="B1693" s="244"/>
      <c r="C1693" s="244"/>
      <c r="D1693" s="244"/>
      <c r="E1693" s="244"/>
      <c r="F1693" s="244"/>
      <c r="G1693" s="244"/>
      <c r="I1693" s="244"/>
      <c r="J1693" s="244"/>
      <c r="K1693" s="246" t="e">
        <f t="shared" si="182"/>
        <v>#VALUE!</v>
      </c>
      <c r="L1693" s="246" t="e">
        <f t="shared" si="183"/>
        <v>#VALUE!</v>
      </c>
      <c r="M1693" s="247" t="e">
        <f t="shared" si="184"/>
        <v>#VALUE!</v>
      </c>
      <c r="N1693" s="246" t="e">
        <f t="shared" si="185"/>
        <v>#VALUE!</v>
      </c>
      <c r="O1693" s="247" t="e">
        <f t="shared" si="186"/>
        <v>#VALUE!</v>
      </c>
      <c r="P1693" s="247">
        <f t="shared" si="187"/>
        <v>0</v>
      </c>
      <c r="Q1693" s="247" t="e">
        <f t="shared" si="188"/>
        <v>#VALUE!</v>
      </c>
    </row>
    <row r="1694" spans="1:17" ht="15" customHeight="1" x14ac:dyDescent="0.25">
      <c r="A1694" s="244"/>
      <c r="B1694" s="244"/>
      <c r="C1694" s="244"/>
      <c r="D1694" s="244"/>
      <c r="E1694" s="244"/>
      <c r="F1694" s="244"/>
      <c r="G1694" s="244"/>
      <c r="I1694" s="244"/>
      <c r="J1694" s="244"/>
      <c r="K1694" s="246" t="e">
        <f t="shared" si="182"/>
        <v>#VALUE!</v>
      </c>
      <c r="L1694" s="246" t="e">
        <f t="shared" si="183"/>
        <v>#VALUE!</v>
      </c>
      <c r="M1694" s="247" t="e">
        <f t="shared" si="184"/>
        <v>#VALUE!</v>
      </c>
      <c r="N1694" s="246" t="e">
        <f t="shared" si="185"/>
        <v>#VALUE!</v>
      </c>
      <c r="O1694" s="247" t="e">
        <f t="shared" si="186"/>
        <v>#VALUE!</v>
      </c>
      <c r="P1694" s="247">
        <f t="shared" si="187"/>
        <v>0</v>
      </c>
      <c r="Q1694" s="247" t="e">
        <f t="shared" si="188"/>
        <v>#VALUE!</v>
      </c>
    </row>
    <row r="1695" spans="1:17" ht="15" customHeight="1" x14ac:dyDescent="0.25">
      <c r="A1695" s="244"/>
      <c r="B1695" s="244"/>
      <c r="C1695" s="244"/>
      <c r="D1695" s="244"/>
      <c r="E1695" s="244"/>
      <c r="F1695" s="244"/>
      <c r="G1695" s="244"/>
      <c r="I1695" s="244"/>
      <c r="J1695" s="244"/>
      <c r="K1695" s="246" t="e">
        <f t="shared" si="182"/>
        <v>#VALUE!</v>
      </c>
      <c r="L1695" s="246" t="e">
        <f t="shared" si="183"/>
        <v>#VALUE!</v>
      </c>
      <c r="M1695" s="247" t="e">
        <f t="shared" si="184"/>
        <v>#VALUE!</v>
      </c>
      <c r="N1695" s="246" t="e">
        <f t="shared" si="185"/>
        <v>#VALUE!</v>
      </c>
      <c r="O1695" s="247" t="e">
        <f t="shared" si="186"/>
        <v>#VALUE!</v>
      </c>
      <c r="P1695" s="247">
        <f t="shared" si="187"/>
        <v>0</v>
      </c>
      <c r="Q1695" s="247" t="e">
        <f t="shared" si="188"/>
        <v>#VALUE!</v>
      </c>
    </row>
    <row r="1696" spans="1:17" ht="15" customHeight="1" x14ac:dyDescent="0.25">
      <c r="A1696" s="244"/>
      <c r="B1696" s="244"/>
      <c r="C1696" s="244"/>
      <c r="D1696" s="244"/>
      <c r="E1696" s="244"/>
      <c r="F1696" s="244"/>
      <c r="G1696" s="244"/>
      <c r="I1696" s="244"/>
      <c r="J1696" s="244"/>
      <c r="K1696" s="246" t="e">
        <f t="shared" si="182"/>
        <v>#VALUE!</v>
      </c>
      <c r="L1696" s="246" t="e">
        <f t="shared" si="183"/>
        <v>#VALUE!</v>
      </c>
      <c r="M1696" s="247" t="e">
        <f t="shared" si="184"/>
        <v>#VALUE!</v>
      </c>
      <c r="N1696" s="246" t="e">
        <f t="shared" si="185"/>
        <v>#VALUE!</v>
      </c>
      <c r="O1696" s="247" t="e">
        <f t="shared" si="186"/>
        <v>#VALUE!</v>
      </c>
      <c r="P1696" s="247">
        <f t="shared" si="187"/>
        <v>0</v>
      </c>
      <c r="Q1696" s="247" t="e">
        <f t="shared" si="188"/>
        <v>#VALUE!</v>
      </c>
    </row>
    <row r="1697" spans="1:17" ht="15" customHeight="1" x14ac:dyDescent="0.25">
      <c r="A1697" s="244"/>
      <c r="B1697" s="244"/>
      <c r="C1697" s="244"/>
      <c r="D1697" s="244"/>
      <c r="E1697" s="244"/>
      <c r="F1697" s="244"/>
      <c r="G1697" s="244"/>
      <c r="I1697" s="244"/>
      <c r="J1697" s="244"/>
      <c r="K1697" s="246" t="e">
        <f t="shared" si="182"/>
        <v>#VALUE!</v>
      </c>
      <c r="L1697" s="246" t="e">
        <f t="shared" si="183"/>
        <v>#VALUE!</v>
      </c>
      <c r="M1697" s="247" t="e">
        <f t="shared" si="184"/>
        <v>#VALUE!</v>
      </c>
      <c r="N1697" s="246" t="e">
        <f t="shared" si="185"/>
        <v>#VALUE!</v>
      </c>
      <c r="O1697" s="247" t="e">
        <f t="shared" si="186"/>
        <v>#VALUE!</v>
      </c>
      <c r="P1697" s="247">
        <f t="shared" si="187"/>
        <v>0</v>
      </c>
      <c r="Q1697" s="247" t="e">
        <f t="shared" si="188"/>
        <v>#VALUE!</v>
      </c>
    </row>
    <row r="1698" spans="1:17" ht="15" customHeight="1" x14ac:dyDescent="0.25">
      <c r="A1698" s="244"/>
      <c r="B1698" s="244"/>
      <c r="C1698" s="244"/>
      <c r="D1698" s="244"/>
      <c r="E1698" s="244"/>
      <c r="F1698" s="244"/>
      <c r="G1698" s="244"/>
      <c r="I1698" s="244"/>
      <c r="J1698" s="244"/>
      <c r="K1698" s="246" t="e">
        <f t="shared" si="182"/>
        <v>#VALUE!</v>
      </c>
      <c r="L1698" s="246" t="e">
        <f t="shared" si="183"/>
        <v>#VALUE!</v>
      </c>
      <c r="M1698" s="247" t="e">
        <f t="shared" si="184"/>
        <v>#VALUE!</v>
      </c>
      <c r="N1698" s="246" t="e">
        <f t="shared" si="185"/>
        <v>#VALUE!</v>
      </c>
      <c r="O1698" s="247" t="e">
        <f t="shared" si="186"/>
        <v>#VALUE!</v>
      </c>
      <c r="P1698" s="247">
        <f t="shared" si="187"/>
        <v>0</v>
      </c>
      <c r="Q1698" s="247" t="e">
        <f t="shared" si="188"/>
        <v>#VALUE!</v>
      </c>
    </row>
    <row r="1699" spans="1:17" ht="15" customHeight="1" x14ac:dyDescent="0.25">
      <c r="A1699" s="244"/>
      <c r="B1699" s="244"/>
      <c r="C1699" s="244"/>
      <c r="D1699" s="244"/>
      <c r="E1699" s="244"/>
      <c r="F1699" s="244"/>
      <c r="G1699" s="244"/>
      <c r="I1699" s="244"/>
      <c r="J1699" s="244"/>
      <c r="K1699" s="246" t="e">
        <f t="shared" si="182"/>
        <v>#VALUE!</v>
      </c>
      <c r="L1699" s="246" t="e">
        <f t="shared" si="183"/>
        <v>#VALUE!</v>
      </c>
      <c r="M1699" s="247" t="e">
        <f t="shared" si="184"/>
        <v>#VALUE!</v>
      </c>
      <c r="N1699" s="246" t="e">
        <f t="shared" si="185"/>
        <v>#VALUE!</v>
      </c>
      <c r="O1699" s="247" t="e">
        <f t="shared" si="186"/>
        <v>#VALUE!</v>
      </c>
      <c r="P1699" s="247">
        <f t="shared" si="187"/>
        <v>0</v>
      </c>
      <c r="Q1699" s="247" t="e">
        <f t="shared" si="188"/>
        <v>#VALUE!</v>
      </c>
    </row>
    <row r="1700" spans="1:17" ht="15" customHeight="1" x14ac:dyDescent="0.25">
      <c r="A1700" s="244"/>
      <c r="B1700" s="244"/>
      <c r="C1700" s="244"/>
      <c r="D1700" s="244"/>
      <c r="E1700" s="244"/>
      <c r="F1700" s="244"/>
      <c r="G1700" s="244"/>
      <c r="I1700" s="244"/>
      <c r="J1700" s="244"/>
      <c r="K1700" s="246" t="e">
        <f t="shared" si="182"/>
        <v>#VALUE!</v>
      </c>
      <c r="L1700" s="246" t="e">
        <f t="shared" si="183"/>
        <v>#VALUE!</v>
      </c>
      <c r="M1700" s="247" t="e">
        <f t="shared" si="184"/>
        <v>#VALUE!</v>
      </c>
      <c r="N1700" s="246" t="e">
        <f t="shared" si="185"/>
        <v>#VALUE!</v>
      </c>
      <c r="O1700" s="247" t="e">
        <f t="shared" si="186"/>
        <v>#VALUE!</v>
      </c>
      <c r="P1700" s="247">
        <f t="shared" si="187"/>
        <v>0</v>
      </c>
      <c r="Q1700" s="247" t="e">
        <f t="shared" si="188"/>
        <v>#VALUE!</v>
      </c>
    </row>
    <row r="1701" spans="1:17" ht="15" customHeight="1" x14ac:dyDescent="0.25">
      <c r="A1701" s="244"/>
      <c r="B1701" s="244"/>
      <c r="C1701" s="244"/>
      <c r="D1701" s="244"/>
      <c r="E1701" s="244"/>
      <c r="F1701" s="244"/>
      <c r="G1701" s="244"/>
      <c r="I1701" s="244"/>
      <c r="J1701" s="244"/>
      <c r="K1701" s="246" t="e">
        <f t="shared" si="182"/>
        <v>#VALUE!</v>
      </c>
      <c r="L1701" s="246" t="e">
        <f t="shared" si="183"/>
        <v>#VALUE!</v>
      </c>
      <c r="M1701" s="247" t="e">
        <f t="shared" si="184"/>
        <v>#VALUE!</v>
      </c>
      <c r="N1701" s="246" t="e">
        <f t="shared" si="185"/>
        <v>#VALUE!</v>
      </c>
      <c r="O1701" s="247" t="e">
        <f t="shared" si="186"/>
        <v>#VALUE!</v>
      </c>
      <c r="P1701" s="247">
        <f t="shared" si="187"/>
        <v>0</v>
      </c>
      <c r="Q1701" s="247" t="e">
        <f t="shared" si="188"/>
        <v>#VALUE!</v>
      </c>
    </row>
    <row r="1702" spans="1:17" ht="15" customHeight="1" x14ac:dyDescent="0.25">
      <c r="A1702" s="244"/>
      <c r="B1702" s="244"/>
      <c r="C1702" s="244"/>
      <c r="D1702" s="244"/>
      <c r="E1702" s="244"/>
      <c r="F1702" s="244"/>
      <c r="G1702" s="244"/>
      <c r="I1702" s="244"/>
      <c r="J1702" s="244"/>
      <c r="K1702" s="246" t="e">
        <f t="shared" si="182"/>
        <v>#VALUE!</v>
      </c>
      <c r="L1702" s="246" t="e">
        <f t="shared" si="183"/>
        <v>#VALUE!</v>
      </c>
      <c r="M1702" s="247" t="e">
        <f t="shared" si="184"/>
        <v>#VALUE!</v>
      </c>
      <c r="N1702" s="246" t="e">
        <f t="shared" si="185"/>
        <v>#VALUE!</v>
      </c>
      <c r="O1702" s="247" t="e">
        <f t="shared" si="186"/>
        <v>#VALUE!</v>
      </c>
      <c r="P1702" s="247">
        <f t="shared" si="187"/>
        <v>0</v>
      </c>
      <c r="Q1702" s="247" t="e">
        <f t="shared" si="188"/>
        <v>#VALUE!</v>
      </c>
    </row>
    <row r="1703" spans="1:17" ht="15" customHeight="1" x14ac:dyDescent="0.25">
      <c r="A1703" s="244"/>
      <c r="B1703" s="244"/>
      <c r="C1703" s="244"/>
      <c r="D1703" s="244"/>
      <c r="E1703" s="244"/>
      <c r="F1703" s="244"/>
      <c r="G1703" s="244"/>
      <c r="I1703" s="244"/>
      <c r="J1703" s="244"/>
      <c r="K1703" s="246" t="e">
        <f t="shared" si="182"/>
        <v>#VALUE!</v>
      </c>
      <c r="L1703" s="246" t="e">
        <f t="shared" si="183"/>
        <v>#VALUE!</v>
      </c>
      <c r="M1703" s="247" t="e">
        <f t="shared" si="184"/>
        <v>#VALUE!</v>
      </c>
      <c r="N1703" s="246" t="e">
        <f t="shared" si="185"/>
        <v>#VALUE!</v>
      </c>
      <c r="O1703" s="247" t="e">
        <f t="shared" si="186"/>
        <v>#VALUE!</v>
      </c>
      <c r="P1703" s="247">
        <f t="shared" si="187"/>
        <v>0</v>
      </c>
      <c r="Q1703" s="247" t="e">
        <f t="shared" si="188"/>
        <v>#VALUE!</v>
      </c>
    </row>
    <row r="1704" spans="1:17" ht="15" customHeight="1" x14ac:dyDescent="0.25">
      <c r="A1704" s="244"/>
      <c r="B1704" s="244"/>
      <c r="C1704" s="244"/>
      <c r="D1704" s="244"/>
      <c r="E1704" s="244"/>
      <c r="F1704" s="244"/>
      <c r="G1704" s="244"/>
      <c r="I1704" s="244"/>
      <c r="J1704" s="244"/>
      <c r="K1704" s="246" t="e">
        <f t="shared" si="182"/>
        <v>#VALUE!</v>
      </c>
      <c r="L1704" s="246" t="e">
        <f t="shared" si="183"/>
        <v>#VALUE!</v>
      </c>
      <c r="M1704" s="247" t="e">
        <f t="shared" si="184"/>
        <v>#VALUE!</v>
      </c>
      <c r="N1704" s="246" t="e">
        <f t="shared" si="185"/>
        <v>#VALUE!</v>
      </c>
      <c r="O1704" s="247" t="e">
        <f t="shared" si="186"/>
        <v>#VALUE!</v>
      </c>
      <c r="P1704" s="247">
        <f t="shared" si="187"/>
        <v>0</v>
      </c>
      <c r="Q1704" s="247" t="e">
        <f t="shared" si="188"/>
        <v>#VALUE!</v>
      </c>
    </row>
    <row r="1705" spans="1:17" ht="15" customHeight="1" x14ac:dyDescent="0.25">
      <c r="A1705" s="244"/>
      <c r="B1705" s="244"/>
      <c r="C1705" s="244"/>
      <c r="D1705" s="244"/>
      <c r="E1705" s="244"/>
      <c r="F1705" s="244"/>
      <c r="G1705" s="244"/>
      <c r="I1705" s="244"/>
      <c r="J1705" s="244"/>
      <c r="K1705" s="246" t="e">
        <f t="shared" si="182"/>
        <v>#VALUE!</v>
      </c>
      <c r="L1705" s="246" t="e">
        <f t="shared" si="183"/>
        <v>#VALUE!</v>
      </c>
      <c r="M1705" s="247" t="e">
        <f t="shared" si="184"/>
        <v>#VALUE!</v>
      </c>
      <c r="N1705" s="246" t="e">
        <f t="shared" si="185"/>
        <v>#VALUE!</v>
      </c>
      <c r="O1705" s="247" t="e">
        <f t="shared" si="186"/>
        <v>#VALUE!</v>
      </c>
      <c r="P1705" s="247">
        <f t="shared" si="187"/>
        <v>0</v>
      </c>
      <c r="Q1705" s="247" t="e">
        <f t="shared" si="188"/>
        <v>#VALUE!</v>
      </c>
    </row>
    <row r="1706" spans="1:17" ht="15" customHeight="1" x14ac:dyDescent="0.25">
      <c r="A1706" s="244"/>
      <c r="B1706" s="244"/>
      <c r="C1706" s="244"/>
      <c r="D1706" s="244"/>
      <c r="E1706" s="244"/>
      <c r="F1706" s="244"/>
      <c r="G1706" s="244"/>
      <c r="I1706" s="244"/>
      <c r="J1706" s="244"/>
      <c r="K1706" s="246" t="e">
        <f t="shared" si="182"/>
        <v>#VALUE!</v>
      </c>
      <c r="L1706" s="246" t="e">
        <f t="shared" si="183"/>
        <v>#VALUE!</v>
      </c>
      <c r="M1706" s="247" t="e">
        <f t="shared" si="184"/>
        <v>#VALUE!</v>
      </c>
      <c r="N1706" s="246" t="e">
        <f t="shared" si="185"/>
        <v>#VALUE!</v>
      </c>
      <c r="O1706" s="247" t="e">
        <f t="shared" si="186"/>
        <v>#VALUE!</v>
      </c>
      <c r="P1706" s="247">
        <f t="shared" si="187"/>
        <v>0</v>
      </c>
      <c r="Q1706" s="247" t="e">
        <f t="shared" si="188"/>
        <v>#VALUE!</v>
      </c>
    </row>
    <row r="1707" spans="1:17" ht="15" customHeight="1" x14ac:dyDescent="0.25">
      <c r="A1707" s="244"/>
      <c r="B1707" s="244"/>
      <c r="C1707" s="244"/>
      <c r="D1707" s="244"/>
      <c r="E1707" s="244"/>
      <c r="F1707" s="244"/>
      <c r="G1707" s="244"/>
      <c r="I1707" s="244"/>
      <c r="J1707" s="244"/>
      <c r="K1707" s="246" t="e">
        <f t="shared" si="182"/>
        <v>#VALUE!</v>
      </c>
      <c r="L1707" s="246" t="e">
        <f t="shared" si="183"/>
        <v>#VALUE!</v>
      </c>
      <c r="M1707" s="247" t="e">
        <f t="shared" si="184"/>
        <v>#VALUE!</v>
      </c>
      <c r="N1707" s="246" t="e">
        <f t="shared" si="185"/>
        <v>#VALUE!</v>
      </c>
      <c r="O1707" s="247" t="e">
        <f t="shared" si="186"/>
        <v>#VALUE!</v>
      </c>
      <c r="P1707" s="247">
        <f t="shared" si="187"/>
        <v>0</v>
      </c>
      <c r="Q1707" s="247" t="e">
        <f t="shared" si="188"/>
        <v>#VALUE!</v>
      </c>
    </row>
    <row r="1708" spans="1:17" ht="15" customHeight="1" x14ac:dyDescent="0.25">
      <c r="A1708" s="244"/>
      <c r="B1708" s="244"/>
      <c r="C1708" s="244"/>
      <c r="D1708" s="244"/>
      <c r="E1708" s="244"/>
      <c r="F1708" s="244"/>
      <c r="G1708" s="244"/>
      <c r="I1708" s="244"/>
      <c r="J1708" s="244"/>
      <c r="K1708" s="246" t="e">
        <f t="shared" si="182"/>
        <v>#VALUE!</v>
      </c>
      <c r="L1708" s="246" t="e">
        <f t="shared" si="183"/>
        <v>#VALUE!</v>
      </c>
      <c r="M1708" s="247" t="e">
        <f t="shared" si="184"/>
        <v>#VALUE!</v>
      </c>
      <c r="N1708" s="246" t="e">
        <f t="shared" si="185"/>
        <v>#VALUE!</v>
      </c>
      <c r="O1708" s="247" t="e">
        <f t="shared" si="186"/>
        <v>#VALUE!</v>
      </c>
      <c r="P1708" s="247">
        <f t="shared" si="187"/>
        <v>0</v>
      </c>
      <c r="Q1708" s="247" t="e">
        <f t="shared" si="188"/>
        <v>#VALUE!</v>
      </c>
    </row>
    <row r="1709" spans="1:17" ht="15" customHeight="1" x14ac:dyDescent="0.25">
      <c r="A1709" s="244"/>
      <c r="B1709" s="244"/>
      <c r="C1709" s="244"/>
      <c r="D1709" s="244"/>
      <c r="E1709" s="244"/>
      <c r="F1709" s="244"/>
      <c r="G1709" s="244"/>
      <c r="I1709" s="244"/>
      <c r="J1709" s="244"/>
      <c r="K1709" s="246" t="e">
        <f t="shared" si="182"/>
        <v>#VALUE!</v>
      </c>
      <c r="L1709" s="246" t="e">
        <f t="shared" si="183"/>
        <v>#VALUE!</v>
      </c>
      <c r="M1709" s="247" t="e">
        <f t="shared" si="184"/>
        <v>#VALUE!</v>
      </c>
      <c r="N1709" s="246" t="e">
        <f t="shared" si="185"/>
        <v>#VALUE!</v>
      </c>
      <c r="O1709" s="247" t="e">
        <f t="shared" si="186"/>
        <v>#VALUE!</v>
      </c>
      <c r="P1709" s="247">
        <f t="shared" si="187"/>
        <v>0</v>
      </c>
      <c r="Q1709" s="247" t="e">
        <f t="shared" si="188"/>
        <v>#VALUE!</v>
      </c>
    </row>
    <row r="1710" spans="1:17" ht="15" customHeight="1" x14ac:dyDescent="0.25">
      <c r="A1710" s="244"/>
      <c r="B1710" s="244"/>
      <c r="C1710" s="244"/>
      <c r="D1710" s="244"/>
      <c r="E1710" s="244"/>
      <c r="F1710" s="244"/>
      <c r="G1710" s="244"/>
      <c r="I1710" s="244"/>
      <c r="J1710" s="244"/>
      <c r="K1710" s="246" t="e">
        <f t="shared" si="182"/>
        <v>#VALUE!</v>
      </c>
      <c r="L1710" s="246" t="e">
        <f t="shared" si="183"/>
        <v>#VALUE!</v>
      </c>
      <c r="M1710" s="247" t="e">
        <f t="shared" si="184"/>
        <v>#VALUE!</v>
      </c>
      <c r="N1710" s="246" t="e">
        <f t="shared" si="185"/>
        <v>#VALUE!</v>
      </c>
      <c r="O1710" s="247" t="e">
        <f t="shared" si="186"/>
        <v>#VALUE!</v>
      </c>
      <c r="P1710" s="247">
        <f t="shared" si="187"/>
        <v>0</v>
      </c>
      <c r="Q1710" s="247" t="e">
        <f t="shared" si="188"/>
        <v>#VALUE!</v>
      </c>
    </row>
    <row r="1711" spans="1:17" ht="15" customHeight="1" x14ac:dyDescent="0.25">
      <c r="A1711" s="244"/>
      <c r="B1711" s="244"/>
      <c r="C1711" s="244"/>
      <c r="D1711" s="244"/>
      <c r="E1711" s="244"/>
      <c r="F1711" s="244"/>
      <c r="G1711" s="244"/>
      <c r="I1711" s="244"/>
      <c r="J1711" s="244"/>
      <c r="K1711" s="246" t="e">
        <f t="shared" si="182"/>
        <v>#VALUE!</v>
      </c>
      <c r="L1711" s="246" t="e">
        <f t="shared" si="183"/>
        <v>#VALUE!</v>
      </c>
      <c r="M1711" s="247" t="e">
        <f t="shared" si="184"/>
        <v>#VALUE!</v>
      </c>
      <c r="N1711" s="246" t="e">
        <f t="shared" si="185"/>
        <v>#VALUE!</v>
      </c>
      <c r="O1711" s="247" t="e">
        <f t="shared" si="186"/>
        <v>#VALUE!</v>
      </c>
      <c r="P1711" s="247">
        <f t="shared" si="187"/>
        <v>0</v>
      </c>
      <c r="Q1711" s="247" t="e">
        <f t="shared" si="188"/>
        <v>#VALUE!</v>
      </c>
    </row>
    <row r="1712" spans="1:17" ht="15" customHeight="1" x14ac:dyDescent="0.25">
      <c r="A1712" s="244"/>
      <c r="B1712" s="244"/>
      <c r="C1712" s="244"/>
      <c r="D1712" s="244"/>
      <c r="E1712" s="244"/>
      <c r="F1712" s="244"/>
      <c r="G1712" s="244"/>
      <c r="I1712" s="244"/>
      <c r="J1712" s="244"/>
      <c r="K1712" s="246" t="e">
        <f t="shared" si="182"/>
        <v>#VALUE!</v>
      </c>
      <c r="L1712" s="246" t="e">
        <f t="shared" si="183"/>
        <v>#VALUE!</v>
      </c>
      <c r="M1712" s="247" t="e">
        <f t="shared" si="184"/>
        <v>#VALUE!</v>
      </c>
      <c r="N1712" s="246" t="e">
        <f t="shared" si="185"/>
        <v>#VALUE!</v>
      </c>
      <c r="O1712" s="247" t="e">
        <f t="shared" si="186"/>
        <v>#VALUE!</v>
      </c>
      <c r="P1712" s="247">
        <f t="shared" si="187"/>
        <v>0</v>
      </c>
      <c r="Q1712" s="247" t="e">
        <f t="shared" si="188"/>
        <v>#VALUE!</v>
      </c>
    </row>
    <row r="1713" spans="1:17" ht="15" customHeight="1" x14ac:dyDescent="0.25">
      <c r="A1713" s="244"/>
      <c r="B1713" s="244"/>
      <c r="C1713" s="244"/>
      <c r="D1713" s="244"/>
      <c r="E1713" s="244"/>
      <c r="F1713" s="244"/>
      <c r="G1713" s="244"/>
      <c r="I1713" s="244"/>
      <c r="J1713" s="244"/>
      <c r="K1713" s="246" t="e">
        <f t="shared" si="182"/>
        <v>#VALUE!</v>
      </c>
      <c r="L1713" s="246" t="e">
        <f t="shared" si="183"/>
        <v>#VALUE!</v>
      </c>
      <c r="M1713" s="247" t="e">
        <f t="shared" si="184"/>
        <v>#VALUE!</v>
      </c>
      <c r="N1713" s="246" t="e">
        <f t="shared" si="185"/>
        <v>#VALUE!</v>
      </c>
      <c r="O1713" s="247" t="e">
        <f t="shared" si="186"/>
        <v>#VALUE!</v>
      </c>
      <c r="P1713" s="247">
        <f t="shared" si="187"/>
        <v>0</v>
      </c>
      <c r="Q1713" s="247" t="e">
        <f t="shared" si="188"/>
        <v>#VALUE!</v>
      </c>
    </row>
    <row r="1714" spans="1:17" ht="15" customHeight="1" x14ac:dyDescent="0.25">
      <c r="A1714" s="244"/>
      <c r="B1714" s="244"/>
      <c r="C1714" s="244"/>
      <c r="D1714" s="244"/>
      <c r="E1714" s="244"/>
      <c r="F1714" s="244"/>
      <c r="G1714" s="244"/>
      <c r="I1714" s="244"/>
      <c r="J1714" s="244"/>
      <c r="K1714" s="246" t="e">
        <f t="shared" si="182"/>
        <v>#VALUE!</v>
      </c>
      <c r="L1714" s="246" t="e">
        <f t="shared" si="183"/>
        <v>#VALUE!</v>
      </c>
      <c r="M1714" s="247" t="e">
        <f t="shared" si="184"/>
        <v>#VALUE!</v>
      </c>
      <c r="N1714" s="246" t="e">
        <f t="shared" si="185"/>
        <v>#VALUE!</v>
      </c>
      <c r="O1714" s="247" t="e">
        <f t="shared" si="186"/>
        <v>#VALUE!</v>
      </c>
      <c r="P1714" s="247">
        <f t="shared" si="187"/>
        <v>0</v>
      </c>
      <c r="Q1714" s="247" t="e">
        <f t="shared" si="188"/>
        <v>#VALUE!</v>
      </c>
    </row>
    <row r="1715" spans="1:17" ht="15" customHeight="1" x14ac:dyDescent="0.25">
      <c r="A1715" s="244"/>
      <c r="B1715" s="244"/>
      <c r="C1715" s="244"/>
      <c r="D1715" s="244"/>
      <c r="E1715" s="244"/>
      <c r="F1715" s="244"/>
      <c r="G1715" s="244"/>
      <c r="I1715" s="244"/>
      <c r="J1715" s="244"/>
      <c r="K1715" s="246" t="e">
        <f t="shared" si="182"/>
        <v>#VALUE!</v>
      </c>
      <c r="L1715" s="246" t="e">
        <f t="shared" si="183"/>
        <v>#VALUE!</v>
      </c>
      <c r="M1715" s="247" t="e">
        <f t="shared" si="184"/>
        <v>#VALUE!</v>
      </c>
      <c r="N1715" s="246" t="e">
        <f t="shared" si="185"/>
        <v>#VALUE!</v>
      </c>
      <c r="O1715" s="247" t="e">
        <f t="shared" si="186"/>
        <v>#VALUE!</v>
      </c>
      <c r="P1715" s="247">
        <f t="shared" si="187"/>
        <v>0</v>
      </c>
      <c r="Q1715" s="247" t="e">
        <f t="shared" si="188"/>
        <v>#VALUE!</v>
      </c>
    </row>
    <row r="1716" spans="1:17" ht="15" customHeight="1" x14ac:dyDescent="0.25">
      <c r="A1716" s="244"/>
      <c r="B1716" s="244"/>
      <c r="C1716" s="244"/>
      <c r="D1716" s="244"/>
      <c r="E1716" s="244"/>
      <c r="F1716" s="244"/>
      <c r="G1716" s="244"/>
      <c r="I1716" s="244"/>
      <c r="J1716" s="244"/>
      <c r="K1716" s="246" t="e">
        <f t="shared" si="182"/>
        <v>#VALUE!</v>
      </c>
      <c r="L1716" s="246" t="e">
        <f t="shared" si="183"/>
        <v>#VALUE!</v>
      </c>
      <c r="M1716" s="247" t="e">
        <f t="shared" si="184"/>
        <v>#VALUE!</v>
      </c>
      <c r="N1716" s="246" t="e">
        <f t="shared" si="185"/>
        <v>#VALUE!</v>
      </c>
      <c r="O1716" s="247" t="e">
        <f t="shared" si="186"/>
        <v>#VALUE!</v>
      </c>
      <c r="P1716" s="247">
        <f t="shared" si="187"/>
        <v>0</v>
      </c>
      <c r="Q1716" s="247" t="e">
        <f t="shared" si="188"/>
        <v>#VALUE!</v>
      </c>
    </row>
    <row r="1717" spans="1:17" ht="15" customHeight="1" x14ac:dyDescent="0.25">
      <c r="A1717" s="244"/>
      <c r="B1717" s="244"/>
      <c r="C1717" s="244"/>
      <c r="D1717" s="244"/>
      <c r="E1717" s="244"/>
      <c r="F1717" s="244"/>
      <c r="G1717" s="244"/>
      <c r="I1717" s="244"/>
      <c r="J1717" s="244"/>
      <c r="K1717" s="246" t="e">
        <f t="shared" si="182"/>
        <v>#VALUE!</v>
      </c>
      <c r="L1717" s="246" t="e">
        <f t="shared" si="183"/>
        <v>#VALUE!</v>
      </c>
      <c r="M1717" s="247" t="e">
        <f t="shared" si="184"/>
        <v>#VALUE!</v>
      </c>
      <c r="N1717" s="246" t="e">
        <f t="shared" si="185"/>
        <v>#VALUE!</v>
      </c>
      <c r="O1717" s="247" t="e">
        <f t="shared" si="186"/>
        <v>#VALUE!</v>
      </c>
      <c r="P1717" s="247">
        <f t="shared" si="187"/>
        <v>0</v>
      </c>
      <c r="Q1717" s="247" t="e">
        <f t="shared" si="188"/>
        <v>#VALUE!</v>
      </c>
    </row>
    <row r="1718" spans="1:17" ht="15" customHeight="1" x14ac:dyDescent="0.25">
      <c r="A1718" s="244"/>
      <c r="B1718" s="244"/>
      <c r="C1718" s="244"/>
      <c r="D1718" s="244"/>
      <c r="E1718" s="244"/>
      <c r="F1718" s="244"/>
      <c r="G1718" s="244"/>
      <c r="I1718" s="244"/>
      <c r="J1718" s="244"/>
      <c r="K1718" s="246" t="e">
        <f t="shared" si="182"/>
        <v>#VALUE!</v>
      </c>
      <c r="L1718" s="246" t="e">
        <f t="shared" si="183"/>
        <v>#VALUE!</v>
      </c>
      <c r="M1718" s="247" t="e">
        <f t="shared" si="184"/>
        <v>#VALUE!</v>
      </c>
      <c r="N1718" s="246" t="e">
        <f t="shared" si="185"/>
        <v>#VALUE!</v>
      </c>
      <c r="O1718" s="247" t="e">
        <f t="shared" si="186"/>
        <v>#VALUE!</v>
      </c>
      <c r="P1718" s="247">
        <f t="shared" si="187"/>
        <v>0</v>
      </c>
      <c r="Q1718" s="247" t="e">
        <f t="shared" si="188"/>
        <v>#VALUE!</v>
      </c>
    </row>
    <row r="1719" spans="1:17" ht="15" customHeight="1" x14ac:dyDescent="0.25">
      <c r="A1719" s="244"/>
      <c r="B1719" s="244"/>
      <c r="C1719" s="244"/>
      <c r="D1719" s="244"/>
      <c r="E1719" s="244"/>
      <c r="F1719" s="244"/>
      <c r="G1719" s="244"/>
      <c r="I1719" s="244"/>
      <c r="J1719" s="244"/>
      <c r="K1719" s="246" t="e">
        <f t="shared" si="182"/>
        <v>#VALUE!</v>
      </c>
      <c r="L1719" s="246" t="e">
        <f t="shared" si="183"/>
        <v>#VALUE!</v>
      </c>
      <c r="M1719" s="247" t="e">
        <f t="shared" si="184"/>
        <v>#VALUE!</v>
      </c>
      <c r="N1719" s="246" t="e">
        <f t="shared" si="185"/>
        <v>#VALUE!</v>
      </c>
      <c r="O1719" s="247" t="e">
        <f t="shared" si="186"/>
        <v>#VALUE!</v>
      </c>
      <c r="P1719" s="247">
        <f t="shared" si="187"/>
        <v>0</v>
      </c>
      <c r="Q1719" s="247" t="e">
        <f t="shared" si="188"/>
        <v>#VALUE!</v>
      </c>
    </row>
    <row r="1720" spans="1:17" ht="15" customHeight="1" x14ac:dyDescent="0.25">
      <c r="A1720" s="244"/>
      <c r="B1720" s="244"/>
      <c r="C1720" s="244"/>
      <c r="D1720" s="244"/>
      <c r="E1720" s="244"/>
      <c r="F1720" s="244"/>
      <c r="G1720" s="244"/>
      <c r="I1720" s="244"/>
      <c r="J1720" s="244"/>
      <c r="K1720" s="246" t="e">
        <f t="shared" si="182"/>
        <v>#VALUE!</v>
      </c>
      <c r="L1720" s="246" t="e">
        <f t="shared" si="183"/>
        <v>#VALUE!</v>
      </c>
      <c r="M1720" s="247" t="e">
        <f t="shared" si="184"/>
        <v>#VALUE!</v>
      </c>
      <c r="N1720" s="246" t="e">
        <f t="shared" si="185"/>
        <v>#VALUE!</v>
      </c>
      <c r="O1720" s="247" t="e">
        <f t="shared" si="186"/>
        <v>#VALUE!</v>
      </c>
      <c r="P1720" s="247">
        <f t="shared" si="187"/>
        <v>0</v>
      </c>
      <c r="Q1720" s="247" t="e">
        <f t="shared" si="188"/>
        <v>#VALUE!</v>
      </c>
    </row>
    <row r="1721" spans="1:17" ht="15" customHeight="1" x14ac:dyDescent="0.25">
      <c r="A1721" s="244"/>
      <c r="B1721" s="244"/>
      <c r="C1721" s="244"/>
      <c r="D1721" s="244"/>
      <c r="E1721" s="244"/>
      <c r="F1721" s="244"/>
      <c r="G1721" s="244"/>
      <c r="I1721" s="244"/>
      <c r="J1721" s="244"/>
      <c r="K1721" s="246" t="e">
        <f t="shared" si="182"/>
        <v>#VALUE!</v>
      </c>
      <c r="L1721" s="246" t="e">
        <f t="shared" si="183"/>
        <v>#VALUE!</v>
      </c>
      <c r="M1721" s="247" t="e">
        <f t="shared" si="184"/>
        <v>#VALUE!</v>
      </c>
      <c r="N1721" s="246" t="e">
        <f t="shared" si="185"/>
        <v>#VALUE!</v>
      </c>
      <c r="O1721" s="247" t="e">
        <f t="shared" si="186"/>
        <v>#VALUE!</v>
      </c>
      <c r="P1721" s="247">
        <f t="shared" si="187"/>
        <v>0</v>
      </c>
      <c r="Q1721" s="247" t="e">
        <f t="shared" si="188"/>
        <v>#VALUE!</v>
      </c>
    </row>
    <row r="1722" spans="1:17" ht="15" customHeight="1" x14ac:dyDescent="0.25">
      <c r="A1722" s="244"/>
      <c r="B1722" s="244"/>
      <c r="C1722" s="244"/>
      <c r="D1722" s="244"/>
      <c r="E1722" s="244"/>
      <c r="F1722" s="244"/>
      <c r="G1722" s="244"/>
      <c r="I1722" s="244"/>
      <c r="J1722" s="244"/>
      <c r="K1722" s="246" t="e">
        <f t="shared" si="182"/>
        <v>#VALUE!</v>
      </c>
      <c r="L1722" s="246" t="e">
        <f t="shared" si="183"/>
        <v>#VALUE!</v>
      </c>
      <c r="M1722" s="247" t="e">
        <f t="shared" si="184"/>
        <v>#VALUE!</v>
      </c>
      <c r="N1722" s="246" t="e">
        <f t="shared" si="185"/>
        <v>#VALUE!</v>
      </c>
      <c r="O1722" s="247" t="e">
        <f t="shared" si="186"/>
        <v>#VALUE!</v>
      </c>
      <c r="P1722" s="247">
        <f t="shared" si="187"/>
        <v>0</v>
      </c>
      <c r="Q1722" s="247" t="e">
        <f t="shared" si="188"/>
        <v>#VALUE!</v>
      </c>
    </row>
    <row r="1723" spans="1:17" ht="15" customHeight="1" x14ac:dyDescent="0.25">
      <c r="A1723" s="244"/>
      <c r="B1723" s="244"/>
      <c r="C1723" s="244"/>
      <c r="D1723" s="244"/>
      <c r="E1723" s="244"/>
      <c r="F1723" s="244"/>
      <c r="G1723" s="244"/>
      <c r="I1723" s="244"/>
      <c r="J1723" s="244"/>
      <c r="K1723" s="246" t="e">
        <f t="shared" si="182"/>
        <v>#VALUE!</v>
      </c>
      <c r="L1723" s="246" t="e">
        <f t="shared" si="183"/>
        <v>#VALUE!</v>
      </c>
      <c r="M1723" s="247" t="e">
        <f t="shared" si="184"/>
        <v>#VALUE!</v>
      </c>
      <c r="N1723" s="246" t="e">
        <f t="shared" si="185"/>
        <v>#VALUE!</v>
      </c>
      <c r="O1723" s="247" t="e">
        <f t="shared" si="186"/>
        <v>#VALUE!</v>
      </c>
      <c r="P1723" s="247">
        <f t="shared" si="187"/>
        <v>0</v>
      </c>
      <c r="Q1723" s="247" t="e">
        <f t="shared" si="188"/>
        <v>#VALUE!</v>
      </c>
    </row>
    <row r="1724" spans="1:17" ht="15" customHeight="1" x14ac:dyDescent="0.25">
      <c r="A1724" s="244"/>
      <c r="B1724" s="244"/>
      <c r="C1724" s="244"/>
      <c r="D1724" s="244"/>
      <c r="E1724" s="244"/>
      <c r="F1724" s="244"/>
      <c r="G1724" s="244"/>
      <c r="I1724" s="244"/>
      <c r="J1724" s="244"/>
      <c r="K1724" s="246" t="e">
        <f t="shared" si="182"/>
        <v>#VALUE!</v>
      </c>
      <c r="L1724" s="246" t="e">
        <f t="shared" si="183"/>
        <v>#VALUE!</v>
      </c>
      <c r="M1724" s="247" t="e">
        <f t="shared" si="184"/>
        <v>#VALUE!</v>
      </c>
      <c r="N1724" s="246" t="e">
        <f t="shared" si="185"/>
        <v>#VALUE!</v>
      </c>
      <c r="O1724" s="247" t="e">
        <f t="shared" si="186"/>
        <v>#VALUE!</v>
      </c>
      <c r="P1724" s="247">
        <f t="shared" si="187"/>
        <v>0</v>
      </c>
      <c r="Q1724" s="247" t="e">
        <f t="shared" si="188"/>
        <v>#VALUE!</v>
      </c>
    </row>
    <row r="1725" spans="1:17" ht="15" customHeight="1" x14ac:dyDescent="0.25">
      <c r="A1725" s="244"/>
      <c r="B1725" s="244"/>
      <c r="C1725" s="244"/>
      <c r="D1725" s="244"/>
      <c r="E1725" s="244"/>
      <c r="F1725" s="244"/>
      <c r="G1725" s="244"/>
      <c r="I1725" s="244"/>
      <c r="J1725" s="244"/>
      <c r="K1725" s="246" t="e">
        <f t="shared" si="182"/>
        <v>#VALUE!</v>
      </c>
      <c r="L1725" s="246" t="e">
        <f t="shared" si="183"/>
        <v>#VALUE!</v>
      </c>
      <c r="M1725" s="247" t="e">
        <f t="shared" si="184"/>
        <v>#VALUE!</v>
      </c>
      <c r="N1725" s="246" t="e">
        <f t="shared" si="185"/>
        <v>#VALUE!</v>
      </c>
      <c r="O1725" s="247" t="e">
        <f t="shared" si="186"/>
        <v>#VALUE!</v>
      </c>
      <c r="P1725" s="247">
        <f t="shared" si="187"/>
        <v>0</v>
      </c>
      <c r="Q1725" s="247" t="e">
        <f t="shared" si="188"/>
        <v>#VALUE!</v>
      </c>
    </row>
    <row r="1726" spans="1:17" ht="15" customHeight="1" x14ac:dyDescent="0.25">
      <c r="A1726" s="244"/>
      <c r="B1726" s="244"/>
      <c r="C1726" s="244"/>
      <c r="D1726" s="244"/>
      <c r="E1726" s="244"/>
      <c r="F1726" s="244"/>
      <c r="G1726" s="244"/>
      <c r="I1726" s="244"/>
      <c r="J1726" s="244"/>
      <c r="K1726" s="246" t="e">
        <f t="shared" si="182"/>
        <v>#VALUE!</v>
      </c>
      <c r="L1726" s="246" t="e">
        <f t="shared" si="183"/>
        <v>#VALUE!</v>
      </c>
      <c r="M1726" s="247" t="e">
        <f t="shared" si="184"/>
        <v>#VALUE!</v>
      </c>
      <c r="N1726" s="246" t="e">
        <f t="shared" si="185"/>
        <v>#VALUE!</v>
      </c>
      <c r="O1726" s="247" t="e">
        <f t="shared" si="186"/>
        <v>#VALUE!</v>
      </c>
      <c r="P1726" s="247">
        <f t="shared" si="187"/>
        <v>0</v>
      </c>
      <c r="Q1726" s="247" t="e">
        <f t="shared" si="188"/>
        <v>#VALUE!</v>
      </c>
    </row>
    <row r="1727" spans="1:17" ht="15" customHeight="1" x14ac:dyDescent="0.25">
      <c r="A1727" s="244"/>
      <c r="B1727" s="244"/>
      <c r="C1727" s="244"/>
      <c r="D1727" s="244"/>
      <c r="E1727" s="244"/>
      <c r="F1727" s="244"/>
      <c r="G1727" s="244"/>
      <c r="I1727" s="244"/>
      <c r="J1727" s="244"/>
      <c r="K1727" s="246" t="e">
        <f t="shared" si="182"/>
        <v>#VALUE!</v>
      </c>
      <c r="L1727" s="246" t="e">
        <f t="shared" si="183"/>
        <v>#VALUE!</v>
      </c>
      <c r="M1727" s="247" t="e">
        <f t="shared" si="184"/>
        <v>#VALUE!</v>
      </c>
      <c r="N1727" s="246" t="e">
        <f t="shared" si="185"/>
        <v>#VALUE!</v>
      </c>
      <c r="O1727" s="247" t="e">
        <f t="shared" si="186"/>
        <v>#VALUE!</v>
      </c>
      <c r="P1727" s="247">
        <f t="shared" si="187"/>
        <v>0</v>
      </c>
      <c r="Q1727" s="247" t="e">
        <f t="shared" si="188"/>
        <v>#VALUE!</v>
      </c>
    </row>
    <row r="1728" spans="1:17" ht="15" customHeight="1" x14ac:dyDescent="0.25">
      <c r="A1728" s="244"/>
      <c r="B1728" s="244"/>
      <c r="C1728" s="244"/>
      <c r="D1728" s="244"/>
      <c r="E1728" s="244"/>
      <c r="F1728" s="244"/>
      <c r="G1728" s="244"/>
      <c r="I1728" s="244"/>
      <c r="J1728" s="244"/>
      <c r="K1728" s="246" t="e">
        <f t="shared" si="182"/>
        <v>#VALUE!</v>
      </c>
      <c r="L1728" s="246" t="e">
        <f t="shared" si="183"/>
        <v>#VALUE!</v>
      </c>
      <c r="M1728" s="247" t="e">
        <f t="shared" si="184"/>
        <v>#VALUE!</v>
      </c>
      <c r="N1728" s="246" t="e">
        <f t="shared" si="185"/>
        <v>#VALUE!</v>
      </c>
      <c r="O1728" s="247" t="e">
        <f t="shared" si="186"/>
        <v>#VALUE!</v>
      </c>
      <c r="P1728" s="247">
        <f t="shared" si="187"/>
        <v>0</v>
      </c>
      <c r="Q1728" s="247" t="e">
        <f t="shared" si="188"/>
        <v>#VALUE!</v>
      </c>
    </row>
    <row r="1729" spans="1:17" ht="15" customHeight="1" x14ac:dyDescent="0.25">
      <c r="A1729" s="244"/>
      <c r="B1729" s="244"/>
      <c r="C1729" s="244"/>
      <c r="D1729" s="244"/>
      <c r="E1729" s="244"/>
      <c r="F1729" s="244"/>
      <c r="G1729" s="244"/>
      <c r="I1729" s="244"/>
      <c r="J1729" s="244"/>
      <c r="K1729" s="246" t="e">
        <f t="shared" si="182"/>
        <v>#VALUE!</v>
      </c>
      <c r="L1729" s="246" t="e">
        <f t="shared" si="183"/>
        <v>#VALUE!</v>
      </c>
      <c r="M1729" s="247" t="e">
        <f t="shared" si="184"/>
        <v>#VALUE!</v>
      </c>
      <c r="N1729" s="246" t="e">
        <f t="shared" si="185"/>
        <v>#VALUE!</v>
      </c>
      <c r="O1729" s="247" t="e">
        <f t="shared" si="186"/>
        <v>#VALUE!</v>
      </c>
      <c r="P1729" s="247">
        <f t="shared" si="187"/>
        <v>0</v>
      </c>
      <c r="Q1729" s="247" t="e">
        <f t="shared" si="188"/>
        <v>#VALUE!</v>
      </c>
    </row>
    <row r="1730" spans="1:17" ht="15" customHeight="1" x14ac:dyDescent="0.25">
      <c r="A1730" s="244"/>
      <c r="B1730" s="244"/>
      <c r="C1730" s="244"/>
      <c r="D1730" s="244"/>
      <c r="E1730" s="244"/>
      <c r="F1730" s="244"/>
      <c r="G1730" s="244"/>
      <c r="I1730" s="244"/>
      <c r="J1730" s="244"/>
      <c r="K1730" s="246" t="e">
        <f t="shared" ref="K1730:K1793" si="189">DATE(VALUE(LEFT(A1730,4)),VALUE(MID(A1730,5,2)),VALUE(RIGHT(A1730,2)))</f>
        <v>#VALUE!</v>
      </c>
      <c r="L1730" s="246" t="e">
        <f t="shared" ref="L1730:L1793" si="190">DATEVALUE(LEFT(F1730,10))</f>
        <v>#VALUE!</v>
      </c>
      <c r="M1730" s="247" t="e">
        <f t="shared" ref="M1730:M1793" si="191">TIMEVALUE(MID(F1730,12,8))</f>
        <v>#VALUE!</v>
      </c>
      <c r="N1730" s="246" t="e">
        <f t="shared" ref="N1730:N1793" si="192">DATEVALUE(LEFT(G1730,10))</f>
        <v>#VALUE!</v>
      </c>
      <c r="O1730" s="247" t="e">
        <f t="shared" ref="O1730:O1793" si="193">TIMEVALUE(MID(G1730,12,8))</f>
        <v>#VALUE!</v>
      </c>
      <c r="P1730" s="247">
        <f t="shared" ref="P1730:P1793" si="194">IFERROR(_xlfn.MINIFS($M:$M,$E:$E,$E1730,$K:$K,$K1730,$M:$M,"&gt;"&amp;$O1730),"")</f>
        <v>0</v>
      </c>
      <c r="Q1730" s="247" t="e">
        <f t="shared" ref="Q1730:Q1793" si="195">IF($P1730="","",$P1730-$O1730)</f>
        <v>#VALUE!</v>
      </c>
    </row>
    <row r="1731" spans="1:17" ht="15" customHeight="1" x14ac:dyDescent="0.25">
      <c r="A1731" s="244"/>
      <c r="B1731" s="244"/>
      <c r="C1731" s="244"/>
      <c r="D1731" s="244"/>
      <c r="E1731" s="244"/>
      <c r="F1731" s="244"/>
      <c r="G1731" s="244"/>
      <c r="I1731" s="244"/>
      <c r="J1731" s="244"/>
      <c r="K1731" s="246" t="e">
        <f t="shared" si="189"/>
        <v>#VALUE!</v>
      </c>
      <c r="L1731" s="246" t="e">
        <f t="shared" si="190"/>
        <v>#VALUE!</v>
      </c>
      <c r="M1731" s="247" t="e">
        <f t="shared" si="191"/>
        <v>#VALUE!</v>
      </c>
      <c r="N1731" s="246" t="e">
        <f t="shared" si="192"/>
        <v>#VALUE!</v>
      </c>
      <c r="O1731" s="247" t="e">
        <f t="shared" si="193"/>
        <v>#VALUE!</v>
      </c>
      <c r="P1731" s="247">
        <f t="shared" si="194"/>
        <v>0</v>
      </c>
      <c r="Q1731" s="247" t="e">
        <f t="shared" si="195"/>
        <v>#VALUE!</v>
      </c>
    </row>
    <row r="1732" spans="1:17" ht="15" customHeight="1" x14ac:dyDescent="0.25">
      <c r="A1732" s="244"/>
      <c r="B1732" s="244"/>
      <c r="C1732" s="244"/>
      <c r="D1732" s="244"/>
      <c r="E1732" s="244"/>
      <c r="F1732" s="244"/>
      <c r="G1732" s="244"/>
      <c r="I1732" s="244"/>
      <c r="J1732" s="244"/>
      <c r="K1732" s="246" t="e">
        <f t="shared" si="189"/>
        <v>#VALUE!</v>
      </c>
      <c r="L1732" s="246" t="e">
        <f t="shared" si="190"/>
        <v>#VALUE!</v>
      </c>
      <c r="M1732" s="247" t="e">
        <f t="shared" si="191"/>
        <v>#VALUE!</v>
      </c>
      <c r="N1732" s="246" t="e">
        <f t="shared" si="192"/>
        <v>#VALUE!</v>
      </c>
      <c r="O1732" s="247" t="e">
        <f t="shared" si="193"/>
        <v>#VALUE!</v>
      </c>
      <c r="P1732" s="247">
        <f t="shared" si="194"/>
        <v>0</v>
      </c>
      <c r="Q1732" s="247" t="e">
        <f t="shared" si="195"/>
        <v>#VALUE!</v>
      </c>
    </row>
    <row r="1733" spans="1:17" ht="15" customHeight="1" x14ac:dyDescent="0.25">
      <c r="A1733" s="244"/>
      <c r="B1733" s="244"/>
      <c r="C1733" s="244"/>
      <c r="D1733" s="244"/>
      <c r="E1733" s="244"/>
      <c r="F1733" s="244"/>
      <c r="G1733" s="244"/>
      <c r="I1733" s="244"/>
      <c r="J1733" s="244"/>
      <c r="K1733" s="246" t="e">
        <f t="shared" si="189"/>
        <v>#VALUE!</v>
      </c>
      <c r="L1733" s="246" t="e">
        <f t="shared" si="190"/>
        <v>#VALUE!</v>
      </c>
      <c r="M1733" s="247" t="e">
        <f t="shared" si="191"/>
        <v>#VALUE!</v>
      </c>
      <c r="N1733" s="246" t="e">
        <f t="shared" si="192"/>
        <v>#VALUE!</v>
      </c>
      <c r="O1733" s="247" t="e">
        <f t="shared" si="193"/>
        <v>#VALUE!</v>
      </c>
      <c r="P1733" s="247">
        <f t="shared" si="194"/>
        <v>0</v>
      </c>
      <c r="Q1733" s="247" t="e">
        <f t="shared" si="195"/>
        <v>#VALUE!</v>
      </c>
    </row>
    <row r="1734" spans="1:17" ht="15" customHeight="1" x14ac:dyDescent="0.25">
      <c r="A1734" s="244"/>
      <c r="B1734" s="244"/>
      <c r="C1734" s="244"/>
      <c r="D1734" s="244"/>
      <c r="E1734" s="244"/>
      <c r="F1734" s="244"/>
      <c r="G1734" s="244"/>
      <c r="I1734" s="244"/>
      <c r="J1734" s="244"/>
      <c r="K1734" s="246" t="e">
        <f t="shared" si="189"/>
        <v>#VALUE!</v>
      </c>
      <c r="L1734" s="246" t="e">
        <f t="shared" si="190"/>
        <v>#VALUE!</v>
      </c>
      <c r="M1734" s="247" t="e">
        <f t="shared" si="191"/>
        <v>#VALUE!</v>
      </c>
      <c r="N1734" s="246" t="e">
        <f t="shared" si="192"/>
        <v>#VALUE!</v>
      </c>
      <c r="O1734" s="247" t="e">
        <f t="shared" si="193"/>
        <v>#VALUE!</v>
      </c>
      <c r="P1734" s="247">
        <f t="shared" si="194"/>
        <v>0</v>
      </c>
      <c r="Q1734" s="247" t="e">
        <f t="shared" si="195"/>
        <v>#VALUE!</v>
      </c>
    </row>
    <row r="1735" spans="1:17" ht="15" customHeight="1" x14ac:dyDescent="0.25">
      <c r="A1735" s="244"/>
      <c r="B1735" s="244"/>
      <c r="C1735" s="244"/>
      <c r="D1735" s="244"/>
      <c r="E1735" s="244"/>
      <c r="F1735" s="244"/>
      <c r="G1735" s="244"/>
      <c r="I1735" s="244"/>
      <c r="J1735" s="244"/>
      <c r="K1735" s="246" t="e">
        <f t="shared" si="189"/>
        <v>#VALUE!</v>
      </c>
      <c r="L1735" s="246" t="e">
        <f t="shared" si="190"/>
        <v>#VALUE!</v>
      </c>
      <c r="M1735" s="247" t="e">
        <f t="shared" si="191"/>
        <v>#VALUE!</v>
      </c>
      <c r="N1735" s="246" t="e">
        <f t="shared" si="192"/>
        <v>#VALUE!</v>
      </c>
      <c r="O1735" s="247" t="e">
        <f t="shared" si="193"/>
        <v>#VALUE!</v>
      </c>
      <c r="P1735" s="247">
        <f t="shared" si="194"/>
        <v>0</v>
      </c>
      <c r="Q1735" s="247" t="e">
        <f t="shared" si="195"/>
        <v>#VALUE!</v>
      </c>
    </row>
    <row r="1736" spans="1:17" ht="15" customHeight="1" x14ac:dyDescent="0.25">
      <c r="A1736" s="244"/>
      <c r="B1736" s="244"/>
      <c r="C1736" s="244"/>
      <c r="D1736" s="244"/>
      <c r="E1736" s="244"/>
      <c r="F1736" s="244"/>
      <c r="G1736" s="244"/>
      <c r="I1736" s="244"/>
      <c r="J1736" s="244"/>
      <c r="K1736" s="246" t="e">
        <f t="shared" si="189"/>
        <v>#VALUE!</v>
      </c>
      <c r="L1736" s="246" t="e">
        <f t="shared" si="190"/>
        <v>#VALUE!</v>
      </c>
      <c r="M1736" s="247" t="e">
        <f t="shared" si="191"/>
        <v>#VALUE!</v>
      </c>
      <c r="N1736" s="246" t="e">
        <f t="shared" si="192"/>
        <v>#VALUE!</v>
      </c>
      <c r="O1736" s="247" t="e">
        <f t="shared" si="193"/>
        <v>#VALUE!</v>
      </c>
      <c r="P1736" s="247">
        <f t="shared" si="194"/>
        <v>0</v>
      </c>
      <c r="Q1736" s="247" t="e">
        <f t="shared" si="195"/>
        <v>#VALUE!</v>
      </c>
    </row>
    <row r="1737" spans="1:17" ht="15" customHeight="1" x14ac:dyDescent="0.25">
      <c r="A1737" s="244"/>
      <c r="B1737" s="244"/>
      <c r="C1737" s="244"/>
      <c r="D1737" s="244"/>
      <c r="E1737" s="244"/>
      <c r="F1737" s="244"/>
      <c r="G1737" s="244"/>
      <c r="I1737" s="244"/>
      <c r="J1737" s="244"/>
      <c r="K1737" s="246" t="e">
        <f t="shared" si="189"/>
        <v>#VALUE!</v>
      </c>
      <c r="L1737" s="246" t="e">
        <f t="shared" si="190"/>
        <v>#VALUE!</v>
      </c>
      <c r="M1737" s="247" t="e">
        <f t="shared" si="191"/>
        <v>#VALUE!</v>
      </c>
      <c r="N1737" s="246" t="e">
        <f t="shared" si="192"/>
        <v>#VALUE!</v>
      </c>
      <c r="O1737" s="247" t="e">
        <f t="shared" si="193"/>
        <v>#VALUE!</v>
      </c>
      <c r="P1737" s="247">
        <f t="shared" si="194"/>
        <v>0</v>
      </c>
      <c r="Q1737" s="247" t="e">
        <f t="shared" si="195"/>
        <v>#VALUE!</v>
      </c>
    </row>
    <row r="1738" spans="1:17" ht="15" customHeight="1" x14ac:dyDescent="0.25">
      <c r="A1738" s="244"/>
      <c r="B1738" s="244"/>
      <c r="C1738" s="244"/>
      <c r="D1738" s="244"/>
      <c r="E1738" s="244"/>
      <c r="F1738" s="244"/>
      <c r="G1738" s="244"/>
      <c r="I1738" s="244"/>
      <c r="J1738" s="244"/>
      <c r="K1738" s="246" t="e">
        <f t="shared" si="189"/>
        <v>#VALUE!</v>
      </c>
      <c r="L1738" s="246" t="e">
        <f t="shared" si="190"/>
        <v>#VALUE!</v>
      </c>
      <c r="M1738" s="247" t="e">
        <f t="shared" si="191"/>
        <v>#VALUE!</v>
      </c>
      <c r="N1738" s="246" t="e">
        <f t="shared" si="192"/>
        <v>#VALUE!</v>
      </c>
      <c r="O1738" s="247" t="e">
        <f t="shared" si="193"/>
        <v>#VALUE!</v>
      </c>
      <c r="P1738" s="247">
        <f t="shared" si="194"/>
        <v>0</v>
      </c>
      <c r="Q1738" s="247" t="e">
        <f t="shared" si="195"/>
        <v>#VALUE!</v>
      </c>
    </row>
    <row r="1739" spans="1:17" ht="15" customHeight="1" x14ac:dyDescent="0.25">
      <c r="A1739" s="244"/>
      <c r="B1739" s="244"/>
      <c r="C1739" s="244"/>
      <c r="D1739" s="244"/>
      <c r="E1739" s="244"/>
      <c r="F1739" s="244"/>
      <c r="G1739" s="244"/>
      <c r="I1739" s="244"/>
      <c r="J1739" s="244"/>
      <c r="K1739" s="246" t="e">
        <f t="shared" si="189"/>
        <v>#VALUE!</v>
      </c>
      <c r="L1739" s="246" t="e">
        <f t="shared" si="190"/>
        <v>#VALUE!</v>
      </c>
      <c r="M1739" s="247" t="e">
        <f t="shared" si="191"/>
        <v>#VALUE!</v>
      </c>
      <c r="N1739" s="246" t="e">
        <f t="shared" si="192"/>
        <v>#VALUE!</v>
      </c>
      <c r="O1739" s="247" t="e">
        <f t="shared" si="193"/>
        <v>#VALUE!</v>
      </c>
      <c r="P1739" s="247">
        <f t="shared" si="194"/>
        <v>0</v>
      </c>
      <c r="Q1739" s="247" t="e">
        <f t="shared" si="195"/>
        <v>#VALUE!</v>
      </c>
    </row>
    <row r="1740" spans="1:17" ht="15" customHeight="1" x14ac:dyDescent="0.25">
      <c r="A1740" s="244"/>
      <c r="B1740" s="244"/>
      <c r="C1740" s="244"/>
      <c r="D1740" s="244"/>
      <c r="E1740" s="244"/>
      <c r="F1740" s="244"/>
      <c r="G1740" s="244"/>
      <c r="I1740" s="244"/>
      <c r="J1740" s="244"/>
      <c r="K1740" s="246" t="e">
        <f t="shared" si="189"/>
        <v>#VALUE!</v>
      </c>
      <c r="L1740" s="246" t="e">
        <f t="shared" si="190"/>
        <v>#VALUE!</v>
      </c>
      <c r="M1740" s="247" t="e">
        <f t="shared" si="191"/>
        <v>#VALUE!</v>
      </c>
      <c r="N1740" s="246" t="e">
        <f t="shared" si="192"/>
        <v>#VALUE!</v>
      </c>
      <c r="O1740" s="247" t="e">
        <f t="shared" si="193"/>
        <v>#VALUE!</v>
      </c>
      <c r="P1740" s="247">
        <f t="shared" si="194"/>
        <v>0</v>
      </c>
      <c r="Q1740" s="247" t="e">
        <f t="shared" si="195"/>
        <v>#VALUE!</v>
      </c>
    </row>
    <row r="1741" spans="1:17" ht="15" customHeight="1" x14ac:dyDescent="0.25">
      <c r="A1741" s="244"/>
      <c r="B1741" s="244"/>
      <c r="C1741" s="244"/>
      <c r="D1741" s="244"/>
      <c r="E1741" s="244"/>
      <c r="F1741" s="244"/>
      <c r="G1741" s="244"/>
      <c r="I1741" s="244"/>
      <c r="J1741" s="244"/>
      <c r="K1741" s="246" t="e">
        <f t="shared" si="189"/>
        <v>#VALUE!</v>
      </c>
      <c r="L1741" s="246" t="e">
        <f t="shared" si="190"/>
        <v>#VALUE!</v>
      </c>
      <c r="M1741" s="247" t="e">
        <f t="shared" si="191"/>
        <v>#VALUE!</v>
      </c>
      <c r="N1741" s="246" t="e">
        <f t="shared" si="192"/>
        <v>#VALUE!</v>
      </c>
      <c r="O1741" s="247" t="e">
        <f t="shared" si="193"/>
        <v>#VALUE!</v>
      </c>
      <c r="P1741" s="247">
        <f t="shared" si="194"/>
        <v>0</v>
      </c>
      <c r="Q1741" s="247" t="e">
        <f t="shared" si="195"/>
        <v>#VALUE!</v>
      </c>
    </row>
    <row r="1742" spans="1:17" ht="15" customHeight="1" x14ac:dyDescent="0.25">
      <c r="A1742" s="244"/>
      <c r="B1742" s="244"/>
      <c r="C1742" s="244"/>
      <c r="D1742" s="244"/>
      <c r="E1742" s="244"/>
      <c r="F1742" s="244"/>
      <c r="G1742" s="244"/>
      <c r="I1742" s="244"/>
      <c r="J1742" s="244"/>
      <c r="K1742" s="246" t="e">
        <f t="shared" si="189"/>
        <v>#VALUE!</v>
      </c>
      <c r="L1742" s="246" t="e">
        <f t="shared" si="190"/>
        <v>#VALUE!</v>
      </c>
      <c r="M1742" s="247" t="e">
        <f t="shared" si="191"/>
        <v>#VALUE!</v>
      </c>
      <c r="N1742" s="246" t="e">
        <f t="shared" si="192"/>
        <v>#VALUE!</v>
      </c>
      <c r="O1742" s="247" t="e">
        <f t="shared" si="193"/>
        <v>#VALUE!</v>
      </c>
      <c r="P1742" s="247">
        <f t="shared" si="194"/>
        <v>0</v>
      </c>
      <c r="Q1742" s="247" t="e">
        <f t="shared" si="195"/>
        <v>#VALUE!</v>
      </c>
    </row>
    <row r="1743" spans="1:17" ht="15" customHeight="1" x14ac:dyDescent="0.25">
      <c r="A1743" s="244"/>
      <c r="B1743" s="244"/>
      <c r="C1743" s="244"/>
      <c r="D1743" s="244"/>
      <c r="E1743" s="244"/>
      <c r="F1743" s="244"/>
      <c r="G1743" s="244"/>
      <c r="I1743" s="244"/>
      <c r="J1743" s="244"/>
      <c r="K1743" s="246" t="e">
        <f t="shared" si="189"/>
        <v>#VALUE!</v>
      </c>
      <c r="L1743" s="246" t="e">
        <f t="shared" si="190"/>
        <v>#VALUE!</v>
      </c>
      <c r="M1743" s="247" t="e">
        <f t="shared" si="191"/>
        <v>#VALUE!</v>
      </c>
      <c r="N1743" s="246" t="e">
        <f t="shared" si="192"/>
        <v>#VALUE!</v>
      </c>
      <c r="O1743" s="247" t="e">
        <f t="shared" si="193"/>
        <v>#VALUE!</v>
      </c>
      <c r="P1743" s="247">
        <f t="shared" si="194"/>
        <v>0</v>
      </c>
      <c r="Q1743" s="247" t="e">
        <f t="shared" si="195"/>
        <v>#VALUE!</v>
      </c>
    </row>
    <row r="1744" spans="1:17" ht="15" customHeight="1" x14ac:dyDescent="0.25">
      <c r="A1744" s="244"/>
      <c r="B1744" s="244"/>
      <c r="C1744" s="244"/>
      <c r="D1744" s="244"/>
      <c r="E1744" s="244"/>
      <c r="F1744" s="244"/>
      <c r="G1744" s="244"/>
      <c r="I1744" s="244"/>
      <c r="J1744" s="244"/>
      <c r="K1744" s="246" t="e">
        <f t="shared" si="189"/>
        <v>#VALUE!</v>
      </c>
      <c r="L1744" s="246" t="e">
        <f t="shared" si="190"/>
        <v>#VALUE!</v>
      </c>
      <c r="M1744" s="247" t="e">
        <f t="shared" si="191"/>
        <v>#VALUE!</v>
      </c>
      <c r="N1744" s="246" t="e">
        <f t="shared" si="192"/>
        <v>#VALUE!</v>
      </c>
      <c r="O1744" s="247" t="e">
        <f t="shared" si="193"/>
        <v>#VALUE!</v>
      </c>
      <c r="P1744" s="247">
        <f t="shared" si="194"/>
        <v>0</v>
      </c>
      <c r="Q1744" s="247" t="e">
        <f t="shared" si="195"/>
        <v>#VALUE!</v>
      </c>
    </row>
    <row r="1745" spans="1:17" ht="15" customHeight="1" x14ac:dyDescent="0.25">
      <c r="A1745" s="244"/>
      <c r="B1745" s="244"/>
      <c r="C1745" s="244"/>
      <c r="D1745" s="244"/>
      <c r="E1745" s="244"/>
      <c r="F1745" s="244"/>
      <c r="G1745" s="244"/>
      <c r="I1745" s="244"/>
      <c r="J1745" s="244"/>
      <c r="K1745" s="246" t="e">
        <f t="shared" si="189"/>
        <v>#VALUE!</v>
      </c>
      <c r="L1745" s="246" t="e">
        <f t="shared" si="190"/>
        <v>#VALUE!</v>
      </c>
      <c r="M1745" s="247" t="e">
        <f t="shared" si="191"/>
        <v>#VALUE!</v>
      </c>
      <c r="N1745" s="246" t="e">
        <f t="shared" si="192"/>
        <v>#VALUE!</v>
      </c>
      <c r="O1745" s="247" t="e">
        <f t="shared" si="193"/>
        <v>#VALUE!</v>
      </c>
      <c r="P1745" s="247">
        <f t="shared" si="194"/>
        <v>0</v>
      </c>
      <c r="Q1745" s="247" t="e">
        <f t="shared" si="195"/>
        <v>#VALUE!</v>
      </c>
    </row>
    <row r="1746" spans="1:17" ht="15" customHeight="1" x14ac:dyDescent="0.25">
      <c r="A1746" s="244"/>
      <c r="B1746" s="244"/>
      <c r="C1746" s="244"/>
      <c r="D1746" s="244"/>
      <c r="E1746" s="244"/>
      <c r="F1746" s="244"/>
      <c r="G1746" s="244"/>
      <c r="I1746" s="244"/>
      <c r="J1746" s="244"/>
      <c r="K1746" s="246" t="e">
        <f t="shared" si="189"/>
        <v>#VALUE!</v>
      </c>
      <c r="L1746" s="246" t="e">
        <f t="shared" si="190"/>
        <v>#VALUE!</v>
      </c>
      <c r="M1746" s="247" t="e">
        <f t="shared" si="191"/>
        <v>#VALUE!</v>
      </c>
      <c r="N1746" s="246" t="e">
        <f t="shared" si="192"/>
        <v>#VALUE!</v>
      </c>
      <c r="O1746" s="247" t="e">
        <f t="shared" si="193"/>
        <v>#VALUE!</v>
      </c>
      <c r="P1746" s="247">
        <f t="shared" si="194"/>
        <v>0</v>
      </c>
      <c r="Q1746" s="247" t="e">
        <f t="shared" si="195"/>
        <v>#VALUE!</v>
      </c>
    </row>
    <row r="1747" spans="1:17" ht="15" customHeight="1" x14ac:dyDescent="0.25">
      <c r="A1747" s="244"/>
      <c r="B1747" s="244"/>
      <c r="C1747" s="244"/>
      <c r="D1747" s="244"/>
      <c r="E1747" s="244"/>
      <c r="F1747" s="244"/>
      <c r="G1747" s="244"/>
      <c r="I1747" s="244"/>
      <c r="J1747" s="244"/>
      <c r="K1747" s="246" t="e">
        <f t="shared" si="189"/>
        <v>#VALUE!</v>
      </c>
      <c r="L1747" s="246" t="e">
        <f t="shared" si="190"/>
        <v>#VALUE!</v>
      </c>
      <c r="M1747" s="247" t="e">
        <f t="shared" si="191"/>
        <v>#VALUE!</v>
      </c>
      <c r="N1747" s="246" t="e">
        <f t="shared" si="192"/>
        <v>#VALUE!</v>
      </c>
      <c r="O1747" s="247" t="e">
        <f t="shared" si="193"/>
        <v>#VALUE!</v>
      </c>
      <c r="P1747" s="247">
        <f t="shared" si="194"/>
        <v>0</v>
      </c>
      <c r="Q1747" s="247" t="e">
        <f t="shared" si="195"/>
        <v>#VALUE!</v>
      </c>
    </row>
    <row r="1748" spans="1:17" ht="15" customHeight="1" x14ac:dyDescent="0.25">
      <c r="A1748" s="244"/>
      <c r="B1748" s="244"/>
      <c r="C1748" s="244"/>
      <c r="D1748" s="244"/>
      <c r="E1748" s="244"/>
      <c r="F1748" s="244"/>
      <c r="G1748" s="244"/>
      <c r="I1748" s="244"/>
      <c r="J1748" s="244"/>
      <c r="K1748" s="246" t="e">
        <f t="shared" si="189"/>
        <v>#VALUE!</v>
      </c>
      <c r="L1748" s="246" t="e">
        <f t="shared" si="190"/>
        <v>#VALUE!</v>
      </c>
      <c r="M1748" s="247" t="e">
        <f t="shared" si="191"/>
        <v>#VALUE!</v>
      </c>
      <c r="N1748" s="246" t="e">
        <f t="shared" si="192"/>
        <v>#VALUE!</v>
      </c>
      <c r="O1748" s="247" t="e">
        <f t="shared" si="193"/>
        <v>#VALUE!</v>
      </c>
      <c r="P1748" s="247">
        <f t="shared" si="194"/>
        <v>0</v>
      </c>
      <c r="Q1748" s="247" t="e">
        <f t="shared" si="195"/>
        <v>#VALUE!</v>
      </c>
    </row>
    <row r="1749" spans="1:17" ht="15" customHeight="1" x14ac:dyDescent="0.25">
      <c r="A1749" s="244"/>
      <c r="B1749" s="244"/>
      <c r="C1749" s="244"/>
      <c r="D1749" s="244"/>
      <c r="E1749" s="244"/>
      <c r="F1749" s="244"/>
      <c r="G1749" s="244"/>
      <c r="I1749" s="244"/>
      <c r="J1749" s="244"/>
      <c r="K1749" s="246" t="e">
        <f t="shared" si="189"/>
        <v>#VALUE!</v>
      </c>
      <c r="L1749" s="246" t="e">
        <f t="shared" si="190"/>
        <v>#VALUE!</v>
      </c>
      <c r="M1749" s="247" t="e">
        <f t="shared" si="191"/>
        <v>#VALUE!</v>
      </c>
      <c r="N1749" s="246" t="e">
        <f t="shared" si="192"/>
        <v>#VALUE!</v>
      </c>
      <c r="O1749" s="247" t="e">
        <f t="shared" si="193"/>
        <v>#VALUE!</v>
      </c>
      <c r="P1749" s="247">
        <f t="shared" si="194"/>
        <v>0</v>
      </c>
      <c r="Q1749" s="247" t="e">
        <f t="shared" si="195"/>
        <v>#VALUE!</v>
      </c>
    </row>
    <row r="1750" spans="1:17" ht="15" customHeight="1" x14ac:dyDescent="0.25">
      <c r="A1750" s="244"/>
      <c r="B1750" s="244"/>
      <c r="C1750" s="244"/>
      <c r="D1750" s="244"/>
      <c r="E1750" s="244"/>
      <c r="F1750" s="244"/>
      <c r="G1750" s="244"/>
      <c r="I1750" s="244"/>
      <c r="J1750" s="244"/>
      <c r="K1750" s="246" t="e">
        <f t="shared" si="189"/>
        <v>#VALUE!</v>
      </c>
      <c r="L1750" s="246" t="e">
        <f t="shared" si="190"/>
        <v>#VALUE!</v>
      </c>
      <c r="M1750" s="247" t="e">
        <f t="shared" si="191"/>
        <v>#VALUE!</v>
      </c>
      <c r="N1750" s="246" t="e">
        <f t="shared" si="192"/>
        <v>#VALUE!</v>
      </c>
      <c r="O1750" s="247" t="e">
        <f t="shared" si="193"/>
        <v>#VALUE!</v>
      </c>
      <c r="P1750" s="247">
        <f t="shared" si="194"/>
        <v>0</v>
      </c>
      <c r="Q1750" s="247" t="e">
        <f t="shared" si="195"/>
        <v>#VALUE!</v>
      </c>
    </row>
    <row r="1751" spans="1:17" ht="15" customHeight="1" x14ac:dyDescent="0.25">
      <c r="A1751" s="244"/>
      <c r="B1751" s="244"/>
      <c r="C1751" s="244"/>
      <c r="D1751" s="244"/>
      <c r="E1751" s="244"/>
      <c r="F1751" s="244"/>
      <c r="G1751" s="244"/>
      <c r="I1751" s="244"/>
      <c r="J1751" s="244"/>
      <c r="K1751" s="246" t="e">
        <f t="shared" si="189"/>
        <v>#VALUE!</v>
      </c>
      <c r="L1751" s="246" t="e">
        <f t="shared" si="190"/>
        <v>#VALUE!</v>
      </c>
      <c r="M1751" s="247" t="e">
        <f t="shared" si="191"/>
        <v>#VALUE!</v>
      </c>
      <c r="N1751" s="246" t="e">
        <f t="shared" si="192"/>
        <v>#VALUE!</v>
      </c>
      <c r="O1751" s="247" t="e">
        <f t="shared" si="193"/>
        <v>#VALUE!</v>
      </c>
      <c r="P1751" s="247">
        <f t="shared" si="194"/>
        <v>0</v>
      </c>
      <c r="Q1751" s="247" t="e">
        <f t="shared" si="195"/>
        <v>#VALUE!</v>
      </c>
    </row>
    <row r="1752" spans="1:17" ht="15" customHeight="1" x14ac:dyDescent="0.25">
      <c r="A1752" s="244"/>
      <c r="B1752" s="244"/>
      <c r="C1752" s="244"/>
      <c r="D1752" s="244"/>
      <c r="E1752" s="244"/>
      <c r="F1752" s="244"/>
      <c r="G1752" s="244"/>
      <c r="I1752" s="244"/>
      <c r="J1752" s="244"/>
      <c r="K1752" s="246" t="e">
        <f t="shared" si="189"/>
        <v>#VALUE!</v>
      </c>
      <c r="L1752" s="246" t="e">
        <f t="shared" si="190"/>
        <v>#VALUE!</v>
      </c>
      <c r="M1752" s="247" t="e">
        <f t="shared" si="191"/>
        <v>#VALUE!</v>
      </c>
      <c r="N1752" s="246" t="e">
        <f t="shared" si="192"/>
        <v>#VALUE!</v>
      </c>
      <c r="O1752" s="247" t="e">
        <f t="shared" si="193"/>
        <v>#VALUE!</v>
      </c>
      <c r="P1752" s="247">
        <f t="shared" si="194"/>
        <v>0</v>
      </c>
      <c r="Q1752" s="247" t="e">
        <f t="shared" si="195"/>
        <v>#VALUE!</v>
      </c>
    </row>
    <row r="1753" spans="1:17" ht="15" customHeight="1" x14ac:dyDescent="0.25">
      <c r="A1753" s="244"/>
      <c r="B1753" s="244"/>
      <c r="C1753" s="244"/>
      <c r="D1753" s="244"/>
      <c r="E1753" s="244"/>
      <c r="F1753" s="244"/>
      <c r="G1753" s="244"/>
      <c r="I1753" s="244"/>
      <c r="J1753" s="244"/>
      <c r="K1753" s="246" t="e">
        <f t="shared" si="189"/>
        <v>#VALUE!</v>
      </c>
      <c r="L1753" s="246" t="e">
        <f t="shared" si="190"/>
        <v>#VALUE!</v>
      </c>
      <c r="M1753" s="247" t="e">
        <f t="shared" si="191"/>
        <v>#VALUE!</v>
      </c>
      <c r="N1753" s="246" t="e">
        <f t="shared" si="192"/>
        <v>#VALUE!</v>
      </c>
      <c r="O1753" s="247" t="e">
        <f t="shared" si="193"/>
        <v>#VALUE!</v>
      </c>
      <c r="P1753" s="247">
        <f t="shared" si="194"/>
        <v>0</v>
      </c>
      <c r="Q1753" s="247" t="e">
        <f t="shared" si="195"/>
        <v>#VALUE!</v>
      </c>
    </row>
    <row r="1754" spans="1:17" ht="15" customHeight="1" x14ac:dyDescent="0.25">
      <c r="A1754" s="244"/>
      <c r="B1754" s="244"/>
      <c r="C1754" s="244"/>
      <c r="D1754" s="244"/>
      <c r="E1754" s="244"/>
      <c r="F1754" s="244"/>
      <c r="G1754" s="244"/>
      <c r="I1754" s="244"/>
      <c r="J1754" s="244"/>
      <c r="K1754" s="246" t="e">
        <f t="shared" si="189"/>
        <v>#VALUE!</v>
      </c>
      <c r="L1754" s="246" t="e">
        <f t="shared" si="190"/>
        <v>#VALUE!</v>
      </c>
      <c r="M1754" s="247" t="e">
        <f t="shared" si="191"/>
        <v>#VALUE!</v>
      </c>
      <c r="N1754" s="246" t="e">
        <f t="shared" si="192"/>
        <v>#VALUE!</v>
      </c>
      <c r="O1754" s="247" t="e">
        <f t="shared" si="193"/>
        <v>#VALUE!</v>
      </c>
      <c r="P1754" s="247">
        <f t="shared" si="194"/>
        <v>0</v>
      </c>
      <c r="Q1754" s="247" t="e">
        <f t="shared" si="195"/>
        <v>#VALUE!</v>
      </c>
    </row>
    <row r="1755" spans="1:17" ht="15" customHeight="1" x14ac:dyDescent="0.25">
      <c r="A1755" s="244"/>
      <c r="B1755" s="244"/>
      <c r="C1755" s="244"/>
      <c r="D1755" s="244"/>
      <c r="E1755" s="244"/>
      <c r="F1755" s="244"/>
      <c r="G1755" s="244"/>
      <c r="I1755" s="244"/>
      <c r="J1755" s="244"/>
      <c r="K1755" s="246" t="e">
        <f t="shared" si="189"/>
        <v>#VALUE!</v>
      </c>
      <c r="L1755" s="246" t="e">
        <f t="shared" si="190"/>
        <v>#VALUE!</v>
      </c>
      <c r="M1755" s="247" t="e">
        <f t="shared" si="191"/>
        <v>#VALUE!</v>
      </c>
      <c r="N1755" s="246" t="e">
        <f t="shared" si="192"/>
        <v>#VALUE!</v>
      </c>
      <c r="O1755" s="247" t="e">
        <f t="shared" si="193"/>
        <v>#VALUE!</v>
      </c>
      <c r="P1755" s="247">
        <f t="shared" si="194"/>
        <v>0</v>
      </c>
      <c r="Q1755" s="247" t="e">
        <f t="shared" si="195"/>
        <v>#VALUE!</v>
      </c>
    </row>
    <row r="1756" spans="1:17" ht="15" customHeight="1" x14ac:dyDescent="0.25">
      <c r="A1756" s="244"/>
      <c r="B1756" s="244"/>
      <c r="C1756" s="244"/>
      <c r="D1756" s="244"/>
      <c r="E1756" s="244"/>
      <c r="F1756" s="244"/>
      <c r="G1756" s="244"/>
      <c r="I1756" s="244"/>
      <c r="J1756" s="244"/>
      <c r="K1756" s="246" t="e">
        <f t="shared" si="189"/>
        <v>#VALUE!</v>
      </c>
      <c r="L1756" s="246" t="e">
        <f t="shared" si="190"/>
        <v>#VALUE!</v>
      </c>
      <c r="M1756" s="247" t="e">
        <f t="shared" si="191"/>
        <v>#VALUE!</v>
      </c>
      <c r="N1756" s="246" t="e">
        <f t="shared" si="192"/>
        <v>#VALUE!</v>
      </c>
      <c r="O1756" s="247" t="e">
        <f t="shared" si="193"/>
        <v>#VALUE!</v>
      </c>
      <c r="P1756" s="247">
        <f t="shared" si="194"/>
        <v>0</v>
      </c>
      <c r="Q1756" s="247" t="e">
        <f t="shared" si="195"/>
        <v>#VALUE!</v>
      </c>
    </row>
    <row r="1757" spans="1:17" ht="15" customHeight="1" x14ac:dyDescent="0.25">
      <c r="A1757" s="244"/>
      <c r="B1757" s="244"/>
      <c r="C1757" s="244"/>
      <c r="D1757" s="244"/>
      <c r="E1757" s="244"/>
      <c r="F1757" s="244"/>
      <c r="G1757" s="244"/>
      <c r="I1757" s="244"/>
      <c r="J1757" s="244"/>
      <c r="K1757" s="246" t="e">
        <f t="shared" si="189"/>
        <v>#VALUE!</v>
      </c>
      <c r="L1757" s="246" t="e">
        <f t="shared" si="190"/>
        <v>#VALUE!</v>
      </c>
      <c r="M1757" s="247" t="e">
        <f t="shared" si="191"/>
        <v>#VALUE!</v>
      </c>
      <c r="N1757" s="246" t="e">
        <f t="shared" si="192"/>
        <v>#VALUE!</v>
      </c>
      <c r="O1757" s="247" t="e">
        <f t="shared" si="193"/>
        <v>#VALUE!</v>
      </c>
      <c r="P1757" s="247">
        <f t="shared" si="194"/>
        <v>0</v>
      </c>
      <c r="Q1757" s="247" t="e">
        <f t="shared" si="195"/>
        <v>#VALUE!</v>
      </c>
    </row>
    <row r="1758" spans="1:17" ht="15" customHeight="1" x14ac:dyDescent="0.25">
      <c r="A1758" s="244"/>
      <c r="B1758" s="244"/>
      <c r="C1758" s="244"/>
      <c r="D1758" s="244"/>
      <c r="E1758" s="244"/>
      <c r="F1758" s="244"/>
      <c r="G1758" s="244"/>
      <c r="I1758" s="244"/>
      <c r="J1758" s="244"/>
      <c r="K1758" s="246" t="e">
        <f t="shared" si="189"/>
        <v>#VALUE!</v>
      </c>
      <c r="L1758" s="246" t="e">
        <f t="shared" si="190"/>
        <v>#VALUE!</v>
      </c>
      <c r="M1758" s="247" t="e">
        <f t="shared" si="191"/>
        <v>#VALUE!</v>
      </c>
      <c r="N1758" s="246" t="e">
        <f t="shared" si="192"/>
        <v>#VALUE!</v>
      </c>
      <c r="O1758" s="247" t="e">
        <f t="shared" si="193"/>
        <v>#VALUE!</v>
      </c>
      <c r="P1758" s="247">
        <f t="shared" si="194"/>
        <v>0</v>
      </c>
      <c r="Q1758" s="247" t="e">
        <f t="shared" si="195"/>
        <v>#VALUE!</v>
      </c>
    </row>
    <row r="1759" spans="1:17" ht="15" customHeight="1" x14ac:dyDescent="0.25">
      <c r="A1759" s="244"/>
      <c r="B1759" s="244"/>
      <c r="C1759" s="244"/>
      <c r="D1759" s="244"/>
      <c r="E1759" s="244"/>
      <c r="F1759" s="244"/>
      <c r="G1759" s="244"/>
      <c r="I1759" s="244"/>
      <c r="J1759" s="244"/>
      <c r="K1759" s="246" t="e">
        <f t="shared" si="189"/>
        <v>#VALUE!</v>
      </c>
      <c r="L1759" s="246" t="e">
        <f t="shared" si="190"/>
        <v>#VALUE!</v>
      </c>
      <c r="M1759" s="247" t="e">
        <f t="shared" si="191"/>
        <v>#VALUE!</v>
      </c>
      <c r="N1759" s="246" t="e">
        <f t="shared" si="192"/>
        <v>#VALUE!</v>
      </c>
      <c r="O1759" s="247" t="e">
        <f t="shared" si="193"/>
        <v>#VALUE!</v>
      </c>
      <c r="P1759" s="247">
        <f t="shared" si="194"/>
        <v>0</v>
      </c>
      <c r="Q1759" s="247" t="e">
        <f t="shared" si="195"/>
        <v>#VALUE!</v>
      </c>
    </row>
    <row r="1760" spans="1:17" ht="15" customHeight="1" x14ac:dyDescent="0.25">
      <c r="A1760" s="244"/>
      <c r="B1760" s="244"/>
      <c r="C1760" s="244"/>
      <c r="D1760" s="244"/>
      <c r="E1760" s="244"/>
      <c r="F1760" s="244"/>
      <c r="G1760" s="244"/>
      <c r="I1760" s="244"/>
      <c r="J1760" s="244"/>
      <c r="K1760" s="246" t="e">
        <f t="shared" si="189"/>
        <v>#VALUE!</v>
      </c>
      <c r="L1760" s="246" t="e">
        <f t="shared" si="190"/>
        <v>#VALUE!</v>
      </c>
      <c r="M1760" s="247" t="e">
        <f t="shared" si="191"/>
        <v>#VALUE!</v>
      </c>
      <c r="N1760" s="246" t="e">
        <f t="shared" si="192"/>
        <v>#VALUE!</v>
      </c>
      <c r="O1760" s="247" t="e">
        <f t="shared" si="193"/>
        <v>#VALUE!</v>
      </c>
      <c r="P1760" s="247">
        <f t="shared" si="194"/>
        <v>0</v>
      </c>
      <c r="Q1760" s="247" t="e">
        <f t="shared" si="195"/>
        <v>#VALUE!</v>
      </c>
    </row>
    <row r="1761" spans="1:17" ht="15" customHeight="1" x14ac:dyDescent="0.25">
      <c r="A1761" s="244"/>
      <c r="B1761" s="244"/>
      <c r="C1761" s="244"/>
      <c r="D1761" s="244"/>
      <c r="E1761" s="244"/>
      <c r="F1761" s="244"/>
      <c r="G1761" s="244"/>
      <c r="I1761" s="244"/>
      <c r="J1761" s="244"/>
      <c r="K1761" s="246" t="e">
        <f t="shared" si="189"/>
        <v>#VALUE!</v>
      </c>
      <c r="L1761" s="246" t="e">
        <f t="shared" si="190"/>
        <v>#VALUE!</v>
      </c>
      <c r="M1761" s="247" t="e">
        <f t="shared" si="191"/>
        <v>#VALUE!</v>
      </c>
      <c r="N1761" s="246" t="e">
        <f t="shared" si="192"/>
        <v>#VALUE!</v>
      </c>
      <c r="O1761" s="247" t="e">
        <f t="shared" si="193"/>
        <v>#VALUE!</v>
      </c>
      <c r="P1761" s="247">
        <f t="shared" si="194"/>
        <v>0</v>
      </c>
      <c r="Q1761" s="247" t="e">
        <f t="shared" si="195"/>
        <v>#VALUE!</v>
      </c>
    </row>
    <row r="1762" spans="1:17" ht="15" customHeight="1" x14ac:dyDescent="0.25">
      <c r="A1762" s="244"/>
      <c r="B1762" s="244"/>
      <c r="C1762" s="244"/>
      <c r="D1762" s="244"/>
      <c r="E1762" s="244"/>
      <c r="F1762" s="244"/>
      <c r="G1762" s="244"/>
      <c r="I1762" s="244"/>
      <c r="J1762" s="244"/>
      <c r="K1762" s="246" t="e">
        <f t="shared" si="189"/>
        <v>#VALUE!</v>
      </c>
      <c r="L1762" s="246" t="e">
        <f t="shared" si="190"/>
        <v>#VALUE!</v>
      </c>
      <c r="M1762" s="247" t="e">
        <f t="shared" si="191"/>
        <v>#VALUE!</v>
      </c>
      <c r="N1762" s="246" t="e">
        <f t="shared" si="192"/>
        <v>#VALUE!</v>
      </c>
      <c r="O1762" s="247" t="e">
        <f t="shared" si="193"/>
        <v>#VALUE!</v>
      </c>
      <c r="P1762" s="247">
        <f t="shared" si="194"/>
        <v>0</v>
      </c>
      <c r="Q1762" s="247" t="e">
        <f t="shared" si="195"/>
        <v>#VALUE!</v>
      </c>
    </row>
    <row r="1763" spans="1:17" ht="15" customHeight="1" x14ac:dyDescent="0.25">
      <c r="A1763" s="244"/>
      <c r="B1763" s="244"/>
      <c r="C1763" s="244"/>
      <c r="D1763" s="244"/>
      <c r="E1763" s="244"/>
      <c r="F1763" s="244"/>
      <c r="G1763" s="244"/>
      <c r="I1763" s="244"/>
      <c r="J1763" s="244"/>
      <c r="K1763" s="246" t="e">
        <f t="shared" si="189"/>
        <v>#VALUE!</v>
      </c>
      <c r="L1763" s="246" t="e">
        <f t="shared" si="190"/>
        <v>#VALUE!</v>
      </c>
      <c r="M1763" s="247" t="e">
        <f t="shared" si="191"/>
        <v>#VALUE!</v>
      </c>
      <c r="N1763" s="246" t="e">
        <f t="shared" si="192"/>
        <v>#VALUE!</v>
      </c>
      <c r="O1763" s="247" t="e">
        <f t="shared" si="193"/>
        <v>#VALUE!</v>
      </c>
      <c r="P1763" s="247">
        <f t="shared" si="194"/>
        <v>0</v>
      </c>
      <c r="Q1763" s="247" t="e">
        <f t="shared" si="195"/>
        <v>#VALUE!</v>
      </c>
    </row>
    <row r="1764" spans="1:17" ht="15" customHeight="1" x14ac:dyDescent="0.25">
      <c r="A1764" s="244"/>
      <c r="B1764" s="244"/>
      <c r="C1764" s="244"/>
      <c r="D1764" s="244"/>
      <c r="E1764" s="244"/>
      <c r="F1764" s="244"/>
      <c r="G1764" s="244"/>
      <c r="I1764" s="244"/>
      <c r="J1764" s="244"/>
      <c r="K1764" s="246" t="e">
        <f t="shared" si="189"/>
        <v>#VALUE!</v>
      </c>
      <c r="L1764" s="246" t="e">
        <f t="shared" si="190"/>
        <v>#VALUE!</v>
      </c>
      <c r="M1764" s="247" t="e">
        <f t="shared" si="191"/>
        <v>#VALUE!</v>
      </c>
      <c r="N1764" s="246" t="e">
        <f t="shared" si="192"/>
        <v>#VALUE!</v>
      </c>
      <c r="O1764" s="247" t="e">
        <f t="shared" si="193"/>
        <v>#VALUE!</v>
      </c>
      <c r="P1764" s="247">
        <f t="shared" si="194"/>
        <v>0</v>
      </c>
      <c r="Q1764" s="247" t="e">
        <f t="shared" si="195"/>
        <v>#VALUE!</v>
      </c>
    </row>
    <row r="1765" spans="1:17" ht="15" customHeight="1" x14ac:dyDescent="0.25">
      <c r="A1765" s="244"/>
      <c r="B1765" s="244"/>
      <c r="C1765" s="244"/>
      <c r="D1765" s="244"/>
      <c r="E1765" s="244"/>
      <c r="F1765" s="244"/>
      <c r="G1765" s="244"/>
      <c r="I1765" s="244"/>
      <c r="J1765" s="244"/>
      <c r="K1765" s="246" t="e">
        <f t="shared" si="189"/>
        <v>#VALUE!</v>
      </c>
      <c r="L1765" s="246" t="e">
        <f t="shared" si="190"/>
        <v>#VALUE!</v>
      </c>
      <c r="M1765" s="247" t="e">
        <f t="shared" si="191"/>
        <v>#VALUE!</v>
      </c>
      <c r="N1765" s="246" t="e">
        <f t="shared" si="192"/>
        <v>#VALUE!</v>
      </c>
      <c r="O1765" s="247" t="e">
        <f t="shared" si="193"/>
        <v>#VALUE!</v>
      </c>
      <c r="P1765" s="247">
        <f t="shared" si="194"/>
        <v>0</v>
      </c>
      <c r="Q1765" s="247" t="e">
        <f t="shared" si="195"/>
        <v>#VALUE!</v>
      </c>
    </row>
    <row r="1766" spans="1:17" ht="15" customHeight="1" x14ac:dyDescent="0.25">
      <c r="A1766" s="244"/>
      <c r="B1766" s="244"/>
      <c r="C1766" s="244"/>
      <c r="D1766" s="244"/>
      <c r="E1766" s="244"/>
      <c r="F1766" s="244"/>
      <c r="G1766" s="244"/>
      <c r="I1766" s="244"/>
      <c r="J1766" s="244"/>
      <c r="K1766" s="246" t="e">
        <f t="shared" si="189"/>
        <v>#VALUE!</v>
      </c>
      <c r="L1766" s="246" t="e">
        <f t="shared" si="190"/>
        <v>#VALUE!</v>
      </c>
      <c r="M1766" s="247" t="e">
        <f t="shared" si="191"/>
        <v>#VALUE!</v>
      </c>
      <c r="N1766" s="246" t="e">
        <f t="shared" si="192"/>
        <v>#VALUE!</v>
      </c>
      <c r="O1766" s="247" t="e">
        <f t="shared" si="193"/>
        <v>#VALUE!</v>
      </c>
      <c r="P1766" s="247">
        <f t="shared" si="194"/>
        <v>0</v>
      </c>
      <c r="Q1766" s="247" t="e">
        <f t="shared" si="195"/>
        <v>#VALUE!</v>
      </c>
    </row>
    <row r="1767" spans="1:17" ht="15" customHeight="1" x14ac:dyDescent="0.25">
      <c r="A1767" s="244"/>
      <c r="B1767" s="244"/>
      <c r="C1767" s="244"/>
      <c r="D1767" s="244"/>
      <c r="E1767" s="244"/>
      <c r="F1767" s="244"/>
      <c r="G1767" s="244"/>
      <c r="I1767" s="244"/>
      <c r="J1767" s="244"/>
      <c r="K1767" s="246" t="e">
        <f t="shared" si="189"/>
        <v>#VALUE!</v>
      </c>
      <c r="L1767" s="246" t="e">
        <f t="shared" si="190"/>
        <v>#VALUE!</v>
      </c>
      <c r="M1767" s="247" t="e">
        <f t="shared" si="191"/>
        <v>#VALUE!</v>
      </c>
      <c r="N1767" s="246" t="e">
        <f t="shared" si="192"/>
        <v>#VALUE!</v>
      </c>
      <c r="O1767" s="247" t="e">
        <f t="shared" si="193"/>
        <v>#VALUE!</v>
      </c>
      <c r="P1767" s="247">
        <f t="shared" si="194"/>
        <v>0</v>
      </c>
      <c r="Q1767" s="247" t="e">
        <f t="shared" si="195"/>
        <v>#VALUE!</v>
      </c>
    </row>
    <row r="1768" spans="1:17" ht="15" customHeight="1" x14ac:dyDescent="0.25">
      <c r="A1768" s="244"/>
      <c r="B1768" s="244"/>
      <c r="C1768" s="244"/>
      <c r="D1768" s="244"/>
      <c r="E1768" s="244"/>
      <c r="F1768" s="244"/>
      <c r="G1768" s="244"/>
      <c r="I1768" s="244"/>
      <c r="J1768" s="244"/>
      <c r="K1768" s="246" t="e">
        <f t="shared" si="189"/>
        <v>#VALUE!</v>
      </c>
      <c r="L1768" s="246" t="e">
        <f t="shared" si="190"/>
        <v>#VALUE!</v>
      </c>
      <c r="M1768" s="247" t="e">
        <f t="shared" si="191"/>
        <v>#VALUE!</v>
      </c>
      <c r="N1768" s="246" t="e">
        <f t="shared" si="192"/>
        <v>#VALUE!</v>
      </c>
      <c r="O1768" s="247" t="e">
        <f t="shared" si="193"/>
        <v>#VALUE!</v>
      </c>
      <c r="P1768" s="247">
        <f t="shared" si="194"/>
        <v>0</v>
      </c>
      <c r="Q1768" s="247" t="e">
        <f t="shared" si="195"/>
        <v>#VALUE!</v>
      </c>
    </row>
    <row r="1769" spans="1:17" ht="15" customHeight="1" x14ac:dyDescent="0.25">
      <c r="A1769" s="244"/>
      <c r="B1769" s="244"/>
      <c r="C1769" s="244"/>
      <c r="D1769" s="244"/>
      <c r="E1769" s="244"/>
      <c r="F1769" s="244"/>
      <c r="G1769" s="244"/>
      <c r="I1769" s="244"/>
      <c r="J1769" s="244"/>
      <c r="K1769" s="246" t="e">
        <f t="shared" si="189"/>
        <v>#VALUE!</v>
      </c>
      <c r="L1769" s="246" t="e">
        <f t="shared" si="190"/>
        <v>#VALUE!</v>
      </c>
      <c r="M1769" s="247" t="e">
        <f t="shared" si="191"/>
        <v>#VALUE!</v>
      </c>
      <c r="N1769" s="246" t="e">
        <f t="shared" si="192"/>
        <v>#VALUE!</v>
      </c>
      <c r="O1769" s="247" t="e">
        <f t="shared" si="193"/>
        <v>#VALUE!</v>
      </c>
      <c r="P1769" s="247">
        <f t="shared" si="194"/>
        <v>0</v>
      </c>
      <c r="Q1769" s="247" t="e">
        <f t="shared" si="195"/>
        <v>#VALUE!</v>
      </c>
    </row>
    <row r="1770" spans="1:17" ht="15" customHeight="1" x14ac:dyDescent="0.25">
      <c r="A1770" s="244"/>
      <c r="B1770" s="244"/>
      <c r="C1770" s="244"/>
      <c r="D1770" s="244"/>
      <c r="E1770" s="244"/>
      <c r="F1770" s="244"/>
      <c r="G1770" s="244"/>
      <c r="I1770" s="244"/>
      <c r="J1770" s="244"/>
      <c r="K1770" s="246" t="e">
        <f t="shared" si="189"/>
        <v>#VALUE!</v>
      </c>
      <c r="L1770" s="246" t="e">
        <f t="shared" si="190"/>
        <v>#VALUE!</v>
      </c>
      <c r="M1770" s="247" t="e">
        <f t="shared" si="191"/>
        <v>#VALUE!</v>
      </c>
      <c r="N1770" s="246" t="e">
        <f t="shared" si="192"/>
        <v>#VALUE!</v>
      </c>
      <c r="O1770" s="247" t="e">
        <f t="shared" si="193"/>
        <v>#VALUE!</v>
      </c>
      <c r="P1770" s="247">
        <f t="shared" si="194"/>
        <v>0</v>
      </c>
      <c r="Q1770" s="247" t="e">
        <f t="shared" si="195"/>
        <v>#VALUE!</v>
      </c>
    </row>
    <row r="1771" spans="1:17" ht="15" customHeight="1" x14ac:dyDescent="0.25">
      <c r="A1771" s="244"/>
      <c r="B1771" s="244"/>
      <c r="C1771" s="244"/>
      <c r="D1771" s="244"/>
      <c r="E1771" s="244"/>
      <c r="F1771" s="244"/>
      <c r="G1771" s="244"/>
      <c r="I1771" s="244"/>
      <c r="J1771" s="244"/>
      <c r="K1771" s="246" t="e">
        <f t="shared" si="189"/>
        <v>#VALUE!</v>
      </c>
      <c r="L1771" s="246" t="e">
        <f t="shared" si="190"/>
        <v>#VALUE!</v>
      </c>
      <c r="M1771" s="247" t="e">
        <f t="shared" si="191"/>
        <v>#VALUE!</v>
      </c>
      <c r="N1771" s="246" t="e">
        <f t="shared" si="192"/>
        <v>#VALUE!</v>
      </c>
      <c r="O1771" s="247" t="e">
        <f t="shared" si="193"/>
        <v>#VALUE!</v>
      </c>
      <c r="P1771" s="247">
        <f t="shared" si="194"/>
        <v>0</v>
      </c>
      <c r="Q1771" s="247" t="e">
        <f t="shared" si="195"/>
        <v>#VALUE!</v>
      </c>
    </row>
    <row r="1772" spans="1:17" ht="15" customHeight="1" x14ac:dyDescent="0.25">
      <c r="A1772" s="244"/>
      <c r="B1772" s="244"/>
      <c r="C1772" s="244"/>
      <c r="D1772" s="244"/>
      <c r="E1772" s="244"/>
      <c r="F1772" s="244"/>
      <c r="G1772" s="244"/>
      <c r="I1772" s="244"/>
      <c r="J1772" s="244"/>
      <c r="K1772" s="246" t="e">
        <f t="shared" si="189"/>
        <v>#VALUE!</v>
      </c>
      <c r="L1772" s="246" t="e">
        <f t="shared" si="190"/>
        <v>#VALUE!</v>
      </c>
      <c r="M1772" s="247" t="e">
        <f t="shared" si="191"/>
        <v>#VALUE!</v>
      </c>
      <c r="N1772" s="246" t="e">
        <f t="shared" si="192"/>
        <v>#VALUE!</v>
      </c>
      <c r="O1772" s="247" t="e">
        <f t="shared" si="193"/>
        <v>#VALUE!</v>
      </c>
      <c r="P1772" s="247">
        <f t="shared" si="194"/>
        <v>0</v>
      </c>
      <c r="Q1772" s="247" t="e">
        <f t="shared" si="195"/>
        <v>#VALUE!</v>
      </c>
    </row>
    <row r="1773" spans="1:17" ht="15" customHeight="1" x14ac:dyDescent="0.25">
      <c r="A1773" s="244"/>
      <c r="B1773" s="244"/>
      <c r="C1773" s="244"/>
      <c r="D1773" s="244"/>
      <c r="E1773" s="244"/>
      <c r="F1773" s="244"/>
      <c r="G1773" s="244"/>
      <c r="I1773" s="244"/>
      <c r="J1773" s="244"/>
      <c r="K1773" s="246" t="e">
        <f t="shared" si="189"/>
        <v>#VALUE!</v>
      </c>
      <c r="L1773" s="246" t="e">
        <f t="shared" si="190"/>
        <v>#VALUE!</v>
      </c>
      <c r="M1773" s="247" t="e">
        <f t="shared" si="191"/>
        <v>#VALUE!</v>
      </c>
      <c r="N1773" s="246" t="e">
        <f t="shared" si="192"/>
        <v>#VALUE!</v>
      </c>
      <c r="O1773" s="247" t="e">
        <f t="shared" si="193"/>
        <v>#VALUE!</v>
      </c>
      <c r="P1773" s="247">
        <f t="shared" si="194"/>
        <v>0</v>
      </c>
      <c r="Q1773" s="247" t="e">
        <f t="shared" si="195"/>
        <v>#VALUE!</v>
      </c>
    </row>
    <row r="1774" spans="1:17" ht="15" customHeight="1" x14ac:dyDescent="0.25">
      <c r="A1774" s="244"/>
      <c r="B1774" s="244"/>
      <c r="C1774" s="244"/>
      <c r="D1774" s="244"/>
      <c r="E1774" s="244"/>
      <c r="F1774" s="244"/>
      <c r="G1774" s="244"/>
      <c r="I1774" s="244"/>
      <c r="J1774" s="244"/>
      <c r="K1774" s="246" t="e">
        <f t="shared" si="189"/>
        <v>#VALUE!</v>
      </c>
      <c r="L1774" s="246" t="e">
        <f t="shared" si="190"/>
        <v>#VALUE!</v>
      </c>
      <c r="M1774" s="247" t="e">
        <f t="shared" si="191"/>
        <v>#VALUE!</v>
      </c>
      <c r="N1774" s="246" t="e">
        <f t="shared" si="192"/>
        <v>#VALUE!</v>
      </c>
      <c r="O1774" s="247" t="e">
        <f t="shared" si="193"/>
        <v>#VALUE!</v>
      </c>
      <c r="P1774" s="247">
        <f t="shared" si="194"/>
        <v>0</v>
      </c>
      <c r="Q1774" s="247" t="e">
        <f t="shared" si="195"/>
        <v>#VALUE!</v>
      </c>
    </row>
    <row r="1775" spans="1:17" ht="15" customHeight="1" x14ac:dyDescent="0.25">
      <c r="A1775" s="244"/>
      <c r="B1775" s="244"/>
      <c r="C1775" s="244"/>
      <c r="D1775" s="244"/>
      <c r="E1775" s="244"/>
      <c r="F1775" s="244"/>
      <c r="G1775" s="244"/>
      <c r="I1775" s="244"/>
      <c r="J1775" s="244"/>
      <c r="K1775" s="246" t="e">
        <f t="shared" si="189"/>
        <v>#VALUE!</v>
      </c>
      <c r="L1775" s="246" t="e">
        <f t="shared" si="190"/>
        <v>#VALUE!</v>
      </c>
      <c r="M1775" s="247" t="e">
        <f t="shared" si="191"/>
        <v>#VALUE!</v>
      </c>
      <c r="N1775" s="246" t="e">
        <f t="shared" si="192"/>
        <v>#VALUE!</v>
      </c>
      <c r="O1775" s="247" t="e">
        <f t="shared" si="193"/>
        <v>#VALUE!</v>
      </c>
      <c r="P1775" s="247">
        <f t="shared" si="194"/>
        <v>0</v>
      </c>
      <c r="Q1775" s="247" t="e">
        <f t="shared" si="195"/>
        <v>#VALUE!</v>
      </c>
    </row>
    <row r="1776" spans="1:17" ht="15" customHeight="1" x14ac:dyDescent="0.25">
      <c r="A1776" s="244"/>
      <c r="B1776" s="244"/>
      <c r="C1776" s="244"/>
      <c r="D1776" s="244"/>
      <c r="E1776" s="244"/>
      <c r="F1776" s="244"/>
      <c r="G1776" s="244"/>
      <c r="I1776" s="244"/>
      <c r="J1776" s="244"/>
      <c r="K1776" s="246" t="e">
        <f t="shared" si="189"/>
        <v>#VALUE!</v>
      </c>
      <c r="L1776" s="246" t="e">
        <f t="shared" si="190"/>
        <v>#VALUE!</v>
      </c>
      <c r="M1776" s="247" t="e">
        <f t="shared" si="191"/>
        <v>#VALUE!</v>
      </c>
      <c r="N1776" s="246" t="e">
        <f t="shared" si="192"/>
        <v>#VALUE!</v>
      </c>
      <c r="O1776" s="247" t="e">
        <f t="shared" si="193"/>
        <v>#VALUE!</v>
      </c>
      <c r="P1776" s="247">
        <f t="shared" si="194"/>
        <v>0</v>
      </c>
      <c r="Q1776" s="247" t="e">
        <f t="shared" si="195"/>
        <v>#VALUE!</v>
      </c>
    </row>
    <row r="1777" spans="1:17" ht="15" customHeight="1" x14ac:dyDescent="0.25">
      <c r="A1777" s="244"/>
      <c r="B1777" s="244"/>
      <c r="C1777" s="244"/>
      <c r="D1777" s="244"/>
      <c r="E1777" s="244"/>
      <c r="F1777" s="244"/>
      <c r="G1777" s="244"/>
      <c r="I1777" s="244"/>
      <c r="J1777" s="244"/>
      <c r="K1777" s="246" t="e">
        <f t="shared" si="189"/>
        <v>#VALUE!</v>
      </c>
      <c r="L1777" s="246" t="e">
        <f t="shared" si="190"/>
        <v>#VALUE!</v>
      </c>
      <c r="M1777" s="247" t="e">
        <f t="shared" si="191"/>
        <v>#VALUE!</v>
      </c>
      <c r="N1777" s="246" t="e">
        <f t="shared" si="192"/>
        <v>#VALUE!</v>
      </c>
      <c r="O1777" s="247" t="e">
        <f t="shared" si="193"/>
        <v>#VALUE!</v>
      </c>
      <c r="P1777" s="247">
        <f t="shared" si="194"/>
        <v>0</v>
      </c>
      <c r="Q1777" s="247" t="e">
        <f t="shared" si="195"/>
        <v>#VALUE!</v>
      </c>
    </row>
    <row r="1778" spans="1:17" ht="15" customHeight="1" x14ac:dyDescent="0.25">
      <c r="A1778" s="244"/>
      <c r="B1778" s="244"/>
      <c r="C1778" s="244"/>
      <c r="D1778" s="244"/>
      <c r="E1778" s="244"/>
      <c r="F1778" s="244"/>
      <c r="G1778" s="244"/>
      <c r="I1778" s="244"/>
      <c r="J1778" s="244"/>
      <c r="K1778" s="246" t="e">
        <f t="shared" si="189"/>
        <v>#VALUE!</v>
      </c>
      <c r="L1778" s="246" t="e">
        <f t="shared" si="190"/>
        <v>#VALUE!</v>
      </c>
      <c r="M1778" s="247" t="e">
        <f t="shared" si="191"/>
        <v>#VALUE!</v>
      </c>
      <c r="N1778" s="246" t="e">
        <f t="shared" si="192"/>
        <v>#VALUE!</v>
      </c>
      <c r="O1778" s="247" t="e">
        <f t="shared" si="193"/>
        <v>#VALUE!</v>
      </c>
      <c r="P1778" s="247">
        <f t="shared" si="194"/>
        <v>0</v>
      </c>
      <c r="Q1778" s="247" t="e">
        <f t="shared" si="195"/>
        <v>#VALUE!</v>
      </c>
    </row>
    <row r="1779" spans="1:17" ht="15" customHeight="1" x14ac:dyDescent="0.25">
      <c r="A1779" s="244"/>
      <c r="B1779" s="244"/>
      <c r="C1779" s="244"/>
      <c r="D1779" s="244"/>
      <c r="E1779" s="244"/>
      <c r="F1779" s="244"/>
      <c r="G1779" s="244"/>
      <c r="I1779" s="244"/>
      <c r="J1779" s="244"/>
      <c r="K1779" s="246" t="e">
        <f t="shared" si="189"/>
        <v>#VALUE!</v>
      </c>
      <c r="L1779" s="246" t="e">
        <f t="shared" si="190"/>
        <v>#VALUE!</v>
      </c>
      <c r="M1779" s="247" t="e">
        <f t="shared" si="191"/>
        <v>#VALUE!</v>
      </c>
      <c r="N1779" s="246" t="e">
        <f t="shared" si="192"/>
        <v>#VALUE!</v>
      </c>
      <c r="O1779" s="247" t="e">
        <f t="shared" si="193"/>
        <v>#VALUE!</v>
      </c>
      <c r="P1779" s="247">
        <f t="shared" si="194"/>
        <v>0</v>
      </c>
      <c r="Q1779" s="247" t="e">
        <f t="shared" si="195"/>
        <v>#VALUE!</v>
      </c>
    </row>
    <row r="1780" spans="1:17" ht="15" customHeight="1" x14ac:dyDescent="0.25">
      <c r="A1780" s="244"/>
      <c r="B1780" s="244"/>
      <c r="C1780" s="244"/>
      <c r="D1780" s="244"/>
      <c r="E1780" s="244"/>
      <c r="F1780" s="244"/>
      <c r="G1780" s="244"/>
      <c r="I1780" s="244"/>
      <c r="J1780" s="244"/>
      <c r="K1780" s="246" t="e">
        <f t="shared" si="189"/>
        <v>#VALUE!</v>
      </c>
      <c r="L1780" s="246" t="e">
        <f t="shared" si="190"/>
        <v>#VALUE!</v>
      </c>
      <c r="M1780" s="247" t="e">
        <f t="shared" si="191"/>
        <v>#VALUE!</v>
      </c>
      <c r="N1780" s="246" t="e">
        <f t="shared" si="192"/>
        <v>#VALUE!</v>
      </c>
      <c r="O1780" s="247" t="e">
        <f t="shared" si="193"/>
        <v>#VALUE!</v>
      </c>
      <c r="P1780" s="247">
        <f t="shared" si="194"/>
        <v>0</v>
      </c>
      <c r="Q1780" s="247" t="e">
        <f t="shared" si="195"/>
        <v>#VALUE!</v>
      </c>
    </row>
    <row r="1781" spans="1:17" ht="15" customHeight="1" x14ac:dyDescent="0.25">
      <c r="A1781" s="244"/>
      <c r="B1781" s="244"/>
      <c r="C1781" s="244"/>
      <c r="D1781" s="244"/>
      <c r="E1781" s="244"/>
      <c r="F1781" s="244"/>
      <c r="G1781" s="244"/>
      <c r="I1781" s="244"/>
      <c r="J1781" s="244"/>
      <c r="K1781" s="246" t="e">
        <f t="shared" si="189"/>
        <v>#VALUE!</v>
      </c>
      <c r="L1781" s="246" t="e">
        <f t="shared" si="190"/>
        <v>#VALUE!</v>
      </c>
      <c r="M1781" s="247" t="e">
        <f t="shared" si="191"/>
        <v>#VALUE!</v>
      </c>
      <c r="N1781" s="246" t="e">
        <f t="shared" si="192"/>
        <v>#VALUE!</v>
      </c>
      <c r="O1781" s="247" t="e">
        <f t="shared" si="193"/>
        <v>#VALUE!</v>
      </c>
      <c r="P1781" s="247">
        <f t="shared" si="194"/>
        <v>0</v>
      </c>
      <c r="Q1781" s="247" t="e">
        <f t="shared" si="195"/>
        <v>#VALUE!</v>
      </c>
    </row>
    <row r="1782" spans="1:17" ht="15" customHeight="1" x14ac:dyDescent="0.25">
      <c r="A1782" s="244"/>
      <c r="B1782" s="244"/>
      <c r="C1782" s="244"/>
      <c r="D1782" s="244"/>
      <c r="E1782" s="244"/>
      <c r="F1782" s="244"/>
      <c r="G1782" s="244"/>
      <c r="I1782" s="244"/>
      <c r="J1782" s="244"/>
      <c r="K1782" s="246" t="e">
        <f t="shared" si="189"/>
        <v>#VALUE!</v>
      </c>
      <c r="L1782" s="246" t="e">
        <f t="shared" si="190"/>
        <v>#VALUE!</v>
      </c>
      <c r="M1782" s="247" t="e">
        <f t="shared" si="191"/>
        <v>#VALUE!</v>
      </c>
      <c r="N1782" s="246" t="e">
        <f t="shared" si="192"/>
        <v>#VALUE!</v>
      </c>
      <c r="O1782" s="247" t="e">
        <f t="shared" si="193"/>
        <v>#VALUE!</v>
      </c>
      <c r="P1782" s="247">
        <f t="shared" si="194"/>
        <v>0</v>
      </c>
      <c r="Q1782" s="247" t="e">
        <f t="shared" si="195"/>
        <v>#VALUE!</v>
      </c>
    </row>
    <row r="1783" spans="1:17" ht="15" customHeight="1" x14ac:dyDescent="0.25">
      <c r="A1783" s="244"/>
      <c r="B1783" s="244"/>
      <c r="C1783" s="244"/>
      <c r="D1783" s="244"/>
      <c r="E1783" s="244"/>
      <c r="F1783" s="244"/>
      <c r="G1783" s="244"/>
      <c r="I1783" s="244"/>
      <c r="J1783" s="244"/>
      <c r="K1783" s="246" t="e">
        <f t="shared" si="189"/>
        <v>#VALUE!</v>
      </c>
      <c r="L1783" s="246" t="e">
        <f t="shared" si="190"/>
        <v>#VALUE!</v>
      </c>
      <c r="M1783" s="247" t="e">
        <f t="shared" si="191"/>
        <v>#VALUE!</v>
      </c>
      <c r="N1783" s="246" t="e">
        <f t="shared" si="192"/>
        <v>#VALUE!</v>
      </c>
      <c r="O1783" s="247" t="e">
        <f t="shared" si="193"/>
        <v>#VALUE!</v>
      </c>
      <c r="P1783" s="247">
        <f t="shared" si="194"/>
        <v>0</v>
      </c>
      <c r="Q1783" s="247" t="e">
        <f t="shared" si="195"/>
        <v>#VALUE!</v>
      </c>
    </row>
    <row r="1784" spans="1:17" ht="15" customHeight="1" x14ac:dyDescent="0.25">
      <c r="A1784" s="244"/>
      <c r="B1784" s="244"/>
      <c r="C1784" s="244"/>
      <c r="D1784" s="244"/>
      <c r="E1784" s="244"/>
      <c r="F1784" s="244"/>
      <c r="G1784" s="244"/>
      <c r="I1784" s="244"/>
      <c r="J1784" s="244"/>
      <c r="K1784" s="246" t="e">
        <f t="shared" si="189"/>
        <v>#VALUE!</v>
      </c>
      <c r="L1784" s="246" t="e">
        <f t="shared" si="190"/>
        <v>#VALUE!</v>
      </c>
      <c r="M1784" s="247" t="e">
        <f t="shared" si="191"/>
        <v>#VALUE!</v>
      </c>
      <c r="N1784" s="246" t="e">
        <f t="shared" si="192"/>
        <v>#VALUE!</v>
      </c>
      <c r="O1784" s="247" t="e">
        <f t="shared" si="193"/>
        <v>#VALUE!</v>
      </c>
      <c r="P1784" s="247">
        <f t="shared" si="194"/>
        <v>0</v>
      </c>
      <c r="Q1784" s="247" t="e">
        <f t="shared" si="195"/>
        <v>#VALUE!</v>
      </c>
    </row>
    <row r="1785" spans="1:17" ht="15" customHeight="1" x14ac:dyDescent="0.25">
      <c r="A1785" s="244"/>
      <c r="B1785" s="244"/>
      <c r="C1785" s="244"/>
      <c r="D1785" s="244"/>
      <c r="E1785" s="244"/>
      <c r="F1785" s="244"/>
      <c r="G1785" s="244"/>
      <c r="I1785" s="244"/>
      <c r="J1785" s="244"/>
      <c r="K1785" s="246" t="e">
        <f t="shared" si="189"/>
        <v>#VALUE!</v>
      </c>
      <c r="L1785" s="246" t="e">
        <f t="shared" si="190"/>
        <v>#VALUE!</v>
      </c>
      <c r="M1785" s="247" t="e">
        <f t="shared" si="191"/>
        <v>#VALUE!</v>
      </c>
      <c r="N1785" s="246" t="e">
        <f t="shared" si="192"/>
        <v>#VALUE!</v>
      </c>
      <c r="O1785" s="247" t="e">
        <f t="shared" si="193"/>
        <v>#VALUE!</v>
      </c>
      <c r="P1785" s="247">
        <f t="shared" si="194"/>
        <v>0</v>
      </c>
      <c r="Q1785" s="247" t="e">
        <f t="shared" si="195"/>
        <v>#VALUE!</v>
      </c>
    </row>
    <row r="1786" spans="1:17" ht="15" customHeight="1" x14ac:dyDescent="0.25">
      <c r="A1786" s="244"/>
      <c r="B1786" s="244"/>
      <c r="C1786" s="244"/>
      <c r="D1786" s="244"/>
      <c r="E1786" s="244"/>
      <c r="F1786" s="244"/>
      <c r="G1786" s="244"/>
      <c r="I1786" s="244"/>
      <c r="J1786" s="244"/>
      <c r="K1786" s="246" t="e">
        <f t="shared" si="189"/>
        <v>#VALUE!</v>
      </c>
      <c r="L1786" s="246" t="e">
        <f t="shared" si="190"/>
        <v>#VALUE!</v>
      </c>
      <c r="M1786" s="247" t="e">
        <f t="shared" si="191"/>
        <v>#VALUE!</v>
      </c>
      <c r="N1786" s="246" t="e">
        <f t="shared" si="192"/>
        <v>#VALUE!</v>
      </c>
      <c r="O1786" s="247" t="e">
        <f t="shared" si="193"/>
        <v>#VALUE!</v>
      </c>
      <c r="P1786" s="247">
        <f t="shared" si="194"/>
        <v>0</v>
      </c>
      <c r="Q1786" s="247" t="e">
        <f t="shared" si="195"/>
        <v>#VALUE!</v>
      </c>
    </row>
    <row r="1787" spans="1:17" ht="15" customHeight="1" x14ac:dyDescent="0.25">
      <c r="A1787" s="244"/>
      <c r="B1787" s="244"/>
      <c r="C1787" s="244"/>
      <c r="D1787" s="244"/>
      <c r="E1787" s="244"/>
      <c r="F1787" s="244"/>
      <c r="G1787" s="244"/>
      <c r="I1787" s="244"/>
      <c r="J1787" s="244"/>
      <c r="K1787" s="246" t="e">
        <f t="shared" si="189"/>
        <v>#VALUE!</v>
      </c>
      <c r="L1787" s="246" t="e">
        <f t="shared" si="190"/>
        <v>#VALUE!</v>
      </c>
      <c r="M1787" s="247" t="e">
        <f t="shared" si="191"/>
        <v>#VALUE!</v>
      </c>
      <c r="N1787" s="246" t="e">
        <f t="shared" si="192"/>
        <v>#VALUE!</v>
      </c>
      <c r="O1787" s="247" t="e">
        <f t="shared" si="193"/>
        <v>#VALUE!</v>
      </c>
      <c r="P1787" s="247">
        <f t="shared" si="194"/>
        <v>0</v>
      </c>
      <c r="Q1787" s="247" t="e">
        <f t="shared" si="195"/>
        <v>#VALUE!</v>
      </c>
    </row>
    <row r="1788" spans="1:17" ht="15" customHeight="1" x14ac:dyDescent="0.25">
      <c r="A1788" s="244"/>
      <c r="B1788" s="244"/>
      <c r="C1788" s="244"/>
      <c r="D1788" s="244"/>
      <c r="E1788" s="244"/>
      <c r="F1788" s="244"/>
      <c r="G1788" s="244"/>
      <c r="I1788" s="244"/>
      <c r="J1788" s="244"/>
      <c r="K1788" s="246" t="e">
        <f t="shared" si="189"/>
        <v>#VALUE!</v>
      </c>
      <c r="L1788" s="246" t="e">
        <f t="shared" si="190"/>
        <v>#VALUE!</v>
      </c>
      <c r="M1788" s="247" t="e">
        <f t="shared" si="191"/>
        <v>#VALUE!</v>
      </c>
      <c r="N1788" s="246" t="e">
        <f t="shared" si="192"/>
        <v>#VALUE!</v>
      </c>
      <c r="O1788" s="247" t="e">
        <f t="shared" si="193"/>
        <v>#VALUE!</v>
      </c>
      <c r="P1788" s="247">
        <f t="shared" si="194"/>
        <v>0</v>
      </c>
      <c r="Q1788" s="247" t="e">
        <f t="shared" si="195"/>
        <v>#VALUE!</v>
      </c>
    </row>
    <row r="1789" spans="1:17" ht="15" customHeight="1" x14ac:dyDescent="0.25">
      <c r="A1789" s="244"/>
      <c r="B1789" s="244"/>
      <c r="C1789" s="244"/>
      <c r="D1789" s="244"/>
      <c r="E1789" s="244"/>
      <c r="F1789" s="244"/>
      <c r="G1789" s="244"/>
      <c r="I1789" s="244"/>
      <c r="J1789" s="244"/>
      <c r="K1789" s="246" t="e">
        <f t="shared" si="189"/>
        <v>#VALUE!</v>
      </c>
      <c r="L1789" s="246" t="e">
        <f t="shared" si="190"/>
        <v>#VALUE!</v>
      </c>
      <c r="M1789" s="247" t="e">
        <f t="shared" si="191"/>
        <v>#VALUE!</v>
      </c>
      <c r="N1789" s="246" t="e">
        <f t="shared" si="192"/>
        <v>#VALUE!</v>
      </c>
      <c r="O1789" s="247" t="e">
        <f t="shared" si="193"/>
        <v>#VALUE!</v>
      </c>
      <c r="P1789" s="247">
        <f t="shared" si="194"/>
        <v>0</v>
      </c>
      <c r="Q1789" s="247" t="e">
        <f t="shared" si="195"/>
        <v>#VALUE!</v>
      </c>
    </row>
    <row r="1790" spans="1:17" ht="15" customHeight="1" x14ac:dyDescent="0.25">
      <c r="A1790" s="244"/>
      <c r="B1790" s="244"/>
      <c r="C1790" s="244"/>
      <c r="D1790" s="244"/>
      <c r="E1790" s="244"/>
      <c r="F1790" s="244"/>
      <c r="G1790" s="244"/>
      <c r="I1790" s="244"/>
      <c r="J1790" s="244"/>
      <c r="K1790" s="246" t="e">
        <f t="shared" si="189"/>
        <v>#VALUE!</v>
      </c>
      <c r="L1790" s="246" t="e">
        <f t="shared" si="190"/>
        <v>#VALUE!</v>
      </c>
      <c r="M1790" s="247" t="e">
        <f t="shared" si="191"/>
        <v>#VALUE!</v>
      </c>
      <c r="N1790" s="246" t="e">
        <f t="shared" si="192"/>
        <v>#VALUE!</v>
      </c>
      <c r="O1790" s="247" t="e">
        <f t="shared" si="193"/>
        <v>#VALUE!</v>
      </c>
      <c r="P1790" s="247">
        <f t="shared" si="194"/>
        <v>0</v>
      </c>
      <c r="Q1790" s="247" t="e">
        <f t="shared" si="195"/>
        <v>#VALUE!</v>
      </c>
    </row>
    <row r="1791" spans="1:17" ht="15" customHeight="1" x14ac:dyDescent="0.25">
      <c r="A1791" s="244"/>
      <c r="B1791" s="244"/>
      <c r="C1791" s="244"/>
      <c r="D1791" s="244"/>
      <c r="E1791" s="244"/>
      <c r="F1791" s="244"/>
      <c r="G1791" s="244"/>
      <c r="I1791" s="244"/>
      <c r="J1791" s="244"/>
      <c r="K1791" s="246" t="e">
        <f t="shared" si="189"/>
        <v>#VALUE!</v>
      </c>
      <c r="L1791" s="246" t="e">
        <f t="shared" si="190"/>
        <v>#VALUE!</v>
      </c>
      <c r="M1791" s="247" t="e">
        <f t="shared" si="191"/>
        <v>#VALUE!</v>
      </c>
      <c r="N1791" s="246" t="e">
        <f t="shared" si="192"/>
        <v>#VALUE!</v>
      </c>
      <c r="O1791" s="247" t="e">
        <f t="shared" si="193"/>
        <v>#VALUE!</v>
      </c>
      <c r="P1791" s="247">
        <f t="shared" si="194"/>
        <v>0</v>
      </c>
      <c r="Q1791" s="247" t="e">
        <f t="shared" si="195"/>
        <v>#VALUE!</v>
      </c>
    </row>
    <row r="1792" spans="1:17" ht="15" customHeight="1" x14ac:dyDescent="0.25">
      <c r="A1792" s="244"/>
      <c r="B1792" s="244"/>
      <c r="C1792" s="244"/>
      <c r="D1792" s="244"/>
      <c r="E1792" s="244"/>
      <c r="F1792" s="244"/>
      <c r="G1792" s="244"/>
      <c r="I1792" s="244"/>
      <c r="J1792" s="244"/>
      <c r="K1792" s="246" t="e">
        <f t="shared" si="189"/>
        <v>#VALUE!</v>
      </c>
      <c r="L1792" s="246" t="e">
        <f t="shared" si="190"/>
        <v>#VALUE!</v>
      </c>
      <c r="M1792" s="247" t="e">
        <f t="shared" si="191"/>
        <v>#VALUE!</v>
      </c>
      <c r="N1792" s="246" t="e">
        <f t="shared" si="192"/>
        <v>#VALUE!</v>
      </c>
      <c r="O1792" s="247" t="e">
        <f t="shared" si="193"/>
        <v>#VALUE!</v>
      </c>
      <c r="P1792" s="247">
        <f t="shared" si="194"/>
        <v>0</v>
      </c>
      <c r="Q1792" s="247" t="e">
        <f t="shared" si="195"/>
        <v>#VALUE!</v>
      </c>
    </row>
    <row r="1793" spans="1:17" ht="15" customHeight="1" x14ac:dyDescent="0.25">
      <c r="A1793" s="244"/>
      <c r="B1793" s="244"/>
      <c r="C1793" s="244"/>
      <c r="D1793" s="244"/>
      <c r="E1793" s="244"/>
      <c r="F1793" s="244"/>
      <c r="G1793" s="244"/>
      <c r="I1793" s="244"/>
      <c r="J1793" s="244"/>
      <c r="K1793" s="246" t="e">
        <f t="shared" si="189"/>
        <v>#VALUE!</v>
      </c>
      <c r="L1793" s="246" t="e">
        <f t="shared" si="190"/>
        <v>#VALUE!</v>
      </c>
      <c r="M1793" s="247" t="e">
        <f t="shared" si="191"/>
        <v>#VALUE!</v>
      </c>
      <c r="N1793" s="246" t="e">
        <f t="shared" si="192"/>
        <v>#VALUE!</v>
      </c>
      <c r="O1793" s="247" t="e">
        <f t="shared" si="193"/>
        <v>#VALUE!</v>
      </c>
      <c r="P1793" s="247">
        <f t="shared" si="194"/>
        <v>0</v>
      </c>
      <c r="Q1793" s="247" t="e">
        <f t="shared" si="195"/>
        <v>#VALUE!</v>
      </c>
    </row>
    <row r="1794" spans="1:17" ht="15" customHeight="1" x14ac:dyDescent="0.25">
      <c r="A1794" s="244"/>
      <c r="B1794" s="244"/>
      <c r="C1794" s="244"/>
      <c r="D1794" s="244"/>
      <c r="E1794" s="244"/>
      <c r="F1794" s="244"/>
      <c r="G1794" s="244"/>
      <c r="I1794" s="244"/>
      <c r="J1794" s="244"/>
      <c r="K1794" s="246" t="e">
        <f t="shared" ref="K1794:K1857" si="196">DATE(VALUE(LEFT(A1794,4)),VALUE(MID(A1794,5,2)),VALUE(RIGHT(A1794,2)))</f>
        <v>#VALUE!</v>
      </c>
      <c r="L1794" s="246" t="e">
        <f t="shared" ref="L1794:L1857" si="197">DATEVALUE(LEFT(F1794,10))</f>
        <v>#VALUE!</v>
      </c>
      <c r="M1794" s="247" t="e">
        <f t="shared" ref="M1794:M1857" si="198">TIMEVALUE(MID(F1794,12,8))</f>
        <v>#VALUE!</v>
      </c>
      <c r="N1794" s="246" t="e">
        <f t="shared" ref="N1794:N1857" si="199">DATEVALUE(LEFT(G1794,10))</f>
        <v>#VALUE!</v>
      </c>
      <c r="O1794" s="247" t="e">
        <f t="shared" ref="O1794:O1857" si="200">TIMEVALUE(MID(G1794,12,8))</f>
        <v>#VALUE!</v>
      </c>
      <c r="P1794" s="247">
        <f t="shared" ref="P1794:P1857" si="201">IFERROR(_xlfn.MINIFS($M:$M,$E:$E,$E1794,$K:$K,$K1794,$M:$M,"&gt;"&amp;$O1794),"")</f>
        <v>0</v>
      </c>
      <c r="Q1794" s="247" t="e">
        <f t="shared" ref="Q1794:Q1857" si="202">IF($P1794="","",$P1794-$O1794)</f>
        <v>#VALUE!</v>
      </c>
    </row>
    <row r="1795" spans="1:17" ht="15" customHeight="1" x14ac:dyDescent="0.25">
      <c r="A1795" s="244"/>
      <c r="B1795" s="244"/>
      <c r="C1795" s="244"/>
      <c r="D1795" s="244"/>
      <c r="E1795" s="244"/>
      <c r="F1795" s="244"/>
      <c r="G1795" s="244"/>
      <c r="I1795" s="244"/>
      <c r="J1795" s="244"/>
      <c r="K1795" s="246" t="e">
        <f t="shared" si="196"/>
        <v>#VALUE!</v>
      </c>
      <c r="L1795" s="246" t="e">
        <f t="shared" si="197"/>
        <v>#VALUE!</v>
      </c>
      <c r="M1795" s="247" t="e">
        <f t="shared" si="198"/>
        <v>#VALUE!</v>
      </c>
      <c r="N1795" s="246" t="e">
        <f t="shared" si="199"/>
        <v>#VALUE!</v>
      </c>
      <c r="O1795" s="247" t="e">
        <f t="shared" si="200"/>
        <v>#VALUE!</v>
      </c>
      <c r="P1795" s="247">
        <f t="shared" si="201"/>
        <v>0</v>
      </c>
      <c r="Q1795" s="247" t="e">
        <f t="shared" si="202"/>
        <v>#VALUE!</v>
      </c>
    </row>
    <row r="1796" spans="1:17" ht="15" customHeight="1" x14ac:dyDescent="0.25">
      <c r="A1796" s="244"/>
      <c r="B1796" s="244"/>
      <c r="C1796" s="244"/>
      <c r="D1796" s="244"/>
      <c r="E1796" s="244"/>
      <c r="F1796" s="244"/>
      <c r="G1796" s="244"/>
      <c r="I1796" s="244"/>
      <c r="J1796" s="244"/>
      <c r="K1796" s="246" t="e">
        <f t="shared" si="196"/>
        <v>#VALUE!</v>
      </c>
      <c r="L1796" s="246" t="e">
        <f t="shared" si="197"/>
        <v>#VALUE!</v>
      </c>
      <c r="M1796" s="247" t="e">
        <f t="shared" si="198"/>
        <v>#VALUE!</v>
      </c>
      <c r="N1796" s="246" t="e">
        <f t="shared" si="199"/>
        <v>#VALUE!</v>
      </c>
      <c r="O1796" s="247" t="e">
        <f t="shared" si="200"/>
        <v>#VALUE!</v>
      </c>
      <c r="P1796" s="247">
        <f t="shared" si="201"/>
        <v>0</v>
      </c>
      <c r="Q1796" s="247" t="e">
        <f t="shared" si="202"/>
        <v>#VALUE!</v>
      </c>
    </row>
    <row r="1797" spans="1:17" ht="15" customHeight="1" x14ac:dyDescent="0.25">
      <c r="A1797" s="244"/>
      <c r="B1797" s="244"/>
      <c r="C1797" s="244"/>
      <c r="D1797" s="244"/>
      <c r="E1797" s="244"/>
      <c r="F1797" s="244"/>
      <c r="G1797" s="244"/>
      <c r="I1797" s="244"/>
      <c r="J1797" s="244"/>
      <c r="K1797" s="246" t="e">
        <f t="shared" si="196"/>
        <v>#VALUE!</v>
      </c>
      <c r="L1797" s="246" t="e">
        <f t="shared" si="197"/>
        <v>#VALUE!</v>
      </c>
      <c r="M1797" s="247" t="e">
        <f t="shared" si="198"/>
        <v>#VALUE!</v>
      </c>
      <c r="N1797" s="246" t="e">
        <f t="shared" si="199"/>
        <v>#VALUE!</v>
      </c>
      <c r="O1797" s="247" t="e">
        <f t="shared" si="200"/>
        <v>#VALUE!</v>
      </c>
      <c r="P1797" s="247">
        <f t="shared" si="201"/>
        <v>0</v>
      </c>
      <c r="Q1797" s="247" t="e">
        <f t="shared" si="202"/>
        <v>#VALUE!</v>
      </c>
    </row>
    <row r="1798" spans="1:17" ht="15" customHeight="1" x14ac:dyDescent="0.25">
      <c r="A1798" s="244"/>
      <c r="B1798" s="244"/>
      <c r="C1798" s="244"/>
      <c r="D1798" s="244"/>
      <c r="E1798" s="244"/>
      <c r="F1798" s="244"/>
      <c r="G1798" s="244"/>
      <c r="I1798" s="244"/>
      <c r="J1798" s="244"/>
      <c r="K1798" s="246" t="e">
        <f t="shared" si="196"/>
        <v>#VALUE!</v>
      </c>
      <c r="L1798" s="246" t="e">
        <f t="shared" si="197"/>
        <v>#VALUE!</v>
      </c>
      <c r="M1798" s="247" t="e">
        <f t="shared" si="198"/>
        <v>#VALUE!</v>
      </c>
      <c r="N1798" s="246" t="e">
        <f t="shared" si="199"/>
        <v>#VALUE!</v>
      </c>
      <c r="O1798" s="247" t="e">
        <f t="shared" si="200"/>
        <v>#VALUE!</v>
      </c>
      <c r="P1798" s="247">
        <f t="shared" si="201"/>
        <v>0</v>
      </c>
      <c r="Q1798" s="247" t="e">
        <f t="shared" si="202"/>
        <v>#VALUE!</v>
      </c>
    </row>
    <row r="1799" spans="1:17" ht="15" customHeight="1" x14ac:dyDescent="0.25">
      <c r="A1799" s="244"/>
      <c r="B1799" s="244"/>
      <c r="C1799" s="244"/>
      <c r="D1799" s="244"/>
      <c r="E1799" s="244"/>
      <c r="F1799" s="244"/>
      <c r="G1799" s="244"/>
      <c r="I1799" s="244"/>
      <c r="J1799" s="244"/>
      <c r="K1799" s="246" t="e">
        <f t="shared" si="196"/>
        <v>#VALUE!</v>
      </c>
      <c r="L1799" s="246" t="e">
        <f t="shared" si="197"/>
        <v>#VALUE!</v>
      </c>
      <c r="M1799" s="247" t="e">
        <f t="shared" si="198"/>
        <v>#VALUE!</v>
      </c>
      <c r="N1799" s="246" t="e">
        <f t="shared" si="199"/>
        <v>#VALUE!</v>
      </c>
      <c r="O1799" s="247" t="e">
        <f t="shared" si="200"/>
        <v>#VALUE!</v>
      </c>
      <c r="P1799" s="247">
        <f t="shared" si="201"/>
        <v>0</v>
      </c>
      <c r="Q1799" s="247" t="e">
        <f t="shared" si="202"/>
        <v>#VALUE!</v>
      </c>
    </row>
    <row r="1800" spans="1:17" ht="15" customHeight="1" x14ac:dyDescent="0.25">
      <c r="A1800" s="244"/>
      <c r="B1800" s="244"/>
      <c r="C1800" s="244"/>
      <c r="D1800" s="244"/>
      <c r="E1800" s="244"/>
      <c r="F1800" s="244"/>
      <c r="G1800" s="244"/>
      <c r="I1800" s="244"/>
      <c r="J1800" s="244"/>
      <c r="K1800" s="246" t="e">
        <f t="shared" si="196"/>
        <v>#VALUE!</v>
      </c>
      <c r="L1800" s="246" t="e">
        <f t="shared" si="197"/>
        <v>#VALUE!</v>
      </c>
      <c r="M1800" s="247" t="e">
        <f t="shared" si="198"/>
        <v>#VALUE!</v>
      </c>
      <c r="N1800" s="246" t="e">
        <f t="shared" si="199"/>
        <v>#VALUE!</v>
      </c>
      <c r="O1800" s="247" t="e">
        <f t="shared" si="200"/>
        <v>#VALUE!</v>
      </c>
      <c r="P1800" s="247">
        <f t="shared" si="201"/>
        <v>0</v>
      </c>
      <c r="Q1800" s="247" t="e">
        <f t="shared" si="202"/>
        <v>#VALUE!</v>
      </c>
    </row>
    <row r="1801" spans="1:17" ht="15" customHeight="1" x14ac:dyDescent="0.25">
      <c r="A1801" s="244"/>
      <c r="B1801" s="244"/>
      <c r="C1801" s="244"/>
      <c r="D1801" s="244"/>
      <c r="E1801" s="244"/>
      <c r="F1801" s="244"/>
      <c r="G1801" s="244"/>
      <c r="I1801" s="244"/>
      <c r="J1801" s="244"/>
      <c r="K1801" s="246" t="e">
        <f t="shared" si="196"/>
        <v>#VALUE!</v>
      </c>
      <c r="L1801" s="246" t="e">
        <f t="shared" si="197"/>
        <v>#VALUE!</v>
      </c>
      <c r="M1801" s="247" t="e">
        <f t="shared" si="198"/>
        <v>#VALUE!</v>
      </c>
      <c r="N1801" s="246" t="e">
        <f t="shared" si="199"/>
        <v>#VALUE!</v>
      </c>
      <c r="O1801" s="247" t="e">
        <f t="shared" si="200"/>
        <v>#VALUE!</v>
      </c>
      <c r="P1801" s="247">
        <f t="shared" si="201"/>
        <v>0</v>
      </c>
      <c r="Q1801" s="247" t="e">
        <f t="shared" si="202"/>
        <v>#VALUE!</v>
      </c>
    </row>
    <row r="1802" spans="1:17" ht="15" customHeight="1" x14ac:dyDescent="0.25">
      <c r="A1802" s="244"/>
      <c r="B1802" s="244"/>
      <c r="C1802" s="244"/>
      <c r="D1802" s="244"/>
      <c r="E1802" s="244"/>
      <c r="F1802" s="244"/>
      <c r="G1802" s="244"/>
      <c r="I1802" s="244"/>
      <c r="J1802" s="244"/>
      <c r="K1802" s="246" t="e">
        <f t="shared" si="196"/>
        <v>#VALUE!</v>
      </c>
      <c r="L1802" s="246" t="e">
        <f t="shared" si="197"/>
        <v>#VALUE!</v>
      </c>
      <c r="M1802" s="247" t="e">
        <f t="shared" si="198"/>
        <v>#VALUE!</v>
      </c>
      <c r="N1802" s="246" t="e">
        <f t="shared" si="199"/>
        <v>#VALUE!</v>
      </c>
      <c r="O1802" s="247" t="e">
        <f t="shared" si="200"/>
        <v>#VALUE!</v>
      </c>
      <c r="P1802" s="247">
        <f t="shared" si="201"/>
        <v>0</v>
      </c>
      <c r="Q1802" s="247" t="e">
        <f t="shared" si="202"/>
        <v>#VALUE!</v>
      </c>
    </row>
    <row r="1803" spans="1:17" ht="15" customHeight="1" x14ac:dyDescent="0.25">
      <c r="A1803" s="244"/>
      <c r="B1803" s="244"/>
      <c r="C1803" s="244"/>
      <c r="D1803" s="244"/>
      <c r="E1803" s="244"/>
      <c r="F1803" s="244"/>
      <c r="G1803" s="244"/>
      <c r="I1803" s="244"/>
      <c r="J1803" s="244"/>
      <c r="K1803" s="246" t="e">
        <f t="shared" si="196"/>
        <v>#VALUE!</v>
      </c>
      <c r="L1803" s="246" t="e">
        <f t="shared" si="197"/>
        <v>#VALUE!</v>
      </c>
      <c r="M1803" s="247" t="e">
        <f t="shared" si="198"/>
        <v>#VALUE!</v>
      </c>
      <c r="N1803" s="246" t="e">
        <f t="shared" si="199"/>
        <v>#VALUE!</v>
      </c>
      <c r="O1803" s="247" t="e">
        <f t="shared" si="200"/>
        <v>#VALUE!</v>
      </c>
      <c r="P1803" s="247">
        <f t="shared" si="201"/>
        <v>0</v>
      </c>
      <c r="Q1803" s="247" t="e">
        <f t="shared" si="202"/>
        <v>#VALUE!</v>
      </c>
    </row>
    <row r="1804" spans="1:17" ht="15" customHeight="1" x14ac:dyDescent="0.25">
      <c r="A1804" s="244"/>
      <c r="B1804" s="244"/>
      <c r="C1804" s="244"/>
      <c r="D1804" s="244"/>
      <c r="E1804" s="244"/>
      <c r="F1804" s="244"/>
      <c r="G1804" s="244"/>
      <c r="I1804" s="244"/>
      <c r="J1804" s="244"/>
      <c r="K1804" s="246" t="e">
        <f t="shared" si="196"/>
        <v>#VALUE!</v>
      </c>
      <c r="L1804" s="246" t="e">
        <f t="shared" si="197"/>
        <v>#VALUE!</v>
      </c>
      <c r="M1804" s="247" t="e">
        <f t="shared" si="198"/>
        <v>#VALUE!</v>
      </c>
      <c r="N1804" s="246" t="e">
        <f t="shared" si="199"/>
        <v>#VALUE!</v>
      </c>
      <c r="O1804" s="247" t="e">
        <f t="shared" si="200"/>
        <v>#VALUE!</v>
      </c>
      <c r="P1804" s="247">
        <f t="shared" si="201"/>
        <v>0</v>
      </c>
      <c r="Q1804" s="247" t="e">
        <f t="shared" si="202"/>
        <v>#VALUE!</v>
      </c>
    </row>
    <row r="1805" spans="1:17" ht="15" customHeight="1" x14ac:dyDescent="0.25">
      <c r="A1805" s="244"/>
      <c r="B1805" s="244"/>
      <c r="C1805" s="244"/>
      <c r="D1805" s="244"/>
      <c r="E1805" s="244"/>
      <c r="F1805" s="244"/>
      <c r="G1805" s="244"/>
      <c r="I1805" s="244"/>
      <c r="J1805" s="244"/>
      <c r="K1805" s="246" t="e">
        <f t="shared" si="196"/>
        <v>#VALUE!</v>
      </c>
      <c r="L1805" s="246" t="e">
        <f t="shared" si="197"/>
        <v>#VALUE!</v>
      </c>
      <c r="M1805" s="247" t="e">
        <f t="shared" si="198"/>
        <v>#VALUE!</v>
      </c>
      <c r="N1805" s="246" t="e">
        <f t="shared" si="199"/>
        <v>#VALUE!</v>
      </c>
      <c r="O1805" s="247" t="e">
        <f t="shared" si="200"/>
        <v>#VALUE!</v>
      </c>
      <c r="P1805" s="247">
        <f t="shared" si="201"/>
        <v>0</v>
      </c>
      <c r="Q1805" s="247" t="e">
        <f t="shared" si="202"/>
        <v>#VALUE!</v>
      </c>
    </row>
    <row r="1806" spans="1:17" ht="15" customHeight="1" x14ac:dyDescent="0.25">
      <c r="A1806" s="244"/>
      <c r="B1806" s="244"/>
      <c r="C1806" s="244"/>
      <c r="D1806" s="244"/>
      <c r="E1806" s="244"/>
      <c r="F1806" s="244"/>
      <c r="G1806" s="244"/>
      <c r="I1806" s="244"/>
      <c r="J1806" s="244"/>
      <c r="K1806" s="246" t="e">
        <f t="shared" si="196"/>
        <v>#VALUE!</v>
      </c>
      <c r="L1806" s="246" t="e">
        <f t="shared" si="197"/>
        <v>#VALUE!</v>
      </c>
      <c r="M1806" s="247" t="e">
        <f t="shared" si="198"/>
        <v>#VALUE!</v>
      </c>
      <c r="N1806" s="246" t="e">
        <f t="shared" si="199"/>
        <v>#VALUE!</v>
      </c>
      <c r="O1806" s="247" t="e">
        <f t="shared" si="200"/>
        <v>#VALUE!</v>
      </c>
      <c r="P1806" s="247">
        <f t="shared" si="201"/>
        <v>0</v>
      </c>
      <c r="Q1806" s="247" t="e">
        <f t="shared" si="202"/>
        <v>#VALUE!</v>
      </c>
    </row>
    <row r="1807" spans="1:17" ht="15" customHeight="1" x14ac:dyDescent="0.25">
      <c r="A1807" s="244"/>
      <c r="B1807" s="244"/>
      <c r="C1807" s="244"/>
      <c r="D1807" s="244"/>
      <c r="E1807" s="244"/>
      <c r="F1807" s="244"/>
      <c r="G1807" s="244"/>
      <c r="I1807" s="244"/>
      <c r="J1807" s="244"/>
      <c r="K1807" s="246" t="e">
        <f t="shared" si="196"/>
        <v>#VALUE!</v>
      </c>
      <c r="L1807" s="246" t="e">
        <f t="shared" si="197"/>
        <v>#VALUE!</v>
      </c>
      <c r="M1807" s="247" t="e">
        <f t="shared" si="198"/>
        <v>#VALUE!</v>
      </c>
      <c r="N1807" s="246" t="e">
        <f t="shared" si="199"/>
        <v>#VALUE!</v>
      </c>
      <c r="O1807" s="247" t="e">
        <f t="shared" si="200"/>
        <v>#VALUE!</v>
      </c>
      <c r="P1807" s="247">
        <f t="shared" si="201"/>
        <v>0</v>
      </c>
      <c r="Q1807" s="247" t="e">
        <f t="shared" si="202"/>
        <v>#VALUE!</v>
      </c>
    </row>
    <row r="1808" spans="1:17" ht="15" customHeight="1" x14ac:dyDescent="0.25">
      <c r="A1808" s="244"/>
      <c r="B1808" s="244"/>
      <c r="C1808" s="244"/>
      <c r="D1808" s="244"/>
      <c r="E1808" s="244"/>
      <c r="F1808" s="244"/>
      <c r="G1808" s="244"/>
      <c r="I1808" s="244"/>
      <c r="J1808" s="244"/>
      <c r="K1808" s="246" t="e">
        <f t="shared" si="196"/>
        <v>#VALUE!</v>
      </c>
      <c r="L1808" s="246" t="e">
        <f t="shared" si="197"/>
        <v>#VALUE!</v>
      </c>
      <c r="M1808" s="247" t="e">
        <f t="shared" si="198"/>
        <v>#VALUE!</v>
      </c>
      <c r="N1808" s="246" t="e">
        <f t="shared" si="199"/>
        <v>#VALUE!</v>
      </c>
      <c r="O1808" s="247" t="e">
        <f t="shared" si="200"/>
        <v>#VALUE!</v>
      </c>
      <c r="P1808" s="247">
        <f t="shared" si="201"/>
        <v>0</v>
      </c>
      <c r="Q1808" s="247" t="e">
        <f t="shared" si="202"/>
        <v>#VALUE!</v>
      </c>
    </row>
    <row r="1809" spans="1:17" ht="15" customHeight="1" x14ac:dyDescent="0.25">
      <c r="A1809" s="244"/>
      <c r="B1809" s="244"/>
      <c r="C1809" s="244"/>
      <c r="D1809" s="244"/>
      <c r="E1809" s="244"/>
      <c r="F1809" s="244"/>
      <c r="G1809" s="244"/>
      <c r="I1809" s="244"/>
      <c r="J1809" s="244"/>
      <c r="K1809" s="246" t="e">
        <f t="shared" si="196"/>
        <v>#VALUE!</v>
      </c>
      <c r="L1809" s="246" t="e">
        <f t="shared" si="197"/>
        <v>#VALUE!</v>
      </c>
      <c r="M1809" s="247" t="e">
        <f t="shared" si="198"/>
        <v>#VALUE!</v>
      </c>
      <c r="N1809" s="246" t="e">
        <f t="shared" si="199"/>
        <v>#VALUE!</v>
      </c>
      <c r="O1809" s="247" t="e">
        <f t="shared" si="200"/>
        <v>#VALUE!</v>
      </c>
      <c r="P1809" s="247">
        <f t="shared" si="201"/>
        <v>0</v>
      </c>
      <c r="Q1809" s="247" t="e">
        <f t="shared" si="202"/>
        <v>#VALUE!</v>
      </c>
    </row>
    <row r="1810" spans="1:17" ht="15" customHeight="1" x14ac:dyDescent="0.25">
      <c r="A1810" s="244"/>
      <c r="B1810" s="244"/>
      <c r="C1810" s="244"/>
      <c r="D1810" s="244"/>
      <c r="E1810" s="244"/>
      <c r="F1810" s="244"/>
      <c r="G1810" s="244"/>
      <c r="I1810" s="244"/>
      <c r="J1810" s="244"/>
      <c r="K1810" s="246" t="e">
        <f t="shared" si="196"/>
        <v>#VALUE!</v>
      </c>
      <c r="L1810" s="246" t="e">
        <f t="shared" si="197"/>
        <v>#VALUE!</v>
      </c>
      <c r="M1810" s="247" t="e">
        <f t="shared" si="198"/>
        <v>#VALUE!</v>
      </c>
      <c r="N1810" s="246" t="e">
        <f t="shared" si="199"/>
        <v>#VALUE!</v>
      </c>
      <c r="O1810" s="247" t="e">
        <f t="shared" si="200"/>
        <v>#VALUE!</v>
      </c>
      <c r="P1810" s="247">
        <f t="shared" si="201"/>
        <v>0</v>
      </c>
      <c r="Q1810" s="247" t="e">
        <f t="shared" si="202"/>
        <v>#VALUE!</v>
      </c>
    </row>
    <row r="1811" spans="1:17" ht="15" customHeight="1" x14ac:dyDescent="0.25">
      <c r="A1811" s="244"/>
      <c r="B1811" s="244"/>
      <c r="C1811" s="244"/>
      <c r="D1811" s="244"/>
      <c r="E1811" s="244"/>
      <c r="F1811" s="244"/>
      <c r="G1811" s="244"/>
      <c r="I1811" s="244"/>
      <c r="J1811" s="244"/>
      <c r="K1811" s="246" t="e">
        <f t="shared" si="196"/>
        <v>#VALUE!</v>
      </c>
      <c r="L1811" s="246" t="e">
        <f t="shared" si="197"/>
        <v>#VALUE!</v>
      </c>
      <c r="M1811" s="247" t="e">
        <f t="shared" si="198"/>
        <v>#VALUE!</v>
      </c>
      <c r="N1811" s="246" t="e">
        <f t="shared" si="199"/>
        <v>#VALUE!</v>
      </c>
      <c r="O1811" s="247" t="e">
        <f t="shared" si="200"/>
        <v>#VALUE!</v>
      </c>
      <c r="P1811" s="247">
        <f t="shared" si="201"/>
        <v>0</v>
      </c>
      <c r="Q1811" s="247" t="e">
        <f t="shared" si="202"/>
        <v>#VALUE!</v>
      </c>
    </row>
    <row r="1812" spans="1:17" ht="15" customHeight="1" x14ac:dyDescent="0.25">
      <c r="A1812" s="244"/>
      <c r="B1812" s="244"/>
      <c r="C1812" s="244"/>
      <c r="D1812" s="244"/>
      <c r="E1812" s="244"/>
      <c r="F1812" s="244"/>
      <c r="G1812" s="244"/>
      <c r="I1812" s="244"/>
      <c r="J1812" s="244"/>
      <c r="K1812" s="246" t="e">
        <f t="shared" si="196"/>
        <v>#VALUE!</v>
      </c>
      <c r="L1812" s="246" t="e">
        <f t="shared" si="197"/>
        <v>#VALUE!</v>
      </c>
      <c r="M1812" s="247" t="e">
        <f t="shared" si="198"/>
        <v>#VALUE!</v>
      </c>
      <c r="N1812" s="246" t="e">
        <f t="shared" si="199"/>
        <v>#VALUE!</v>
      </c>
      <c r="O1812" s="247" t="e">
        <f t="shared" si="200"/>
        <v>#VALUE!</v>
      </c>
      <c r="P1812" s="247">
        <f t="shared" si="201"/>
        <v>0</v>
      </c>
      <c r="Q1812" s="247" t="e">
        <f t="shared" si="202"/>
        <v>#VALUE!</v>
      </c>
    </row>
    <row r="1813" spans="1:17" ht="15" customHeight="1" x14ac:dyDescent="0.25">
      <c r="A1813" s="244"/>
      <c r="B1813" s="244"/>
      <c r="C1813" s="244"/>
      <c r="D1813" s="244"/>
      <c r="E1813" s="244"/>
      <c r="F1813" s="244"/>
      <c r="G1813" s="244"/>
      <c r="I1813" s="244"/>
      <c r="J1813" s="244"/>
      <c r="K1813" s="246" t="e">
        <f t="shared" si="196"/>
        <v>#VALUE!</v>
      </c>
      <c r="L1813" s="246" t="e">
        <f t="shared" si="197"/>
        <v>#VALUE!</v>
      </c>
      <c r="M1813" s="247" t="e">
        <f t="shared" si="198"/>
        <v>#VALUE!</v>
      </c>
      <c r="N1813" s="246" t="e">
        <f t="shared" si="199"/>
        <v>#VALUE!</v>
      </c>
      <c r="O1813" s="247" t="e">
        <f t="shared" si="200"/>
        <v>#VALUE!</v>
      </c>
      <c r="P1813" s="247">
        <f t="shared" si="201"/>
        <v>0</v>
      </c>
      <c r="Q1813" s="247" t="e">
        <f t="shared" si="202"/>
        <v>#VALUE!</v>
      </c>
    </row>
    <row r="1814" spans="1:17" ht="15" customHeight="1" x14ac:dyDescent="0.25">
      <c r="A1814" s="244"/>
      <c r="B1814" s="244"/>
      <c r="C1814" s="244"/>
      <c r="D1814" s="244"/>
      <c r="E1814" s="244"/>
      <c r="F1814" s="244"/>
      <c r="G1814" s="244"/>
      <c r="I1814" s="244"/>
      <c r="J1814" s="244"/>
      <c r="K1814" s="246" t="e">
        <f t="shared" si="196"/>
        <v>#VALUE!</v>
      </c>
      <c r="L1814" s="246" t="e">
        <f t="shared" si="197"/>
        <v>#VALUE!</v>
      </c>
      <c r="M1814" s="247" t="e">
        <f t="shared" si="198"/>
        <v>#VALUE!</v>
      </c>
      <c r="N1814" s="246" t="e">
        <f t="shared" si="199"/>
        <v>#VALUE!</v>
      </c>
      <c r="O1814" s="247" t="e">
        <f t="shared" si="200"/>
        <v>#VALUE!</v>
      </c>
      <c r="P1814" s="247">
        <f t="shared" si="201"/>
        <v>0</v>
      </c>
      <c r="Q1814" s="247" t="e">
        <f t="shared" si="202"/>
        <v>#VALUE!</v>
      </c>
    </row>
    <row r="1815" spans="1:17" ht="15" customHeight="1" x14ac:dyDescent="0.25">
      <c r="A1815" s="244"/>
      <c r="B1815" s="244"/>
      <c r="C1815" s="244"/>
      <c r="D1815" s="244"/>
      <c r="E1815" s="244"/>
      <c r="F1815" s="244"/>
      <c r="G1815" s="244"/>
      <c r="I1815" s="244"/>
      <c r="J1815" s="244"/>
      <c r="K1815" s="246" t="e">
        <f t="shared" si="196"/>
        <v>#VALUE!</v>
      </c>
      <c r="L1815" s="246" t="e">
        <f t="shared" si="197"/>
        <v>#VALUE!</v>
      </c>
      <c r="M1815" s="247" t="e">
        <f t="shared" si="198"/>
        <v>#VALUE!</v>
      </c>
      <c r="N1815" s="246" t="e">
        <f t="shared" si="199"/>
        <v>#VALUE!</v>
      </c>
      <c r="O1815" s="247" t="e">
        <f t="shared" si="200"/>
        <v>#VALUE!</v>
      </c>
      <c r="P1815" s="247">
        <f t="shared" si="201"/>
        <v>0</v>
      </c>
      <c r="Q1815" s="247" t="e">
        <f t="shared" si="202"/>
        <v>#VALUE!</v>
      </c>
    </row>
    <row r="1816" spans="1:17" ht="15" customHeight="1" x14ac:dyDescent="0.25">
      <c r="A1816" s="244"/>
      <c r="B1816" s="244"/>
      <c r="C1816" s="244"/>
      <c r="D1816" s="244"/>
      <c r="E1816" s="244"/>
      <c r="F1816" s="244"/>
      <c r="G1816" s="244"/>
      <c r="I1816" s="244"/>
      <c r="J1816" s="244"/>
      <c r="K1816" s="246" t="e">
        <f t="shared" si="196"/>
        <v>#VALUE!</v>
      </c>
      <c r="L1816" s="246" t="e">
        <f t="shared" si="197"/>
        <v>#VALUE!</v>
      </c>
      <c r="M1816" s="247" t="e">
        <f t="shared" si="198"/>
        <v>#VALUE!</v>
      </c>
      <c r="N1816" s="246" t="e">
        <f t="shared" si="199"/>
        <v>#VALUE!</v>
      </c>
      <c r="O1816" s="247" t="e">
        <f t="shared" si="200"/>
        <v>#VALUE!</v>
      </c>
      <c r="P1816" s="247">
        <f t="shared" si="201"/>
        <v>0</v>
      </c>
      <c r="Q1816" s="247" t="e">
        <f t="shared" si="202"/>
        <v>#VALUE!</v>
      </c>
    </row>
    <row r="1817" spans="1:17" ht="15" customHeight="1" x14ac:dyDescent="0.25">
      <c r="A1817" s="244"/>
      <c r="B1817" s="244"/>
      <c r="C1817" s="244"/>
      <c r="D1817" s="244"/>
      <c r="E1817" s="244"/>
      <c r="F1817" s="244"/>
      <c r="G1817" s="244"/>
      <c r="I1817" s="244"/>
      <c r="J1817" s="244"/>
      <c r="K1817" s="246" t="e">
        <f t="shared" si="196"/>
        <v>#VALUE!</v>
      </c>
      <c r="L1817" s="246" t="e">
        <f t="shared" si="197"/>
        <v>#VALUE!</v>
      </c>
      <c r="M1817" s="247" t="e">
        <f t="shared" si="198"/>
        <v>#VALUE!</v>
      </c>
      <c r="N1817" s="246" t="e">
        <f t="shared" si="199"/>
        <v>#VALUE!</v>
      </c>
      <c r="O1817" s="247" t="e">
        <f t="shared" si="200"/>
        <v>#VALUE!</v>
      </c>
      <c r="P1817" s="247">
        <f t="shared" si="201"/>
        <v>0</v>
      </c>
      <c r="Q1817" s="247" t="e">
        <f t="shared" si="202"/>
        <v>#VALUE!</v>
      </c>
    </row>
    <row r="1818" spans="1:17" ht="15" customHeight="1" x14ac:dyDescent="0.25">
      <c r="A1818" s="244"/>
      <c r="B1818" s="244"/>
      <c r="C1818" s="244"/>
      <c r="D1818" s="244"/>
      <c r="E1818" s="244"/>
      <c r="F1818" s="244"/>
      <c r="G1818" s="244"/>
      <c r="I1818" s="244"/>
      <c r="J1818" s="244"/>
      <c r="K1818" s="246" t="e">
        <f t="shared" si="196"/>
        <v>#VALUE!</v>
      </c>
      <c r="L1818" s="246" t="e">
        <f t="shared" si="197"/>
        <v>#VALUE!</v>
      </c>
      <c r="M1818" s="247" t="e">
        <f t="shared" si="198"/>
        <v>#VALUE!</v>
      </c>
      <c r="N1818" s="246" t="e">
        <f t="shared" si="199"/>
        <v>#VALUE!</v>
      </c>
      <c r="O1818" s="247" t="e">
        <f t="shared" si="200"/>
        <v>#VALUE!</v>
      </c>
      <c r="P1818" s="247">
        <f t="shared" si="201"/>
        <v>0</v>
      </c>
      <c r="Q1818" s="247" t="e">
        <f t="shared" si="202"/>
        <v>#VALUE!</v>
      </c>
    </row>
    <row r="1819" spans="1:17" ht="15" customHeight="1" x14ac:dyDescent="0.25">
      <c r="A1819" s="244"/>
      <c r="B1819" s="244"/>
      <c r="C1819" s="244"/>
      <c r="D1819" s="244"/>
      <c r="E1819" s="244"/>
      <c r="F1819" s="244"/>
      <c r="G1819" s="244"/>
      <c r="I1819" s="244"/>
      <c r="J1819" s="244"/>
      <c r="K1819" s="246" t="e">
        <f t="shared" si="196"/>
        <v>#VALUE!</v>
      </c>
      <c r="L1819" s="246" t="e">
        <f t="shared" si="197"/>
        <v>#VALUE!</v>
      </c>
      <c r="M1819" s="247" t="e">
        <f t="shared" si="198"/>
        <v>#VALUE!</v>
      </c>
      <c r="N1819" s="246" t="e">
        <f t="shared" si="199"/>
        <v>#VALUE!</v>
      </c>
      <c r="O1819" s="247" t="e">
        <f t="shared" si="200"/>
        <v>#VALUE!</v>
      </c>
      <c r="P1819" s="247">
        <f t="shared" si="201"/>
        <v>0</v>
      </c>
      <c r="Q1819" s="247" t="e">
        <f t="shared" si="202"/>
        <v>#VALUE!</v>
      </c>
    </row>
    <row r="1820" spans="1:17" ht="15" customHeight="1" x14ac:dyDescent="0.25">
      <c r="A1820" s="244"/>
      <c r="B1820" s="244"/>
      <c r="C1820" s="244"/>
      <c r="D1820" s="244"/>
      <c r="E1820" s="244"/>
      <c r="F1820" s="244"/>
      <c r="G1820" s="244"/>
      <c r="I1820" s="244"/>
      <c r="J1820" s="244"/>
      <c r="K1820" s="246" t="e">
        <f t="shared" si="196"/>
        <v>#VALUE!</v>
      </c>
      <c r="L1820" s="246" t="e">
        <f t="shared" si="197"/>
        <v>#VALUE!</v>
      </c>
      <c r="M1820" s="247" t="e">
        <f t="shared" si="198"/>
        <v>#VALUE!</v>
      </c>
      <c r="N1820" s="246" t="e">
        <f t="shared" si="199"/>
        <v>#VALUE!</v>
      </c>
      <c r="O1820" s="247" t="e">
        <f t="shared" si="200"/>
        <v>#VALUE!</v>
      </c>
      <c r="P1820" s="247">
        <f t="shared" si="201"/>
        <v>0</v>
      </c>
      <c r="Q1820" s="247" t="e">
        <f t="shared" si="202"/>
        <v>#VALUE!</v>
      </c>
    </row>
    <row r="1821" spans="1:17" ht="15" customHeight="1" x14ac:dyDescent="0.25">
      <c r="A1821" s="244"/>
      <c r="B1821" s="244"/>
      <c r="C1821" s="244"/>
      <c r="D1821" s="244"/>
      <c r="E1821" s="244"/>
      <c r="F1821" s="244"/>
      <c r="G1821" s="244"/>
      <c r="I1821" s="244"/>
      <c r="J1821" s="244"/>
      <c r="K1821" s="246" t="e">
        <f t="shared" si="196"/>
        <v>#VALUE!</v>
      </c>
      <c r="L1821" s="246" t="e">
        <f t="shared" si="197"/>
        <v>#VALUE!</v>
      </c>
      <c r="M1821" s="247" t="e">
        <f t="shared" si="198"/>
        <v>#VALUE!</v>
      </c>
      <c r="N1821" s="246" t="e">
        <f t="shared" si="199"/>
        <v>#VALUE!</v>
      </c>
      <c r="O1821" s="247" t="e">
        <f t="shared" si="200"/>
        <v>#VALUE!</v>
      </c>
      <c r="P1821" s="247">
        <f t="shared" si="201"/>
        <v>0</v>
      </c>
      <c r="Q1821" s="247" t="e">
        <f t="shared" si="202"/>
        <v>#VALUE!</v>
      </c>
    </row>
    <row r="1822" spans="1:17" ht="15" customHeight="1" x14ac:dyDescent="0.25">
      <c r="A1822" s="244"/>
      <c r="B1822" s="244"/>
      <c r="C1822" s="244"/>
      <c r="D1822" s="244"/>
      <c r="E1822" s="244"/>
      <c r="F1822" s="244"/>
      <c r="G1822" s="244"/>
      <c r="I1822" s="244"/>
      <c r="J1822" s="244"/>
      <c r="K1822" s="246" t="e">
        <f t="shared" si="196"/>
        <v>#VALUE!</v>
      </c>
      <c r="L1822" s="246" t="e">
        <f t="shared" si="197"/>
        <v>#VALUE!</v>
      </c>
      <c r="M1822" s="247" t="e">
        <f t="shared" si="198"/>
        <v>#VALUE!</v>
      </c>
      <c r="N1822" s="246" t="e">
        <f t="shared" si="199"/>
        <v>#VALUE!</v>
      </c>
      <c r="O1822" s="247" t="e">
        <f t="shared" si="200"/>
        <v>#VALUE!</v>
      </c>
      <c r="P1822" s="247">
        <f t="shared" si="201"/>
        <v>0</v>
      </c>
      <c r="Q1822" s="247" t="e">
        <f t="shared" si="202"/>
        <v>#VALUE!</v>
      </c>
    </row>
    <row r="1823" spans="1:17" ht="15" customHeight="1" x14ac:dyDescent="0.25">
      <c r="A1823" s="244"/>
      <c r="B1823" s="244"/>
      <c r="C1823" s="244"/>
      <c r="D1823" s="244"/>
      <c r="E1823" s="244"/>
      <c r="F1823" s="244"/>
      <c r="G1823" s="244"/>
      <c r="I1823" s="244"/>
      <c r="J1823" s="244"/>
      <c r="K1823" s="246" t="e">
        <f t="shared" si="196"/>
        <v>#VALUE!</v>
      </c>
      <c r="L1823" s="246" t="e">
        <f t="shared" si="197"/>
        <v>#VALUE!</v>
      </c>
      <c r="M1823" s="247" t="e">
        <f t="shared" si="198"/>
        <v>#VALUE!</v>
      </c>
      <c r="N1823" s="246" t="e">
        <f t="shared" si="199"/>
        <v>#VALUE!</v>
      </c>
      <c r="O1823" s="247" t="e">
        <f t="shared" si="200"/>
        <v>#VALUE!</v>
      </c>
      <c r="P1823" s="247">
        <f t="shared" si="201"/>
        <v>0</v>
      </c>
      <c r="Q1823" s="247" t="e">
        <f t="shared" si="202"/>
        <v>#VALUE!</v>
      </c>
    </row>
    <row r="1824" spans="1:17" ht="15" customHeight="1" x14ac:dyDescent="0.25">
      <c r="A1824" s="244"/>
      <c r="B1824" s="244"/>
      <c r="C1824" s="244"/>
      <c r="D1824" s="244"/>
      <c r="E1824" s="244"/>
      <c r="F1824" s="244"/>
      <c r="G1824" s="244"/>
      <c r="I1824" s="244"/>
      <c r="J1824" s="244"/>
      <c r="K1824" s="246" t="e">
        <f t="shared" si="196"/>
        <v>#VALUE!</v>
      </c>
      <c r="L1824" s="246" t="e">
        <f t="shared" si="197"/>
        <v>#VALUE!</v>
      </c>
      <c r="M1824" s="247" t="e">
        <f t="shared" si="198"/>
        <v>#VALUE!</v>
      </c>
      <c r="N1824" s="246" t="e">
        <f t="shared" si="199"/>
        <v>#VALUE!</v>
      </c>
      <c r="O1824" s="247" t="e">
        <f t="shared" si="200"/>
        <v>#VALUE!</v>
      </c>
      <c r="P1824" s="247">
        <f t="shared" si="201"/>
        <v>0</v>
      </c>
      <c r="Q1824" s="247" t="e">
        <f t="shared" si="202"/>
        <v>#VALUE!</v>
      </c>
    </row>
    <row r="1825" spans="1:17" ht="15" customHeight="1" x14ac:dyDescent="0.25">
      <c r="A1825" s="244"/>
      <c r="B1825" s="244"/>
      <c r="C1825" s="244"/>
      <c r="D1825" s="244"/>
      <c r="E1825" s="244"/>
      <c r="F1825" s="244"/>
      <c r="G1825" s="244"/>
      <c r="I1825" s="244"/>
      <c r="J1825" s="244"/>
      <c r="K1825" s="246" t="e">
        <f t="shared" si="196"/>
        <v>#VALUE!</v>
      </c>
      <c r="L1825" s="246" t="e">
        <f t="shared" si="197"/>
        <v>#VALUE!</v>
      </c>
      <c r="M1825" s="247" t="e">
        <f t="shared" si="198"/>
        <v>#VALUE!</v>
      </c>
      <c r="N1825" s="246" t="e">
        <f t="shared" si="199"/>
        <v>#VALUE!</v>
      </c>
      <c r="O1825" s="247" t="e">
        <f t="shared" si="200"/>
        <v>#VALUE!</v>
      </c>
      <c r="P1825" s="247">
        <f t="shared" si="201"/>
        <v>0</v>
      </c>
      <c r="Q1825" s="247" t="e">
        <f t="shared" si="202"/>
        <v>#VALUE!</v>
      </c>
    </row>
    <row r="1826" spans="1:17" ht="15" customHeight="1" x14ac:dyDescent="0.25">
      <c r="A1826" s="244"/>
      <c r="B1826" s="244"/>
      <c r="C1826" s="244"/>
      <c r="D1826" s="244"/>
      <c r="E1826" s="244"/>
      <c r="F1826" s="244"/>
      <c r="G1826" s="244"/>
      <c r="I1826" s="244"/>
      <c r="J1826" s="244"/>
      <c r="K1826" s="246" t="e">
        <f t="shared" si="196"/>
        <v>#VALUE!</v>
      </c>
      <c r="L1826" s="246" t="e">
        <f t="shared" si="197"/>
        <v>#VALUE!</v>
      </c>
      <c r="M1826" s="247" t="e">
        <f t="shared" si="198"/>
        <v>#VALUE!</v>
      </c>
      <c r="N1826" s="246" t="e">
        <f t="shared" si="199"/>
        <v>#VALUE!</v>
      </c>
      <c r="O1826" s="247" t="e">
        <f t="shared" si="200"/>
        <v>#VALUE!</v>
      </c>
      <c r="P1826" s="247">
        <f t="shared" si="201"/>
        <v>0</v>
      </c>
      <c r="Q1826" s="247" t="e">
        <f t="shared" si="202"/>
        <v>#VALUE!</v>
      </c>
    </row>
    <row r="1827" spans="1:17" ht="15" customHeight="1" x14ac:dyDescent="0.25">
      <c r="A1827" s="244"/>
      <c r="B1827" s="244"/>
      <c r="C1827" s="244"/>
      <c r="D1827" s="244"/>
      <c r="E1827" s="244"/>
      <c r="F1827" s="244"/>
      <c r="G1827" s="244"/>
      <c r="I1827" s="244"/>
      <c r="J1827" s="244"/>
      <c r="K1827" s="246" t="e">
        <f t="shared" si="196"/>
        <v>#VALUE!</v>
      </c>
      <c r="L1827" s="246" t="e">
        <f t="shared" si="197"/>
        <v>#VALUE!</v>
      </c>
      <c r="M1827" s="247" t="e">
        <f t="shared" si="198"/>
        <v>#VALUE!</v>
      </c>
      <c r="N1827" s="246" t="e">
        <f t="shared" si="199"/>
        <v>#VALUE!</v>
      </c>
      <c r="O1827" s="247" t="e">
        <f t="shared" si="200"/>
        <v>#VALUE!</v>
      </c>
      <c r="P1827" s="247">
        <f t="shared" si="201"/>
        <v>0</v>
      </c>
      <c r="Q1827" s="247" t="e">
        <f t="shared" si="202"/>
        <v>#VALUE!</v>
      </c>
    </row>
    <row r="1828" spans="1:17" ht="15" customHeight="1" x14ac:dyDescent="0.25">
      <c r="A1828" s="244"/>
      <c r="B1828" s="244"/>
      <c r="C1828" s="244"/>
      <c r="D1828" s="244"/>
      <c r="E1828" s="244"/>
      <c r="F1828" s="244"/>
      <c r="G1828" s="244"/>
      <c r="I1828" s="244"/>
      <c r="J1828" s="244"/>
      <c r="K1828" s="246" t="e">
        <f t="shared" si="196"/>
        <v>#VALUE!</v>
      </c>
      <c r="L1828" s="246" t="e">
        <f t="shared" si="197"/>
        <v>#VALUE!</v>
      </c>
      <c r="M1828" s="247" t="e">
        <f t="shared" si="198"/>
        <v>#VALUE!</v>
      </c>
      <c r="N1828" s="246" t="e">
        <f t="shared" si="199"/>
        <v>#VALUE!</v>
      </c>
      <c r="O1828" s="247" t="e">
        <f t="shared" si="200"/>
        <v>#VALUE!</v>
      </c>
      <c r="P1828" s="247">
        <f t="shared" si="201"/>
        <v>0</v>
      </c>
      <c r="Q1828" s="247" t="e">
        <f t="shared" si="202"/>
        <v>#VALUE!</v>
      </c>
    </row>
    <row r="1829" spans="1:17" ht="15" customHeight="1" x14ac:dyDescent="0.25">
      <c r="A1829" s="244"/>
      <c r="B1829" s="244"/>
      <c r="C1829" s="244"/>
      <c r="D1829" s="244"/>
      <c r="E1829" s="244"/>
      <c r="F1829" s="244"/>
      <c r="G1829" s="244"/>
      <c r="I1829" s="244"/>
      <c r="J1829" s="244"/>
      <c r="K1829" s="246" t="e">
        <f t="shared" si="196"/>
        <v>#VALUE!</v>
      </c>
      <c r="L1829" s="246" t="e">
        <f t="shared" si="197"/>
        <v>#VALUE!</v>
      </c>
      <c r="M1829" s="247" t="e">
        <f t="shared" si="198"/>
        <v>#VALUE!</v>
      </c>
      <c r="N1829" s="246" t="e">
        <f t="shared" si="199"/>
        <v>#VALUE!</v>
      </c>
      <c r="O1829" s="247" t="e">
        <f t="shared" si="200"/>
        <v>#VALUE!</v>
      </c>
      <c r="P1829" s="247">
        <f t="shared" si="201"/>
        <v>0</v>
      </c>
      <c r="Q1829" s="247" t="e">
        <f t="shared" si="202"/>
        <v>#VALUE!</v>
      </c>
    </row>
    <row r="1830" spans="1:17" ht="15" customHeight="1" x14ac:dyDescent="0.25">
      <c r="A1830" s="244"/>
      <c r="B1830" s="244"/>
      <c r="C1830" s="244"/>
      <c r="D1830" s="244"/>
      <c r="E1830" s="244"/>
      <c r="F1830" s="244"/>
      <c r="G1830" s="244"/>
      <c r="I1830" s="244"/>
      <c r="J1830" s="244"/>
      <c r="K1830" s="246" t="e">
        <f t="shared" si="196"/>
        <v>#VALUE!</v>
      </c>
      <c r="L1830" s="246" t="e">
        <f t="shared" si="197"/>
        <v>#VALUE!</v>
      </c>
      <c r="M1830" s="247" t="e">
        <f t="shared" si="198"/>
        <v>#VALUE!</v>
      </c>
      <c r="N1830" s="246" t="e">
        <f t="shared" si="199"/>
        <v>#VALUE!</v>
      </c>
      <c r="O1830" s="247" t="e">
        <f t="shared" si="200"/>
        <v>#VALUE!</v>
      </c>
      <c r="P1830" s="247">
        <f t="shared" si="201"/>
        <v>0</v>
      </c>
      <c r="Q1830" s="247" t="e">
        <f t="shared" si="202"/>
        <v>#VALUE!</v>
      </c>
    </row>
    <row r="1831" spans="1:17" ht="15" customHeight="1" x14ac:dyDescent="0.25">
      <c r="A1831" s="244"/>
      <c r="B1831" s="244"/>
      <c r="C1831" s="244"/>
      <c r="D1831" s="244"/>
      <c r="E1831" s="244"/>
      <c r="F1831" s="244"/>
      <c r="G1831" s="244"/>
      <c r="I1831" s="244"/>
      <c r="J1831" s="244"/>
      <c r="K1831" s="246" t="e">
        <f t="shared" si="196"/>
        <v>#VALUE!</v>
      </c>
      <c r="L1831" s="246" t="e">
        <f t="shared" si="197"/>
        <v>#VALUE!</v>
      </c>
      <c r="M1831" s="247" t="e">
        <f t="shared" si="198"/>
        <v>#VALUE!</v>
      </c>
      <c r="N1831" s="246" t="e">
        <f t="shared" si="199"/>
        <v>#VALUE!</v>
      </c>
      <c r="O1831" s="247" t="e">
        <f t="shared" si="200"/>
        <v>#VALUE!</v>
      </c>
      <c r="P1831" s="247">
        <f t="shared" si="201"/>
        <v>0</v>
      </c>
      <c r="Q1831" s="247" t="e">
        <f t="shared" si="202"/>
        <v>#VALUE!</v>
      </c>
    </row>
    <row r="1832" spans="1:17" ht="15" customHeight="1" x14ac:dyDescent="0.25">
      <c r="A1832" s="244"/>
      <c r="B1832" s="244"/>
      <c r="C1832" s="244"/>
      <c r="D1832" s="244"/>
      <c r="E1832" s="244"/>
      <c r="F1832" s="244"/>
      <c r="G1832" s="244"/>
      <c r="I1832" s="244"/>
      <c r="J1832" s="244"/>
      <c r="K1832" s="246" t="e">
        <f t="shared" si="196"/>
        <v>#VALUE!</v>
      </c>
      <c r="L1832" s="246" t="e">
        <f t="shared" si="197"/>
        <v>#VALUE!</v>
      </c>
      <c r="M1832" s="247" t="e">
        <f t="shared" si="198"/>
        <v>#VALUE!</v>
      </c>
      <c r="N1832" s="246" t="e">
        <f t="shared" si="199"/>
        <v>#VALUE!</v>
      </c>
      <c r="O1832" s="247" t="e">
        <f t="shared" si="200"/>
        <v>#VALUE!</v>
      </c>
      <c r="P1832" s="247">
        <f t="shared" si="201"/>
        <v>0</v>
      </c>
      <c r="Q1832" s="247" t="e">
        <f t="shared" si="202"/>
        <v>#VALUE!</v>
      </c>
    </row>
    <row r="1833" spans="1:17" ht="15" customHeight="1" x14ac:dyDescent="0.25">
      <c r="A1833" s="244"/>
      <c r="B1833" s="244"/>
      <c r="C1833" s="244"/>
      <c r="D1833" s="244"/>
      <c r="E1833" s="244"/>
      <c r="F1833" s="244"/>
      <c r="G1833" s="244"/>
      <c r="I1833" s="244"/>
      <c r="J1833" s="244"/>
      <c r="K1833" s="246" t="e">
        <f t="shared" si="196"/>
        <v>#VALUE!</v>
      </c>
      <c r="L1833" s="246" t="e">
        <f t="shared" si="197"/>
        <v>#VALUE!</v>
      </c>
      <c r="M1833" s="247" t="e">
        <f t="shared" si="198"/>
        <v>#VALUE!</v>
      </c>
      <c r="N1833" s="246" t="e">
        <f t="shared" si="199"/>
        <v>#VALUE!</v>
      </c>
      <c r="O1833" s="247" t="e">
        <f t="shared" si="200"/>
        <v>#VALUE!</v>
      </c>
      <c r="P1833" s="247">
        <f t="shared" si="201"/>
        <v>0</v>
      </c>
      <c r="Q1833" s="247" t="e">
        <f t="shared" si="202"/>
        <v>#VALUE!</v>
      </c>
    </row>
    <row r="1834" spans="1:17" ht="15" customHeight="1" x14ac:dyDescent="0.25">
      <c r="A1834" s="244"/>
      <c r="B1834" s="244"/>
      <c r="C1834" s="244"/>
      <c r="D1834" s="244"/>
      <c r="E1834" s="244"/>
      <c r="F1834" s="244"/>
      <c r="G1834" s="244"/>
      <c r="I1834" s="244"/>
      <c r="J1834" s="244"/>
      <c r="K1834" s="246" t="e">
        <f t="shared" si="196"/>
        <v>#VALUE!</v>
      </c>
      <c r="L1834" s="246" t="e">
        <f t="shared" si="197"/>
        <v>#VALUE!</v>
      </c>
      <c r="M1834" s="247" t="e">
        <f t="shared" si="198"/>
        <v>#VALUE!</v>
      </c>
      <c r="N1834" s="246" t="e">
        <f t="shared" si="199"/>
        <v>#VALUE!</v>
      </c>
      <c r="O1834" s="247" t="e">
        <f t="shared" si="200"/>
        <v>#VALUE!</v>
      </c>
      <c r="P1834" s="247">
        <f t="shared" si="201"/>
        <v>0</v>
      </c>
      <c r="Q1834" s="247" t="e">
        <f t="shared" si="202"/>
        <v>#VALUE!</v>
      </c>
    </row>
    <row r="1835" spans="1:17" ht="15" customHeight="1" x14ac:dyDescent="0.25">
      <c r="A1835" s="244"/>
      <c r="B1835" s="244"/>
      <c r="C1835" s="244"/>
      <c r="D1835" s="244"/>
      <c r="E1835" s="244"/>
      <c r="F1835" s="244"/>
      <c r="G1835" s="244"/>
      <c r="I1835" s="244"/>
      <c r="J1835" s="244"/>
      <c r="K1835" s="246" t="e">
        <f t="shared" si="196"/>
        <v>#VALUE!</v>
      </c>
      <c r="L1835" s="246" t="e">
        <f t="shared" si="197"/>
        <v>#VALUE!</v>
      </c>
      <c r="M1835" s="247" t="e">
        <f t="shared" si="198"/>
        <v>#VALUE!</v>
      </c>
      <c r="N1835" s="246" t="e">
        <f t="shared" si="199"/>
        <v>#VALUE!</v>
      </c>
      <c r="O1835" s="247" t="e">
        <f t="shared" si="200"/>
        <v>#VALUE!</v>
      </c>
      <c r="P1835" s="247">
        <f t="shared" si="201"/>
        <v>0</v>
      </c>
      <c r="Q1835" s="247" t="e">
        <f t="shared" si="202"/>
        <v>#VALUE!</v>
      </c>
    </row>
    <row r="1836" spans="1:17" ht="15" customHeight="1" x14ac:dyDescent="0.25">
      <c r="A1836" s="244"/>
      <c r="B1836" s="244"/>
      <c r="C1836" s="244"/>
      <c r="D1836" s="244"/>
      <c r="E1836" s="244"/>
      <c r="F1836" s="244"/>
      <c r="G1836" s="244"/>
      <c r="I1836" s="244"/>
      <c r="J1836" s="244"/>
      <c r="K1836" s="246" t="e">
        <f t="shared" si="196"/>
        <v>#VALUE!</v>
      </c>
      <c r="L1836" s="246" t="e">
        <f t="shared" si="197"/>
        <v>#VALUE!</v>
      </c>
      <c r="M1836" s="247" t="e">
        <f t="shared" si="198"/>
        <v>#VALUE!</v>
      </c>
      <c r="N1836" s="246" t="e">
        <f t="shared" si="199"/>
        <v>#VALUE!</v>
      </c>
      <c r="O1836" s="247" t="e">
        <f t="shared" si="200"/>
        <v>#VALUE!</v>
      </c>
      <c r="P1836" s="247">
        <f t="shared" si="201"/>
        <v>0</v>
      </c>
      <c r="Q1836" s="247" t="e">
        <f t="shared" si="202"/>
        <v>#VALUE!</v>
      </c>
    </row>
    <row r="1837" spans="1:17" ht="15" customHeight="1" x14ac:dyDescent="0.25">
      <c r="A1837" s="244"/>
      <c r="B1837" s="244"/>
      <c r="C1837" s="244"/>
      <c r="D1837" s="244"/>
      <c r="E1837" s="244"/>
      <c r="F1837" s="244"/>
      <c r="G1837" s="244"/>
      <c r="I1837" s="244"/>
      <c r="J1837" s="244"/>
      <c r="K1837" s="246" t="e">
        <f t="shared" si="196"/>
        <v>#VALUE!</v>
      </c>
      <c r="L1837" s="246" t="e">
        <f t="shared" si="197"/>
        <v>#VALUE!</v>
      </c>
      <c r="M1837" s="247" t="e">
        <f t="shared" si="198"/>
        <v>#VALUE!</v>
      </c>
      <c r="N1837" s="246" t="e">
        <f t="shared" si="199"/>
        <v>#VALUE!</v>
      </c>
      <c r="O1837" s="247" t="e">
        <f t="shared" si="200"/>
        <v>#VALUE!</v>
      </c>
      <c r="P1837" s="247">
        <f t="shared" si="201"/>
        <v>0</v>
      </c>
      <c r="Q1837" s="247" t="e">
        <f t="shared" si="202"/>
        <v>#VALUE!</v>
      </c>
    </row>
    <row r="1838" spans="1:17" ht="15" customHeight="1" x14ac:dyDescent="0.25">
      <c r="A1838" s="244"/>
      <c r="B1838" s="244"/>
      <c r="C1838" s="244"/>
      <c r="D1838" s="244"/>
      <c r="E1838" s="244"/>
      <c r="F1838" s="244"/>
      <c r="G1838" s="244"/>
      <c r="I1838" s="244"/>
      <c r="J1838" s="244"/>
      <c r="K1838" s="246" t="e">
        <f t="shared" si="196"/>
        <v>#VALUE!</v>
      </c>
      <c r="L1838" s="246" t="e">
        <f t="shared" si="197"/>
        <v>#VALUE!</v>
      </c>
      <c r="M1838" s="247" t="e">
        <f t="shared" si="198"/>
        <v>#VALUE!</v>
      </c>
      <c r="N1838" s="246" t="e">
        <f t="shared" si="199"/>
        <v>#VALUE!</v>
      </c>
      <c r="O1838" s="247" t="e">
        <f t="shared" si="200"/>
        <v>#VALUE!</v>
      </c>
      <c r="P1838" s="247">
        <f t="shared" si="201"/>
        <v>0</v>
      </c>
      <c r="Q1838" s="247" t="e">
        <f t="shared" si="202"/>
        <v>#VALUE!</v>
      </c>
    </row>
    <row r="1839" spans="1:17" ht="15" customHeight="1" x14ac:dyDescent="0.25">
      <c r="A1839" s="244"/>
      <c r="B1839" s="244"/>
      <c r="C1839" s="244"/>
      <c r="D1839" s="244"/>
      <c r="E1839" s="244"/>
      <c r="F1839" s="244"/>
      <c r="G1839" s="244"/>
      <c r="I1839" s="244"/>
      <c r="J1839" s="244"/>
      <c r="K1839" s="246" t="e">
        <f t="shared" si="196"/>
        <v>#VALUE!</v>
      </c>
      <c r="L1839" s="246" t="e">
        <f t="shared" si="197"/>
        <v>#VALUE!</v>
      </c>
      <c r="M1839" s="247" t="e">
        <f t="shared" si="198"/>
        <v>#VALUE!</v>
      </c>
      <c r="N1839" s="246" t="e">
        <f t="shared" si="199"/>
        <v>#VALUE!</v>
      </c>
      <c r="O1839" s="247" t="e">
        <f t="shared" si="200"/>
        <v>#VALUE!</v>
      </c>
      <c r="P1839" s="247">
        <f t="shared" si="201"/>
        <v>0</v>
      </c>
      <c r="Q1839" s="247" t="e">
        <f t="shared" si="202"/>
        <v>#VALUE!</v>
      </c>
    </row>
    <row r="1840" spans="1:17" ht="15" customHeight="1" x14ac:dyDescent="0.25">
      <c r="A1840" s="244"/>
      <c r="B1840" s="244"/>
      <c r="C1840" s="244"/>
      <c r="D1840" s="244"/>
      <c r="E1840" s="244"/>
      <c r="F1840" s="244"/>
      <c r="G1840" s="244"/>
      <c r="I1840" s="244"/>
      <c r="J1840" s="244"/>
      <c r="K1840" s="246" t="e">
        <f t="shared" si="196"/>
        <v>#VALUE!</v>
      </c>
      <c r="L1840" s="246" t="e">
        <f t="shared" si="197"/>
        <v>#VALUE!</v>
      </c>
      <c r="M1840" s="247" t="e">
        <f t="shared" si="198"/>
        <v>#VALUE!</v>
      </c>
      <c r="N1840" s="246" t="e">
        <f t="shared" si="199"/>
        <v>#VALUE!</v>
      </c>
      <c r="O1840" s="247" t="e">
        <f t="shared" si="200"/>
        <v>#VALUE!</v>
      </c>
      <c r="P1840" s="247">
        <f t="shared" si="201"/>
        <v>0</v>
      </c>
      <c r="Q1840" s="247" t="e">
        <f t="shared" si="202"/>
        <v>#VALUE!</v>
      </c>
    </row>
    <row r="1841" spans="1:17" ht="15" customHeight="1" x14ac:dyDescent="0.25">
      <c r="A1841" s="244"/>
      <c r="B1841" s="244"/>
      <c r="C1841" s="244"/>
      <c r="D1841" s="244"/>
      <c r="E1841" s="244"/>
      <c r="F1841" s="244"/>
      <c r="G1841" s="244"/>
      <c r="I1841" s="244"/>
      <c r="J1841" s="244"/>
      <c r="K1841" s="246" t="e">
        <f t="shared" si="196"/>
        <v>#VALUE!</v>
      </c>
      <c r="L1841" s="246" t="e">
        <f t="shared" si="197"/>
        <v>#VALUE!</v>
      </c>
      <c r="M1841" s="247" t="e">
        <f t="shared" si="198"/>
        <v>#VALUE!</v>
      </c>
      <c r="N1841" s="246" t="e">
        <f t="shared" si="199"/>
        <v>#VALUE!</v>
      </c>
      <c r="O1841" s="247" t="e">
        <f t="shared" si="200"/>
        <v>#VALUE!</v>
      </c>
      <c r="P1841" s="247">
        <f t="shared" si="201"/>
        <v>0</v>
      </c>
      <c r="Q1841" s="247" t="e">
        <f t="shared" si="202"/>
        <v>#VALUE!</v>
      </c>
    </row>
    <row r="1842" spans="1:17" ht="15" customHeight="1" x14ac:dyDescent="0.25">
      <c r="A1842" s="244"/>
      <c r="B1842" s="244"/>
      <c r="C1842" s="244"/>
      <c r="D1842" s="244"/>
      <c r="E1842" s="244"/>
      <c r="F1842" s="244"/>
      <c r="G1842" s="244"/>
      <c r="I1842" s="244"/>
      <c r="J1842" s="244"/>
      <c r="K1842" s="246" t="e">
        <f t="shared" si="196"/>
        <v>#VALUE!</v>
      </c>
      <c r="L1842" s="246" t="e">
        <f t="shared" si="197"/>
        <v>#VALUE!</v>
      </c>
      <c r="M1842" s="247" t="e">
        <f t="shared" si="198"/>
        <v>#VALUE!</v>
      </c>
      <c r="N1842" s="246" t="e">
        <f t="shared" si="199"/>
        <v>#VALUE!</v>
      </c>
      <c r="O1842" s="247" t="e">
        <f t="shared" si="200"/>
        <v>#VALUE!</v>
      </c>
      <c r="P1842" s="247">
        <f t="shared" si="201"/>
        <v>0</v>
      </c>
      <c r="Q1842" s="247" t="e">
        <f t="shared" si="202"/>
        <v>#VALUE!</v>
      </c>
    </row>
    <row r="1843" spans="1:17" ht="15" customHeight="1" x14ac:dyDescent="0.25">
      <c r="A1843" s="244"/>
      <c r="B1843" s="244"/>
      <c r="C1843" s="244"/>
      <c r="D1843" s="244"/>
      <c r="E1843" s="244"/>
      <c r="F1843" s="244"/>
      <c r="G1843" s="244"/>
      <c r="I1843" s="244"/>
      <c r="J1843" s="244"/>
      <c r="K1843" s="246" t="e">
        <f t="shared" si="196"/>
        <v>#VALUE!</v>
      </c>
      <c r="L1843" s="246" t="e">
        <f t="shared" si="197"/>
        <v>#VALUE!</v>
      </c>
      <c r="M1843" s="247" t="e">
        <f t="shared" si="198"/>
        <v>#VALUE!</v>
      </c>
      <c r="N1843" s="246" t="e">
        <f t="shared" si="199"/>
        <v>#VALUE!</v>
      </c>
      <c r="O1843" s="247" t="e">
        <f t="shared" si="200"/>
        <v>#VALUE!</v>
      </c>
      <c r="P1843" s="247">
        <f t="shared" si="201"/>
        <v>0</v>
      </c>
      <c r="Q1843" s="247" t="e">
        <f t="shared" si="202"/>
        <v>#VALUE!</v>
      </c>
    </row>
    <row r="1844" spans="1:17" ht="15" customHeight="1" x14ac:dyDescent="0.25">
      <c r="A1844" s="244"/>
      <c r="B1844" s="244"/>
      <c r="C1844" s="244"/>
      <c r="D1844" s="244"/>
      <c r="E1844" s="244"/>
      <c r="F1844" s="244"/>
      <c r="G1844" s="244"/>
      <c r="I1844" s="244"/>
      <c r="J1844" s="244"/>
      <c r="K1844" s="246" t="e">
        <f t="shared" si="196"/>
        <v>#VALUE!</v>
      </c>
      <c r="L1844" s="246" t="e">
        <f t="shared" si="197"/>
        <v>#VALUE!</v>
      </c>
      <c r="M1844" s="247" t="e">
        <f t="shared" si="198"/>
        <v>#VALUE!</v>
      </c>
      <c r="N1844" s="246" t="e">
        <f t="shared" si="199"/>
        <v>#VALUE!</v>
      </c>
      <c r="O1844" s="247" t="e">
        <f t="shared" si="200"/>
        <v>#VALUE!</v>
      </c>
      <c r="P1844" s="247">
        <f t="shared" si="201"/>
        <v>0</v>
      </c>
      <c r="Q1844" s="247" t="e">
        <f t="shared" si="202"/>
        <v>#VALUE!</v>
      </c>
    </row>
    <row r="1845" spans="1:17" ht="15" customHeight="1" x14ac:dyDescent="0.25">
      <c r="A1845" s="244"/>
      <c r="B1845" s="244"/>
      <c r="C1845" s="244"/>
      <c r="D1845" s="244"/>
      <c r="E1845" s="244"/>
      <c r="F1845" s="244"/>
      <c r="G1845" s="244"/>
      <c r="I1845" s="244"/>
      <c r="J1845" s="244"/>
      <c r="K1845" s="246" t="e">
        <f t="shared" si="196"/>
        <v>#VALUE!</v>
      </c>
      <c r="L1845" s="246" t="e">
        <f t="shared" si="197"/>
        <v>#VALUE!</v>
      </c>
      <c r="M1845" s="247" t="e">
        <f t="shared" si="198"/>
        <v>#VALUE!</v>
      </c>
      <c r="N1845" s="246" t="e">
        <f t="shared" si="199"/>
        <v>#VALUE!</v>
      </c>
      <c r="O1845" s="247" t="e">
        <f t="shared" si="200"/>
        <v>#VALUE!</v>
      </c>
      <c r="P1845" s="247">
        <f t="shared" si="201"/>
        <v>0</v>
      </c>
      <c r="Q1845" s="247" t="e">
        <f t="shared" si="202"/>
        <v>#VALUE!</v>
      </c>
    </row>
    <row r="1846" spans="1:17" ht="15" customHeight="1" x14ac:dyDescent="0.25">
      <c r="A1846" s="244"/>
      <c r="B1846" s="244"/>
      <c r="C1846" s="244"/>
      <c r="D1846" s="244"/>
      <c r="E1846" s="244"/>
      <c r="F1846" s="244"/>
      <c r="G1846" s="244"/>
      <c r="I1846" s="244"/>
      <c r="J1846" s="244"/>
      <c r="K1846" s="246" t="e">
        <f t="shared" si="196"/>
        <v>#VALUE!</v>
      </c>
      <c r="L1846" s="246" t="e">
        <f t="shared" si="197"/>
        <v>#VALUE!</v>
      </c>
      <c r="M1846" s="247" t="e">
        <f t="shared" si="198"/>
        <v>#VALUE!</v>
      </c>
      <c r="N1846" s="246" t="e">
        <f t="shared" si="199"/>
        <v>#VALUE!</v>
      </c>
      <c r="O1846" s="247" t="e">
        <f t="shared" si="200"/>
        <v>#VALUE!</v>
      </c>
      <c r="P1846" s="247">
        <f t="shared" si="201"/>
        <v>0</v>
      </c>
      <c r="Q1846" s="247" t="e">
        <f t="shared" si="202"/>
        <v>#VALUE!</v>
      </c>
    </row>
    <row r="1847" spans="1:17" ht="15" customHeight="1" x14ac:dyDescent="0.25">
      <c r="A1847" s="244"/>
      <c r="B1847" s="244"/>
      <c r="C1847" s="244"/>
      <c r="D1847" s="244"/>
      <c r="E1847" s="244"/>
      <c r="F1847" s="244"/>
      <c r="G1847" s="244"/>
      <c r="I1847" s="244"/>
      <c r="J1847" s="244"/>
      <c r="K1847" s="246" t="e">
        <f t="shared" si="196"/>
        <v>#VALUE!</v>
      </c>
      <c r="L1847" s="246" t="e">
        <f t="shared" si="197"/>
        <v>#VALUE!</v>
      </c>
      <c r="M1847" s="247" t="e">
        <f t="shared" si="198"/>
        <v>#VALUE!</v>
      </c>
      <c r="N1847" s="246" t="e">
        <f t="shared" si="199"/>
        <v>#VALUE!</v>
      </c>
      <c r="O1847" s="247" t="e">
        <f t="shared" si="200"/>
        <v>#VALUE!</v>
      </c>
      <c r="P1847" s="247">
        <f t="shared" si="201"/>
        <v>0</v>
      </c>
      <c r="Q1847" s="247" t="e">
        <f t="shared" si="202"/>
        <v>#VALUE!</v>
      </c>
    </row>
    <row r="1848" spans="1:17" ht="15" customHeight="1" x14ac:dyDescent="0.25">
      <c r="A1848" s="244"/>
      <c r="B1848" s="244"/>
      <c r="C1848" s="244"/>
      <c r="D1848" s="244"/>
      <c r="E1848" s="244"/>
      <c r="F1848" s="244"/>
      <c r="G1848" s="244"/>
      <c r="I1848" s="244"/>
      <c r="J1848" s="244"/>
      <c r="K1848" s="246" t="e">
        <f t="shared" si="196"/>
        <v>#VALUE!</v>
      </c>
      <c r="L1848" s="246" t="e">
        <f t="shared" si="197"/>
        <v>#VALUE!</v>
      </c>
      <c r="M1848" s="247" t="e">
        <f t="shared" si="198"/>
        <v>#VALUE!</v>
      </c>
      <c r="N1848" s="246" t="e">
        <f t="shared" si="199"/>
        <v>#VALUE!</v>
      </c>
      <c r="O1848" s="247" t="e">
        <f t="shared" si="200"/>
        <v>#VALUE!</v>
      </c>
      <c r="P1848" s="247">
        <f t="shared" si="201"/>
        <v>0</v>
      </c>
      <c r="Q1848" s="247" t="e">
        <f t="shared" si="202"/>
        <v>#VALUE!</v>
      </c>
    </row>
    <row r="1849" spans="1:17" ht="15" customHeight="1" x14ac:dyDescent="0.25">
      <c r="A1849" s="244"/>
      <c r="B1849" s="244"/>
      <c r="C1849" s="244"/>
      <c r="D1849" s="244"/>
      <c r="E1849" s="244"/>
      <c r="F1849" s="244"/>
      <c r="G1849" s="244"/>
      <c r="I1849" s="244"/>
      <c r="J1849" s="244"/>
      <c r="K1849" s="246" t="e">
        <f t="shared" si="196"/>
        <v>#VALUE!</v>
      </c>
      <c r="L1849" s="246" t="e">
        <f t="shared" si="197"/>
        <v>#VALUE!</v>
      </c>
      <c r="M1849" s="247" t="e">
        <f t="shared" si="198"/>
        <v>#VALUE!</v>
      </c>
      <c r="N1849" s="246" t="e">
        <f t="shared" si="199"/>
        <v>#VALUE!</v>
      </c>
      <c r="O1849" s="247" t="e">
        <f t="shared" si="200"/>
        <v>#VALUE!</v>
      </c>
      <c r="P1849" s="247">
        <f t="shared" si="201"/>
        <v>0</v>
      </c>
      <c r="Q1849" s="247" t="e">
        <f t="shared" si="202"/>
        <v>#VALUE!</v>
      </c>
    </row>
    <row r="1850" spans="1:17" ht="15" customHeight="1" x14ac:dyDescent="0.25">
      <c r="A1850" s="244"/>
      <c r="B1850" s="244"/>
      <c r="C1850" s="244"/>
      <c r="D1850" s="244"/>
      <c r="E1850" s="244"/>
      <c r="F1850" s="244"/>
      <c r="G1850" s="244"/>
      <c r="I1850" s="244"/>
      <c r="J1850" s="244"/>
      <c r="K1850" s="246" t="e">
        <f t="shared" si="196"/>
        <v>#VALUE!</v>
      </c>
      <c r="L1850" s="246" t="e">
        <f t="shared" si="197"/>
        <v>#VALUE!</v>
      </c>
      <c r="M1850" s="247" t="e">
        <f t="shared" si="198"/>
        <v>#VALUE!</v>
      </c>
      <c r="N1850" s="246" t="e">
        <f t="shared" si="199"/>
        <v>#VALUE!</v>
      </c>
      <c r="O1850" s="247" t="e">
        <f t="shared" si="200"/>
        <v>#VALUE!</v>
      </c>
      <c r="P1850" s="247">
        <f t="shared" si="201"/>
        <v>0</v>
      </c>
      <c r="Q1850" s="247" t="e">
        <f t="shared" si="202"/>
        <v>#VALUE!</v>
      </c>
    </row>
    <row r="1851" spans="1:17" ht="15" customHeight="1" x14ac:dyDescent="0.25">
      <c r="A1851" s="244"/>
      <c r="B1851" s="244"/>
      <c r="C1851" s="244"/>
      <c r="D1851" s="244"/>
      <c r="E1851" s="244"/>
      <c r="F1851" s="244"/>
      <c r="G1851" s="244"/>
      <c r="I1851" s="244"/>
      <c r="J1851" s="244"/>
      <c r="K1851" s="246" t="e">
        <f t="shared" si="196"/>
        <v>#VALUE!</v>
      </c>
      <c r="L1851" s="246" t="e">
        <f t="shared" si="197"/>
        <v>#VALUE!</v>
      </c>
      <c r="M1851" s="247" t="e">
        <f t="shared" si="198"/>
        <v>#VALUE!</v>
      </c>
      <c r="N1851" s="246" t="e">
        <f t="shared" si="199"/>
        <v>#VALUE!</v>
      </c>
      <c r="O1851" s="247" t="e">
        <f t="shared" si="200"/>
        <v>#VALUE!</v>
      </c>
      <c r="P1851" s="247">
        <f t="shared" si="201"/>
        <v>0</v>
      </c>
      <c r="Q1851" s="247" t="e">
        <f t="shared" si="202"/>
        <v>#VALUE!</v>
      </c>
    </row>
    <row r="1852" spans="1:17" ht="15" customHeight="1" x14ac:dyDescent="0.25">
      <c r="A1852" s="244"/>
      <c r="B1852" s="244"/>
      <c r="C1852" s="244"/>
      <c r="D1852" s="244"/>
      <c r="E1852" s="244"/>
      <c r="F1852" s="244"/>
      <c r="G1852" s="244"/>
      <c r="I1852" s="244"/>
      <c r="J1852" s="244"/>
      <c r="K1852" s="246" t="e">
        <f t="shared" si="196"/>
        <v>#VALUE!</v>
      </c>
      <c r="L1852" s="246" t="e">
        <f t="shared" si="197"/>
        <v>#VALUE!</v>
      </c>
      <c r="M1852" s="247" t="e">
        <f t="shared" si="198"/>
        <v>#VALUE!</v>
      </c>
      <c r="N1852" s="246" t="e">
        <f t="shared" si="199"/>
        <v>#VALUE!</v>
      </c>
      <c r="O1852" s="247" t="e">
        <f t="shared" si="200"/>
        <v>#VALUE!</v>
      </c>
      <c r="P1852" s="247">
        <f t="shared" si="201"/>
        <v>0</v>
      </c>
      <c r="Q1852" s="247" t="e">
        <f t="shared" si="202"/>
        <v>#VALUE!</v>
      </c>
    </row>
    <row r="1853" spans="1:17" ht="15" customHeight="1" x14ac:dyDescent="0.25">
      <c r="A1853" s="244"/>
      <c r="B1853" s="244"/>
      <c r="C1853" s="244"/>
      <c r="D1853" s="244"/>
      <c r="E1853" s="244"/>
      <c r="F1853" s="244"/>
      <c r="G1853" s="244"/>
      <c r="I1853" s="244"/>
      <c r="J1853" s="244"/>
      <c r="K1853" s="246" t="e">
        <f t="shared" si="196"/>
        <v>#VALUE!</v>
      </c>
      <c r="L1853" s="246" t="e">
        <f t="shared" si="197"/>
        <v>#VALUE!</v>
      </c>
      <c r="M1853" s="247" t="e">
        <f t="shared" si="198"/>
        <v>#VALUE!</v>
      </c>
      <c r="N1853" s="246" t="e">
        <f t="shared" si="199"/>
        <v>#VALUE!</v>
      </c>
      <c r="O1853" s="247" t="e">
        <f t="shared" si="200"/>
        <v>#VALUE!</v>
      </c>
      <c r="P1853" s="247">
        <f t="shared" si="201"/>
        <v>0</v>
      </c>
      <c r="Q1853" s="247" t="e">
        <f t="shared" si="202"/>
        <v>#VALUE!</v>
      </c>
    </row>
    <row r="1854" spans="1:17" ht="15" customHeight="1" x14ac:dyDescent="0.25">
      <c r="A1854" s="244"/>
      <c r="B1854" s="244"/>
      <c r="C1854" s="244"/>
      <c r="D1854" s="244"/>
      <c r="E1854" s="244"/>
      <c r="F1854" s="244"/>
      <c r="G1854" s="244"/>
      <c r="I1854" s="244"/>
      <c r="J1854" s="244"/>
      <c r="K1854" s="246" t="e">
        <f t="shared" si="196"/>
        <v>#VALUE!</v>
      </c>
      <c r="L1854" s="246" t="e">
        <f t="shared" si="197"/>
        <v>#VALUE!</v>
      </c>
      <c r="M1854" s="247" t="e">
        <f t="shared" si="198"/>
        <v>#VALUE!</v>
      </c>
      <c r="N1854" s="246" t="e">
        <f t="shared" si="199"/>
        <v>#VALUE!</v>
      </c>
      <c r="O1854" s="247" t="e">
        <f t="shared" si="200"/>
        <v>#VALUE!</v>
      </c>
      <c r="P1854" s="247">
        <f t="shared" si="201"/>
        <v>0</v>
      </c>
      <c r="Q1854" s="247" t="e">
        <f t="shared" si="202"/>
        <v>#VALUE!</v>
      </c>
    </row>
    <row r="1855" spans="1:17" ht="15" customHeight="1" x14ac:dyDescent="0.25">
      <c r="A1855" s="244"/>
      <c r="B1855" s="244"/>
      <c r="C1855" s="244"/>
      <c r="D1855" s="244"/>
      <c r="E1855" s="244"/>
      <c r="F1855" s="244"/>
      <c r="G1855" s="244"/>
      <c r="I1855" s="244"/>
      <c r="J1855" s="244"/>
      <c r="K1855" s="246" t="e">
        <f t="shared" si="196"/>
        <v>#VALUE!</v>
      </c>
      <c r="L1855" s="246" t="e">
        <f t="shared" si="197"/>
        <v>#VALUE!</v>
      </c>
      <c r="M1855" s="247" t="e">
        <f t="shared" si="198"/>
        <v>#VALUE!</v>
      </c>
      <c r="N1855" s="246" t="e">
        <f t="shared" si="199"/>
        <v>#VALUE!</v>
      </c>
      <c r="O1855" s="247" t="e">
        <f t="shared" si="200"/>
        <v>#VALUE!</v>
      </c>
      <c r="P1855" s="247">
        <f t="shared" si="201"/>
        <v>0</v>
      </c>
      <c r="Q1855" s="247" t="e">
        <f t="shared" si="202"/>
        <v>#VALUE!</v>
      </c>
    </row>
    <row r="1856" spans="1:17" ht="15" customHeight="1" x14ac:dyDescent="0.25">
      <c r="A1856" s="244"/>
      <c r="B1856" s="244"/>
      <c r="C1856" s="244"/>
      <c r="D1856" s="244"/>
      <c r="E1856" s="244"/>
      <c r="F1856" s="244"/>
      <c r="G1856" s="244"/>
      <c r="I1856" s="244"/>
      <c r="J1856" s="244"/>
      <c r="K1856" s="246" t="e">
        <f t="shared" si="196"/>
        <v>#VALUE!</v>
      </c>
      <c r="L1856" s="246" t="e">
        <f t="shared" si="197"/>
        <v>#VALUE!</v>
      </c>
      <c r="M1856" s="247" t="e">
        <f t="shared" si="198"/>
        <v>#VALUE!</v>
      </c>
      <c r="N1856" s="246" t="e">
        <f t="shared" si="199"/>
        <v>#VALUE!</v>
      </c>
      <c r="O1856" s="247" t="e">
        <f t="shared" si="200"/>
        <v>#VALUE!</v>
      </c>
      <c r="P1856" s="247">
        <f t="shared" si="201"/>
        <v>0</v>
      </c>
      <c r="Q1856" s="247" t="e">
        <f t="shared" si="202"/>
        <v>#VALUE!</v>
      </c>
    </row>
    <row r="1857" spans="1:17" ht="15" customHeight="1" x14ac:dyDescent="0.25">
      <c r="A1857" s="244"/>
      <c r="B1857" s="244"/>
      <c r="C1857" s="244"/>
      <c r="D1857" s="244"/>
      <c r="E1857" s="244"/>
      <c r="F1857" s="244"/>
      <c r="G1857" s="244"/>
      <c r="I1857" s="244"/>
      <c r="J1857" s="244"/>
      <c r="K1857" s="246" t="e">
        <f t="shared" si="196"/>
        <v>#VALUE!</v>
      </c>
      <c r="L1857" s="246" t="e">
        <f t="shared" si="197"/>
        <v>#VALUE!</v>
      </c>
      <c r="M1857" s="247" t="e">
        <f t="shared" si="198"/>
        <v>#VALUE!</v>
      </c>
      <c r="N1857" s="246" t="e">
        <f t="shared" si="199"/>
        <v>#VALUE!</v>
      </c>
      <c r="O1857" s="247" t="e">
        <f t="shared" si="200"/>
        <v>#VALUE!</v>
      </c>
      <c r="P1857" s="247">
        <f t="shared" si="201"/>
        <v>0</v>
      </c>
      <c r="Q1857" s="247" t="e">
        <f t="shared" si="202"/>
        <v>#VALUE!</v>
      </c>
    </row>
    <row r="1858" spans="1:17" ht="15" customHeight="1" x14ac:dyDescent="0.25">
      <c r="A1858" s="244"/>
      <c r="B1858" s="244"/>
      <c r="C1858" s="244"/>
      <c r="D1858" s="244"/>
      <c r="E1858" s="244"/>
      <c r="F1858" s="244"/>
      <c r="G1858" s="244"/>
      <c r="I1858" s="244"/>
      <c r="J1858" s="244"/>
      <c r="K1858" s="246" t="e">
        <f t="shared" ref="K1858:K1921" si="203">DATE(VALUE(LEFT(A1858,4)),VALUE(MID(A1858,5,2)),VALUE(RIGHT(A1858,2)))</f>
        <v>#VALUE!</v>
      </c>
      <c r="L1858" s="246" t="e">
        <f t="shared" ref="L1858:L1921" si="204">DATEVALUE(LEFT(F1858,10))</f>
        <v>#VALUE!</v>
      </c>
      <c r="M1858" s="247" t="e">
        <f t="shared" ref="M1858:M1921" si="205">TIMEVALUE(MID(F1858,12,8))</f>
        <v>#VALUE!</v>
      </c>
      <c r="N1858" s="246" t="e">
        <f t="shared" ref="N1858:N1921" si="206">DATEVALUE(LEFT(G1858,10))</f>
        <v>#VALUE!</v>
      </c>
      <c r="O1858" s="247" t="e">
        <f t="shared" ref="O1858:O1921" si="207">TIMEVALUE(MID(G1858,12,8))</f>
        <v>#VALUE!</v>
      </c>
      <c r="P1858" s="247">
        <f t="shared" ref="P1858:P1921" si="208">IFERROR(_xlfn.MINIFS($M:$M,$E:$E,$E1858,$K:$K,$K1858,$M:$M,"&gt;"&amp;$O1858),"")</f>
        <v>0</v>
      </c>
      <c r="Q1858" s="247" t="e">
        <f t="shared" ref="Q1858:Q1921" si="209">IF($P1858="","",$P1858-$O1858)</f>
        <v>#VALUE!</v>
      </c>
    </row>
    <row r="1859" spans="1:17" ht="15" customHeight="1" x14ac:dyDescent="0.25">
      <c r="A1859" s="244"/>
      <c r="B1859" s="244"/>
      <c r="C1859" s="244"/>
      <c r="D1859" s="244"/>
      <c r="E1859" s="244"/>
      <c r="F1859" s="244"/>
      <c r="G1859" s="244"/>
      <c r="I1859" s="244"/>
      <c r="J1859" s="244"/>
      <c r="K1859" s="246" t="e">
        <f t="shared" si="203"/>
        <v>#VALUE!</v>
      </c>
      <c r="L1859" s="246" t="e">
        <f t="shared" si="204"/>
        <v>#VALUE!</v>
      </c>
      <c r="M1859" s="247" t="e">
        <f t="shared" si="205"/>
        <v>#VALUE!</v>
      </c>
      <c r="N1859" s="246" t="e">
        <f t="shared" si="206"/>
        <v>#VALUE!</v>
      </c>
      <c r="O1859" s="247" t="e">
        <f t="shared" si="207"/>
        <v>#VALUE!</v>
      </c>
      <c r="P1859" s="247">
        <f t="shared" si="208"/>
        <v>0</v>
      </c>
      <c r="Q1859" s="247" t="e">
        <f t="shared" si="209"/>
        <v>#VALUE!</v>
      </c>
    </row>
    <row r="1860" spans="1:17" ht="15" customHeight="1" x14ac:dyDescent="0.25">
      <c r="A1860" s="244"/>
      <c r="B1860" s="244"/>
      <c r="C1860" s="244"/>
      <c r="D1860" s="244"/>
      <c r="E1860" s="244"/>
      <c r="F1860" s="244"/>
      <c r="G1860" s="244"/>
      <c r="I1860" s="244"/>
      <c r="J1860" s="244"/>
      <c r="K1860" s="246" t="e">
        <f t="shared" si="203"/>
        <v>#VALUE!</v>
      </c>
      <c r="L1860" s="246" t="e">
        <f t="shared" si="204"/>
        <v>#VALUE!</v>
      </c>
      <c r="M1860" s="247" t="e">
        <f t="shared" si="205"/>
        <v>#VALUE!</v>
      </c>
      <c r="N1860" s="246" t="e">
        <f t="shared" si="206"/>
        <v>#VALUE!</v>
      </c>
      <c r="O1860" s="247" t="e">
        <f t="shared" si="207"/>
        <v>#VALUE!</v>
      </c>
      <c r="P1860" s="247">
        <f t="shared" si="208"/>
        <v>0</v>
      </c>
      <c r="Q1860" s="247" t="e">
        <f t="shared" si="209"/>
        <v>#VALUE!</v>
      </c>
    </row>
    <row r="1861" spans="1:17" ht="15" customHeight="1" x14ac:dyDescent="0.25">
      <c r="A1861" s="244"/>
      <c r="B1861" s="244"/>
      <c r="C1861" s="244"/>
      <c r="D1861" s="244"/>
      <c r="E1861" s="244"/>
      <c r="F1861" s="244"/>
      <c r="G1861" s="244"/>
      <c r="I1861" s="244"/>
      <c r="J1861" s="244"/>
      <c r="K1861" s="246" t="e">
        <f t="shared" si="203"/>
        <v>#VALUE!</v>
      </c>
      <c r="L1861" s="246" t="e">
        <f t="shared" si="204"/>
        <v>#VALUE!</v>
      </c>
      <c r="M1861" s="247" t="e">
        <f t="shared" si="205"/>
        <v>#VALUE!</v>
      </c>
      <c r="N1861" s="246" t="e">
        <f t="shared" si="206"/>
        <v>#VALUE!</v>
      </c>
      <c r="O1861" s="247" t="e">
        <f t="shared" si="207"/>
        <v>#VALUE!</v>
      </c>
      <c r="P1861" s="247">
        <f t="shared" si="208"/>
        <v>0</v>
      </c>
      <c r="Q1861" s="247" t="e">
        <f t="shared" si="209"/>
        <v>#VALUE!</v>
      </c>
    </row>
    <row r="1862" spans="1:17" ht="15" customHeight="1" x14ac:dyDescent="0.25">
      <c r="A1862" s="244"/>
      <c r="B1862" s="244"/>
      <c r="C1862" s="244"/>
      <c r="D1862" s="244"/>
      <c r="E1862" s="244"/>
      <c r="F1862" s="244"/>
      <c r="G1862" s="244"/>
      <c r="I1862" s="244"/>
      <c r="J1862" s="244"/>
      <c r="K1862" s="246" t="e">
        <f t="shared" si="203"/>
        <v>#VALUE!</v>
      </c>
      <c r="L1862" s="246" t="e">
        <f t="shared" si="204"/>
        <v>#VALUE!</v>
      </c>
      <c r="M1862" s="247" t="e">
        <f t="shared" si="205"/>
        <v>#VALUE!</v>
      </c>
      <c r="N1862" s="246" t="e">
        <f t="shared" si="206"/>
        <v>#VALUE!</v>
      </c>
      <c r="O1862" s="247" t="e">
        <f t="shared" si="207"/>
        <v>#VALUE!</v>
      </c>
      <c r="P1862" s="247">
        <f t="shared" si="208"/>
        <v>0</v>
      </c>
      <c r="Q1862" s="247" t="e">
        <f t="shared" si="209"/>
        <v>#VALUE!</v>
      </c>
    </row>
    <row r="1863" spans="1:17" ht="15" customHeight="1" x14ac:dyDescent="0.25">
      <c r="A1863" s="244"/>
      <c r="B1863" s="244"/>
      <c r="C1863" s="244"/>
      <c r="D1863" s="244"/>
      <c r="E1863" s="244"/>
      <c r="F1863" s="244"/>
      <c r="G1863" s="244"/>
      <c r="I1863" s="244"/>
      <c r="J1863" s="244"/>
      <c r="K1863" s="246" t="e">
        <f t="shared" si="203"/>
        <v>#VALUE!</v>
      </c>
      <c r="L1863" s="246" t="e">
        <f t="shared" si="204"/>
        <v>#VALUE!</v>
      </c>
      <c r="M1863" s="247" t="e">
        <f t="shared" si="205"/>
        <v>#VALUE!</v>
      </c>
      <c r="N1863" s="246" t="e">
        <f t="shared" si="206"/>
        <v>#VALUE!</v>
      </c>
      <c r="O1863" s="247" t="e">
        <f t="shared" si="207"/>
        <v>#VALUE!</v>
      </c>
      <c r="P1863" s="247">
        <f t="shared" si="208"/>
        <v>0</v>
      </c>
      <c r="Q1863" s="247" t="e">
        <f t="shared" si="209"/>
        <v>#VALUE!</v>
      </c>
    </row>
    <row r="1864" spans="1:17" ht="15" customHeight="1" x14ac:dyDescent="0.25">
      <c r="A1864" s="244"/>
      <c r="B1864" s="244"/>
      <c r="C1864" s="244"/>
      <c r="D1864" s="244"/>
      <c r="E1864" s="244"/>
      <c r="F1864" s="244"/>
      <c r="G1864" s="244"/>
      <c r="I1864" s="244"/>
      <c r="J1864" s="244"/>
      <c r="K1864" s="246" t="e">
        <f t="shared" si="203"/>
        <v>#VALUE!</v>
      </c>
      <c r="L1864" s="246" t="e">
        <f t="shared" si="204"/>
        <v>#VALUE!</v>
      </c>
      <c r="M1864" s="247" t="e">
        <f t="shared" si="205"/>
        <v>#VALUE!</v>
      </c>
      <c r="N1864" s="246" t="e">
        <f t="shared" si="206"/>
        <v>#VALUE!</v>
      </c>
      <c r="O1864" s="247" t="e">
        <f t="shared" si="207"/>
        <v>#VALUE!</v>
      </c>
      <c r="P1864" s="247">
        <f t="shared" si="208"/>
        <v>0</v>
      </c>
      <c r="Q1864" s="247" t="e">
        <f t="shared" si="209"/>
        <v>#VALUE!</v>
      </c>
    </row>
    <row r="1865" spans="1:17" ht="15" customHeight="1" x14ac:dyDescent="0.25">
      <c r="A1865" s="244"/>
      <c r="B1865" s="244"/>
      <c r="C1865" s="244"/>
      <c r="D1865" s="244"/>
      <c r="E1865" s="244"/>
      <c r="F1865" s="244"/>
      <c r="G1865" s="244"/>
      <c r="I1865" s="244"/>
      <c r="J1865" s="244"/>
      <c r="K1865" s="246" t="e">
        <f t="shared" si="203"/>
        <v>#VALUE!</v>
      </c>
      <c r="L1865" s="246" t="e">
        <f t="shared" si="204"/>
        <v>#VALUE!</v>
      </c>
      <c r="M1865" s="247" t="e">
        <f t="shared" si="205"/>
        <v>#VALUE!</v>
      </c>
      <c r="N1865" s="246" t="e">
        <f t="shared" si="206"/>
        <v>#VALUE!</v>
      </c>
      <c r="O1865" s="247" t="e">
        <f t="shared" si="207"/>
        <v>#VALUE!</v>
      </c>
      <c r="P1865" s="247">
        <f t="shared" si="208"/>
        <v>0</v>
      </c>
      <c r="Q1865" s="247" t="e">
        <f t="shared" si="209"/>
        <v>#VALUE!</v>
      </c>
    </row>
    <row r="1866" spans="1:17" ht="15" customHeight="1" x14ac:dyDescent="0.25">
      <c r="A1866" s="244"/>
      <c r="B1866" s="244"/>
      <c r="C1866" s="244"/>
      <c r="D1866" s="244"/>
      <c r="E1866" s="244"/>
      <c r="F1866" s="244"/>
      <c r="G1866" s="244"/>
      <c r="I1866" s="244"/>
      <c r="J1866" s="244"/>
      <c r="K1866" s="246" t="e">
        <f t="shared" si="203"/>
        <v>#VALUE!</v>
      </c>
      <c r="L1866" s="246" t="e">
        <f t="shared" si="204"/>
        <v>#VALUE!</v>
      </c>
      <c r="M1866" s="247" t="e">
        <f t="shared" si="205"/>
        <v>#VALUE!</v>
      </c>
      <c r="N1866" s="246" t="e">
        <f t="shared" si="206"/>
        <v>#VALUE!</v>
      </c>
      <c r="O1866" s="247" t="e">
        <f t="shared" si="207"/>
        <v>#VALUE!</v>
      </c>
      <c r="P1866" s="247">
        <f t="shared" si="208"/>
        <v>0</v>
      </c>
      <c r="Q1866" s="247" t="e">
        <f t="shared" si="209"/>
        <v>#VALUE!</v>
      </c>
    </row>
    <row r="1867" spans="1:17" ht="15" customHeight="1" x14ac:dyDescent="0.25">
      <c r="A1867" s="244"/>
      <c r="B1867" s="244"/>
      <c r="C1867" s="244"/>
      <c r="D1867" s="244"/>
      <c r="E1867" s="244"/>
      <c r="F1867" s="244"/>
      <c r="G1867" s="244"/>
      <c r="I1867" s="244"/>
      <c r="J1867" s="244"/>
      <c r="K1867" s="246" t="e">
        <f t="shared" si="203"/>
        <v>#VALUE!</v>
      </c>
      <c r="L1867" s="246" t="e">
        <f t="shared" si="204"/>
        <v>#VALUE!</v>
      </c>
      <c r="M1867" s="247" t="e">
        <f t="shared" si="205"/>
        <v>#VALUE!</v>
      </c>
      <c r="N1867" s="246" t="e">
        <f t="shared" si="206"/>
        <v>#VALUE!</v>
      </c>
      <c r="O1867" s="247" t="e">
        <f t="shared" si="207"/>
        <v>#VALUE!</v>
      </c>
      <c r="P1867" s="247">
        <f t="shared" si="208"/>
        <v>0</v>
      </c>
      <c r="Q1867" s="247" t="e">
        <f t="shared" si="209"/>
        <v>#VALUE!</v>
      </c>
    </row>
    <row r="1868" spans="1:17" ht="15" customHeight="1" x14ac:dyDescent="0.25">
      <c r="A1868" s="244"/>
      <c r="B1868" s="244"/>
      <c r="C1868" s="244"/>
      <c r="D1868" s="244"/>
      <c r="E1868" s="244"/>
      <c r="F1868" s="244"/>
      <c r="G1868" s="244"/>
      <c r="I1868" s="244"/>
      <c r="J1868" s="244"/>
      <c r="K1868" s="246" t="e">
        <f t="shared" si="203"/>
        <v>#VALUE!</v>
      </c>
      <c r="L1868" s="246" t="e">
        <f t="shared" si="204"/>
        <v>#VALUE!</v>
      </c>
      <c r="M1868" s="247" t="e">
        <f t="shared" si="205"/>
        <v>#VALUE!</v>
      </c>
      <c r="N1868" s="246" t="e">
        <f t="shared" si="206"/>
        <v>#VALUE!</v>
      </c>
      <c r="O1868" s="247" t="e">
        <f t="shared" si="207"/>
        <v>#VALUE!</v>
      </c>
      <c r="P1868" s="247">
        <f t="shared" si="208"/>
        <v>0</v>
      </c>
      <c r="Q1868" s="247" t="e">
        <f t="shared" si="209"/>
        <v>#VALUE!</v>
      </c>
    </row>
    <row r="1869" spans="1:17" ht="15" customHeight="1" x14ac:dyDescent="0.25">
      <c r="A1869" s="244"/>
      <c r="B1869" s="244"/>
      <c r="C1869" s="244"/>
      <c r="D1869" s="244"/>
      <c r="E1869" s="244"/>
      <c r="F1869" s="244"/>
      <c r="G1869" s="244"/>
      <c r="I1869" s="244"/>
      <c r="J1869" s="244"/>
      <c r="K1869" s="246" t="e">
        <f t="shared" si="203"/>
        <v>#VALUE!</v>
      </c>
      <c r="L1869" s="246" t="e">
        <f t="shared" si="204"/>
        <v>#VALUE!</v>
      </c>
      <c r="M1869" s="247" t="e">
        <f t="shared" si="205"/>
        <v>#VALUE!</v>
      </c>
      <c r="N1869" s="246" t="e">
        <f t="shared" si="206"/>
        <v>#VALUE!</v>
      </c>
      <c r="O1869" s="247" t="e">
        <f t="shared" si="207"/>
        <v>#VALUE!</v>
      </c>
      <c r="P1869" s="247">
        <f t="shared" si="208"/>
        <v>0</v>
      </c>
      <c r="Q1869" s="247" t="e">
        <f t="shared" si="209"/>
        <v>#VALUE!</v>
      </c>
    </row>
    <row r="1870" spans="1:17" ht="15" customHeight="1" x14ac:dyDescent="0.25">
      <c r="A1870" s="244"/>
      <c r="B1870" s="244"/>
      <c r="C1870" s="244"/>
      <c r="D1870" s="244"/>
      <c r="E1870" s="244"/>
      <c r="F1870" s="244"/>
      <c r="G1870" s="244"/>
      <c r="I1870" s="244"/>
      <c r="J1870" s="244"/>
      <c r="K1870" s="246" t="e">
        <f t="shared" si="203"/>
        <v>#VALUE!</v>
      </c>
      <c r="L1870" s="246" t="e">
        <f t="shared" si="204"/>
        <v>#VALUE!</v>
      </c>
      <c r="M1870" s="247" t="e">
        <f t="shared" si="205"/>
        <v>#VALUE!</v>
      </c>
      <c r="N1870" s="246" t="e">
        <f t="shared" si="206"/>
        <v>#VALUE!</v>
      </c>
      <c r="O1870" s="247" t="e">
        <f t="shared" si="207"/>
        <v>#VALUE!</v>
      </c>
      <c r="P1870" s="247">
        <f t="shared" si="208"/>
        <v>0</v>
      </c>
      <c r="Q1870" s="247" t="e">
        <f t="shared" si="209"/>
        <v>#VALUE!</v>
      </c>
    </row>
    <row r="1871" spans="1:17" ht="15" customHeight="1" x14ac:dyDescent="0.25">
      <c r="A1871" s="244"/>
      <c r="B1871" s="244"/>
      <c r="C1871" s="244"/>
      <c r="D1871" s="244"/>
      <c r="E1871" s="244"/>
      <c r="F1871" s="244"/>
      <c r="G1871" s="244"/>
      <c r="I1871" s="244"/>
      <c r="J1871" s="244"/>
      <c r="K1871" s="246" t="e">
        <f t="shared" si="203"/>
        <v>#VALUE!</v>
      </c>
      <c r="L1871" s="246" t="e">
        <f t="shared" si="204"/>
        <v>#VALUE!</v>
      </c>
      <c r="M1871" s="247" t="e">
        <f t="shared" si="205"/>
        <v>#VALUE!</v>
      </c>
      <c r="N1871" s="246" t="e">
        <f t="shared" si="206"/>
        <v>#VALUE!</v>
      </c>
      <c r="O1871" s="247" t="e">
        <f t="shared" si="207"/>
        <v>#VALUE!</v>
      </c>
      <c r="P1871" s="247">
        <f t="shared" si="208"/>
        <v>0</v>
      </c>
      <c r="Q1871" s="247" t="e">
        <f t="shared" si="209"/>
        <v>#VALUE!</v>
      </c>
    </row>
    <row r="1872" spans="1:17" ht="15" customHeight="1" x14ac:dyDescent="0.25">
      <c r="A1872" s="244"/>
      <c r="B1872" s="244"/>
      <c r="C1872" s="244"/>
      <c r="D1872" s="244"/>
      <c r="E1872" s="244"/>
      <c r="F1872" s="244"/>
      <c r="G1872" s="244"/>
      <c r="I1872" s="244"/>
      <c r="J1872" s="244"/>
      <c r="K1872" s="246" t="e">
        <f t="shared" si="203"/>
        <v>#VALUE!</v>
      </c>
      <c r="L1872" s="246" t="e">
        <f t="shared" si="204"/>
        <v>#VALUE!</v>
      </c>
      <c r="M1872" s="247" t="e">
        <f t="shared" si="205"/>
        <v>#VALUE!</v>
      </c>
      <c r="N1872" s="246" t="e">
        <f t="shared" si="206"/>
        <v>#VALUE!</v>
      </c>
      <c r="O1872" s="247" t="e">
        <f t="shared" si="207"/>
        <v>#VALUE!</v>
      </c>
      <c r="P1872" s="247">
        <f t="shared" si="208"/>
        <v>0</v>
      </c>
      <c r="Q1872" s="247" t="e">
        <f t="shared" si="209"/>
        <v>#VALUE!</v>
      </c>
    </row>
    <row r="1873" spans="1:17" ht="15" customHeight="1" x14ac:dyDescent="0.25">
      <c r="A1873" s="244"/>
      <c r="B1873" s="244"/>
      <c r="C1873" s="244"/>
      <c r="D1873" s="244"/>
      <c r="E1873" s="244"/>
      <c r="F1873" s="244"/>
      <c r="G1873" s="244"/>
      <c r="I1873" s="244"/>
      <c r="J1873" s="244"/>
      <c r="K1873" s="246" t="e">
        <f t="shared" si="203"/>
        <v>#VALUE!</v>
      </c>
      <c r="L1873" s="246" t="e">
        <f t="shared" si="204"/>
        <v>#VALUE!</v>
      </c>
      <c r="M1873" s="247" t="e">
        <f t="shared" si="205"/>
        <v>#VALUE!</v>
      </c>
      <c r="N1873" s="246" t="e">
        <f t="shared" si="206"/>
        <v>#VALUE!</v>
      </c>
      <c r="O1873" s="247" t="e">
        <f t="shared" si="207"/>
        <v>#VALUE!</v>
      </c>
      <c r="P1873" s="247">
        <f t="shared" si="208"/>
        <v>0</v>
      </c>
      <c r="Q1873" s="247" t="e">
        <f t="shared" si="209"/>
        <v>#VALUE!</v>
      </c>
    </row>
    <row r="1874" spans="1:17" ht="15" customHeight="1" x14ac:dyDescent="0.25">
      <c r="A1874" s="244"/>
      <c r="B1874" s="244"/>
      <c r="C1874" s="244"/>
      <c r="D1874" s="244"/>
      <c r="E1874" s="244"/>
      <c r="F1874" s="244"/>
      <c r="G1874" s="244"/>
      <c r="I1874" s="244"/>
      <c r="J1874" s="244"/>
      <c r="K1874" s="246" t="e">
        <f t="shared" si="203"/>
        <v>#VALUE!</v>
      </c>
      <c r="L1874" s="246" t="e">
        <f t="shared" si="204"/>
        <v>#VALUE!</v>
      </c>
      <c r="M1874" s="247" t="e">
        <f t="shared" si="205"/>
        <v>#VALUE!</v>
      </c>
      <c r="N1874" s="246" t="e">
        <f t="shared" si="206"/>
        <v>#VALUE!</v>
      </c>
      <c r="O1874" s="247" t="e">
        <f t="shared" si="207"/>
        <v>#VALUE!</v>
      </c>
      <c r="P1874" s="247">
        <f t="shared" si="208"/>
        <v>0</v>
      </c>
      <c r="Q1874" s="247" t="e">
        <f t="shared" si="209"/>
        <v>#VALUE!</v>
      </c>
    </row>
    <row r="1875" spans="1:17" ht="15" customHeight="1" x14ac:dyDescent="0.25">
      <c r="A1875" s="244"/>
      <c r="B1875" s="244"/>
      <c r="C1875" s="244"/>
      <c r="D1875" s="244"/>
      <c r="E1875" s="244"/>
      <c r="F1875" s="244"/>
      <c r="G1875" s="244"/>
      <c r="I1875" s="244"/>
      <c r="J1875" s="244"/>
      <c r="K1875" s="246" t="e">
        <f t="shared" si="203"/>
        <v>#VALUE!</v>
      </c>
      <c r="L1875" s="246" t="e">
        <f t="shared" si="204"/>
        <v>#VALUE!</v>
      </c>
      <c r="M1875" s="247" t="e">
        <f t="shared" si="205"/>
        <v>#VALUE!</v>
      </c>
      <c r="N1875" s="246" t="e">
        <f t="shared" si="206"/>
        <v>#VALUE!</v>
      </c>
      <c r="O1875" s="247" t="e">
        <f t="shared" si="207"/>
        <v>#VALUE!</v>
      </c>
      <c r="P1875" s="247">
        <f t="shared" si="208"/>
        <v>0</v>
      </c>
      <c r="Q1875" s="247" t="e">
        <f t="shared" si="209"/>
        <v>#VALUE!</v>
      </c>
    </row>
    <row r="1876" spans="1:17" ht="15" customHeight="1" x14ac:dyDescent="0.25">
      <c r="A1876" s="244"/>
      <c r="B1876" s="244"/>
      <c r="C1876" s="244"/>
      <c r="D1876" s="244"/>
      <c r="E1876" s="244"/>
      <c r="F1876" s="244"/>
      <c r="G1876" s="244"/>
      <c r="I1876" s="244"/>
      <c r="J1876" s="244"/>
      <c r="K1876" s="246" t="e">
        <f t="shared" si="203"/>
        <v>#VALUE!</v>
      </c>
      <c r="L1876" s="246" t="e">
        <f t="shared" si="204"/>
        <v>#VALUE!</v>
      </c>
      <c r="M1876" s="247" t="e">
        <f t="shared" si="205"/>
        <v>#VALUE!</v>
      </c>
      <c r="N1876" s="246" t="e">
        <f t="shared" si="206"/>
        <v>#VALUE!</v>
      </c>
      <c r="O1876" s="247" t="e">
        <f t="shared" si="207"/>
        <v>#VALUE!</v>
      </c>
      <c r="P1876" s="247">
        <f t="shared" si="208"/>
        <v>0</v>
      </c>
      <c r="Q1876" s="247" t="e">
        <f t="shared" si="209"/>
        <v>#VALUE!</v>
      </c>
    </row>
    <row r="1877" spans="1:17" ht="15" customHeight="1" x14ac:dyDescent="0.25">
      <c r="A1877" s="244"/>
      <c r="B1877" s="244"/>
      <c r="C1877" s="244"/>
      <c r="D1877" s="244"/>
      <c r="E1877" s="244"/>
      <c r="F1877" s="244"/>
      <c r="G1877" s="244"/>
      <c r="I1877" s="244"/>
      <c r="J1877" s="244"/>
      <c r="K1877" s="246" t="e">
        <f t="shared" si="203"/>
        <v>#VALUE!</v>
      </c>
      <c r="L1877" s="246" t="e">
        <f t="shared" si="204"/>
        <v>#VALUE!</v>
      </c>
      <c r="M1877" s="247" t="e">
        <f t="shared" si="205"/>
        <v>#VALUE!</v>
      </c>
      <c r="N1877" s="246" t="e">
        <f t="shared" si="206"/>
        <v>#VALUE!</v>
      </c>
      <c r="O1877" s="247" t="e">
        <f t="shared" si="207"/>
        <v>#VALUE!</v>
      </c>
      <c r="P1877" s="247">
        <f t="shared" si="208"/>
        <v>0</v>
      </c>
      <c r="Q1877" s="247" t="e">
        <f t="shared" si="209"/>
        <v>#VALUE!</v>
      </c>
    </row>
    <row r="1878" spans="1:17" ht="15" customHeight="1" x14ac:dyDescent="0.25">
      <c r="A1878" s="244"/>
      <c r="B1878" s="244"/>
      <c r="C1878" s="244"/>
      <c r="D1878" s="244"/>
      <c r="E1878" s="244"/>
      <c r="F1878" s="244"/>
      <c r="G1878" s="244"/>
      <c r="I1878" s="244"/>
      <c r="J1878" s="244"/>
      <c r="K1878" s="246" t="e">
        <f t="shared" si="203"/>
        <v>#VALUE!</v>
      </c>
      <c r="L1878" s="246" t="e">
        <f t="shared" si="204"/>
        <v>#VALUE!</v>
      </c>
      <c r="M1878" s="247" t="e">
        <f t="shared" si="205"/>
        <v>#VALUE!</v>
      </c>
      <c r="N1878" s="246" t="e">
        <f t="shared" si="206"/>
        <v>#VALUE!</v>
      </c>
      <c r="O1878" s="247" t="e">
        <f t="shared" si="207"/>
        <v>#VALUE!</v>
      </c>
      <c r="P1878" s="247">
        <f t="shared" si="208"/>
        <v>0</v>
      </c>
      <c r="Q1878" s="247" t="e">
        <f t="shared" si="209"/>
        <v>#VALUE!</v>
      </c>
    </row>
    <row r="1879" spans="1:17" ht="15" customHeight="1" x14ac:dyDescent="0.25">
      <c r="A1879" s="244"/>
      <c r="B1879" s="244"/>
      <c r="C1879" s="244"/>
      <c r="D1879" s="244"/>
      <c r="E1879" s="244"/>
      <c r="F1879" s="244"/>
      <c r="G1879" s="244"/>
      <c r="I1879" s="244"/>
      <c r="J1879" s="244"/>
      <c r="K1879" s="246" t="e">
        <f t="shared" si="203"/>
        <v>#VALUE!</v>
      </c>
      <c r="L1879" s="246" t="e">
        <f t="shared" si="204"/>
        <v>#VALUE!</v>
      </c>
      <c r="M1879" s="247" t="e">
        <f t="shared" si="205"/>
        <v>#VALUE!</v>
      </c>
      <c r="N1879" s="246" t="e">
        <f t="shared" si="206"/>
        <v>#VALUE!</v>
      </c>
      <c r="O1879" s="247" t="e">
        <f t="shared" si="207"/>
        <v>#VALUE!</v>
      </c>
      <c r="P1879" s="247">
        <f t="shared" si="208"/>
        <v>0</v>
      </c>
      <c r="Q1879" s="247" t="e">
        <f t="shared" si="209"/>
        <v>#VALUE!</v>
      </c>
    </row>
    <row r="1880" spans="1:17" ht="15" customHeight="1" x14ac:dyDescent="0.25">
      <c r="A1880" s="244"/>
      <c r="B1880" s="244"/>
      <c r="C1880" s="244"/>
      <c r="D1880" s="244"/>
      <c r="E1880" s="244"/>
      <c r="F1880" s="244"/>
      <c r="G1880" s="244"/>
      <c r="I1880" s="244"/>
      <c r="J1880" s="244"/>
      <c r="K1880" s="246" t="e">
        <f t="shared" si="203"/>
        <v>#VALUE!</v>
      </c>
      <c r="L1880" s="246" t="e">
        <f t="shared" si="204"/>
        <v>#VALUE!</v>
      </c>
      <c r="M1880" s="247" t="e">
        <f t="shared" si="205"/>
        <v>#VALUE!</v>
      </c>
      <c r="N1880" s="246" t="e">
        <f t="shared" si="206"/>
        <v>#VALUE!</v>
      </c>
      <c r="O1880" s="247" t="e">
        <f t="shared" si="207"/>
        <v>#VALUE!</v>
      </c>
      <c r="P1880" s="247">
        <f t="shared" si="208"/>
        <v>0</v>
      </c>
      <c r="Q1880" s="247" t="e">
        <f t="shared" si="209"/>
        <v>#VALUE!</v>
      </c>
    </row>
    <row r="1881" spans="1:17" ht="15" customHeight="1" x14ac:dyDescent="0.25">
      <c r="A1881" s="244"/>
      <c r="B1881" s="244"/>
      <c r="C1881" s="244"/>
      <c r="D1881" s="244"/>
      <c r="E1881" s="244"/>
      <c r="F1881" s="244"/>
      <c r="G1881" s="244"/>
      <c r="I1881" s="244"/>
      <c r="J1881" s="244"/>
      <c r="K1881" s="246" t="e">
        <f t="shared" si="203"/>
        <v>#VALUE!</v>
      </c>
      <c r="L1881" s="246" t="e">
        <f t="shared" si="204"/>
        <v>#VALUE!</v>
      </c>
      <c r="M1881" s="247" t="e">
        <f t="shared" si="205"/>
        <v>#VALUE!</v>
      </c>
      <c r="N1881" s="246" t="e">
        <f t="shared" si="206"/>
        <v>#VALUE!</v>
      </c>
      <c r="O1881" s="247" t="e">
        <f t="shared" si="207"/>
        <v>#VALUE!</v>
      </c>
      <c r="P1881" s="247">
        <f t="shared" si="208"/>
        <v>0</v>
      </c>
      <c r="Q1881" s="247" t="e">
        <f t="shared" si="209"/>
        <v>#VALUE!</v>
      </c>
    </row>
    <row r="1882" spans="1:17" ht="15" customHeight="1" x14ac:dyDescent="0.25">
      <c r="A1882" s="244"/>
      <c r="B1882" s="244"/>
      <c r="C1882" s="244"/>
      <c r="D1882" s="244"/>
      <c r="E1882" s="244"/>
      <c r="F1882" s="244"/>
      <c r="G1882" s="244"/>
      <c r="I1882" s="244"/>
      <c r="J1882" s="244"/>
      <c r="K1882" s="246" t="e">
        <f t="shared" si="203"/>
        <v>#VALUE!</v>
      </c>
      <c r="L1882" s="246" t="e">
        <f t="shared" si="204"/>
        <v>#VALUE!</v>
      </c>
      <c r="M1882" s="247" t="e">
        <f t="shared" si="205"/>
        <v>#VALUE!</v>
      </c>
      <c r="N1882" s="246" t="e">
        <f t="shared" si="206"/>
        <v>#VALUE!</v>
      </c>
      <c r="O1882" s="247" t="e">
        <f t="shared" si="207"/>
        <v>#VALUE!</v>
      </c>
      <c r="P1882" s="247">
        <f t="shared" si="208"/>
        <v>0</v>
      </c>
      <c r="Q1882" s="247" t="e">
        <f t="shared" si="209"/>
        <v>#VALUE!</v>
      </c>
    </row>
    <row r="1883" spans="1:17" ht="15" customHeight="1" x14ac:dyDescent="0.25">
      <c r="A1883" s="244"/>
      <c r="B1883" s="244"/>
      <c r="C1883" s="244"/>
      <c r="D1883" s="244"/>
      <c r="E1883" s="244"/>
      <c r="F1883" s="244"/>
      <c r="G1883" s="244"/>
      <c r="I1883" s="244"/>
      <c r="J1883" s="244"/>
      <c r="K1883" s="246" t="e">
        <f t="shared" si="203"/>
        <v>#VALUE!</v>
      </c>
      <c r="L1883" s="246" t="e">
        <f t="shared" si="204"/>
        <v>#VALUE!</v>
      </c>
      <c r="M1883" s="247" t="e">
        <f t="shared" si="205"/>
        <v>#VALUE!</v>
      </c>
      <c r="N1883" s="246" t="e">
        <f t="shared" si="206"/>
        <v>#VALUE!</v>
      </c>
      <c r="O1883" s="247" t="e">
        <f t="shared" si="207"/>
        <v>#VALUE!</v>
      </c>
      <c r="P1883" s="247">
        <f t="shared" si="208"/>
        <v>0</v>
      </c>
      <c r="Q1883" s="247" t="e">
        <f t="shared" si="209"/>
        <v>#VALUE!</v>
      </c>
    </row>
    <row r="1884" spans="1:17" ht="15" customHeight="1" x14ac:dyDescent="0.25">
      <c r="A1884" s="244"/>
      <c r="B1884" s="244"/>
      <c r="C1884" s="244"/>
      <c r="D1884" s="244"/>
      <c r="E1884" s="244"/>
      <c r="F1884" s="244"/>
      <c r="G1884" s="244"/>
      <c r="I1884" s="244"/>
      <c r="J1884" s="244"/>
      <c r="K1884" s="246" t="e">
        <f t="shared" si="203"/>
        <v>#VALUE!</v>
      </c>
      <c r="L1884" s="246" t="e">
        <f t="shared" si="204"/>
        <v>#VALUE!</v>
      </c>
      <c r="M1884" s="247" t="e">
        <f t="shared" si="205"/>
        <v>#VALUE!</v>
      </c>
      <c r="N1884" s="246" t="e">
        <f t="shared" si="206"/>
        <v>#VALUE!</v>
      </c>
      <c r="O1884" s="247" t="e">
        <f t="shared" si="207"/>
        <v>#VALUE!</v>
      </c>
      <c r="P1884" s="247">
        <f t="shared" si="208"/>
        <v>0</v>
      </c>
      <c r="Q1884" s="247" t="e">
        <f t="shared" si="209"/>
        <v>#VALUE!</v>
      </c>
    </row>
    <row r="1885" spans="1:17" ht="15" customHeight="1" x14ac:dyDescent="0.25">
      <c r="A1885" s="244"/>
      <c r="B1885" s="244"/>
      <c r="C1885" s="244"/>
      <c r="D1885" s="244"/>
      <c r="E1885" s="244"/>
      <c r="F1885" s="244"/>
      <c r="G1885" s="244"/>
      <c r="I1885" s="244"/>
      <c r="J1885" s="244"/>
      <c r="K1885" s="246" t="e">
        <f t="shared" si="203"/>
        <v>#VALUE!</v>
      </c>
      <c r="L1885" s="246" t="e">
        <f t="shared" si="204"/>
        <v>#VALUE!</v>
      </c>
      <c r="M1885" s="247" t="e">
        <f t="shared" si="205"/>
        <v>#VALUE!</v>
      </c>
      <c r="N1885" s="246" t="e">
        <f t="shared" si="206"/>
        <v>#VALUE!</v>
      </c>
      <c r="O1885" s="247" t="e">
        <f t="shared" si="207"/>
        <v>#VALUE!</v>
      </c>
      <c r="P1885" s="247">
        <f t="shared" si="208"/>
        <v>0</v>
      </c>
      <c r="Q1885" s="247" t="e">
        <f t="shared" si="209"/>
        <v>#VALUE!</v>
      </c>
    </row>
    <row r="1886" spans="1:17" ht="15" customHeight="1" x14ac:dyDescent="0.25">
      <c r="A1886" s="244"/>
      <c r="B1886" s="244"/>
      <c r="C1886" s="244"/>
      <c r="D1886" s="244"/>
      <c r="E1886" s="244"/>
      <c r="F1886" s="244"/>
      <c r="G1886" s="244"/>
      <c r="I1886" s="244"/>
      <c r="J1886" s="244"/>
      <c r="K1886" s="246" t="e">
        <f t="shared" si="203"/>
        <v>#VALUE!</v>
      </c>
      <c r="L1886" s="246" t="e">
        <f t="shared" si="204"/>
        <v>#VALUE!</v>
      </c>
      <c r="M1886" s="247" t="e">
        <f t="shared" si="205"/>
        <v>#VALUE!</v>
      </c>
      <c r="N1886" s="246" t="e">
        <f t="shared" si="206"/>
        <v>#VALUE!</v>
      </c>
      <c r="O1886" s="247" t="e">
        <f t="shared" si="207"/>
        <v>#VALUE!</v>
      </c>
      <c r="P1886" s="247">
        <f t="shared" si="208"/>
        <v>0</v>
      </c>
      <c r="Q1886" s="247" t="e">
        <f t="shared" si="209"/>
        <v>#VALUE!</v>
      </c>
    </row>
    <row r="1887" spans="1:17" ht="15" customHeight="1" x14ac:dyDescent="0.25">
      <c r="A1887" s="244"/>
      <c r="B1887" s="244"/>
      <c r="C1887" s="244"/>
      <c r="D1887" s="244"/>
      <c r="E1887" s="244"/>
      <c r="F1887" s="244"/>
      <c r="G1887" s="244"/>
      <c r="I1887" s="244"/>
      <c r="J1887" s="244"/>
      <c r="K1887" s="246" t="e">
        <f t="shared" si="203"/>
        <v>#VALUE!</v>
      </c>
      <c r="L1887" s="246" t="e">
        <f t="shared" si="204"/>
        <v>#VALUE!</v>
      </c>
      <c r="M1887" s="247" t="e">
        <f t="shared" si="205"/>
        <v>#VALUE!</v>
      </c>
      <c r="N1887" s="246" t="e">
        <f t="shared" si="206"/>
        <v>#VALUE!</v>
      </c>
      <c r="O1887" s="247" t="e">
        <f t="shared" si="207"/>
        <v>#VALUE!</v>
      </c>
      <c r="P1887" s="247">
        <f t="shared" si="208"/>
        <v>0</v>
      </c>
      <c r="Q1887" s="247" t="e">
        <f t="shared" si="209"/>
        <v>#VALUE!</v>
      </c>
    </row>
    <row r="1888" spans="1:17" ht="15" customHeight="1" x14ac:dyDescent="0.25">
      <c r="A1888" s="244"/>
      <c r="B1888" s="244"/>
      <c r="C1888" s="244"/>
      <c r="D1888" s="244"/>
      <c r="E1888" s="244"/>
      <c r="F1888" s="244"/>
      <c r="G1888" s="244"/>
      <c r="I1888" s="244"/>
      <c r="J1888" s="244"/>
      <c r="K1888" s="246" t="e">
        <f t="shared" si="203"/>
        <v>#VALUE!</v>
      </c>
      <c r="L1888" s="246" t="e">
        <f t="shared" si="204"/>
        <v>#VALUE!</v>
      </c>
      <c r="M1888" s="247" t="e">
        <f t="shared" si="205"/>
        <v>#VALUE!</v>
      </c>
      <c r="N1888" s="246" t="e">
        <f t="shared" si="206"/>
        <v>#VALUE!</v>
      </c>
      <c r="O1888" s="247" t="e">
        <f t="shared" si="207"/>
        <v>#VALUE!</v>
      </c>
      <c r="P1888" s="247">
        <f t="shared" si="208"/>
        <v>0</v>
      </c>
      <c r="Q1888" s="247" t="e">
        <f t="shared" si="209"/>
        <v>#VALUE!</v>
      </c>
    </row>
    <row r="1889" spans="1:17" ht="15" customHeight="1" x14ac:dyDescent="0.25">
      <c r="A1889" s="244"/>
      <c r="B1889" s="244"/>
      <c r="C1889" s="244"/>
      <c r="D1889" s="244"/>
      <c r="E1889" s="244"/>
      <c r="F1889" s="244"/>
      <c r="G1889" s="244"/>
      <c r="I1889" s="244"/>
      <c r="J1889" s="244"/>
      <c r="K1889" s="246" t="e">
        <f t="shared" si="203"/>
        <v>#VALUE!</v>
      </c>
      <c r="L1889" s="246" t="e">
        <f t="shared" si="204"/>
        <v>#VALUE!</v>
      </c>
      <c r="M1889" s="247" t="e">
        <f t="shared" si="205"/>
        <v>#VALUE!</v>
      </c>
      <c r="N1889" s="246" t="e">
        <f t="shared" si="206"/>
        <v>#VALUE!</v>
      </c>
      <c r="O1889" s="247" t="e">
        <f t="shared" si="207"/>
        <v>#VALUE!</v>
      </c>
      <c r="P1889" s="247">
        <f t="shared" si="208"/>
        <v>0</v>
      </c>
      <c r="Q1889" s="247" t="e">
        <f t="shared" si="209"/>
        <v>#VALUE!</v>
      </c>
    </row>
    <row r="1890" spans="1:17" ht="15" customHeight="1" x14ac:dyDescent="0.25">
      <c r="A1890" s="244"/>
      <c r="B1890" s="244"/>
      <c r="C1890" s="244"/>
      <c r="D1890" s="244"/>
      <c r="E1890" s="244"/>
      <c r="F1890" s="244"/>
      <c r="G1890" s="244"/>
      <c r="I1890" s="244"/>
      <c r="J1890" s="244"/>
      <c r="K1890" s="246" t="e">
        <f t="shared" si="203"/>
        <v>#VALUE!</v>
      </c>
      <c r="L1890" s="246" t="e">
        <f t="shared" si="204"/>
        <v>#VALUE!</v>
      </c>
      <c r="M1890" s="247" t="e">
        <f t="shared" si="205"/>
        <v>#VALUE!</v>
      </c>
      <c r="N1890" s="246" t="e">
        <f t="shared" si="206"/>
        <v>#VALUE!</v>
      </c>
      <c r="O1890" s="247" t="e">
        <f t="shared" si="207"/>
        <v>#VALUE!</v>
      </c>
      <c r="P1890" s="247">
        <f t="shared" si="208"/>
        <v>0</v>
      </c>
      <c r="Q1890" s="247" t="e">
        <f t="shared" si="209"/>
        <v>#VALUE!</v>
      </c>
    </row>
    <row r="1891" spans="1:17" ht="15" customHeight="1" x14ac:dyDescent="0.25">
      <c r="A1891" s="244"/>
      <c r="B1891" s="244"/>
      <c r="C1891" s="244"/>
      <c r="D1891" s="244"/>
      <c r="E1891" s="244"/>
      <c r="F1891" s="244"/>
      <c r="G1891" s="244"/>
      <c r="I1891" s="244"/>
      <c r="J1891" s="244"/>
      <c r="K1891" s="246" t="e">
        <f t="shared" si="203"/>
        <v>#VALUE!</v>
      </c>
      <c r="L1891" s="246" t="e">
        <f t="shared" si="204"/>
        <v>#VALUE!</v>
      </c>
      <c r="M1891" s="247" t="e">
        <f t="shared" si="205"/>
        <v>#VALUE!</v>
      </c>
      <c r="N1891" s="246" t="e">
        <f t="shared" si="206"/>
        <v>#VALUE!</v>
      </c>
      <c r="O1891" s="247" t="e">
        <f t="shared" si="207"/>
        <v>#VALUE!</v>
      </c>
      <c r="P1891" s="247">
        <f t="shared" si="208"/>
        <v>0</v>
      </c>
      <c r="Q1891" s="247" t="e">
        <f t="shared" si="209"/>
        <v>#VALUE!</v>
      </c>
    </row>
    <row r="1892" spans="1:17" ht="15" customHeight="1" x14ac:dyDescent="0.25">
      <c r="A1892" s="244"/>
      <c r="B1892" s="244"/>
      <c r="C1892" s="244"/>
      <c r="D1892" s="244"/>
      <c r="E1892" s="244"/>
      <c r="F1892" s="244"/>
      <c r="G1892" s="244"/>
      <c r="I1892" s="244"/>
      <c r="J1892" s="244"/>
      <c r="K1892" s="246" t="e">
        <f t="shared" si="203"/>
        <v>#VALUE!</v>
      </c>
      <c r="L1892" s="246" t="e">
        <f t="shared" si="204"/>
        <v>#VALUE!</v>
      </c>
      <c r="M1892" s="247" t="e">
        <f t="shared" si="205"/>
        <v>#VALUE!</v>
      </c>
      <c r="N1892" s="246" t="e">
        <f t="shared" si="206"/>
        <v>#VALUE!</v>
      </c>
      <c r="O1892" s="247" t="e">
        <f t="shared" si="207"/>
        <v>#VALUE!</v>
      </c>
      <c r="P1892" s="247">
        <f t="shared" si="208"/>
        <v>0</v>
      </c>
      <c r="Q1892" s="247" t="e">
        <f t="shared" si="209"/>
        <v>#VALUE!</v>
      </c>
    </row>
    <row r="1893" spans="1:17" ht="15" customHeight="1" x14ac:dyDescent="0.25">
      <c r="A1893" s="244"/>
      <c r="B1893" s="244"/>
      <c r="C1893" s="244"/>
      <c r="D1893" s="244"/>
      <c r="E1893" s="244"/>
      <c r="F1893" s="244"/>
      <c r="G1893" s="244"/>
      <c r="I1893" s="244"/>
      <c r="J1893" s="244"/>
      <c r="K1893" s="246" t="e">
        <f t="shared" si="203"/>
        <v>#VALUE!</v>
      </c>
      <c r="L1893" s="246" t="e">
        <f t="shared" si="204"/>
        <v>#VALUE!</v>
      </c>
      <c r="M1893" s="247" t="e">
        <f t="shared" si="205"/>
        <v>#VALUE!</v>
      </c>
      <c r="N1893" s="246" t="e">
        <f t="shared" si="206"/>
        <v>#VALUE!</v>
      </c>
      <c r="O1893" s="247" t="e">
        <f t="shared" si="207"/>
        <v>#VALUE!</v>
      </c>
      <c r="P1893" s="247">
        <f t="shared" si="208"/>
        <v>0</v>
      </c>
      <c r="Q1893" s="247" t="e">
        <f t="shared" si="209"/>
        <v>#VALUE!</v>
      </c>
    </row>
    <row r="1894" spans="1:17" ht="15" customHeight="1" x14ac:dyDescent="0.25">
      <c r="A1894" s="244"/>
      <c r="B1894" s="244"/>
      <c r="C1894" s="244"/>
      <c r="D1894" s="244"/>
      <c r="E1894" s="244"/>
      <c r="F1894" s="244"/>
      <c r="G1894" s="244"/>
      <c r="I1894" s="244"/>
      <c r="J1894" s="244"/>
      <c r="K1894" s="246" t="e">
        <f t="shared" si="203"/>
        <v>#VALUE!</v>
      </c>
      <c r="L1894" s="246" t="e">
        <f t="shared" si="204"/>
        <v>#VALUE!</v>
      </c>
      <c r="M1894" s="247" t="e">
        <f t="shared" si="205"/>
        <v>#VALUE!</v>
      </c>
      <c r="N1894" s="246" t="e">
        <f t="shared" si="206"/>
        <v>#VALUE!</v>
      </c>
      <c r="O1894" s="247" t="e">
        <f t="shared" si="207"/>
        <v>#VALUE!</v>
      </c>
      <c r="P1894" s="247">
        <f t="shared" si="208"/>
        <v>0</v>
      </c>
      <c r="Q1894" s="247" t="e">
        <f t="shared" si="209"/>
        <v>#VALUE!</v>
      </c>
    </row>
    <row r="1895" spans="1:17" ht="15" customHeight="1" x14ac:dyDescent="0.25">
      <c r="A1895" s="244"/>
      <c r="B1895" s="244"/>
      <c r="C1895" s="244"/>
      <c r="D1895" s="244"/>
      <c r="E1895" s="244"/>
      <c r="F1895" s="244"/>
      <c r="G1895" s="244"/>
      <c r="I1895" s="244"/>
      <c r="J1895" s="244"/>
      <c r="K1895" s="246" t="e">
        <f t="shared" si="203"/>
        <v>#VALUE!</v>
      </c>
      <c r="L1895" s="246" t="e">
        <f t="shared" si="204"/>
        <v>#VALUE!</v>
      </c>
      <c r="M1895" s="247" t="e">
        <f t="shared" si="205"/>
        <v>#VALUE!</v>
      </c>
      <c r="N1895" s="246" t="e">
        <f t="shared" si="206"/>
        <v>#VALUE!</v>
      </c>
      <c r="O1895" s="247" t="e">
        <f t="shared" si="207"/>
        <v>#VALUE!</v>
      </c>
      <c r="P1895" s="247">
        <f t="shared" si="208"/>
        <v>0</v>
      </c>
      <c r="Q1895" s="247" t="e">
        <f t="shared" si="209"/>
        <v>#VALUE!</v>
      </c>
    </row>
    <row r="1896" spans="1:17" ht="15" customHeight="1" x14ac:dyDescent="0.25">
      <c r="A1896" s="244"/>
      <c r="B1896" s="244"/>
      <c r="C1896" s="244"/>
      <c r="D1896" s="244"/>
      <c r="E1896" s="244"/>
      <c r="F1896" s="244"/>
      <c r="G1896" s="244"/>
      <c r="I1896" s="244"/>
      <c r="J1896" s="244"/>
      <c r="K1896" s="246" t="e">
        <f t="shared" si="203"/>
        <v>#VALUE!</v>
      </c>
      <c r="L1896" s="246" t="e">
        <f t="shared" si="204"/>
        <v>#VALUE!</v>
      </c>
      <c r="M1896" s="247" t="e">
        <f t="shared" si="205"/>
        <v>#VALUE!</v>
      </c>
      <c r="N1896" s="246" t="e">
        <f t="shared" si="206"/>
        <v>#VALUE!</v>
      </c>
      <c r="O1896" s="247" t="e">
        <f t="shared" si="207"/>
        <v>#VALUE!</v>
      </c>
      <c r="P1896" s="247">
        <f t="shared" si="208"/>
        <v>0</v>
      </c>
      <c r="Q1896" s="247" t="e">
        <f t="shared" si="209"/>
        <v>#VALUE!</v>
      </c>
    </row>
    <row r="1897" spans="1:17" ht="15" customHeight="1" x14ac:dyDescent="0.25">
      <c r="A1897" s="244"/>
      <c r="B1897" s="244"/>
      <c r="C1897" s="244"/>
      <c r="D1897" s="244"/>
      <c r="E1897" s="244"/>
      <c r="F1897" s="244"/>
      <c r="G1897" s="244"/>
      <c r="I1897" s="244"/>
      <c r="J1897" s="244"/>
      <c r="K1897" s="246" t="e">
        <f t="shared" si="203"/>
        <v>#VALUE!</v>
      </c>
      <c r="L1897" s="246" t="e">
        <f t="shared" si="204"/>
        <v>#VALUE!</v>
      </c>
      <c r="M1897" s="247" t="e">
        <f t="shared" si="205"/>
        <v>#VALUE!</v>
      </c>
      <c r="N1897" s="246" t="e">
        <f t="shared" si="206"/>
        <v>#VALUE!</v>
      </c>
      <c r="O1897" s="247" t="e">
        <f t="shared" si="207"/>
        <v>#VALUE!</v>
      </c>
      <c r="P1897" s="247">
        <f t="shared" si="208"/>
        <v>0</v>
      </c>
      <c r="Q1897" s="247" t="e">
        <f t="shared" si="209"/>
        <v>#VALUE!</v>
      </c>
    </row>
    <row r="1898" spans="1:17" ht="15" customHeight="1" x14ac:dyDescent="0.25">
      <c r="A1898" s="244"/>
      <c r="B1898" s="244"/>
      <c r="C1898" s="244"/>
      <c r="D1898" s="244"/>
      <c r="E1898" s="244"/>
      <c r="F1898" s="244"/>
      <c r="G1898" s="244"/>
      <c r="I1898" s="244"/>
      <c r="J1898" s="244"/>
      <c r="K1898" s="246" t="e">
        <f t="shared" si="203"/>
        <v>#VALUE!</v>
      </c>
      <c r="L1898" s="246" t="e">
        <f t="shared" si="204"/>
        <v>#VALUE!</v>
      </c>
      <c r="M1898" s="247" t="e">
        <f t="shared" si="205"/>
        <v>#VALUE!</v>
      </c>
      <c r="N1898" s="246" t="e">
        <f t="shared" si="206"/>
        <v>#VALUE!</v>
      </c>
      <c r="O1898" s="247" t="e">
        <f t="shared" si="207"/>
        <v>#VALUE!</v>
      </c>
      <c r="P1898" s="247">
        <f t="shared" si="208"/>
        <v>0</v>
      </c>
      <c r="Q1898" s="247" t="e">
        <f t="shared" si="209"/>
        <v>#VALUE!</v>
      </c>
    </row>
    <row r="1899" spans="1:17" ht="15" customHeight="1" x14ac:dyDescent="0.25">
      <c r="A1899" s="244"/>
      <c r="B1899" s="244"/>
      <c r="C1899" s="244"/>
      <c r="D1899" s="244"/>
      <c r="E1899" s="244"/>
      <c r="F1899" s="244"/>
      <c r="G1899" s="244"/>
      <c r="I1899" s="244"/>
      <c r="J1899" s="244"/>
      <c r="K1899" s="246" t="e">
        <f t="shared" si="203"/>
        <v>#VALUE!</v>
      </c>
      <c r="L1899" s="246" t="e">
        <f t="shared" si="204"/>
        <v>#VALUE!</v>
      </c>
      <c r="M1899" s="247" t="e">
        <f t="shared" si="205"/>
        <v>#VALUE!</v>
      </c>
      <c r="N1899" s="246" t="e">
        <f t="shared" si="206"/>
        <v>#VALUE!</v>
      </c>
      <c r="O1899" s="247" t="e">
        <f t="shared" si="207"/>
        <v>#VALUE!</v>
      </c>
      <c r="P1899" s="247">
        <f t="shared" si="208"/>
        <v>0</v>
      </c>
      <c r="Q1899" s="247" t="e">
        <f t="shared" si="209"/>
        <v>#VALUE!</v>
      </c>
    </row>
    <row r="1900" spans="1:17" ht="15" customHeight="1" x14ac:dyDescent="0.25">
      <c r="A1900" s="244"/>
      <c r="B1900" s="244"/>
      <c r="C1900" s="244"/>
      <c r="D1900" s="244"/>
      <c r="E1900" s="244"/>
      <c r="F1900" s="244"/>
      <c r="G1900" s="244"/>
      <c r="I1900" s="244"/>
      <c r="J1900" s="244"/>
      <c r="K1900" s="246" t="e">
        <f t="shared" si="203"/>
        <v>#VALUE!</v>
      </c>
      <c r="L1900" s="246" t="e">
        <f t="shared" si="204"/>
        <v>#VALUE!</v>
      </c>
      <c r="M1900" s="247" t="e">
        <f t="shared" si="205"/>
        <v>#VALUE!</v>
      </c>
      <c r="N1900" s="246" t="e">
        <f t="shared" si="206"/>
        <v>#VALUE!</v>
      </c>
      <c r="O1900" s="247" t="e">
        <f t="shared" si="207"/>
        <v>#VALUE!</v>
      </c>
      <c r="P1900" s="247">
        <f t="shared" si="208"/>
        <v>0</v>
      </c>
      <c r="Q1900" s="247" t="e">
        <f t="shared" si="209"/>
        <v>#VALUE!</v>
      </c>
    </row>
    <row r="1901" spans="1:17" ht="15" customHeight="1" x14ac:dyDescent="0.25">
      <c r="A1901" s="244"/>
      <c r="B1901" s="244"/>
      <c r="C1901" s="244"/>
      <c r="D1901" s="244"/>
      <c r="E1901" s="244"/>
      <c r="F1901" s="244"/>
      <c r="G1901" s="244"/>
      <c r="I1901" s="244"/>
      <c r="J1901" s="244"/>
      <c r="K1901" s="246" t="e">
        <f t="shared" si="203"/>
        <v>#VALUE!</v>
      </c>
      <c r="L1901" s="246" t="e">
        <f t="shared" si="204"/>
        <v>#VALUE!</v>
      </c>
      <c r="M1901" s="247" t="e">
        <f t="shared" si="205"/>
        <v>#VALUE!</v>
      </c>
      <c r="N1901" s="246" t="e">
        <f t="shared" si="206"/>
        <v>#VALUE!</v>
      </c>
      <c r="O1901" s="247" t="e">
        <f t="shared" si="207"/>
        <v>#VALUE!</v>
      </c>
      <c r="P1901" s="247">
        <f t="shared" si="208"/>
        <v>0</v>
      </c>
      <c r="Q1901" s="247" t="e">
        <f t="shared" si="209"/>
        <v>#VALUE!</v>
      </c>
    </row>
    <row r="1902" spans="1:17" ht="15" customHeight="1" x14ac:dyDescent="0.25">
      <c r="A1902" s="244"/>
      <c r="B1902" s="244"/>
      <c r="C1902" s="244"/>
      <c r="D1902" s="244"/>
      <c r="E1902" s="244"/>
      <c r="F1902" s="244"/>
      <c r="G1902" s="244"/>
      <c r="I1902" s="244"/>
      <c r="J1902" s="244"/>
      <c r="K1902" s="246" t="e">
        <f t="shared" si="203"/>
        <v>#VALUE!</v>
      </c>
      <c r="L1902" s="246" t="e">
        <f t="shared" si="204"/>
        <v>#VALUE!</v>
      </c>
      <c r="M1902" s="247" t="e">
        <f t="shared" si="205"/>
        <v>#VALUE!</v>
      </c>
      <c r="N1902" s="246" t="e">
        <f t="shared" si="206"/>
        <v>#VALUE!</v>
      </c>
      <c r="O1902" s="247" t="e">
        <f t="shared" si="207"/>
        <v>#VALUE!</v>
      </c>
      <c r="P1902" s="247">
        <f t="shared" si="208"/>
        <v>0</v>
      </c>
      <c r="Q1902" s="247" t="e">
        <f t="shared" si="209"/>
        <v>#VALUE!</v>
      </c>
    </row>
    <row r="1903" spans="1:17" ht="15" customHeight="1" x14ac:dyDescent="0.25">
      <c r="A1903" s="244"/>
      <c r="B1903" s="244"/>
      <c r="C1903" s="244"/>
      <c r="D1903" s="244"/>
      <c r="E1903" s="244"/>
      <c r="F1903" s="244"/>
      <c r="G1903" s="244"/>
      <c r="I1903" s="244"/>
      <c r="J1903" s="244"/>
      <c r="K1903" s="246" t="e">
        <f t="shared" si="203"/>
        <v>#VALUE!</v>
      </c>
      <c r="L1903" s="246" t="e">
        <f t="shared" si="204"/>
        <v>#VALUE!</v>
      </c>
      <c r="M1903" s="247" t="e">
        <f t="shared" si="205"/>
        <v>#VALUE!</v>
      </c>
      <c r="N1903" s="246" t="e">
        <f t="shared" si="206"/>
        <v>#VALUE!</v>
      </c>
      <c r="O1903" s="247" t="e">
        <f t="shared" si="207"/>
        <v>#VALUE!</v>
      </c>
      <c r="P1903" s="247">
        <f t="shared" si="208"/>
        <v>0</v>
      </c>
      <c r="Q1903" s="247" t="e">
        <f t="shared" si="209"/>
        <v>#VALUE!</v>
      </c>
    </row>
    <row r="1904" spans="1:17" ht="15" customHeight="1" x14ac:dyDescent="0.25">
      <c r="A1904" s="244"/>
      <c r="B1904" s="244"/>
      <c r="C1904" s="244"/>
      <c r="D1904" s="244"/>
      <c r="E1904" s="244"/>
      <c r="F1904" s="244"/>
      <c r="G1904" s="244"/>
      <c r="I1904" s="244"/>
      <c r="J1904" s="244"/>
      <c r="K1904" s="246" t="e">
        <f t="shared" si="203"/>
        <v>#VALUE!</v>
      </c>
      <c r="L1904" s="246" t="e">
        <f t="shared" si="204"/>
        <v>#VALUE!</v>
      </c>
      <c r="M1904" s="247" t="e">
        <f t="shared" si="205"/>
        <v>#VALUE!</v>
      </c>
      <c r="N1904" s="246" t="e">
        <f t="shared" si="206"/>
        <v>#VALUE!</v>
      </c>
      <c r="O1904" s="247" t="e">
        <f t="shared" si="207"/>
        <v>#VALUE!</v>
      </c>
      <c r="P1904" s="247">
        <f t="shared" si="208"/>
        <v>0</v>
      </c>
      <c r="Q1904" s="247" t="e">
        <f t="shared" si="209"/>
        <v>#VALUE!</v>
      </c>
    </row>
    <row r="1905" spans="1:17" ht="15" customHeight="1" x14ac:dyDescent="0.25">
      <c r="A1905" s="244"/>
      <c r="B1905" s="244"/>
      <c r="C1905" s="244"/>
      <c r="D1905" s="244"/>
      <c r="E1905" s="244"/>
      <c r="F1905" s="244"/>
      <c r="G1905" s="244"/>
      <c r="I1905" s="244"/>
      <c r="J1905" s="244"/>
      <c r="K1905" s="246" t="e">
        <f t="shared" si="203"/>
        <v>#VALUE!</v>
      </c>
      <c r="L1905" s="246" t="e">
        <f t="shared" si="204"/>
        <v>#VALUE!</v>
      </c>
      <c r="M1905" s="247" t="e">
        <f t="shared" si="205"/>
        <v>#VALUE!</v>
      </c>
      <c r="N1905" s="246" t="e">
        <f t="shared" si="206"/>
        <v>#VALUE!</v>
      </c>
      <c r="O1905" s="247" t="e">
        <f t="shared" si="207"/>
        <v>#VALUE!</v>
      </c>
      <c r="P1905" s="247">
        <f t="shared" si="208"/>
        <v>0</v>
      </c>
      <c r="Q1905" s="247" t="e">
        <f t="shared" si="209"/>
        <v>#VALUE!</v>
      </c>
    </row>
    <row r="1906" spans="1:17" ht="15" customHeight="1" x14ac:dyDescent="0.25">
      <c r="A1906" s="244"/>
      <c r="B1906" s="244"/>
      <c r="C1906" s="244"/>
      <c r="D1906" s="244"/>
      <c r="E1906" s="244"/>
      <c r="F1906" s="244"/>
      <c r="G1906" s="244"/>
      <c r="I1906" s="244"/>
      <c r="J1906" s="244"/>
      <c r="K1906" s="246" t="e">
        <f t="shared" si="203"/>
        <v>#VALUE!</v>
      </c>
      <c r="L1906" s="246" t="e">
        <f t="shared" si="204"/>
        <v>#VALUE!</v>
      </c>
      <c r="M1906" s="247" t="e">
        <f t="shared" si="205"/>
        <v>#VALUE!</v>
      </c>
      <c r="N1906" s="246" t="e">
        <f t="shared" si="206"/>
        <v>#VALUE!</v>
      </c>
      <c r="O1906" s="247" t="e">
        <f t="shared" si="207"/>
        <v>#VALUE!</v>
      </c>
      <c r="P1906" s="247">
        <f t="shared" si="208"/>
        <v>0</v>
      </c>
      <c r="Q1906" s="247" t="e">
        <f t="shared" si="209"/>
        <v>#VALUE!</v>
      </c>
    </row>
    <row r="1907" spans="1:17" ht="15" customHeight="1" x14ac:dyDescent="0.25">
      <c r="A1907" s="244"/>
      <c r="B1907" s="244"/>
      <c r="C1907" s="244"/>
      <c r="D1907" s="244"/>
      <c r="E1907" s="244"/>
      <c r="F1907" s="244"/>
      <c r="G1907" s="244"/>
      <c r="I1907" s="244"/>
      <c r="J1907" s="244"/>
      <c r="K1907" s="246" t="e">
        <f t="shared" si="203"/>
        <v>#VALUE!</v>
      </c>
      <c r="L1907" s="246" t="e">
        <f t="shared" si="204"/>
        <v>#VALUE!</v>
      </c>
      <c r="M1907" s="247" t="e">
        <f t="shared" si="205"/>
        <v>#VALUE!</v>
      </c>
      <c r="N1907" s="246" t="e">
        <f t="shared" si="206"/>
        <v>#VALUE!</v>
      </c>
      <c r="O1907" s="247" t="e">
        <f t="shared" si="207"/>
        <v>#VALUE!</v>
      </c>
      <c r="P1907" s="247">
        <f t="shared" si="208"/>
        <v>0</v>
      </c>
      <c r="Q1907" s="247" t="e">
        <f t="shared" si="209"/>
        <v>#VALUE!</v>
      </c>
    </row>
    <row r="1908" spans="1:17" ht="15" customHeight="1" x14ac:dyDescent="0.25">
      <c r="A1908" s="244"/>
      <c r="B1908" s="244"/>
      <c r="C1908" s="244"/>
      <c r="D1908" s="244"/>
      <c r="E1908" s="244"/>
      <c r="F1908" s="244"/>
      <c r="G1908" s="244"/>
      <c r="I1908" s="244"/>
      <c r="J1908" s="244"/>
      <c r="K1908" s="246" t="e">
        <f t="shared" si="203"/>
        <v>#VALUE!</v>
      </c>
      <c r="L1908" s="246" t="e">
        <f t="shared" si="204"/>
        <v>#VALUE!</v>
      </c>
      <c r="M1908" s="247" t="e">
        <f t="shared" si="205"/>
        <v>#VALUE!</v>
      </c>
      <c r="N1908" s="246" t="e">
        <f t="shared" si="206"/>
        <v>#VALUE!</v>
      </c>
      <c r="O1908" s="247" t="e">
        <f t="shared" si="207"/>
        <v>#VALUE!</v>
      </c>
      <c r="P1908" s="247">
        <f t="shared" si="208"/>
        <v>0</v>
      </c>
      <c r="Q1908" s="247" t="e">
        <f t="shared" si="209"/>
        <v>#VALUE!</v>
      </c>
    </row>
    <row r="1909" spans="1:17" ht="15" customHeight="1" x14ac:dyDescent="0.25">
      <c r="A1909" s="244"/>
      <c r="B1909" s="244"/>
      <c r="C1909" s="244"/>
      <c r="D1909" s="244"/>
      <c r="E1909" s="244"/>
      <c r="F1909" s="244"/>
      <c r="G1909" s="244"/>
      <c r="I1909" s="244"/>
      <c r="J1909" s="244"/>
      <c r="K1909" s="246" t="e">
        <f t="shared" si="203"/>
        <v>#VALUE!</v>
      </c>
      <c r="L1909" s="246" t="e">
        <f t="shared" si="204"/>
        <v>#VALUE!</v>
      </c>
      <c r="M1909" s="247" t="e">
        <f t="shared" si="205"/>
        <v>#VALUE!</v>
      </c>
      <c r="N1909" s="246" t="e">
        <f t="shared" si="206"/>
        <v>#VALUE!</v>
      </c>
      <c r="O1909" s="247" t="e">
        <f t="shared" si="207"/>
        <v>#VALUE!</v>
      </c>
      <c r="P1909" s="247">
        <f t="shared" si="208"/>
        <v>0</v>
      </c>
      <c r="Q1909" s="247" t="e">
        <f t="shared" si="209"/>
        <v>#VALUE!</v>
      </c>
    </row>
    <row r="1910" spans="1:17" ht="15" customHeight="1" x14ac:dyDescent="0.25">
      <c r="A1910" s="244"/>
      <c r="B1910" s="244"/>
      <c r="C1910" s="244"/>
      <c r="D1910" s="244"/>
      <c r="E1910" s="244"/>
      <c r="F1910" s="244"/>
      <c r="G1910" s="244"/>
      <c r="I1910" s="244"/>
      <c r="J1910" s="244"/>
      <c r="K1910" s="246" t="e">
        <f t="shared" si="203"/>
        <v>#VALUE!</v>
      </c>
      <c r="L1910" s="246" t="e">
        <f t="shared" si="204"/>
        <v>#VALUE!</v>
      </c>
      <c r="M1910" s="247" t="e">
        <f t="shared" si="205"/>
        <v>#VALUE!</v>
      </c>
      <c r="N1910" s="246" t="e">
        <f t="shared" si="206"/>
        <v>#VALUE!</v>
      </c>
      <c r="O1910" s="247" t="e">
        <f t="shared" si="207"/>
        <v>#VALUE!</v>
      </c>
      <c r="P1910" s="247">
        <f t="shared" si="208"/>
        <v>0</v>
      </c>
      <c r="Q1910" s="247" t="e">
        <f t="shared" si="209"/>
        <v>#VALUE!</v>
      </c>
    </row>
    <row r="1911" spans="1:17" ht="15" customHeight="1" x14ac:dyDescent="0.25">
      <c r="A1911" s="244"/>
      <c r="B1911" s="244"/>
      <c r="C1911" s="244"/>
      <c r="D1911" s="244"/>
      <c r="E1911" s="244"/>
      <c r="F1911" s="244"/>
      <c r="G1911" s="244"/>
      <c r="I1911" s="244"/>
      <c r="J1911" s="244"/>
      <c r="K1911" s="246" t="e">
        <f t="shared" si="203"/>
        <v>#VALUE!</v>
      </c>
      <c r="L1911" s="246" t="e">
        <f t="shared" si="204"/>
        <v>#VALUE!</v>
      </c>
      <c r="M1911" s="247" t="e">
        <f t="shared" si="205"/>
        <v>#VALUE!</v>
      </c>
      <c r="N1911" s="246" t="e">
        <f t="shared" si="206"/>
        <v>#VALUE!</v>
      </c>
      <c r="O1911" s="247" t="e">
        <f t="shared" si="207"/>
        <v>#VALUE!</v>
      </c>
      <c r="P1911" s="247">
        <f t="shared" si="208"/>
        <v>0</v>
      </c>
      <c r="Q1911" s="247" t="e">
        <f t="shared" si="209"/>
        <v>#VALUE!</v>
      </c>
    </row>
    <row r="1912" spans="1:17" ht="15" customHeight="1" x14ac:dyDescent="0.25">
      <c r="A1912" s="244"/>
      <c r="B1912" s="244"/>
      <c r="C1912" s="244"/>
      <c r="D1912" s="244"/>
      <c r="E1912" s="244"/>
      <c r="F1912" s="244"/>
      <c r="G1912" s="244"/>
      <c r="I1912" s="244"/>
      <c r="J1912" s="244"/>
      <c r="K1912" s="246" t="e">
        <f t="shared" si="203"/>
        <v>#VALUE!</v>
      </c>
      <c r="L1912" s="246" t="e">
        <f t="shared" si="204"/>
        <v>#VALUE!</v>
      </c>
      <c r="M1912" s="247" t="e">
        <f t="shared" si="205"/>
        <v>#VALUE!</v>
      </c>
      <c r="N1912" s="246" t="e">
        <f t="shared" si="206"/>
        <v>#VALUE!</v>
      </c>
      <c r="O1912" s="247" t="e">
        <f t="shared" si="207"/>
        <v>#VALUE!</v>
      </c>
      <c r="P1912" s="247">
        <f t="shared" si="208"/>
        <v>0</v>
      </c>
      <c r="Q1912" s="247" t="e">
        <f t="shared" si="209"/>
        <v>#VALUE!</v>
      </c>
    </row>
    <row r="1913" spans="1:17" ht="15" customHeight="1" x14ac:dyDescent="0.25">
      <c r="A1913" s="244"/>
      <c r="B1913" s="244"/>
      <c r="C1913" s="244"/>
      <c r="D1913" s="244"/>
      <c r="E1913" s="244"/>
      <c r="F1913" s="244"/>
      <c r="G1913" s="244"/>
      <c r="I1913" s="244"/>
      <c r="J1913" s="244"/>
      <c r="K1913" s="246" t="e">
        <f t="shared" si="203"/>
        <v>#VALUE!</v>
      </c>
      <c r="L1913" s="246" t="e">
        <f t="shared" si="204"/>
        <v>#VALUE!</v>
      </c>
      <c r="M1913" s="247" t="e">
        <f t="shared" si="205"/>
        <v>#VALUE!</v>
      </c>
      <c r="N1913" s="246" t="e">
        <f t="shared" si="206"/>
        <v>#VALUE!</v>
      </c>
      <c r="O1913" s="247" t="e">
        <f t="shared" si="207"/>
        <v>#VALUE!</v>
      </c>
      <c r="P1913" s="247">
        <f t="shared" si="208"/>
        <v>0</v>
      </c>
      <c r="Q1913" s="247" t="e">
        <f t="shared" si="209"/>
        <v>#VALUE!</v>
      </c>
    </row>
    <row r="1914" spans="1:17" ht="15" customHeight="1" x14ac:dyDescent="0.25">
      <c r="A1914" s="244"/>
      <c r="B1914" s="244"/>
      <c r="C1914" s="244"/>
      <c r="D1914" s="244"/>
      <c r="E1914" s="244"/>
      <c r="F1914" s="244"/>
      <c r="G1914" s="244"/>
      <c r="I1914" s="244"/>
      <c r="J1914" s="244"/>
      <c r="K1914" s="246" t="e">
        <f t="shared" si="203"/>
        <v>#VALUE!</v>
      </c>
      <c r="L1914" s="246" t="e">
        <f t="shared" si="204"/>
        <v>#VALUE!</v>
      </c>
      <c r="M1914" s="247" t="e">
        <f t="shared" si="205"/>
        <v>#VALUE!</v>
      </c>
      <c r="N1914" s="246" t="e">
        <f t="shared" si="206"/>
        <v>#VALUE!</v>
      </c>
      <c r="O1914" s="247" t="e">
        <f t="shared" si="207"/>
        <v>#VALUE!</v>
      </c>
      <c r="P1914" s="247">
        <f t="shared" si="208"/>
        <v>0</v>
      </c>
      <c r="Q1914" s="247" t="e">
        <f t="shared" si="209"/>
        <v>#VALUE!</v>
      </c>
    </row>
    <row r="1915" spans="1:17" ht="15" customHeight="1" x14ac:dyDescent="0.25">
      <c r="A1915" s="244"/>
      <c r="B1915" s="244"/>
      <c r="C1915" s="244"/>
      <c r="D1915" s="244"/>
      <c r="E1915" s="244"/>
      <c r="F1915" s="244"/>
      <c r="G1915" s="244"/>
      <c r="I1915" s="244"/>
      <c r="J1915" s="244"/>
      <c r="K1915" s="246" t="e">
        <f t="shared" si="203"/>
        <v>#VALUE!</v>
      </c>
      <c r="L1915" s="246" t="e">
        <f t="shared" si="204"/>
        <v>#VALUE!</v>
      </c>
      <c r="M1915" s="247" t="e">
        <f t="shared" si="205"/>
        <v>#VALUE!</v>
      </c>
      <c r="N1915" s="246" t="e">
        <f t="shared" si="206"/>
        <v>#VALUE!</v>
      </c>
      <c r="O1915" s="247" t="e">
        <f t="shared" si="207"/>
        <v>#VALUE!</v>
      </c>
      <c r="P1915" s="247">
        <f t="shared" si="208"/>
        <v>0</v>
      </c>
      <c r="Q1915" s="247" t="e">
        <f t="shared" si="209"/>
        <v>#VALUE!</v>
      </c>
    </row>
    <row r="1916" spans="1:17" ht="15" customHeight="1" x14ac:dyDescent="0.25">
      <c r="A1916" s="244"/>
      <c r="B1916" s="244"/>
      <c r="C1916" s="244"/>
      <c r="D1916" s="244"/>
      <c r="E1916" s="244"/>
      <c r="F1916" s="244"/>
      <c r="G1916" s="244"/>
      <c r="I1916" s="244"/>
      <c r="J1916" s="244"/>
      <c r="K1916" s="246" t="e">
        <f t="shared" si="203"/>
        <v>#VALUE!</v>
      </c>
      <c r="L1916" s="246" t="e">
        <f t="shared" si="204"/>
        <v>#VALUE!</v>
      </c>
      <c r="M1916" s="247" t="e">
        <f t="shared" si="205"/>
        <v>#VALUE!</v>
      </c>
      <c r="N1916" s="246" t="e">
        <f t="shared" si="206"/>
        <v>#VALUE!</v>
      </c>
      <c r="O1916" s="247" t="e">
        <f t="shared" si="207"/>
        <v>#VALUE!</v>
      </c>
      <c r="P1916" s="247">
        <f t="shared" si="208"/>
        <v>0</v>
      </c>
      <c r="Q1916" s="247" t="e">
        <f t="shared" si="209"/>
        <v>#VALUE!</v>
      </c>
    </row>
    <row r="1917" spans="1:17" ht="15" customHeight="1" x14ac:dyDescent="0.25">
      <c r="A1917" s="244"/>
      <c r="B1917" s="244"/>
      <c r="C1917" s="244"/>
      <c r="D1917" s="244"/>
      <c r="E1917" s="244"/>
      <c r="F1917" s="244"/>
      <c r="G1917" s="244"/>
      <c r="I1917" s="244"/>
      <c r="J1917" s="244"/>
      <c r="K1917" s="246" t="e">
        <f t="shared" si="203"/>
        <v>#VALUE!</v>
      </c>
      <c r="L1917" s="246" t="e">
        <f t="shared" si="204"/>
        <v>#VALUE!</v>
      </c>
      <c r="M1917" s="247" t="e">
        <f t="shared" si="205"/>
        <v>#VALUE!</v>
      </c>
      <c r="N1917" s="246" t="e">
        <f t="shared" si="206"/>
        <v>#VALUE!</v>
      </c>
      <c r="O1917" s="247" t="e">
        <f t="shared" si="207"/>
        <v>#VALUE!</v>
      </c>
      <c r="P1917" s="247">
        <f t="shared" si="208"/>
        <v>0</v>
      </c>
      <c r="Q1917" s="247" t="e">
        <f t="shared" si="209"/>
        <v>#VALUE!</v>
      </c>
    </row>
    <row r="1918" spans="1:17" ht="15" customHeight="1" x14ac:dyDescent="0.25">
      <c r="A1918" s="244"/>
      <c r="B1918" s="244"/>
      <c r="C1918" s="244"/>
      <c r="D1918" s="244"/>
      <c r="E1918" s="244"/>
      <c r="F1918" s="244"/>
      <c r="G1918" s="244"/>
      <c r="I1918" s="244"/>
      <c r="J1918" s="244"/>
      <c r="K1918" s="246" t="e">
        <f t="shared" si="203"/>
        <v>#VALUE!</v>
      </c>
      <c r="L1918" s="246" t="e">
        <f t="shared" si="204"/>
        <v>#VALUE!</v>
      </c>
      <c r="M1918" s="247" t="e">
        <f t="shared" si="205"/>
        <v>#VALUE!</v>
      </c>
      <c r="N1918" s="246" t="e">
        <f t="shared" si="206"/>
        <v>#VALUE!</v>
      </c>
      <c r="O1918" s="247" t="e">
        <f t="shared" si="207"/>
        <v>#VALUE!</v>
      </c>
      <c r="P1918" s="247">
        <f t="shared" si="208"/>
        <v>0</v>
      </c>
      <c r="Q1918" s="247" t="e">
        <f t="shared" si="209"/>
        <v>#VALUE!</v>
      </c>
    </row>
    <row r="1919" spans="1:17" ht="15" customHeight="1" x14ac:dyDescent="0.25">
      <c r="A1919" s="244"/>
      <c r="B1919" s="244"/>
      <c r="C1919" s="244"/>
      <c r="D1919" s="244"/>
      <c r="E1919" s="244"/>
      <c r="F1919" s="244"/>
      <c r="G1919" s="244"/>
      <c r="I1919" s="244"/>
      <c r="J1919" s="244"/>
      <c r="K1919" s="246" t="e">
        <f t="shared" si="203"/>
        <v>#VALUE!</v>
      </c>
      <c r="L1919" s="246" t="e">
        <f t="shared" si="204"/>
        <v>#VALUE!</v>
      </c>
      <c r="M1919" s="247" t="e">
        <f t="shared" si="205"/>
        <v>#VALUE!</v>
      </c>
      <c r="N1919" s="246" t="e">
        <f t="shared" si="206"/>
        <v>#VALUE!</v>
      </c>
      <c r="O1919" s="247" t="e">
        <f t="shared" si="207"/>
        <v>#VALUE!</v>
      </c>
      <c r="P1919" s="247">
        <f t="shared" si="208"/>
        <v>0</v>
      </c>
      <c r="Q1919" s="247" t="e">
        <f t="shared" si="209"/>
        <v>#VALUE!</v>
      </c>
    </row>
    <row r="1920" spans="1:17" ht="15" customHeight="1" x14ac:dyDescent="0.25">
      <c r="A1920" s="244"/>
      <c r="B1920" s="244"/>
      <c r="C1920" s="244"/>
      <c r="D1920" s="244"/>
      <c r="E1920" s="244"/>
      <c r="F1920" s="244"/>
      <c r="G1920" s="244"/>
      <c r="I1920" s="244"/>
      <c r="J1920" s="244"/>
      <c r="K1920" s="246" t="e">
        <f t="shared" si="203"/>
        <v>#VALUE!</v>
      </c>
      <c r="L1920" s="246" t="e">
        <f t="shared" si="204"/>
        <v>#VALUE!</v>
      </c>
      <c r="M1920" s="247" t="e">
        <f t="shared" si="205"/>
        <v>#VALUE!</v>
      </c>
      <c r="N1920" s="246" t="e">
        <f t="shared" si="206"/>
        <v>#VALUE!</v>
      </c>
      <c r="O1920" s="247" t="e">
        <f t="shared" si="207"/>
        <v>#VALUE!</v>
      </c>
      <c r="P1920" s="247">
        <f t="shared" si="208"/>
        <v>0</v>
      </c>
      <c r="Q1920" s="247" t="e">
        <f t="shared" si="209"/>
        <v>#VALUE!</v>
      </c>
    </row>
    <row r="1921" spans="1:17" ht="15" customHeight="1" x14ac:dyDescent="0.25">
      <c r="A1921" s="244"/>
      <c r="B1921" s="244"/>
      <c r="C1921" s="244"/>
      <c r="D1921" s="244"/>
      <c r="E1921" s="244"/>
      <c r="F1921" s="244"/>
      <c r="G1921" s="244"/>
      <c r="I1921" s="244"/>
      <c r="J1921" s="244"/>
      <c r="K1921" s="246" t="e">
        <f t="shared" si="203"/>
        <v>#VALUE!</v>
      </c>
      <c r="L1921" s="246" t="e">
        <f t="shared" si="204"/>
        <v>#VALUE!</v>
      </c>
      <c r="M1921" s="247" t="e">
        <f t="shared" si="205"/>
        <v>#VALUE!</v>
      </c>
      <c r="N1921" s="246" t="e">
        <f t="shared" si="206"/>
        <v>#VALUE!</v>
      </c>
      <c r="O1921" s="247" t="e">
        <f t="shared" si="207"/>
        <v>#VALUE!</v>
      </c>
      <c r="P1921" s="247">
        <f t="shared" si="208"/>
        <v>0</v>
      </c>
      <c r="Q1921" s="247" t="e">
        <f t="shared" si="209"/>
        <v>#VALUE!</v>
      </c>
    </row>
    <row r="1922" spans="1:17" ht="15" customHeight="1" x14ac:dyDescent="0.25">
      <c r="A1922" s="244"/>
      <c r="B1922" s="244"/>
      <c r="C1922" s="244"/>
      <c r="D1922" s="244"/>
      <c r="E1922" s="244"/>
      <c r="F1922" s="244"/>
      <c r="G1922" s="244"/>
      <c r="I1922" s="244"/>
      <c r="J1922" s="244"/>
      <c r="K1922" s="246" t="e">
        <f t="shared" ref="K1922:K1985" si="210">DATE(VALUE(LEFT(A1922,4)),VALUE(MID(A1922,5,2)),VALUE(RIGHT(A1922,2)))</f>
        <v>#VALUE!</v>
      </c>
      <c r="L1922" s="246" t="e">
        <f t="shared" ref="L1922:L1985" si="211">DATEVALUE(LEFT(F1922,10))</f>
        <v>#VALUE!</v>
      </c>
      <c r="M1922" s="247" t="e">
        <f t="shared" ref="M1922:M1985" si="212">TIMEVALUE(MID(F1922,12,8))</f>
        <v>#VALUE!</v>
      </c>
      <c r="N1922" s="246" t="e">
        <f t="shared" ref="N1922:N1985" si="213">DATEVALUE(LEFT(G1922,10))</f>
        <v>#VALUE!</v>
      </c>
      <c r="O1922" s="247" t="e">
        <f t="shared" ref="O1922:O1985" si="214">TIMEVALUE(MID(G1922,12,8))</f>
        <v>#VALUE!</v>
      </c>
      <c r="P1922" s="247">
        <f t="shared" ref="P1922:P1985" si="215">IFERROR(_xlfn.MINIFS($M:$M,$E:$E,$E1922,$K:$K,$K1922,$M:$M,"&gt;"&amp;$O1922),"")</f>
        <v>0</v>
      </c>
      <c r="Q1922" s="247" t="e">
        <f t="shared" ref="Q1922:Q1985" si="216">IF($P1922="","",$P1922-$O1922)</f>
        <v>#VALUE!</v>
      </c>
    </row>
    <row r="1923" spans="1:17" ht="15" customHeight="1" x14ac:dyDescent="0.25">
      <c r="A1923" s="244"/>
      <c r="B1923" s="244"/>
      <c r="C1923" s="244"/>
      <c r="D1923" s="244"/>
      <c r="E1923" s="244"/>
      <c r="F1923" s="244"/>
      <c r="G1923" s="244"/>
      <c r="I1923" s="244"/>
      <c r="J1923" s="244"/>
      <c r="K1923" s="246" t="e">
        <f t="shared" si="210"/>
        <v>#VALUE!</v>
      </c>
      <c r="L1923" s="246" t="e">
        <f t="shared" si="211"/>
        <v>#VALUE!</v>
      </c>
      <c r="M1923" s="247" t="e">
        <f t="shared" si="212"/>
        <v>#VALUE!</v>
      </c>
      <c r="N1923" s="246" t="e">
        <f t="shared" si="213"/>
        <v>#VALUE!</v>
      </c>
      <c r="O1923" s="247" t="e">
        <f t="shared" si="214"/>
        <v>#VALUE!</v>
      </c>
      <c r="P1923" s="247">
        <f t="shared" si="215"/>
        <v>0</v>
      </c>
      <c r="Q1923" s="247" t="e">
        <f t="shared" si="216"/>
        <v>#VALUE!</v>
      </c>
    </row>
    <row r="1924" spans="1:17" ht="15" customHeight="1" x14ac:dyDescent="0.25">
      <c r="A1924" s="244"/>
      <c r="B1924" s="244"/>
      <c r="C1924" s="244"/>
      <c r="D1924" s="244"/>
      <c r="E1924" s="244"/>
      <c r="F1924" s="244"/>
      <c r="G1924" s="244"/>
      <c r="I1924" s="244"/>
      <c r="J1924" s="244"/>
      <c r="K1924" s="246" t="e">
        <f t="shared" si="210"/>
        <v>#VALUE!</v>
      </c>
      <c r="L1924" s="246" t="e">
        <f t="shared" si="211"/>
        <v>#VALUE!</v>
      </c>
      <c r="M1924" s="247" t="e">
        <f t="shared" si="212"/>
        <v>#VALUE!</v>
      </c>
      <c r="N1924" s="246" t="e">
        <f t="shared" si="213"/>
        <v>#VALUE!</v>
      </c>
      <c r="O1924" s="247" t="e">
        <f t="shared" si="214"/>
        <v>#VALUE!</v>
      </c>
      <c r="P1924" s="247">
        <f t="shared" si="215"/>
        <v>0</v>
      </c>
      <c r="Q1924" s="247" t="e">
        <f t="shared" si="216"/>
        <v>#VALUE!</v>
      </c>
    </row>
    <row r="1925" spans="1:17" ht="15" customHeight="1" x14ac:dyDescent="0.25">
      <c r="A1925" s="244"/>
      <c r="B1925" s="244"/>
      <c r="C1925" s="244"/>
      <c r="D1925" s="244"/>
      <c r="E1925" s="244"/>
      <c r="F1925" s="244"/>
      <c r="G1925" s="244"/>
      <c r="I1925" s="244"/>
      <c r="J1925" s="244"/>
      <c r="K1925" s="246" t="e">
        <f t="shared" si="210"/>
        <v>#VALUE!</v>
      </c>
      <c r="L1925" s="246" t="e">
        <f t="shared" si="211"/>
        <v>#VALUE!</v>
      </c>
      <c r="M1925" s="247" t="e">
        <f t="shared" si="212"/>
        <v>#VALUE!</v>
      </c>
      <c r="N1925" s="246" t="e">
        <f t="shared" si="213"/>
        <v>#VALUE!</v>
      </c>
      <c r="O1925" s="247" t="e">
        <f t="shared" si="214"/>
        <v>#VALUE!</v>
      </c>
      <c r="P1925" s="247">
        <f t="shared" si="215"/>
        <v>0</v>
      </c>
      <c r="Q1925" s="247" t="e">
        <f t="shared" si="216"/>
        <v>#VALUE!</v>
      </c>
    </row>
    <row r="1926" spans="1:17" ht="15" customHeight="1" x14ac:dyDescent="0.25">
      <c r="A1926" s="244"/>
      <c r="B1926" s="244"/>
      <c r="C1926" s="244"/>
      <c r="D1926" s="244"/>
      <c r="E1926" s="244"/>
      <c r="F1926" s="244"/>
      <c r="G1926" s="244"/>
      <c r="I1926" s="244"/>
      <c r="J1926" s="244"/>
      <c r="K1926" s="246" t="e">
        <f t="shared" si="210"/>
        <v>#VALUE!</v>
      </c>
      <c r="L1926" s="246" t="e">
        <f t="shared" si="211"/>
        <v>#VALUE!</v>
      </c>
      <c r="M1926" s="247" t="e">
        <f t="shared" si="212"/>
        <v>#VALUE!</v>
      </c>
      <c r="N1926" s="246" t="e">
        <f t="shared" si="213"/>
        <v>#VALUE!</v>
      </c>
      <c r="O1926" s="247" t="e">
        <f t="shared" si="214"/>
        <v>#VALUE!</v>
      </c>
      <c r="P1926" s="247">
        <f t="shared" si="215"/>
        <v>0</v>
      </c>
      <c r="Q1926" s="247" t="e">
        <f t="shared" si="216"/>
        <v>#VALUE!</v>
      </c>
    </row>
    <row r="1927" spans="1:17" ht="15" customHeight="1" x14ac:dyDescent="0.25">
      <c r="A1927" s="244"/>
      <c r="B1927" s="244"/>
      <c r="C1927" s="244"/>
      <c r="D1927" s="244"/>
      <c r="E1927" s="244"/>
      <c r="F1927" s="244"/>
      <c r="G1927" s="244"/>
      <c r="I1927" s="244"/>
      <c r="J1927" s="244"/>
      <c r="K1927" s="246" t="e">
        <f t="shared" si="210"/>
        <v>#VALUE!</v>
      </c>
      <c r="L1927" s="246" t="e">
        <f t="shared" si="211"/>
        <v>#VALUE!</v>
      </c>
      <c r="M1927" s="247" t="e">
        <f t="shared" si="212"/>
        <v>#VALUE!</v>
      </c>
      <c r="N1927" s="246" t="e">
        <f t="shared" si="213"/>
        <v>#VALUE!</v>
      </c>
      <c r="O1927" s="247" t="e">
        <f t="shared" si="214"/>
        <v>#VALUE!</v>
      </c>
      <c r="P1927" s="247">
        <f t="shared" si="215"/>
        <v>0</v>
      </c>
      <c r="Q1927" s="247" t="e">
        <f t="shared" si="216"/>
        <v>#VALUE!</v>
      </c>
    </row>
    <row r="1928" spans="1:17" ht="15" customHeight="1" x14ac:dyDescent="0.25">
      <c r="A1928" s="244"/>
      <c r="B1928" s="244"/>
      <c r="C1928" s="244"/>
      <c r="D1928" s="244"/>
      <c r="E1928" s="244"/>
      <c r="F1928" s="244"/>
      <c r="G1928" s="244"/>
      <c r="I1928" s="244"/>
      <c r="J1928" s="244"/>
      <c r="K1928" s="246" t="e">
        <f t="shared" si="210"/>
        <v>#VALUE!</v>
      </c>
      <c r="L1928" s="246" t="e">
        <f t="shared" si="211"/>
        <v>#VALUE!</v>
      </c>
      <c r="M1928" s="247" t="e">
        <f t="shared" si="212"/>
        <v>#VALUE!</v>
      </c>
      <c r="N1928" s="246" t="e">
        <f t="shared" si="213"/>
        <v>#VALUE!</v>
      </c>
      <c r="O1928" s="247" t="e">
        <f t="shared" si="214"/>
        <v>#VALUE!</v>
      </c>
      <c r="P1928" s="247">
        <f t="shared" si="215"/>
        <v>0</v>
      </c>
      <c r="Q1928" s="247" t="e">
        <f t="shared" si="216"/>
        <v>#VALUE!</v>
      </c>
    </row>
    <row r="1929" spans="1:17" ht="15" customHeight="1" x14ac:dyDescent="0.25">
      <c r="A1929" s="244"/>
      <c r="B1929" s="244"/>
      <c r="C1929" s="244"/>
      <c r="D1929" s="244"/>
      <c r="E1929" s="244"/>
      <c r="F1929" s="244"/>
      <c r="G1929" s="244"/>
      <c r="I1929" s="244"/>
      <c r="J1929" s="244"/>
      <c r="K1929" s="246" t="e">
        <f t="shared" si="210"/>
        <v>#VALUE!</v>
      </c>
      <c r="L1929" s="246" t="e">
        <f t="shared" si="211"/>
        <v>#VALUE!</v>
      </c>
      <c r="M1929" s="247" t="e">
        <f t="shared" si="212"/>
        <v>#VALUE!</v>
      </c>
      <c r="N1929" s="246" t="e">
        <f t="shared" si="213"/>
        <v>#VALUE!</v>
      </c>
      <c r="O1929" s="247" t="e">
        <f t="shared" si="214"/>
        <v>#VALUE!</v>
      </c>
      <c r="P1929" s="247">
        <f t="shared" si="215"/>
        <v>0</v>
      </c>
      <c r="Q1929" s="247" t="e">
        <f t="shared" si="216"/>
        <v>#VALUE!</v>
      </c>
    </row>
    <row r="1930" spans="1:17" ht="15" customHeight="1" x14ac:dyDescent="0.25">
      <c r="A1930" s="244"/>
      <c r="B1930" s="244"/>
      <c r="C1930" s="244"/>
      <c r="D1930" s="244"/>
      <c r="E1930" s="244"/>
      <c r="F1930" s="244"/>
      <c r="G1930" s="244"/>
      <c r="I1930" s="244"/>
      <c r="J1930" s="244"/>
      <c r="K1930" s="246" t="e">
        <f t="shared" si="210"/>
        <v>#VALUE!</v>
      </c>
      <c r="L1930" s="246" t="e">
        <f t="shared" si="211"/>
        <v>#VALUE!</v>
      </c>
      <c r="M1930" s="247" t="e">
        <f t="shared" si="212"/>
        <v>#VALUE!</v>
      </c>
      <c r="N1930" s="246" t="e">
        <f t="shared" si="213"/>
        <v>#VALUE!</v>
      </c>
      <c r="O1930" s="247" t="e">
        <f t="shared" si="214"/>
        <v>#VALUE!</v>
      </c>
      <c r="P1930" s="247">
        <f t="shared" si="215"/>
        <v>0</v>
      </c>
      <c r="Q1930" s="247" t="e">
        <f t="shared" si="216"/>
        <v>#VALUE!</v>
      </c>
    </row>
    <row r="1931" spans="1:17" ht="15" customHeight="1" x14ac:dyDescent="0.25">
      <c r="A1931" s="244"/>
      <c r="B1931" s="244"/>
      <c r="C1931" s="244"/>
      <c r="D1931" s="244"/>
      <c r="E1931" s="244"/>
      <c r="F1931" s="244"/>
      <c r="G1931" s="244"/>
      <c r="I1931" s="244"/>
      <c r="J1931" s="244"/>
      <c r="K1931" s="246" t="e">
        <f t="shared" si="210"/>
        <v>#VALUE!</v>
      </c>
      <c r="L1931" s="246" t="e">
        <f t="shared" si="211"/>
        <v>#VALUE!</v>
      </c>
      <c r="M1931" s="247" t="e">
        <f t="shared" si="212"/>
        <v>#VALUE!</v>
      </c>
      <c r="N1931" s="246" t="e">
        <f t="shared" si="213"/>
        <v>#VALUE!</v>
      </c>
      <c r="O1931" s="247" t="e">
        <f t="shared" si="214"/>
        <v>#VALUE!</v>
      </c>
      <c r="P1931" s="247">
        <f t="shared" si="215"/>
        <v>0</v>
      </c>
      <c r="Q1931" s="247" t="e">
        <f t="shared" si="216"/>
        <v>#VALUE!</v>
      </c>
    </row>
    <row r="1932" spans="1:17" ht="15" customHeight="1" x14ac:dyDescent="0.25">
      <c r="A1932" s="244"/>
      <c r="B1932" s="244"/>
      <c r="C1932" s="244"/>
      <c r="D1932" s="244"/>
      <c r="E1932" s="244"/>
      <c r="F1932" s="244"/>
      <c r="G1932" s="244"/>
      <c r="I1932" s="244"/>
      <c r="J1932" s="244"/>
      <c r="K1932" s="246" t="e">
        <f t="shared" si="210"/>
        <v>#VALUE!</v>
      </c>
      <c r="L1932" s="246" t="e">
        <f t="shared" si="211"/>
        <v>#VALUE!</v>
      </c>
      <c r="M1932" s="247" t="e">
        <f t="shared" si="212"/>
        <v>#VALUE!</v>
      </c>
      <c r="N1932" s="246" t="e">
        <f t="shared" si="213"/>
        <v>#VALUE!</v>
      </c>
      <c r="O1932" s="247" t="e">
        <f t="shared" si="214"/>
        <v>#VALUE!</v>
      </c>
      <c r="P1932" s="247">
        <f t="shared" si="215"/>
        <v>0</v>
      </c>
      <c r="Q1932" s="247" t="e">
        <f t="shared" si="216"/>
        <v>#VALUE!</v>
      </c>
    </row>
    <row r="1933" spans="1:17" ht="15" customHeight="1" x14ac:dyDescent="0.25">
      <c r="A1933" s="244"/>
      <c r="B1933" s="244"/>
      <c r="C1933" s="244"/>
      <c r="D1933" s="244"/>
      <c r="E1933" s="244"/>
      <c r="F1933" s="244"/>
      <c r="G1933" s="244"/>
      <c r="I1933" s="244"/>
      <c r="J1933" s="244"/>
      <c r="K1933" s="246" t="e">
        <f t="shared" si="210"/>
        <v>#VALUE!</v>
      </c>
      <c r="L1933" s="246" t="e">
        <f t="shared" si="211"/>
        <v>#VALUE!</v>
      </c>
      <c r="M1933" s="247" t="e">
        <f t="shared" si="212"/>
        <v>#VALUE!</v>
      </c>
      <c r="N1933" s="246" t="e">
        <f t="shared" si="213"/>
        <v>#VALUE!</v>
      </c>
      <c r="O1933" s="247" t="e">
        <f t="shared" si="214"/>
        <v>#VALUE!</v>
      </c>
      <c r="P1933" s="247">
        <f t="shared" si="215"/>
        <v>0</v>
      </c>
      <c r="Q1933" s="247" t="e">
        <f t="shared" si="216"/>
        <v>#VALUE!</v>
      </c>
    </row>
    <row r="1934" spans="1:17" ht="15" customHeight="1" x14ac:dyDescent="0.25">
      <c r="A1934" s="244"/>
      <c r="B1934" s="244"/>
      <c r="C1934" s="244"/>
      <c r="D1934" s="244"/>
      <c r="E1934" s="244"/>
      <c r="F1934" s="244"/>
      <c r="G1934" s="244"/>
      <c r="I1934" s="244"/>
      <c r="J1934" s="244"/>
      <c r="K1934" s="246" t="e">
        <f t="shared" si="210"/>
        <v>#VALUE!</v>
      </c>
      <c r="L1934" s="246" t="e">
        <f t="shared" si="211"/>
        <v>#VALUE!</v>
      </c>
      <c r="M1934" s="247" t="e">
        <f t="shared" si="212"/>
        <v>#VALUE!</v>
      </c>
      <c r="N1934" s="246" t="e">
        <f t="shared" si="213"/>
        <v>#VALUE!</v>
      </c>
      <c r="O1934" s="247" t="e">
        <f t="shared" si="214"/>
        <v>#VALUE!</v>
      </c>
      <c r="P1934" s="247">
        <f t="shared" si="215"/>
        <v>0</v>
      </c>
      <c r="Q1934" s="247" t="e">
        <f t="shared" si="216"/>
        <v>#VALUE!</v>
      </c>
    </row>
    <row r="1935" spans="1:17" ht="15" customHeight="1" x14ac:dyDescent="0.25">
      <c r="A1935" s="244"/>
      <c r="B1935" s="244"/>
      <c r="C1935" s="244"/>
      <c r="D1935" s="244"/>
      <c r="E1935" s="244"/>
      <c r="F1935" s="244"/>
      <c r="G1935" s="244"/>
      <c r="I1935" s="244"/>
      <c r="J1935" s="244"/>
      <c r="K1935" s="246" t="e">
        <f t="shared" si="210"/>
        <v>#VALUE!</v>
      </c>
      <c r="L1935" s="246" t="e">
        <f t="shared" si="211"/>
        <v>#VALUE!</v>
      </c>
      <c r="M1935" s="247" t="e">
        <f t="shared" si="212"/>
        <v>#VALUE!</v>
      </c>
      <c r="N1935" s="246" t="e">
        <f t="shared" si="213"/>
        <v>#VALUE!</v>
      </c>
      <c r="O1935" s="247" t="e">
        <f t="shared" si="214"/>
        <v>#VALUE!</v>
      </c>
      <c r="P1935" s="247">
        <f t="shared" si="215"/>
        <v>0</v>
      </c>
      <c r="Q1935" s="247" t="e">
        <f t="shared" si="216"/>
        <v>#VALUE!</v>
      </c>
    </row>
    <row r="1936" spans="1:17" ht="15" customHeight="1" x14ac:dyDescent="0.25">
      <c r="A1936" s="244"/>
      <c r="B1936" s="244"/>
      <c r="C1936" s="244"/>
      <c r="D1936" s="244"/>
      <c r="E1936" s="244"/>
      <c r="F1936" s="244"/>
      <c r="G1936" s="244"/>
      <c r="I1936" s="244"/>
      <c r="J1936" s="244"/>
      <c r="K1936" s="246" t="e">
        <f t="shared" si="210"/>
        <v>#VALUE!</v>
      </c>
      <c r="L1936" s="246" t="e">
        <f t="shared" si="211"/>
        <v>#VALUE!</v>
      </c>
      <c r="M1936" s="247" t="e">
        <f t="shared" si="212"/>
        <v>#VALUE!</v>
      </c>
      <c r="N1936" s="246" t="e">
        <f t="shared" si="213"/>
        <v>#VALUE!</v>
      </c>
      <c r="O1936" s="247" t="e">
        <f t="shared" si="214"/>
        <v>#VALUE!</v>
      </c>
      <c r="P1936" s="247">
        <f t="shared" si="215"/>
        <v>0</v>
      </c>
      <c r="Q1936" s="247" t="e">
        <f t="shared" si="216"/>
        <v>#VALUE!</v>
      </c>
    </row>
    <row r="1937" spans="1:17" ht="15" customHeight="1" x14ac:dyDescent="0.25">
      <c r="A1937" s="244"/>
      <c r="B1937" s="244"/>
      <c r="C1937" s="244"/>
      <c r="D1937" s="244"/>
      <c r="E1937" s="244"/>
      <c r="F1937" s="244"/>
      <c r="G1937" s="244"/>
      <c r="I1937" s="244"/>
      <c r="J1937" s="244"/>
      <c r="K1937" s="246" t="e">
        <f t="shared" si="210"/>
        <v>#VALUE!</v>
      </c>
      <c r="L1937" s="246" t="e">
        <f t="shared" si="211"/>
        <v>#VALUE!</v>
      </c>
      <c r="M1937" s="247" t="e">
        <f t="shared" si="212"/>
        <v>#VALUE!</v>
      </c>
      <c r="N1937" s="246" t="e">
        <f t="shared" si="213"/>
        <v>#VALUE!</v>
      </c>
      <c r="O1937" s="247" t="e">
        <f t="shared" si="214"/>
        <v>#VALUE!</v>
      </c>
      <c r="P1937" s="247">
        <f t="shared" si="215"/>
        <v>0</v>
      </c>
      <c r="Q1937" s="247" t="e">
        <f t="shared" si="216"/>
        <v>#VALUE!</v>
      </c>
    </row>
    <row r="1938" spans="1:17" ht="15" customHeight="1" x14ac:dyDescent="0.25">
      <c r="A1938" s="244"/>
      <c r="B1938" s="244"/>
      <c r="C1938" s="244"/>
      <c r="D1938" s="244"/>
      <c r="E1938" s="244"/>
      <c r="F1938" s="244"/>
      <c r="G1938" s="244"/>
      <c r="I1938" s="244"/>
      <c r="J1938" s="244"/>
      <c r="K1938" s="246" t="e">
        <f t="shared" si="210"/>
        <v>#VALUE!</v>
      </c>
      <c r="L1938" s="246" t="e">
        <f t="shared" si="211"/>
        <v>#VALUE!</v>
      </c>
      <c r="M1938" s="247" t="e">
        <f t="shared" si="212"/>
        <v>#VALUE!</v>
      </c>
      <c r="N1938" s="246" t="e">
        <f t="shared" si="213"/>
        <v>#VALUE!</v>
      </c>
      <c r="O1938" s="247" t="e">
        <f t="shared" si="214"/>
        <v>#VALUE!</v>
      </c>
      <c r="P1938" s="247">
        <f t="shared" si="215"/>
        <v>0</v>
      </c>
      <c r="Q1938" s="247" t="e">
        <f t="shared" si="216"/>
        <v>#VALUE!</v>
      </c>
    </row>
    <row r="1939" spans="1:17" ht="15" customHeight="1" x14ac:dyDescent="0.25">
      <c r="A1939" s="244"/>
      <c r="B1939" s="244"/>
      <c r="C1939" s="244"/>
      <c r="D1939" s="244"/>
      <c r="E1939" s="244"/>
      <c r="F1939" s="244"/>
      <c r="G1939" s="244"/>
      <c r="I1939" s="244"/>
      <c r="J1939" s="244"/>
      <c r="K1939" s="246" t="e">
        <f t="shared" si="210"/>
        <v>#VALUE!</v>
      </c>
      <c r="L1939" s="246" t="e">
        <f t="shared" si="211"/>
        <v>#VALUE!</v>
      </c>
      <c r="M1939" s="247" t="e">
        <f t="shared" si="212"/>
        <v>#VALUE!</v>
      </c>
      <c r="N1939" s="246" t="e">
        <f t="shared" si="213"/>
        <v>#VALUE!</v>
      </c>
      <c r="O1939" s="247" t="e">
        <f t="shared" si="214"/>
        <v>#VALUE!</v>
      </c>
      <c r="P1939" s="247">
        <f t="shared" si="215"/>
        <v>0</v>
      </c>
      <c r="Q1939" s="247" t="e">
        <f t="shared" si="216"/>
        <v>#VALUE!</v>
      </c>
    </row>
    <row r="1940" spans="1:17" ht="15" customHeight="1" x14ac:dyDescent="0.25">
      <c r="A1940" s="244"/>
      <c r="B1940" s="244"/>
      <c r="C1940" s="244"/>
      <c r="D1940" s="244"/>
      <c r="E1940" s="244"/>
      <c r="F1940" s="244"/>
      <c r="G1940" s="244"/>
      <c r="I1940" s="244"/>
      <c r="J1940" s="244"/>
      <c r="K1940" s="246" t="e">
        <f t="shared" si="210"/>
        <v>#VALUE!</v>
      </c>
      <c r="L1940" s="246" t="e">
        <f t="shared" si="211"/>
        <v>#VALUE!</v>
      </c>
      <c r="M1940" s="247" t="e">
        <f t="shared" si="212"/>
        <v>#VALUE!</v>
      </c>
      <c r="N1940" s="246" t="e">
        <f t="shared" si="213"/>
        <v>#VALUE!</v>
      </c>
      <c r="O1940" s="247" t="e">
        <f t="shared" si="214"/>
        <v>#VALUE!</v>
      </c>
      <c r="P1940" s="247">
        <f t="shared" si="215"/>
        <v>0</v>
      </c>
      <c r="Q1940" s="247" t="e">
        <f t="shared" si="216"/>
        <v>#VALUE!</v>
      </c>
    </row>
    <row r="1941" spans="1:17" ht="15" customHeight="1" x14ac:dyDescent="0.25">
      <c r="A1941" s="244"/>
      <c r="B1941" s="244"/>
      <c r="C1941" s="244"/>
      <c r="D1941" s="244"/>
      <c r="E1941" s="244"/>
      <c r="F1941" s="244"/>
      <c r="G1941" s="244"/>
      <c r="I1941" s="244"/>
      <c r="J1941" s="244"/>
      <c r="K1941" s="246" t="e">
        <f t="shared" si="210"/>
        <v>#VALUE!</v>
      </c>
      <c r="L1941" s="246" t="e">
        <f t="shared" si="211"/>
        <v>#VALUE!</v>
      </c>
      <c r="M1941" s="247" t="e">
        <f t="shared" si="212"/>
        <v>#VALUE!</v>
      </c>
      <c r="N1941" s="246" t="e">
        <f t="shared" si="213"/>
        <v>#VALUE!</v>
      </c>
      <c r="O1941" s="247" t="e">
        <f t="shared" si="214"/>
        <v>#VALUE!</v>
      </c>
      <c r="P1941" s="247">
        <f t="shared" si="215"/>
        <v>0</v>
      </c>
      <c r="Q1941" s="247" t="e">
        <f t="shared" si="216"/>
        <v>#VALUE!</v>
      </c>
    </row>
    <row r="1942" spans="1:17" ht="15" customHeight="1" x14ac:dyDescent="0.25">
      <c r="A1942" s="244"/>
      <c r="B1942" s="244"/>
      <c r="C1942" s="244"/>
      <c r="D1942" s="244"/>
      <c r="E1942" s="244"/>
      <c r="F1942" s="244"/>
      <c r="G1942" s="244"/>
      <c r="I1942" s="244"/>
      <c r="J1942" s="244"/>
      <c r="K1942" s="246" t="e">
        <f t="shared" si="210"/>
        <v>#VALUE!</v>
      </c>
      <c r="L1942" s="246" t="e">
        <f t="shared" si="211"/>
        <v>#VALUE!</v>
      </c>
      <c r="M1942" s="247" t="e">
        <f t="shared" si="212"/>
        <v>#VALUE!</v>
      </c>
      <c r="N1942" s="246" t="e">
        <f t="shared" si="213"/>
        <v>#VALUE!</v>
      </c>
      <c r="O1942" s="247" t="e">
        <f t="shared" si="214"/>
        <v>#VALUE!</v>
      </c>
      <c r="P1942" s="247">
        <f t="shared" si="215"/>
        <v>0</v>
      </c>
      <c r="Q1942" s="247" t="e">
        <f t="shared" si="216"/>
        <v>#VALUE!</v>
      </c>
    </row>
    <row r="1943" spans="1:17" ht="15" customHeight="1" x14ac:dyDescent="0.25">
      <c r="A1943" s="244"/>
      <c r="B1943" s="244"/>
      <c r="C1943" s="244"/>
      <c r="D1943" s="244"/>
      <c r="E1943" s="244"/>
      <c r="F1943" s="244"/>
      <c r="G1943" s="244"/>
      <c r="I1943" s="244"/>
      <c r="J1943" s="244"/>
      <c r="K1943" s="246" t="e">
        <f t="shared" si="210"/>
        <v>#VALUE!</v>
      </c>
      <c r="L1943" s="246" t="e">
        <f t="shared" si="211"/>
        <v>#VALUE!</v>
      </c>
      <c r="M1943" s="247" t="e">
        <f t="shared" si="212"/>
        <v>#VALUE!</v>
      </c>
      <c r="N1943" s="246" t="e">
        <f t="shared" si="213"/>
        <v>#VALUE!</v>
      </c>
      <c r="O1943" s="247" t="e">
        <f t="shared" si="214"/>
        <v>#VALUE!</v>
      </c>
      <c r="P1943" s="247">
        <f t="shared" si="215"/>
        <v>0</v>
      </c>
      <c r="Q1943" s="247" t="e">
        <f t="shared" si="216"/>
        <v>#VALUE!</v>
      </c>
    </row>
    <row r="1944" spans="1:17" ht="15" customHeight="1" x14ac:dyDescent="0.25">
      <c r="A1944" s="244"/>
      <c r="B1944" s="244"/>
      <c r="C1944" s="244"/>
      <c r="D1944" s="244"/>
      <c r="E1944" s="244"/>
      <c r="F1944" s="244"/>
      <c r="G1944" s="244"/>
      <c r="I1944" s="244"/>
      <c r="J1944" s="244"/>
      <c r="K1944" s="246" t="e">
        <f t="shared" si="210"/>
        <v>#VALUE!</v>
      </c>
      <c r="L1944" s="246" t="e">
        <f t="shared" si="211"/>
        <v>#VALUE!</v>
      </c>
      <c r="M1944" s="247" t="e">
        <f t="shared" si="212"/>
        <v>#VALUE!</v>
      </c>
      <c r="N1944" s="246" t="e">
        <f t="shared" si="213"/>
        <v>#VALUE!</v>
      </c>
      <c r="O1944" s="247" t="e">
        <f t="shared" si="214"/>
        <v>#VALUE!</v>
      </c>
      <c r="P1944" s="247">
        <f t="shared" si="215"/>
        <v>0</v>
      </c>
      <c r="Q1944" s="247" t="e">
        <f t="shared" si="216"/>
        <v>#VALUE!</v>
      </c>
    </row>
    <row r="1945" spans="1:17" ht="15" customHeight="1" x14ac:dyDescent="0.25">
      <c r="A1945" s="244"/>
      <c r="B1945" s="244"/>
      <c r="C1945" s="244"/>
      <c r="D1945" s="244"/>
      <c r="E1945" s="244"/>
      <c r="F1945" s="244"/>
      <c r="G1945" s="244"/>
      <c r="I1945" s="244"/>
      <c r="J1945" s="244"/>
      <c r="K1945" s="246" t="e">
        <f t="shared" si="210"/>
        <v>#VALUE!</v>
      </c>
      <c r="L1945" s="246" t="e">
        <f t="shared" si="211"/>
        <v>#VALUE!</v>
      </c>
      <c r="M1945" s="247" t="e">
        <f t="shared" si="212"/>
        <v>#VALUE!</v>
      </c>
      <c r="N1945" s="246" t="e">
        <f t="shared" si="213"/>
        <v>#VALUE!</v>
      </c>
      <c r="O1945" s="247" t="e">
        <f t="shared" si="214"/>
        <v>#VALUE!</v>
      </c>
      <c r="P1945" s="247">
        <f t="shared" si="215"/>
        <v>0</v>
      </c>
      <c r="Q1945" s="247" t="e">
        <f t="shared" si="216"/>
        <v>#VALUE!</v>
      </c>
    </row>
    <row r="1946" spans="1:17" ht="15" customHeight="1" x14ac:dyDescent="0.25">
      <c r="A1946" s="244"/>
      <c r="B1946" s="244"/>
      <c r="C1946" s="244"/>
      <c r="D1946" s="244"/>
      <c r="E1946" s="244"/>
      <c r="F1946" s="244"/>
      <c r="G1946" s="244"/>
      <c r="I1946" s="244"/>
      <c r="J1946" s="244"/>
      <c r="K1946" s="246" t="e">
        <f t="shared" si="210"/>
        <v>#VALUE!</v>
      </c>
      <c r="L1946" s="246" t="e">
        <f t="shared" si="211"/>
        <v>#VALUE!</v>
      </c>
      <c r="M1946" s="247" t="e">
        <f t="shared" si="212"/>
        <v>#VALUE!</v>
      </c>
      <c r="N1946" s="246" t="e">
        <f t="shared" si="213"/>
        <v>#VALUE!</v>
      </c>
      <c r="O1946" s="247" t="e">
        <f t="shared" si="214"/>
        <v>#VALUE!</v>
      </c>
      <c r="P1946" s="247">
        <f t="shared" si="215"/>
        <v>0</v>
      </c>
      <c r="Q1946" s="247" t="e">
        <f t="shared" si="216"/>
        <v>#VALUE!</v>
      </c>
    </row>
    <row r="1947" spans="1:17" ht="15" customHeight="1" x14ac:dyDescent="0.25">
      <c r="A1947" s="244"/>
      <c r="B1947" s="244"/>
      <c r="C1947" s="244"/>
      <c r="D1947" s="244"/>
      <c r="E1947" s="244"/>
      <c r="F1947" s="244"/>
      <c r="G1947" s="244"/>
      <c r="I1947" s="244"/>
      <c r="J1947" s="244"/>
      <c r="K1947" s="246" t="e">
        <f t="shared" si="210"/>
        <v>#VALUE!</v>
      </c>
      <c r="L1947" s="246" t="e">
        <f t="shared" si="211"/>
        <v>#VALUE!</v>
      </c>
      <c r="M1947" s="247" t="e">
        <f t="shared" si="212"/>
        <v>#VALUE!</v>
      </c>
      <c r="N1947" s="246" t="e">
        <f t="shared" si="213"/>
        <v>#VALUE!</v>
      </c>
      <c r="O1947" s="247" t="e">
        <f t="shared" si="214"/>
        <v>#VALUE!</v>
      </c>
      <c r="P1947" s="247">
        <f t="shared" si="215"/>
        <v>0</v>
      </c>
      <c r="Q1947" s="247" t="e">
        <f t="shared" si="216"/>
        <v>#VALUE!</v>
      </c>
    </row>
    <row r="1948" spans="1:17" ht="15" customHeight="1" x14ac:dyDescent="0.25">
      <c r="A1948" s="244"/>
      <c r="B1948" s="244"/>
      <c r="C1948" s="244"/>
      <c r="D1948" s="244"/>
      <c r="E1948" s="244"/>
      <c r="F1948" s="244"/>
      <c r="G1948" s="244"/>
      <c r="I1948" s="244"/>
      <c r="J1948" s="244"/>
      <c r="K1948" s="246" t="e">
        <f t="shared" si="210"/>
        <v>#VALUE!</v>
      </c>
      <c r="L1948" s="246" t="e">
        <f t="shared" si="211"/>
        <v>#VALUE!</v>
      </c>
      <c r="M1948" s="247" t="e">
        <f t="shared" si="212"/>
        <v>#VALUE!</v>
      </c>
      <c r="N1948" s="246" t="e">
        <f t="shared" si="213"/>
        <v>#VALUE!</v>
      </c>
      <c r="O1948" s="247" t="e">
        <f t="shared" si="214"/>
        <v>#VALUE!</v>
      </c>
      <c r="P1948" s="247">
        <f t="shared" si="215"/>
        <v>0</v>
      </c>
      <c r="Q1948" s="247" t="e">
        <f t="shared" si="216"/>
        <v>#VALUE!</v>
      </c>
    </row>
    <row r="1949" spans="1:17" ht="15" customHeight="1" x14ac:dyDescent="0.25">
      <c r="A1949" s="244"/>
      <c r="B1949" s="244"/>
      <c r="C1949" s="244"/>
      <c r="D1949" s="244"/>
      <c r="E1949" s="244"/>
      <c r="F1949" s="244"/>
      <c r="G1949" s="244"/>
      <c r="I1949" s="244"/>
      <c r="J1949" s="244"/>
      <c r="K1949" s="246" t="e">
        <f t="shared" si="210"/>
        <v>#VALUE!</v>
      </c>
      <c r="L1949" s="246" t="e">
        <f t="shared" si="211"/>
        <v>#VALUE!</v>
      </c>
      <c r="M1949" s="247" t="e">
        <f t="shared" si="212"/>
        <v>#VALUE!</v>
      </c>
      <c r="N1949" s="246" t="e">
        <f t="shared" si="213"/>
        <v>#VALUE!</v>
      </c>
      <c r="O1949" s="247" t="e">
        <f t="shared" si="214"/>
        <v>#VALUE!</v>
      </c>
      <c r="P1949" s="247">
        <f t="shared" si="215"/>
        <v>0</v>
      </c>
      <c r="Q1949" s="247" t="e">
        <f t="shared" si="216"/>
        <v>#VALUE!</v>
      </c>
    </row>
    <row r="1950" spans="1:17" ht="15" customHeight="1" x14ac:dyDescent="0.25">
      <c r="A1950" s="244"/>
      <c r="B1950" s="244"/>
      <c r="C1950" s="244"/>
      <c r="D1950" s="244"/>
      <c r="E1950" s="244"/>
      <c r="F1950" s="244"/>
      <c r="G1950" s="244"/>
      <c r="I1950" s="244"/>
      <c r="J1950" s="244"/>
      <c r="K1950" s="246" t="e">
        <f t="shared" si="210"/>
        <v>#VALUE!</v>
      </c>
      <c r="L1950" s="246" t="e">
        <f t="shared" si="211"/>
        <v>#VALUE!</v>
      </c>
      <c r="M1950" s="247" t="e">
        <f t="shared" si="212"/>
        <v>#VALUE!</v>
      </c>
      <c r="N1950" s="246" t="e">
        <f t="shared" si="213"/>
        <v>#VALUE!</v>
      </c>
      <c r="O1950" s="247" t="e">
        <f t="shared" si="214"/>
        <v>#VALUE!</v>
      </c>
      <c r="P1950" s="247">
        <f t="shared" si="215"/>
        <v>0</v>
      </c>
      <c r="Q1950" s="247" t="e">
        <f t="shared" si="216"/>
        <v>#VALUE!</v>
      </c>
    </row>
    <row r="1951" spans="1:17" ht="15" customHeight="1" x14ac:dyDescent="0.25">
      <c r="A1951" s="244"/>
      <c r="B1951" s="244"/>
      <c r="C1951" s="244"/>
      <c r="D1951" s="244"/>
      <c r="E1951" s="244"/>
      <c r="F1951" s="244"/>
      <c r="G1951" s="244"/>
      <c r="I1951" s="244"/>
      <c r="J1951" s="244"/>
      <c r="K1951" s="246" t="e">
        <f t="shared" si="210"/>
        <v>#VALUE!</v>
      </c>
      <c r="L1951" s="246" t="e">
        <f t="shared" si="211"/>
        <v>#VALUE!</v>
      </c>
      <c r="M1951" s="247" t="e">
        <f t="shared" si="212"/>
        <v>#VALUE!</v>
      </c>
      <c r="N1951" s="246" t="e">
        <f t="shared" si="213"/>
        <v>#VALUE!</v>
      </c>
      <c r="O1951" s="247" t="e">
        <f t="shared" si="214"/>
        <v>#VALUE!</v>
      </c>
      <c r="P1951" s="247">
        <f t="shared" si="215"/>
        <v>0</v>
      </c>
      <c r="Q1951" s="247" t="e">
        <f t="shared" si="216"/>
        <v>#VALUE!</v>
      </c>
    </row>
    <row r="1952" spans="1:17" ht="15" customHeight="1" x14ac:dyDescent="0.25">
      <c r="A1952" s="244"/>
      <c r="B1952" s="244"/>
      <c r="C1952" s="244"/>
      <c r="D1952" s="244"/>
      <c r="E1952" s="244"/>
      <c r="F1952" s="244"/>
      <c r="G1952" s="244"/>
      <c r="I1952" s="244"/>
      <c r="J1952" s="244"/>
      <c r="K1952" s="246" t="e">
        <f t="shared" si="210"/>
        <v>#VALUE!</v>
      </c>
      <c r="L1952" s="246" t="e">
        <f t="shared" si="211"/>
        <v>#VALUE!</v>
      </c>
      <c r="M1952" s="247" t="e">
        <f t="shared" si="212"/>
        <v>#VALUE!</v>
      </c>
      <c r="N1952" s="246" t="e">
        <f t="shared" si="213"/>
        <v>#VALUE!</v>
      </c>
      <c r="O1952" s="247" t="e">
        <f t="shared" si="214"/>
        <v>#VALUE!</v>
      </c>
      <c r="P1952" s="247">
        <f t="shared" si="215"/>
        <v>0</v>
      </c>
      <c r="Q1952" s="247" t="e">
        <f t="shared" si="216"/>
        <v>#VALUE!</v>
      </c>
    </row>
    <row r="1953" spans="1:17" ht="15" customHeight="1" x14ac:dyDescent="0.25">
      <c r="A1953" s="244"/>
      <c r="B1953" s="244"/>
      <c r="C1953" s="244"/>
      <c r="D1953" s="244"/>
      <c r="E1953" s="244"/>
      <c r="F1953" s="244"/>
      <c r="G1953" s="244"/>
      <c r="I1953" s="244"/>
      <c r="J1953" s="244"/>
      <c r="K1953" s="246" t="e">
        <f t="shared" si="210"/>
        <v>#VALUE!</v>
      </c>
      <c r="L1953" s="246" t="e">
        <f t="shared" si="211"/>
        <v>#VALUE!</v>
      </c>
      <c r="M1953" s="247" t="e">
        <f t="shared" si="212"/>
        <v>#VALUE!</v>
      </c>
      <c r="N1953" s="246" t="e">
        <f t="shared" si="213"/>
        <v>#VALUE!</v>
      </c>
      <c r="O1953" s="247" t="e">
        <f t="shared" si="214"/>
        <v>#VALUE!</v>
      </c>
      <c r="P1953" s="247">
        <f t="shared" si="215"/>
        <v>0</v>
      </c>
      <c r="Q1953" s="247" t="e">
        <f t="shared" si="216"/>
        <v>#VALUE!</v>
      </c>
    </row>
    <row r="1954" spans="1:17" ht="15" customHeight="1" x14ac:dyDescent="0.25">
      <c r="A1954" s="244"/>
      <c r="B1954" s="244"/>
      <c r="C1954" s="244"/>
      <c r="D1954" s="244"/>
      <c r="E1954" s="244"/>
      <c r="F1954" s="244"/>
      <c r="G1954" s="244"/>
      <c r="I1954" s="244"/>
      <c r="J1954" s="244"/>
      <c r="K1954" s="246" t="e">
        <f t="shared" si="210"/>
        <v>#VALUE!</v>
      </c>
      <c r="L1954" s="246" t="e">
        <f t="shared" si="211"/>
        <v>#VALUE!</v>
      </c>
      <c r="M1954" s="247" t="e">
        <f t="shared" si="212"/>
        <v>#VALUE!</v>
      </c>
      <c r="N1954" s="246" t="e">
        <f t="shared" si="213"/>
        <v>#VALUE!</v>
      </c>
      <c r="O1954" s="247" t="e">
        <f t="shared" si="214"/>
        <v>#VALUE!</v>
      </c>
      <c r="P1954" s="247">
        <f t="shared" si="215"/>
        <v>0</v>
      </c>
      <c r="Q1954" s="247" t="e">
        <f t="shared" si="216"/>
        <v>#VALUE!</v>
      </c>
    </row>
    <row r="1955" spans="1:17" ht="15" customHeight="1" x14ac:dyDescent="0.25">
      <c r="A1955" s="244"/>
      <c r="B1955" s="244"/>
      <c r="C1955" s="244"/>
      <c r="D1955" s="244"/>
      <c r="E1955" s="244"/>
      <c r="F1955" s="244"/>
      <c r="G1955" s="244"/>
      <c r="I1955" s="244"/>
      <c r="J1955" s="244"/>
      <c r="K1955" s="246" t="e">
        <f t="shared" si="210"/>
        <v>#VALUE!</v>
      </c>
      <c r="L1955" s="246" t="e">
        <f t="shared" si="211"/>
        <v>#VALUE!</v>
      </c>
      <c r="M1955" s="247" t="e">
        <f t="shared" si="212"/>
        <v>#VALUE!</v>
      </c>
      <c r="N1955" s="246" t="e">
        <f t="shared" si="213"/>
        <v>#VALUE!</v>
      </c>
      <c r="O1955" s="247" t="e">
        <f t="shared" si="214"/>
        <v>#VALUE!</v>
      </c>
      <c r="P1955" s="247">
        <f t="shared" si="215"/>
        <v>0</v>
      </c>
      <c r="Q1955" s="247" t="e">
        <f t="shared" si="216"/>
        <v>#VALUE!</v>
      </c>
    </row>
    <row r="1956" spans="1:17" ht="15" customHeight="1" x14ac:dyDescent="0.25">
      <c r="A1956" s="244"/>
      <c r="B1956" s="244"/>
      <c r="C1956" s="244"/>
      <c r="D1956" s="244"/>
      <c r="E1956" s="244"/>
      <c r="F1956" s="244"/>
      <c r="G1956" s="244"/>
      <c r="I1956" s="244"/>
      <c r="J1956" s="244"/>
      <c r="K1956" s="246" t="e">
        <f t="shared" si="210"/>
        <v>#VALUE!</v>
      </c>
      <c r="L1956" s="246" t="e">
        <f t="shared" si="211"/>
        <v>#VALUE!</v>
      </c>
      <c r="M1956" s="247" t="e">
        <f t="shared" si="212"/>
        <v>#VALUE!</v>
      </c>
      <c r="N1956" s="246" t="e">
        <f t="shared" si="213"/>
        <v>#VALUE!</v>
      </c>
      <c r="O1956" s="247" t="e">
        <f t="shared" si="214"/>
        <v>#VALUE!</v>
      </c>
      <c r="P1956" s="247">
        <f t="shared" si="215"/>
        <v>0</v>
      </c>
      <c r="Q1956" s="247" t="e">
        <f t="shared" si="216"/>
        <v>#VALUE!</v>
      </c>
    </row>
    <row r="1957" spans="1:17" ht="15" customHeight="1" x14ac:dyDescent="0.25">
      <c r="A1957" s="244"/>
      <c r="B1957" s="244"/>
      <c r="C1957" s="244"/>
      <c r="D1957" s="244"/>
      <c r="E1957" s="244"/>
      <c r="F1957" s="244"/>
      <c r="G1957" s="244"/>
      <c r="I1957" s="244"/>
      <c r="J1957" s="244"/>
      <c r="K1957" s="246" t="e">
        <f t="shared" si="210"/>
        <v>#VALUE!</v>
      </c>
      <c r="L1957" s="246" t="e">
        <f t="shared" si="211"/>
        <v>#VALUE!</v>
      </c>
      <c r="M1957" s="247" t="e">
        <f t="shared" si="212"/>
        <v>#VALUE!</v>
      </c>
      <c r="N1957" s="246" t="e">
        <f t="shared" si="213"/>
        <v>#VALUE!</v>
      </c>
      <c r="O1957" s="247" t="e">
        <f t="shared" si="214"/>
        <v>#VALUE!</v>
      </c>
      <c r="P1957" s="247">
        <f t="shared" si="215"/>
        <v>0</v>
      </c>
      <c r="Q1957" s="247" t="e">
        <f t="shared" si="216"/>
        <v>#VALUE!</v>
      </c>
    </row>
    <row r="1958" spans="1:17" ht="15" customHeight="1" x14ac:dyDescent="0.25">
      <c r="A1958" s="244"/>
      <c r="B1958" s="244"/>
      <c r="C1958" s="244"/>
      <c r="D1958" s="244"/>
      <c r="E1958" s="244"/>
      <c r="F1958" s="244"/>
      <c r="G1958" s="244"/>
      <c r="I1958" s="244"/>
      <c r="J1958" s="244"/>
      <c r="K1958" s="246" t="e">
        <f t="shared" si="210"/>
        <v>#VALUE!</v>
      </c>
      <c r="L1958" s="246" t="e">
        <f t="shared" si="211"/>
        <v>#VALUE!</v>
      </c>
      <c r="M1958" s="247" t="e">
        <f t="shared" si="212"/>
        <v>#VALUE!</v>
      </c>
      <c r="N1958" s="246" t="e">
        <f t="shared" si="213"/>
        <v>#VALUE!</v>
      </c>
      <c r="O1958" s="247" t="e">
        <f t="shared" si="214"/>
        <v>#VALUE!</v>
      </c>
      <c r="P1958" s="247">
        <f t="shared" si="215"/>
        <v>0</v>
      </c>
      <c r="Q1958" s="247" t="e">
        <f t="shared" si="216"/>
        <v>#VALUE!</v>
      </c>
    </row>
    <row r="1959" spans="1:17" ht="15" customHeight="1" x14ac:dyDescent="0.25">
      <c r="A1959" s="244"/>
      <c r="B1959" s="244"/>
      <c r="C1959" s="244"/>
      <c r="D1959" s="244"/>
      <c r="E1959" s="244"/>
      <c r="F1959" s="244"/>
      <c r="G1959" s="244"/>
      <c r="I1959" s="244"/>
      <c r="J1959" s="244"/>
      <c r="K1959" s="246" t="e">
        <f t="shared" si="210"/>
        <v>#VALUE!</v>
      </c>
      <c r="L1959" s="246" t="e">
        <f t="shared" si="211"/>
        <v>#VALUE!</v>
      </c>
      <c r="M1959" s="247" t="e">
        <f t="shared" si="212"/>
        <v>#VALUE!</v>
      </c>
      <c r="N1959" s="246" t="e">
        <f t="shared" si="213"/>
        <v>#VALUE!</v>
      </c>
      <c r="O1959" s="247" t="e">
        <f t="shared" si="214"/>
        <v>#VALUE!</v>
      </c>
      <c r="P1959" s="247">
        <f t="shared" si="215"/>
        <v>0</v>
      </c>
      <c r="Q1959" s="247" t="e">
        <f t="shared" si="216"/>
        <v>#VALUE!</v>
      </c>
    </row>
    <row r="1960" spans="1:17" ht="15" customHeight="1" x14ac:dyDescent="0.25">
      <c r="A1960" s="244"/>
      <c r="B1960" s="244"/>
      <c r="C1960" s="244"/>
      <c r="D1960" s="244"/>
      <c r="E1960" s="244"/>
      <c r="F1960" s="244"/>
      <c r="G1960" s="244"/>
      <c r="I1960" s="244"/>
      <c r="J1960" s="244"/>
      <c r="K1960" s="246" t="e">
        <f t="shared" si="210"/>
        <v>#VALUE!</v>
      </c>
      <c r="L1960" s="246" t="e">
        <f t="shared" si="211"/>
        <v>#VALUE!</v>
      </c>
      <c r="M1960" s="247" t="e">
        <f t="shared" si="212"/>
        <v>#VALUE!</v>
      </c>
      <c r="N1960" s="246" t="e">
        <f t="shared" si="213"/>
        <v>#VALUE!</v>
      </c>
      <c r="O1960" s="247" t="e">
        <f t="shared" si="214"/>
        <v>#VALUE!</v>
      </c>
      <c r="P1960" s="247">
        <f t="shared" si="215"/>
        <v>0</v>
      </c>
      <c r="Q1960" s="247" t="e">
        <f t="shared" si="216"/>
        <v>#VALUE!</v>
      </c>
    </row>
    <row r="1961" spans="1:17" ht="15" customHeight="1" x14ac:dyDescent="0.25">
      <c r="A1961" s="244"/>
      <c r="B1961" s="244"/>
      <c r="C1961" s="244"/>
      <c r="D1961" s="244"/>
      <c r="E1961" s="244"/>
      <c r="F1961" s="244"/>
      <c r="G1961" s="244"/>
      <c r="I1961" s="244"/>
      <c r="J1961" s="244"/>
      <c r="K1961" s="246" t="e">
        <f t="shared" si="210"/>
        <v>#VALUE!</v>
      </c>
      <c r="L1961" s="246" t="e">
        <f t="shared" si="211"/>
        <v>#VALUE!</v>
      </c>
      <c r="M1961" s="247" t="e">
        <f t="shared" si="212"/>
        <v>#VALUE!</v>
      </c>
      <c r="N1961" s="246" t="e">
        <f t="shared" si="213"/>
        <v>#VALUE!</v>
      </c>
      <c r="O1961" s="247" t="e">
        <f t="shared" si="214"/>
        <v>#VALUE!</v>
      </c>
      <c r="P1961" s="247">
        <f t="shared" si="215"/>
        <v>0</v>
      </c>
      <c r="Q1961" s="247" t="e">
        <f t="shared" si="216"/>
        <v>#VALUE!</v>
      </c>
    </row>
    <row r="1962" spans="1:17" ht="15" customHeight="1" x14ac:dyDescent="0.25">
      <c r="A1962" s="244"/>
      <c r="B1962" s="244"/>
      <c r="C1962" s="244"/>
      <c r="D1962" s="244"/>
      <c r="E1962" s="244"/>
      <c r="F1962" s="244"/>
      <c r="G1962" s="244"/>
      <c r="I1962" s="244"/>
      <c r="J1962" s="244"/>
      <c r="K1962" s="246" t="e">
        <f t="shared" si="210"/>
        <v>#VALUE!</v>
      </c>
      <c r="L1962" s="246" t="e">
        <f t="shared" si="211"/>
        <v>#VALUE!</v>
      </c>
      <c r="M1962" s="247" t="e">
        <f t="shared" si="212"/>
        <v>#VALUE!</v>
      </c>
      <c r="N1962" s="246" t="e">
        <f t="shared" si="213"/>
        <v>#VALUE!</v>
      </c>
      <c r="O1962" s="247" t="e">
        <f t="shared" si="214"/>
        <v>#VALUE!</v>
      </c>
      <c r="P1962" s="247">
        <f t="shared" si="215"/>
        <v>0</v>
      </c>
      <c r="Q1962" s="247" t="e">
        <f t="shared" si="216"/>
        <v>#VALUE!</v>
      </c>
    </row>
    <row r="1963" spans="1:17" ht="15" customHeight="1" x14ac:dyDescent="0.25">
      <c r="A1963" s="244"/>
      <c r="B1963" s="244"/>
      <c r="C1963" s="244"/>
      <c r="D1963" s="244"/>
      <c r="E1963" s="244"/>
      <c r="F1963" s="244"/>
      <c r="G1963" s="244"/>
      <c r="I1963" s="244"/>
      <c r="J1963" s="244"/>
      <c r="K1963" s="246" t="e">
        <f t="shared" si="210"/>
        <v>#VALUE!</v>
      </c>
      <c r="L1963" s="246" t="e">
        <f t="shared" si="211"/>
        <v>#VALUE!</v>
      </c>
      <c r="M1963" s="247" t="e">
        <f t="shared" si="212"/>
        <v>#VALUE!</v>
      </c>
      <c r="N1963" s="246" t="e">
        <f t="shared" si="213"/>
        <v>#VALUE!</v>
      </c>
      <c r="O1963" s="247" t="e">
        <f t="shared" si="214"/>
        <v>#VALUE!</v>
      </c>
      <c r="P1963" s="247">
        <f t="shared" si="215"/>
        <v>0</v>
      </c>
      <c r="Q1963" s="247" t="e">
        <f t="shared" si="216"/>
        <v>#VALUE!</v>
      </c>
    </row>
    <row r="1964" spans="1:17" ht="15" customHeight="1" x14ac:dyDescent="0.25">
      <c r="A1964" s="244"/>
      <c r="B1964" s="244"/>
      <c r="C1964" s="244"/>
      <c r="D1964" s="244"/>
      <c r="E1964" s="244"/>
      <c r="F1964" s="244"/>
      <c r="G1964" s="244"/>
      <c r="I1964" s="244"/>
      <c r="J1964" s="244"/>
      <c r="K1964" s="246" t="e">
        <f t="shared" si="210"/>
        <v>#VALUE!</v>
      </c>
      <c r="L1964" s="246" t="e">
        <f t="shared" si="211"/>
        <v>#VALUE!</v>
      </c>
      <c r="M1964" s="247" t="e">
        <f t="shared" si="212"/>
        <v>#VALUE!</v>
      </c>
      <c r="N1964" s="246" t="e">
        <f t="shared" si="213"/>
        <v>#VALUE!</v>
      </c>
      <c r="O1964" s="247" t="e">
        <f t="shared" si="214"/>
        <v>#VALUE!</v>
      </c>
      <c r="P1964" s="247">
        <f t="shared" si="215"/>
        <v>0</v>
      </c>
      <c r="Q1964" s="247" t="e">
        <f t="shared" si="216"/>
        <v>#VALUE!</v>
      </c>
    </row>
    <row r="1965" spans="1:17" ht="15" customHeight="1" x14ac:dyDescent="0.25">
      <c r="A1965" s="244"/>
      <c r="B1965" s="244"/>
      <c r="C1965" s="244"/>
      <c r="D1965" s="244"/>
      <c r="E1965" s="244"/>
      <c r="F1965" s="244"/>
      <c r="G1965" s="244"/>
      <c r="I1965" s="244"/>
      <c r="J1965" s="244"/>
      <c r="K1965" s="246" t="e">
        <f t="shared" si="210"/>
        <v>#VALUE!</v>
      </c>
      <c r="L1965" s="246" t="e">
        <f t="shared" si="211"/>
        <v>#VALUE!</v>
      </c>
      <c r="M1965" s="247" t="e">
        <f t="shared" si="212"/>
        <v>#VALUE!</v>
      </c>
      <c r="N1965" s="246" t="e">
        <f t="shared" si="213"/>
        <v>#VALUE!</v>
      </c>
      <c r="O1965" s="247" t="e">
        <f t="shared" si="214"/>
        <v>#VALUE!</v>
      </c>
      <c r="P1965" s="247">
        <f t="shared" si="215"/>
        <v>0</v>
      </c>
      <c r="Q1965" s="247" t="e">
        <f t="shared" si="216"/>
        <v>#VALUE!</v>
      </c>
    </row>
    <row r="1966" spans="1:17" ht="15" customHeight="1" x14ac:dyDescent="0.25">
      <c r="A1966" s="244"/>
      <c r="B1966" s="244"/>
      <c r="C1966" s="244"/>
      <c r="D1966" s="244"/>
      <c r="E1966" s="244"/>
      <c r="F1966" s="244"/>
      <c r="G1966" s="244"/>
      <c r="I1966" s="244"/>
      <c r="J1966" s="244"/>
      <c r="K1966" s="246" t="e">
        <f t="shared" si="210"/>
        <v>#VALUE!</v>
      </c>
      <c r="L1966" s="246" t="e">
        <f t="shared" si="211"/>
        <v>#VALUE!</v>
      </c>
      <c r="M1966" s="247" t="e">
        <f t="shared" si="212"/>
        <v>#VALUE!</v>
      </c>
      <c r="N1966" s="246" t="e">
        <f t="shared" si="213"/>
        <v>#VALUE!</v>
      </c>
      <c r="O1966" s="247" t="e">
        <f t="shared" si="214"/>
        <v>#VALUE!</v>
      </c>
      <c r="P1966" s="247">
        <f t="shared" si="215"/>
        <v>0</v>
      </c>
      <c r="Q1966" s="247" t="e">
        <f t="shared" si="216"/>
        <v>#VALUE!</v>
      </c>
    </row>
    <row r="1967" spans="1:17" ht="15" customHeight="1" x14ac:dyDescent="0.25">
      <c r="A1967" s="244"/>
      <c r="B1967" s="244"/>
      <c r="C1967" s="244"/>
      <c r="D1967" s="244"/>
      <c r="E1967" s="244"/>
      <c r="F1967" s="244"/>
      <c r="G1967" s="244"/>
      <c r="I1967" s="244"/>
      <c r="J1967" s="244"/>
      <c r="K1967" s="246" t="e">
        <f t="shared" si="210"/>
        <v>#VALUE!</v>
      </c>
      <c r="L1967" s="246" t="e">
        <f t="shared" si="211"/>
        <v>#VALUE!</v>
      </c>
      <c r="M1967" s="247" t="e">
        <f t="shared" si="212"/>
        <v>#VALUE!</v>
      </c>
      <c r="N1967" s="246" t="e">
        <f t="shared" si="213"/>
        <v>#VALUE!</v>
      </c>
      <c r="O1967" s="247" t="e">
        <f t="shared" si="214"/>
        <v>#VALUE!</v>
      </c>
      <c r="P1967" s="247">
        <f t="shared" si="215"/>
        <v>0</v>
      </c>
      <c r="Q1967" s="247" t="e">
        <f t="shared" si="216"/>
        <v>#VALUE!</v>
      </c>
    </row>
    <row r="1968" spans="1:17" ht="15" customHeight="1" x14ac:dyDescent="0.25">
      <c r="A1968" s="244"/>
      <c r="B1968" s="244"/>
      <c r="C1968" s="244"/>
      <c r="D1968" s="244"/>
      <c r="E1968" s="244"/>
      <c r="F1968" s="244"/>
      <c r="G1968" s="244"/>
      <c r="I1968" s="244"/>
      <c r="J1968" s="244"/>
      <c r="K1968" s="246" t="e">
        <f t="shared" si="210"/>
        <v>#VALUE!</v>
      </c>
      <c r="L1968" s="246" t="e">
        <f t="shared" si="211"/>
        <v>#VALUE!</v>
      </c>
      <c r="M1968" s="247" t="e">
        <f t="shared" si="212"/>
        <v>#VALUE!</v>
      </c>
      <c r="N1968" s="246" t="e">
        <f t="shared" si="213"/>
        <v>#VALUE!</v>
      </c>
      <c r="O1968" s="247" t="e">
        <f t="shared" si="214"/>
        <v>#VALUE!</v>
      </c>
      <c r="P1968" s="247">
        <f t="shared" si="215"/>
        <v>0</v>
      </c>
      <c r="Q1968" s="247" t="e">
        <f t="shared" si="216"/>
        <v>#VALUE!</v>
      </c>
    </row>
    <row r="1969" spans="1:17" ht="15" customHeight="1" x14ac:dyDescent="0.25">
      <c r="A1969" s="244"/>
      <c r="B1969" s="244"/>
      <c r="C1969" s="244"/>
      <c r="D1969" s="244"/>
      <c r="E1969" s="244"/>
      <c r="F1969" s="244"/>
      <c r="G1969" s="244"/>
      <c r="I1969" s="244"/>
      <c r="J1969" s="244"/>
      <c r="K1969" s="246" t="e">
        <f t="shared" si="210"/>
        <v>#VALUE!</v>
      </c>
      <c r="L1969" s="246" t="e">
        <f t="shared" si="211"/>
        <v>#VALUE!</v>
      </c>
      <c r="M1969" s="247" t="e">
        <f t="shared" si="212"/>
        <v>#VALUE!</v>
      </c>
      <c r="N1969" s="246" t="e">
        <f t="shared" si="213"/>
        <v>#VALUE!</v>
      </c>
      <c r="O1969" s="247" t="e">
        <f t="shared" si="214"/>
        <v>#VALUE!</v>
      </c>
      <c r="P1969" s="247">
        <f t="shared" si="215"/>
        <v>0</v>
      </c>
      <c r="Q1969" s="247" t="e">
        <f t="shared" si="216"/>
        <v>#VALUE!</v>
      </c>
    </row>
    <row r="1970" spans="1:17" ht="15" customHeight="1" x14ac:dyDescent="0.25">
      <c r="A1970" s="244"/>
      <c r="B1970" s="244"/>
      <c r="C1970" s="244"/>
      <c r="D1970" s="244"/>
      <c r="E1970" s="244"/>
      <c r="F1970" s="244"/>
      <c r="G1970" s="244"/>
      <c r="I1970" s="244"/>
      <c r="J1970" s="244"/>
      <c r="K1970" s="246" t="e">
        <f t="shared" si="210"/>
        <v>#VALUE!</v>
      </c>
      <c r="L1970" s="246" t="e">
        <f t="shared" si="211"/>
        <v>#VALUE!</v>
      </c>
      <c r="M1970" s="247" t="e">
        <f t="shared" si="212"/>
        <v>#VALUE!</v>
      </c>
      <c r="N1970" s="246" t="e">
        <f t="shared" si="213"/>
        <v>#VALUE!</v>
      </c>
      <c r="O1970" s="247" t="e">
        <f t="shared" si="214"/>
        <v>#VALUE!</v>
      </c>
      <c r="P1970" s="247">
        <f t="shared" si="215"/>
        <v>0</v>
      </c>
      <c r="Q1970" s="247" t="e">
        <f t="shared" si="216"/>
        <v>#VALUE!</v>
      </c>
    </row>
    <row r="1971" spans="1:17" ht="15" customHeight="1" x14ac:dyDescent="0.25">
      <c r="A1971" s="244"/>
      <c r="B1971" s="244"/>
      <c r="C1971" s="244"/>
      <c r="D1971" s="244"/>
      <c r="E1971" s="244"/>
      <c r="F1971" s="244"/>
      <c r="G1971" s="244"/>
      <c r="I1971" s="244"/>
      <c r="J1971" s="244"/>
      <c r="K1971" s="246" t="e">
        <f t="shared" si="210"/>
        <v>#VALUE!</v>
      </c>
      <c r="L1971" s="246" t="e">
        <f t="shared" si="211"/>
        <v>#VALUE!</v>
      </c>
      <c r="M1971" s="247" t="e">
        <f t="shared" si="212"/>
        <v>#VALUE!</v>
      </c>
      <c r="N1971" s="246" t="e">
        <f t="shared" si="213"/>
        <v>#VALUE!</v>
      </c>
      <c r="O1971" s="247" t="e">
        <f t="shared" si="214"/>
        <v>#VALUE!</v>
      </c>
      <c r="P1971" s="247">
        <f t="shared" si="215"/>
        <v>0</v>
      </c>
      <c r="Q1971" s="247" t="e">
        <f t="shared" si="216"/>
        <v>#VALUE!</v>
      </c>
    </row>
    <row r="1972" spans="1:17" ht="15" customHeight="1" x14ac:dyDescent="0.25">
      <c r="A1972" s="244"/>
      <c r="B1972" s="244"/>
      <c r="C1972" s="244"/>
      <c r="D1972" s="244"/>
      <c r="E1972" s="244"/>
      <c r="F1972" s="244"/>
      <c r="G1972" s="244"/>
      <c r="I1972" s="244"/>
      <c r="J1972" s="244"/>
      <c r="K1972" s="246" t="e">
        <f t="shared" si="210"/>
        <v>#VALUE!</v>
      </c>
      <c r="L1972" s="246" t="e">
        <f t="shared" si="211"/>
        <v>#VALUE!</v>
      </c>
      <c r="M1972" s="247" t="e">
        <f t="shared" si="212"/>
        <v>#VALUE!</v>
      </c>
      <c r="N1972" s="246" t="e">
        <f t="shared" si="213"/>
        <v>#VALUE!</v>
      </c>
      <c r="O1972" s="247" t="e">
        <f t="shared" si="214"/>
        <v>#VALUE!</v>
      </c>
      <c r="P1972" s="247">
        <f t="shared" si="215"/>
        <v>0</v>
      </c>
      <c r="Q1972" s="247" t="e">
        <f t="shared" si="216"/>
        <v>#VALUE!</v>
      </c>
    </row>
    <row r="1973" spans="1:17" ht="15" customHeight="1" x14ac:dyDescent="0.25">
      <c r="A1973" s="244"/>
      <c r="B1973" s="244"/>
      <c r="C1973" s="244"/>
      <c r="D1973" s="244"/>
      <c r="E1973" s="244"/>
      <c r="F1973" s="244"/>
      <c r="G1973" s="244"/>
      <c r="I1973" s="244"/>
      <c r="J1973" s="244"/>
      <c r="K1973" s="246" t="e">
        <f t="shared" si="210"/>
        <v>#VALUE!</v>
      </c>
      <c r="L1973" s="246" t="e">
        <f t="shared" si="211"/>
        <v>#VALUE!</v>
      </c>
      <c r="M1973" s="247" t="e">
        <f t="shared" si="212"/>
        <v>#VALUE!</v>
      </c>
      <c r="N1973" s="246" t="e">
        <f t="shared" si="213"/>
        <v>#VALUE!</v>
      </c>
      <c r="O1973" s="247" t="e">
        <f t="shared" si="214"/>
        <v>#VALUE!</v>
      </c>
      <c r="P1973" s="247">
        <f t="shared" si="215"/>
        <v>0</v>
      </c>
      <c r="Q1973" s="247" t="e">
        <f t="shared" si="216"/>
        <v>#VALUE!</v>
      </c>
    </row>
    <row r="1974" spans="1:17" ht="15" customHeight="1" x14ac:dyDescent="0.25">
      <c r="A1974" s="244"/>
      <c r="B1974" s="244"/>
      <c r="C1974" s="244"/>
      <c r="D1974" s="244"/>
      <c r="E1974" s="244"/>
      <c r="F1974" s="244"/>
      <c r="G1974" s="244"/>
      <c r="I1974" s="244"/>
      <c r="J1974" s="244"/>
      <c r="K1974" s="246" t="e">
        <f t="shared" si="210"/>
        <v>#VALUE!</v>
      </c>
      <c r="L1974" s="246" t="e">
        <f t="shared" si="211"/>
        <v>#VALUE!</v>
      </c>
      <c r="M1974" s="247" t="e">
        <f t="shared" si="212"/>
        <v>#VALUE!</v>
      </c>
      <c r="N1974" s="246" t="e">
        <f t="shared" si="213"/>
        <v>#VALUE!</v>
      </c>
      <c r="O1974" s="247" t="e">
        <f t="shared" si="214"/>
        <v>#VALUE!</v>
      </c>
      <c r="P1974" s="247">
        <f t="shared" si="215"/>
        <v>0</v>
      </c>
      <c r="Q1974" s="247" t="e">
        <f t="shared" si="216"/>
        <v>#VALUE!</v>
      </c>
    </row>
    <row r="1975" spans="1:17" ht="15" customHeight="1" x14ac:dyDescent="0.25">
      <c r="A1975" s="244"/>
      <c r="B1975" s="244"/>
      <c r="C1975" s="244"/>
      <c r="D1975" s="244"/>
      <c r="E1975" s="244"/>
      <c r="F1975" s="244"/>
      <c r="G1975" s="244"/>
      <c r="I1975" s="244"/>
      <c r="J1975" s="244"/>
      <c r="K1975" s="246" t="e">
        <f t="shared" si="210"/>
        <v>#VALUE!</v>
      </c>
      <c r="L1975" s="246" t="e">
        <f t="shared" si="211"/>
        <v>#VALUE!</v>
      </c>
      <c r="M1975" s="247" t="e">
        <f t="shared" si="212"/>
        <v>#VALUE!</v>
      </c>
      <c r="N1975" s="246" t="e">
        <f t="shared" si="213"/>
        <v>#VALUE!</v>
      </c>
      <c r="O1975" s="247" t="e">
        <f t="shared" si="214"/>
        <v>#VALUE!</v>
      </c>
      <c r="P1975" s="247">
        <f t="shared" si="215"/>
        <v>0</v>
      </c>
      <c r="Q1975" s="247" t="e">
        <f t="shared" si="216"/>
        <v>#VALUE!</v>
      </c>
    </row>
    <row r="1976" spans="1:17" ht="15" customHeight="1" x14ac:dyDescent="0.25">
      <c r="A1976" s="244"/>
      <c r="B1976" s="244"/>
      <c r="C1976" s="244"/>
      <c r="D1976" s="244"/>
      <c r="E1976" s="244"/>
      <c r="F1976" s="244"/>
      <c r="G1976" s="244"/>
      <c r="I1976" s="244"/>
      <c r="J1976" s="244"/>
      <c r="K1976" s="246" t="e">
        <f t="shared" si="210"/>
        <v>#VALUE!</v>
      </c>
      <c r="L1976" s="246" t="e">
        <f t="shared" si="211"/>
        <v>#VALUE!</v>
      </c>
      <c r="M1976" s="247" t="e">
        <f t="shared" si="212"/>
        <v>#VALUE!</v>
      </c>
      <c r="N1976" s="246" t="e">
        <f t="shared" si="213"/>
        <v>#VALUE!</v>
      </c>
      <c r="O1976" s="247" t="e">
        <f t="shared" si="214"/>
        <v>#VALUE!</v>
      </c>
      <c r="P1976" s="247">
        <f t="shared" si="215"/>
        <v>0</v>
      </c>
      <c r="Q1976" s="247" t="e">
        <f t="shared" si="216"/>
        <v>#VALUE!</v>
      </c>
    </row>
    <row r="1977" spans="1:17" ht="15" customHeight="1" x14ac:dyDescent="0.25">
      <c r="A1977" s="244"/>
      <c r="B1977" s="244"/>
      <c r="C1977" s="244"/>
      <c r="D1977" s="244"/>
      <c r="E1977" s="244"/>
      <c r="F1977" s="244"/>
      <c r="G1977" s="244"/>
      <c r="I1977" s="244"/>
      <c r="J1977" s="244"/>
      <c r="K1977" s="246" t="e">
        <f t="shared" si="210"/>
        <v>#VALUE!</v>
      </c>
      <c r="L1977" s="246" t="e">
        <f t="shared" si="211"/>
        <v>#VALUE!</v>
      </c>
      <c r="M1977" s="247" t="e">
        <f t="shared" si="212"/>
        <v>#VALUE!</v>
      </c>
      <c r="N1977" s="246" t="e">
        <f t="shared" si="213"/>
        <v>#VALUE!</v>
      </c>
      <c r="O1977" s="247" t="e">
        <f t="shared" si="214"/>
        <v>#VALUE!</v>
      </c>
      <c r="P1977" s="247">
        <f t="shared" si="215"/>
        <v>0</v>
      </c>
      <c r="Q1977" s="247" t="e">
        <f t="shared" si="216"/>
        <v>#VALUE!</v>
      </c>
    </row>
    <row r="1978" spans="1:17" ht="15" customHeight="1" x14ac:dyDescent="0.25">
      <c r="A1978" s="244"/>
      <c r="B1978" s="244"/>
      <c r="C1978" s="244"/>
      <c r="D1978" s="244"/>
      <c r="E1978" s="244"/>
      <c r="F1978" s="244"/>
      <c r="G1978" s="244"/>
      <c r="I1978" s="244"/>
      <c r="J1978" s="244"/>
      <c r="K1978" s="246" t="e">
        <f t="shared" si="210"/>
        <v>#VALUE!</v>
      </c>
      <c r="L1978" s="246" t="e">
        <f t="shared" si="211"/>
        <v>#VALUE!</v>
      </c>
      <c r="M1978" s="247" t="e">
        <f t="shared" si="212"/>
        <v>#VALUE!</v>
      </c>
      <c r="N1978" s="246" t="e">
        <f t="shared" si="213"/>
        <v>#VALUE!</v>
      </c>
      <c r="O1978" s="247" t="e">
        <f t="shared" si="214"/>
        <v>#VALUE!</v>
      </c>
      <c r="P1978" s="247">
        <f t="shared" si="215"/>
        <v>0</v>
      </c>
      <c r="Q1978" s="247" t="e">
        <f t="shared" si="216"/>
        <v>#VALUE!</v>
      </c>
    </row>
    <row r="1979" spans="1:17" ht="15" customHeight="1" x14ac:dyDescent="0.25">
      <c r="A1979" s="244"/>
      <c r="B1979" s="244"/>
      <c r="C1979" s="244"/>
      <c r="D1979" s="244"/>
      <c r="E1979" s="244"/>
      <c r="F1979" s="244"/>
      <c r="G1979" s="244"/>
      <c r="I1979" s="244"/>
      <c r="J1979" s="244"/>
      <c r="K1979" s="246" t="e">
        <f t="shared" si="210"/>
        <v>#VALUE!</v>
      </c>
      <c r="L1979" s="246" t="e">
        <f t="shared" si="211"/>
        <v>#VALUE!</v>
      </c>
      <c r="M1979" s="247" t="e">
        <f t="shared" si="212"/>
        <v>#VALUE!</v>
      </c>
      <c r="N1979" s="246" t="e">
        <f t="shared" si="213"/>
        <v>#VALUE!</v>
      </c>
      <c r="O1979" s="247" t="e">
        <f t="shared" si="214"/>
        <v>#VALUE!</v>
      </c>
      <c r="P1979" s="247">
        <f t="shared" si="215"/>
        <v>0</v>
      </c>
      <c r="Q1979" s="247" t="e">
        <f t="shared" si="216"/>
        <v>#VALUE!</v>
      </c>
    </row>
    <row r="1980" spans="1:17" ht="15" customHeight="1" x14ac:dyDescent="0.25">
      <c r="A1980" s="244"/>
      <c r="B1980" s="244"/>
      <c r="C1980" s="244"/>
      <c r="D1980" s="244"/>
      <c r="E1980" s="244"/>
      <c r="F1980" s="244"/>
      <c r="G1980" s="244"/>
      <c r="I1980" s="244"/>
      <c r="J1980" s="244"/>
      <c r="K1980" s="246" t="e">
        <f t="shared" si="210"/>
        <v>#VALUE!</v>
      </c>
      <c r="L1980" s="246" t="e">
        <f t="shared" si="211"/>
        <v>#VALUE!</v>
      </c>
      <c r="M1980" s="247" t="e">
        <f t="shared" si="212"/>
        <v>#VALUE!</v>
      </c>
      <c r="N1980" s="246" t="e">
        <f t="shared" si="213"/>
        <v>#VALUE!</v>
      </c>
      <c r="O1980" s="247" t="e">
        <f t="shared" si="214"/>
        <v>#VALUE!</v>
      </c>
      <c r="P1980" s="247">
        <f t="shared" si="215"/>
        <v>0</v>
      </c>
      <c r="Q1980" s="247" t="e">
        <f t="shared" si="216"/>
        <v>#VALUE!</v>
      </c>
    </row>
    <row r="1981" spans="1:17" ht="15" customHeight="1" x14ac:dyDescent="0.25">
      <c r="A1981" s="244"/>
      <c r="B1981" s="244"/>
      <c r="C1981" s="244"/>
      <c r="D1981" s="244"/>
      <c r="E1981" s="244"/>
      <c r="F1981" s="244"/>
      <c r="G1981" s="244"/>
      <c r="I1981" s="244"/>
      <c r="J1981" s="244"/>
      <c r="K1981" s="246" t="e">
        <f t="shared" si="210"/>
        <v>#VALUE!</v>
      </c>
      <c r="L1981" s="246" t="e">
        <f t="shared" si="211"/>
        <v>#VALUE!</v>
      </c>
      <c r="M1981" s="247" t="e">
        <f t="shared" si="212"/>
        <v>#VALUE!</v>
      </c>
      <c r="N1981" s="246" t="e">
        <f t="shared" si="213"/>
        <v>#VALUE!</v>
      </c>
      <c r="O1981" s="247" t="e">
        <f t="shared" si="214"/>
        <v>#VALUE!</v>
      </c>
      <c r="P1981" s="247">
        <f t="shared" si="215"/>
        <v>0</v>
      </c>
      <c r="Q1981" s="247" t="e">
        <f t="shared" si="216"/>
        <v>#VALUE!</v>
      </c>
    </row>
    <row r="1982" spans="1:17" ht="15" customHeight="1" x14ac:dyDescent="0.25">
      <c r="A1982" s="244"/>
      <c r="B1982" s="244"/>
      <c r="C1982" s="244"/>
      <c r="D1982" s="244"/>
      <c r="E1982" s="244"/>
      <c r="F1982" s="244"/>
      <c r="G1982" s="244"/>
      <c r="I1982" s="244"/>
      <c r="J1982" s="244"/>
      <c r="K1982" s="246" t="e">
        <f t="shared" si="210"/>
        <v>#VALUE!</v>
      </c>
      <c r="L1982" s="246" t="e">
        <f t="shared" si="211"/>
        <v>#VALUE!</v>
      </c>
      <c r="M1982" s="247" t="e">
        <f t="shared" si="212"/>
        <v>#VALUE!</v>
      </c>
      <c r="N1982" s="246" t="e">
        <f t="shared" si="213"/>
        <v>#VALUE!</v>
      </c>
      <c r="O1982" s="247" t="e">
        <f t="shared" si="214"/>
        <v>#VALUE!</v>
      </c>
      <c r="P1982" s="247">
        <f t="shared" si="215"/>
        <v>0</v>
      </c>
      <c r="Q1982" s="247" t="e">
        <f t="shared" si="216"/>
        <v>#VALUE!</v>
      </c>
    </row>
    <row r="1983" spans="1:17" ht="15" customHeight="1" x14ac:dyDescent="0.25">
      <c r="A1983" s="244"/>
      <c r="B1983" s="244"/>
      <c r="C1983" s="244"/>
      <c r="D1983" s="244"/>
      <c r="E1983" s="244"/>
      <c r="F1983" s="244"/>
      <c r="G1983" s="244"/>
      <c r="I1983" s="244"/>
      <c r="J1983" s="244"/>
      <c r="K1983" s="246" t="e">
        <f t="shared" si="210"/>
        <v>#VALUE!</v>
      </c>
      <c r="L1983" s="246" t="e">
        <f t="shared" si="211"/>
        <v>#VALUE!</v>
      </c>
      <c r="M1983" s="247" t="e">
        <f t="shared" si="212"/>
        <v>#VALUE!</v>
      </c>
      <c r="N1983" s="246" t="e">
        <f t="shared" si="213"/>
        <v>#VALUE!</v>
      </c>
      <c r="O1983" s="247" t="e">
        <f t="shared" si="214"/>
        <v>#VALUE!</v>
      </c>
      <c r="P1983" s="247">
        <f t="shared" si="215"/>
        <v>0</v>
      </c>
      <c r="Q1983" s="247" t="e">
        <f t="shared" si="216"/>
        <v>#VALUE!</v>
      </c>
    </row>
    <row r="1984" spans="1:17" ht="15" customHeight="1" x14ac:dyDescent="0.25">
      <c r="A1984" s="244"/>
      <c r="B1984" s="244"/>
      <c r="C1984" s="244"/>
      <c r="D1984" s="244"/>
      <c r="E1984" s="244"/>
      <c r="F1984" s="244"/>
      <c r="G1984" s="244"/>
      <c r="I1984" s="244"/>
      <c r="J1984" s="244"/>
      <c r="K1984" s="246" t="e">
        <f t="shared" si="210"/>
        <v>#VALUE!</v>
      </c>
      <c r="L1984" s="246" t="e">
        <f t="shared" si="211"/>
        <v>#VALUE!</v>
      </c>
      <c r="M1984" s="247" t="e">
        <f t="shared" si="212"/>
        <v>#VALUE!</v>
      </c>
      <c r="N1984" s="246" t="e">
        <f t="shared" si="213"/>
        <v>#VALUE!</v>
      </c>
      <c r="O1984" s="247" t="e">
        <f t="shared" si="214"/>
        <v>#VALUE!</v>
      </c>
      <c r="P1984" s="247">
        <f t="shared" si="215"/>
        <v>0</v>
      </c>
      <c r="Q1984" s="247" t="e">
        <f t="shared" si="216"/>
        <v>#VALUE!</v>
      </c>
    </row>
    <row r="1985" spans="1:17" ht="15" customHeight="1" x14ac:dyDescent="0.25">
      <c r="A1985" s="244"/>
      <c r="B1985" s="244"/>
      <c r="C1985" s="244"/>
      <c r="D1985" s="244"/>
      <c r="E1985" s="244"/>
      <c r="F1985" s="244"/>
      <c r="G1985" s="244"/>
      <c r="I1985" s="244"/>
      <c r="J1985" s="244"/>
      <c r="K1985" s="246" t="e">
        <f t="shared" si="210"/>
        <v>#VALUE!</v>
      </c>
      <c r="L1985" s="246" t="e">
        <f t="shared" si="211"/>
        <v>#VALUE!</v>
      </c>
      <c r="M1985" s="247" t="e">
        <f t="shared" si="212"/>
        <v>#VALUE!</v>
      </c>
      <c r="N1985" s="246" t="e">
        <f t="shared" si="213"/>
        <v>#VALUE!</v>
      </c>
      <c r="O1985" s="247" t="e">
        <f t="shared" si="214"/>
        <v>#VALUE!</v>
      </c>
      <c r="P1985" s="247">
        <f t="shared" si="215"/>
        <v>0</v>
      </c>
      <c r="Q1985" s="247" t="e">
        <f t="shared" si="216"/>
        <v>#VALUE!</v>
      </c>
    </row>
    <row r="1986" spans="1:17" ht="15" customHeight="1" x14ac:dyDescent="0.25">
      <c r="A1986" s="244"/>
      <c r="B1986" s="244"/>
      <c r="C1986" s="244"/>
      <c r="D1986" s="244"/>
      <c r="E1986" s="244"/>
      <c r="F1986" s="244"/>
      <c r="G1986" s="244"/>
      <c r="I1986" s="244"/>
      <c r="J1986" s="244"/>
      <c r="K1986" s="246" t="e">
        <f t="shared" ref="K1986:K2049" si="217">DATE(VALUE(LEFT(A1986,4)),VALUE(MID(A1986,5,2)),VALUE(RIGHT(A1986,2)))</f>
        <v>#VALUE!</v>
      </c>
      <c r="L1986" s="246" t="e">
        <f t="shared" ref="L1986:L2049" si="218">DATEVALUE(LEFT(F1986,10))</f>
        <v>#VALUE!</v>
      </c>
      <c r="M1986" s="247" t="e">
        <f t="shared" ref="M1986:M2049" si="219">TIMEVALUE(MID(F1986,12,8))</f>
        <v>#VALUE!</v>
      </c>
      <c r="N1986" s="246" t="e">
        <f t="shared" ref="N1986:N2049" si="220">DATEVALUE(LEFT(G1986,10))</f>
        <v>#VALUE!</v>
      </c>
      <c r="O1986" s="247" t="e">
        <f t="shared" ref="O1986:O2049" si="221">TIMEVALUE(MID(G1986,12,8))</f>
        <v>#VALUE!</v>
      </c>
      <c r="P1986" s="247">
        <f t="shared" ref="P1986:P2049" si="222">IFERROR(_xlfn.MINIFS($M:$M,$E:$E,$E1986,$K:$K,$K1986,$M:$M,"&gt;"&amp;$O1986),"")</f>
        <v>0</v>
      </c>
      <c r="Q1986" s="247" t="e">
        <f t="shared" ref="Q1986:Q2049" si="223">IF($P1986="","",$P1986-$O1986)</f>
        <v>#VALUE!</v>
      </c>
    </row>
    <row r="1987" spans="1:17" ht="15" customHeight="1" x14ac:dyDescent="0.25">
      <c r="A1987" s="244"/>
      <c r="B1987" s="244"/>
      <c r="C1987" s="244"/>
      <c r="D1987" s="244"/>
      <c r="E1987" s="244"/>
      <c r="F1987" s="244"/>
      <c r="G1987" s="244"/>
      <c r="I1987" s="244"/>
      <c r="J1987" s="244"/>
      <c r="K1987" s="246" t="e">
        <f t="shared" si="217"/>
        <v>#VALUE!</v>
      </c>
      <c r="L1987" s="246" t="e">
        <f t="shared" si="218"/>
        <v>#VALUE!</v>
      </c>
      <c r="M1987" s="247" t="e">
        <f t="shared" si="219"/>
        <v>#VALUE!</v>
      </c>
      <c r="N1987" s="246" t="e">
        <f t="shared" si="220"/>
        <v>#VALUE!</v>
      </c>
      <c r="O1987" s="247" t="e">
        <f t="shared" si="221"/>
        <v>#VALUE!</v>
      </c>
      <c r="P1987" s="247">
        <f t="shared" si="222"/>
        <v>0</v>
      </c>
      <c r="Q1987" s="247" t="e">
        <f t="shared" si="223"/>
        <v>#VALUE!</v>
      </c>
    </row>
    <row r="1988" spans="1:17" ht="15" customHeight="1" x14ac:dyDescent="0.25">
      <c r="A1988" s="244"/>
      <c r="B1988" s="244"/>
      <c r="C1988" s="244"/>
      <c r="D1988" s="244"/>
      <c r="E1988" s="244"/>
      <c r="F1988" s="244"/>
      <c r="G1988" s="244"/>
      <c r="I1988" s="244"/>
      <c r="J1988" s="244"/>
      <c r="K1988" s="246" t="e">
        <f t="shared" si="217"/>
        <v>#VALUE!</v>
      </c>
      <c r="L1988" s="246" t="e">
        <f t="shared" si="218"/>
        <v>#VALUE!</v>
      </c>
      <c r="M1988" s="247" t="e">
        <f t="shared" si="219"/>
        <v>#VALUE!</v>
      </c>
      <c r="N1988" s="246" t="e">
        <f t="shared" si="220"/>
        <v>#VALUE!</v>
      </c>
      <c r="O1988" s="247" t="e">
        <f t="shared" si="221"/>
        <v>#VALUE!</v>
      </c>
      <c r="P1988" s="247">
        <f t="shared" si="222"/>
        <v>0</v>
      </c>
      <c r="Q1988" s="247" t="e">
        <f t="shared" si="223"/>
        <v>#VALUE!</v>
      </c>
    </row>
    <row r="1989" spans="1:17" ht="15" customHeight="1" x14ac:dyDescent="0.25">
      <c r="A1989" s="244"/>
      <c r="B1989" s="244"/>
      <c r="C1989" s="244"/>
      <c r="D1989" s="244"/>
      <c r="E1989" s="244"/>
      <c r="F1989" s="244"/>
      <c r="G1989" s="244"/>
      <c r="I1989" s="244"/>
      <c r="J1989" s="244"/>
      <c r="K1989" s="246" t="e">
        <f t="shared" si="217"/>
        <v>#VALUE!</v>
      </c>
      <c r="L1989" s="246" t="e">
        <f t="shared" si="218"/>
        <v>#VALUE!</v>
      </c>
      <c r="M1989" s="247" t="e">
        <f t="shared" si="219"/>
        <v>#VALUE!</v>
      </c>
      <c r="N1989" s="246" t="e">
        <f t="shared" si="220"/>
        <v>#VALUE!</v>
      </c>
      <c r="O1989" s="247" t="e">
        <f t="shared" si="221"/>
        <v>#VALUE!</v>
      </c>
      <c r="P1989" s="247">
        <f t="shared" si="222"/>
        <v>0</v>
      </c>
      <c r="Q1989" s="247" t="e">
        <f t="shared" si="223"/>
        <v>#VALUE!</v>
      </c>
    </row>
    <row r="1990" spans="1:17" ht="15" customHeight="1" x14ac:dyDescent="0.25">
      <c r="A1990" s="244"/>
      <c r="B1990" s="244"/>
      <c r="C1990" s="244"/>
      <c r="D1990" s="244"/>
      <c r="E1990" s="244"/>
      <c r="F1990" s="244"/>
      <c r="G1990" s="244"/>
      <c r="I1990" s="244"/>
      <c r="J1990" s="244"/>
      <c r="K1990" s="246" t="e">
        <f t="shared" si="217"/>
        <v>#VALUE!</v>
      </c>
      <c r="L1990" s="246" t="e">
        <f t="shared" si="218"/>
        <v>#VALUE!</v>
      </c>
      <c r="M1990" s="247" t="e">
        <f t="shared" si="219"/>
        <v>#VALUE!</v>
      </c>
      <c r="N1990" s="246" t="e">
        <f t="shared" si="220"/>
        <v>#VALUE!</v>
      </c>
      <c r="O1990" s="247" t="e">
        <f t="shared" si="221"/>
        <v>#VALUE!</v>
      </c>
      <c r="P1990" s="247">
        <f t="shared" si="222"/>
        <v>0</v>
      </c>
      <c r="Q1990" s="247" t="e">
        <f t="shared" si="223"/>
        <v>#VALUE!</v>
      </c>
    </row>
    <row r="1991" spans="1:17" ht="15" customHeight="1" x14ac:dyDescent="0.25">
      <c r="A1991" s="244"/>
      <c r="B1991" s="244"/>
      <c r="C1991" s="244"/>
      <c r="D1991" s="244"/>
      <c r="E1991" s="244"/>
      <c r="F1991" s="244"/>
      <c r="G1991" s="244"/>
      <c r="I1991" s="244"/>
      <c r="J1991" s="244"/>
      <c r="K1991" s="246" t="e">
        <f t="shared" si="217"/>
        <v>#VALUE!</v>
      </c>
      <c r="L1991" s="246" t="e">
        <f t="shared" si="218"/>
        <v>#VALUE!</v>
      </c>
      <c r="M1991" s="247" t="e">
        <f t="shared" si="219"/>
        <v>#VALUE!</v>
      </c>
      <c r="N1991" s="246" t="e">
        <f t="shared" si="220"/>
        <v>#VALUE!</v>
      </c>
      <c r="O1991" s="247" t="e">
        <f t="shared" si="221"/>
        <v>#VALUE!</v>
      </c>
      <c r="P1991" s="247">
        <f t="shared" si="222"/>
        <v>0</v>
      </c>
      <c r="Q1991" s="247" t="e">
        <f t="shared" si="223"/>
        <v>#VALUE!</v>
      </c>
    </row>
    <row r="1992" spans="1:17" ht="15" customHeight="1" x14ac:dyDescent="0.25">
      <c r="A1992" s="244"/>
      <c r="B1992" s="244"/>
      <c r="C1992" s="244"/>
      <c r="D1992" s="244"/>
      <c r="E1992" s="244"/>
      <c r="F1992" s="244"/>
      <c r="G1992" s="244"/>
      <c r="I1992" s="244"/>
      <c r="J1992" s="244"/>
      <c r="K1992" s="246" t="e">
        <f t="shared" si="217"/>
        <v>#VALUE!</v>
      </c>
      <c r="L1992" s="246" t="e">
        <f t="shared" si="218"/>
        <v>#VALUE!</v>
      </c>
      <c r="M1992" s="247" t="e">
        <f t="shared" si="219"/>
        <v>#VALUE!</v>
      </c>
      <c r="N1992" s="246" t="e">
        <f t="shared" si="220"/>
        <v>#VALUE!</v>
      </c>
      <c r="O1992" s="247" t="e">
        <f t="shared" si="221"/>
        <v>#VALUE!</v>
      </c>
      <c r="P1992" s="247">
        <f t="shared" si="222"/>
        <v>0</v>
      </c>
      <c r="Q1992" s="247" t="e">
        <f t="shared" si="223"/>
        <v>#VALUE!</v>
      </c>
    </row>
    <row r="1993" spans="1:17" ht="15" customHeight="1" x14ac:dyDescent="0.25">
      <c r="A1993" s="244"/>
      <c r="B1993" s="244"/>
      <c r="C1993" s="244"/>
      <c r="D1993" s="244"/>
      <c r="E1993" s="244"/>
      <c r="F1993" s="244"/>
      <c r="G1993" s="244"/>
      <c r="I1993" s="244"/>
      <c r="J1993" s="244"/>
      <c r="K1993" s="246" t="e">
        <f t="shared" si="217"/>
        <v>#VALUE!</v>
      </c>
      <c r="L1993" s="246" t="e">
        <f t="shared" si="218"/>
        <v>#VALUE!</v>
      </c>
      <c r="M1993" s="247" t="e">
        <f t="shared" si="219"/>
        <v>#VALUE!</v>
      </c>
      <c r="N1993" s="246" t="e">
        <f t="shared" si="220"/>
        <v>#VALUE!</v>
      </c>
      <c r="O1993" s="247" t="e">
        <f t="shared" si="221"/>
        <v>#VALUE!</v>
      </c>
      <c r="P1993" s="247">
        <f t="shared" si="222"/>
        <v>0</v>
      </c>
      <c r="Q1993" s="247" t="e">
        <f t="shared" si="223"/>
        <v>#VALUE!</v>
      </c>
    </row>
    <row r="1994" spans="1:17" ht="15" customHeight="1" x14ac:dyDescent="0.25">
      <c r="A1994" s="244"/>
      <c r="B1994" s="244"/>
      <c r="C1994" s="244"/>
      <c r="D1994" s="244"/>
      <c r="E1994" s="244"/>
      <c r="F1994" s="244"/>
      <c r="G1994" s="244"/>
      <c r="I1994" s="244"/>
      <c r="J1994" s="244"/>
      <c r="K1994" s="246" t="e">
        <f t="shared" si="217"/>
        <v>#VALUE!</v>
      </c>
      <c r="L1994" s="246" t="e">
        <f t="shared" si="218"/>
        <v>#VALUE!</v>
      </c>
      <c r="M1994" s="247" t="e">
        <f t="shared" si="219"/>
        <v>#VALUE!</v>
      </c>
      <c r="N1994" s="246" t="e">
        <f t="shared" si="220"/>
        <v>#VALUE!</v>
      </c>
      <c r="O1994" s="247" t="e">
        <f t="shared" si="221"/>
        <v>#VALUE!</v>
      </c>
      <c r="P1994" s="247">
        <f t="shared" si="222"/>
        <v>0</v>
      </c>
      <c r="Q1994" s="247" t="e">
        <f t="shared" si="223"/>
        <v>#VALUE!</v>
      </c>
    </row>
    <row r="1995" spans="1:17" ht="15" customHeight="1" x14ac:dyDescent="0.25">
      <c r="A1995" s="244"/>
      <c r="B1995" s="244"/>
      <c r="C1995" s="244"/>
      <c r="D1995" s="244"/>
      <c r="E1995" s="244"/>
      <c r="F1995" s="244"/>
      <c r="G1995" s="244"/>
      <c r="I1995" s="244"/>
      <c r="J1995" s="244"/>
      <c r="K1995" s="246" t="e">
        <f t="shared" si="217"/>
        <v>#VALUE!</v>
      </c>
      <c r="L1995" s="246" t="e">
        <f t="shared" si="218"/>
        <v>#VALUE!</v>
      </c>
      <c r="M1995" s="247" t="e">
        <f t="shared" si="219"/>
        <v>#VALUE!</v>
      </c>
      <c r="N1995" s="246" t="e">
        <f t="shared" si="220"/>
        <v>#VALUE!</v>
      </c>
      <c r="O1995" s="247" t="e">
        <f t="shared" si="221"/>
        <v>#VALUE!</v>
      </c>
      <c r="P1995" s="247">
        <f t="shared" si="222"/>
        <v>0</v>
      </c>
      <c r="Q1995" s="247" t="e">
        <f t="shared" si="223"/>
        <v>#VALUE!</v>
      </c>
    </row>
    <row r="1996" spans="1:17" ht="15" customHeight="1" x14ac:dyDescent="0.25">
      <c r="A1996" s="244"/>
      <c r="B1996" s="244"/>
      <c r="C1996" s="244"/>
      <c r="D1996" s="244"/>
      <c r="E1996" s="244"/>
      <c r="F1996" s="244"/>
      <c r="G1996" s="244"/>
      <c r="I1996" s="244"/>
      <c r="J1996" s="244"/>
      <c r="K1996" s="246" t="e">
        <f t="shared" si="217"/>
        <v>#VALUE!</v>
      </c>
      <c r="L1996" s="246" t="e">
        <f t="shared" si="218"/>
        <v>#VALUE!</v>
      </c>
      <c r="M1996" s="247" t="e">
        <f t="shared" si="219"/>
        <v>#VALUE!</v>
      </c>
      <c r="N1996" s="246" t="e">
        <f t="shared" si="220"/>
        <v>#VALUE!</v>
      </c>
      <c r="O1996" s="247" t="e">
        <f t="shared" si="221"/>
        <v>#VALUE!</v>
      </c>
      <c r="P1996" s="247">
        <f t="shared" si="222"/>
        <v>0</v>
      </c>
      <c r="Q1996" s="247" t="e">
        <f t="shared" si="223"/>
        <v>#VALUE!</v>
      </c>
    </row>
    <row r="1997" spans="1:17" ht="15" customHeight="1" x14ac:dyDescent="0.25">
      <c r="A1997" s="244"/>
      <c r="B1997" s="244"/>
      <c r="C1997" s="244"/>
      <c r="D1997" s="244"/>
      <c r="E1997" s="244"/>
      <c r="F1997" s="244"/>
      <c r="G1997" s="244"/>
      <c r="I1997" s="244"/>
      <c r="J1997" s="244"/>
      <c r="K1997" s="246" t="e">
        <f t="shared" si="217"/>
        <v>#VALUE!</v>
      </c>
      <c r="L1997" s="246" t="e">
        <f t="shared" si="218"/>
        <v>#VALUE!</v>
      </c>
      <c r="M1997" s="247" t="e">
        <f t="shared" si="219"/>
        <v>#VALUE!</v>
      </c>
      <c r="N1997" s="246" t="e">
        <f t="shared" si="220"/>
        <v>#VALUE!</v>
      </c>
      <c r="O1997" s="247" t="e">
        <f t="shared" si="221"/>
        <v>#VALUE!</v>
      </c>
      <c r="P1997" s="247">
        <f t="shared" si="222"/>
        <v>0</v>
      </c>
      <c r="Q1997" s="247" t="e">
        <f t="shared" si="223"/>
        <v>#VALUE!</v>
      </c>
    </row>
    <row r="1998" spans="1:17" ht="15" customHeight="1" x14ac:dyDescent="0.25">
      <c r="A1998" s="244"/>
      <c r="B1998" s="244"/>
      <c r="C1998" s="244"/>
      <c r="D1998" s="244"/>
      <c r="E1998" s="244"/>
      <c r="F1998" s="244"/>
      <c r="G1998" s="244"/>
      <c r="I1998" s="244"/>
      <c r="J1998" s="244"/>
      <c r="K1998" s="246" t="e">
        <f t="shared" si="217"/>
        <v>#VALUE!</v>
      </c>
      <c r="L1998" s="246" t="e">
        <f t="shared" si="218"/>
        <v>#VALUE!</v>
      </c>
      <c r="M1998" s="247" t="e">
        <f t="shared" si="219"/>
        <v>#VALUE!</v>
      </c>
      <c r="N1998" s="246" t="e">
        <f t="shared" si="220"/>
        <v>#VALUE!</v>
      </c>
      <c r="O1998" s="247" t="e">
        <f t="shared" si="221"/>
        <v>#VALUE!</v>
      </c>
      <c r="P1998" s="247">
        <f t="shared" si="222"/>
        <v>0</v>
      </c>
      <c r="Q1998" s="247" t="e">
        <f t="shared" si="223"/>
        <v>#VALUE!</v>
      </c>
    </row>
    <row r="1999" spans="1:17" ht="15" customHeight="1" x14ac:dyDescent="0.25">
      <c r="A1999" s="244"/>
      <c r="B1999" s="244"/>
      <c r="C1999" s="244"/>
      <c r="D1999" s="244"/>
      <c r="E1999" s="244"/>
      <c r="F1999" s="244"/>
      <c r="G1999" s="244"/>
      <c r="I1999" s="244"/>
      <c r="J1999" s="244"/>
      <c r="K1999" s="246" t="e">
        <f t="shared" si="217"/>
        <v>#VALUE!</v>
      </c>
      <c r="L1999" s="246" t="e">
        <f t="shared" si="218"/>
        <v>#VALUE!</v>
      </c>
      <c r="M1999" s="247" t="e">
        <f t="shared" si="219"/>
        <v>#VALUE!</v>
      </c>
      <c r="N1999" s="246" t="e">
        <f t="shared" si="220"/>
        <v>#VALUE!</v>
      </c>
      <c r="O1999" s="247" t="e">
        <f t="shared" si="221"/>
        <v>#VALUE!</v>
      </c>
      <c r="P1999" s="247">
        <f t="shared" si="222"/>
        <v>0</v>
      </c>
      <c r="Q1999" s="247" t="e">
        <f t="shared" si="223"/>
        <v>#VALUE!</v>
      </c>
    </row>
    <row r="2000" spans="1:17" ht="15" customHeight="1" x14ac:dyDescent="0.25">
      <c r="A2000" s="244"/>
      <c r="B2000" s="244"/>
      <c r="C2000" s="244"/>
      <c r="D2000" s="244"/>
      <c r="E2000" s="244"/>
      <c r="F2000" s="244"/>
      <c r="G2000" s="244"/>
      <c r="I2000" s="244"/>
      <c r="J2000" s="244"/>
      <c r="K2000" s="246" t="e">
        <f t="shared" si="217"/>
        <v>#VALUE!</v>
      </c>
      <c r="L2000" s="246" t="e">
        <f t="shared" si="218"/>
        <v>#VALUE!</v>
      </c>
      <c r="M2000" s="247" t="e">
        <f t="shared" si="219"/>
        <v>#VALUE!</v>
      </c>
      <c r="N2000" s="246" t="e">
        <f t="shared" si="220"/>
        <v>#VALUE!</v>
      </c>
      <c r="O2000" s="247" t="e">
        <f t="shared" si="221"/>
        <v>#VALUE!</v>
      </c>
      <c r="P2000" s="247">
        <f t="shared" si="222"/>
        <v>0</v>
      </c>
      <c r="Q2000" s="247" t="e">
        <f t="shared" si="223"/>
        <v>#VALUE!</v>
      </c>
    </row>
    <row r="2001" spans="1:17" ht="15" customHeight="1" x14ac:dyDescent="0.25">
      <c r="A2001" s="244"/>
      <c r="B2001" s="244"/>
      <c r="C2001" s="244"/>
      <c r="D2001" s="244"/>
      <c r="E2001" s="244"/>
      <c r="F2001" s="244"/>
      <c r="G2001" s="244"/>
      <c r="I2001" s="244"/>
      <c r="J2001" s="244"/>
      <c r="K2001" s="246" t="e">
        <f t="shared" si="217"/>
        <v>#VALUE!</v>
      </c>
      <c r="L2001" s="246" t="e">
        <f t="shared" si="218"/>
        <v>#VALUE!</v>
      </c>
      <c r="M2001" s="247" t="e">
        <f t="shared" si="219"/>
        <v>#VALUE!</v>
      </c>
      <c r="N2001" s="246" t="e">
        <f t="shared" si="220"/>
        <v>#VALUE!</v>
      </c>
      <c r="O2001" s="247" t="e">
        <f t="shared" si="221"/>
        <v>#VALUE!</v>
      </c>
      <c r="P2001" s="247">
        <f t="shared" si="222"/>
        <v>0</v>
      </c>
      <c r="Q2001" s="247" t="e">
        <f t="shared" si="223"/>
        <v>#VALUE!</v>
      </c>
    </row>
    <row r="2002" spans="1:17" ht="15" customHeight="1" x14ac:dyDescent="0.25">
      <c r="A2002" s="244"/>
      <c r="B2002" s="244"/>
      <c r="C2002" s="244"/>
      <c r="D2002" s="244"/>
      <c r="E2002" s="244"/>
      <c r="F2002" s="244"/>
      <c r="G2002" s="244"/>
      <c r="I2002" s="244"/>
      <c r="J2002" s="244"/>
      <c r="K2002" s="246" t="e">
        <f t="shared" si="217"/>
        <v>#VALUE!</v>
      </c>
      <c r="L2002" s="246" t="e">
        <f t="shared" si="218"/>
        <v>#VALUE!</v>
      </c>
      <c r="M2002" s="247" t="e">
        <f t="shared" si="219"/>
        <v>#VALUE!</v>
      </c>
      <c r="N2002" s="246" t="e">
        <f t="shared" si="220"/>
        <v>#VALUE!</v>
      </c>
      <c r="O2002" s="247" t="e">
        <f t="shared" si="221"/>
        <v>#VALUE!</v>
      </c>
      <c r="P2002" s="247">
        <f t="shared" si="222"/>
        <v>0</v>
      </c>
      <c r="Q2002" s="247" t="e">
        <f t="shared" si="223"/>
        <v>#VALUE!</v>
      </c>
    </row>
    <row r="2003" spans="1:17" ht="15" customHeight="1" x14ac:dyDescent="0.25">
      <c r="A2003" s="244"/>
      <c r="B2003" s="244"/>
      <c r="C2003" s="244"/>
      <c r="D2003" s="244"/>
      <c r="E2003" s="244"/>
      <c r="F2003" s="244"/>
      <c r="G2003" s="244"/>
      <c r="I2003" s="244"/>
      <c r="J2003" s="244"/>
      <c r="K2003" s="246" t="e">
        <f t="shared" si="217"/>
        <v>#VALUE!</v>
      </c>
      <c r="L2003" s="246" t="e">
        <f t="shared" si="218"/>
        <v>#VALUE!</v>
      </c>
      <c r="M2003" s="247" t="e">
        <f t="shared" si="219"/>
        <v>#VALUE!</v>
      </c>
      <c r="N2003" s="246" t="e">
        <f t="shared" si="220"/>
        <v>#VALUE!</v>
      </c>
      <c r="O2003" s="247" t="e">
        <f t="shared" si="221"/>
        <v>#VALUE!</v>
      </c>
      <c r="P2003" s="247">
        <f t="shared" si="222"/>
        <v>0</v>
      </c>
      <c r="Q2003" s="247" t="e">
        <f t="shared" si="223"/>
        <v>#VALUE!</v>
      </c>
    </row>
    <row r="2004" spans="1:17" ht="15" customHeight="1" x14ac:dyDescent="0.25">
      <c r="A2004" s="244"/>
      <c r="B2004" s="244"/>
      <c r="C2004" s="244"/>
      <c r="D2004" s="244"/>
      <c r="E2004" s="244"/>
      <c r="F2004" s="244"/>
      <c r="G2004" s="244"/>
      <c r="I2004" s="244"/>
      <c r="J2004" s="244"/>
      <c r="K2004" s="246" t="e">
        <f t="shared" si="217"/>
        <v>#VALUE!</v>
      </c>
      <c r="L2004" s="246" t="e">
        <f t="shared" si="218"/>
        <v>#VALUE!</v>
      </c>
      <c r="M2004" s="247" t="e">
        <f t="shared" si="219"/>
        <v>#VALUE!</v>
      </c>
      <c r="N2004" s="246" t="e">
        <f t="shared" si="220"/>
        <v>#VALUE!</v>
      </c>
      <c r="O2004" s="247" t="e">
        <f t="shared" si="221"/>
        <v>#VALUE!</v>
      </c>
      <c r="P2004" s="247">
        <f t="shared" si="222"/>
        <v>0</v>
      </c>
      <c r="Q2004" s="247" t="e">
        <f t="shared" si="223"/>
        <v>#VALUE!</v>
      </c>
    </row>
    <row r="2005" spans="1:17" ht="15" customHeight="1" x14ac:dyDescent="0.25">
      <c r="A2005" s="244"/>
      <c r="B2005" s="244"/>
      <c r="C2005" s="244"/>
      <c r="D2005" s="244"/>
      <c r="E2005" s="244"/>
      <c r="F2005" s="244"/>
      <c r="G2005" s="244"/>
      <c r="I2005" s="244"/>
      <c r="J2005" s="244"/>
      <c r="K2005" s="246" t="e">
        <f t="shared" si="217"/>
        <v>#VALUE!</v>
      </c>
      <c r="L2005" s="246" t="e">
        <f t="shared" si="218"/>
        <v>#VALUE!</v>
      </c>
      <c r="M2005" s="247" t="e">
        <f t="shared" si="219"/>
        <v>#VALUE!</v>
      </c>
      <c r="N2005" s="246" t="e">
        <f t="shared" si="220"/>
        <v>#VALUE!</v>
      </c>
      <c r="O2005" s="247" t="e">
        <f t="shared" si="221"/>
        <v>#VALUE!</v>
      </c>
      <c r="P2005" s="247">
        <f t="shared" si="222"/>
        <v>0</v>
      </c>
      <c r="Q2005" s="247" t="e">
        <f t="shared" si="223"/>
        <v>#VALUE!</v>
      </c>
    </row>
    <row r="2006" spans="1:17" ht="15" customHeight="1" x14ac:dyDescent="0.25">
      <c r="A2006" s="244"/>
      <c r="B2006" s="244"/>
      <c r="C2006" s="244"/>
      <c r="D2006" s="244"/>
      <c r="E2006" s="244"/>
      <c r="F2006" s="244"/>
      <c r="G2006" s="244"/>
      <c r="I2006" s="244"/>
      <c r="J2006" s="244"/>
      <c r="K2006" s="246" t="e">
        <f t="shared" si="217"/>
        <v>#VALUE!</v>
      </c>
      <c r="L2006" s="246" t="e">
        <f t="shared" si="218"/>
        <v>#VALUE!</v>
      </c>
      <c r="M2006" s="247" t="e">
        <f t="shared" si="219"/>
        <v>#VALUE!</v>
      </c>
      <c r="N2006" s="246" t="e">
        <f t="shared" si="220"/>
        <v>#VALUE!</v>
      </c>
      <c r="O2006" s="247" t="e">
        <f t="shared" si="221"/>
        <v>#VALUE!</v>
      </c>
      <c r="P2006" s="247">
        <f t="shared" si="222"/>
        <v>0</v>
      </c>
      <c r="Q2006" s="247" t="e">
        <f t="shared" si="223"/>
        <v>#VALUE!</v>
      </c>
    </row>
    <row r="2007" spans="1:17" ht="15" customHeight="1" x14ac:dyDescent="0.25">
      <c r="A2007" s="244"/>
      <c r="B2007" s="244"/>
      <c r="C2007" s="244"/>
      <c r="D2007" s="244"/>
      <c r="E2007" s="244"/>
      <c r="F2007" s="244"/>
      <c r="G2007" s="244"/>
      <c r="I2007" s="244"/>
      <c r="J2007" s="244"/>
      <c r="K2007" s="246" t="e">
        <f t="shared" si="217"/>
        <v>#VALUE!</v>
      </c>
      <c r="L2007" s="246" t="e">
        <f t="shared" si="218"/>
        <v>#VALUE!</v>
      </c>
      <c r="M2007" s="247" t="e">
        <f t="shared" si="219"/>
        <v>#VALUE!</v>
      </c>
      <c r="N2007" s="246" t="e">
        <f t="shared" si="220"/>
        <v>#VALUE!</v>
      </c>
      <c r="O2007" s="247" t="e">
        <f t="shared" si="221"/>
        <v>#VALUE!</v>
      </c>
      <c r="P2007" s="247">
        <f t="shared" si="222"/>
        <v>0</v>
      </c>
      <c r="Q2007" s="247" t="e">
        <f t="shared" si="223"/>
        <v>#VALUE!</v>
      </c>
    </row>
    <row r="2008" spans="1:17" ht="15" customHeight="1" x14ac:dyDescent="0.25">
      <c r="A2008" s="244"/>
      <c r="B2008" s="244"/>
      <c r="C2008" s="244"/>
      <c r="D2008" s="244"/>
      <c r="E2008" s="244"/>
      <c r="F2008" s="244"/>
      <c r="G2008" s="244"/>
      <c r="I2008" s="244"/>
      <c r="J2008" s="244"/>
      <c r="K2008" s="246" t="e">
        <f t="shared" si="217"/>
        <v>#VALUE!</v>
      </c>
      <c r="L2008" s="246" t="e">
        <f t="shared" si="218"/>
        <v>#VALUE!</v>
      </c>
      <c r="M2008" s="247" t="e">
        <f t="shared" si="219"/>
        <v>#VALUE!</v>
      </c>
      <c r="N2008" s="246" t="e">
        <f t="shared" si="220"/>
        <v>#VALUE!</v>
      </c>
      <c r="O2008" s="247" t="e">
        <f t="shared" si="221"/>
        <v>#VALUE!</v>
      </c>
      <c r="P2008" s="247">
        <f t="shared" si="222"/>
        <v>0</v>
      </c>
      <c r="Q2008" s="247" t="e">
        <f t="shared" si="223"/>
        <v>#VALUE!</v>
      </c>
    </row>
    <row r="2009" spans="1:17" ht="15" customHeight="1" x14ac:dyDescent="0.25">
      <c r="A2009" s="244"/>
      <c r="B2009" s="244"/>
      <c r="C2009" s="244"/>
      <c r="D2009" s="244"/>
      <c r="E2009" s="244"/>
      <c r="F2009" s="244"/>
      <c r="G2009" s="244"/>
      <c r="I2009" s="244"/>
      <c r="J2009" s="244"/>
      <c r="K2009" s="246" t="e">
        <f t="shared" si="217"/>
        <v>#VALUE!</v>
      </c>
      <c r="L2009" s="246" t="e">
        <f t="shared" si="218"/>
        <v>#VALUE!</v>
      </c>
      <c r="M2009" s="247" t="e">
        <f t="shared" si="219"/>
        <v>#VALUE!</v>
      </c>
      <c r="N2009" s="246" t="e">
        <f t="shared" si="220"/>
        <v>#VALUE!</v>
      </c>
      <c r="O2009" s="247" t="e">
        <f t="shared" si="221"/>
        <v>#VALUE!</v>
      </c>
      <c r="P2009" s="247">
        <f t="shared" si="222"/>
        <v>0</v>
      </c>
      <c r="Q2009" s="247" t="e">
        <f t="shared" si="223"/>
        <v>#VALUE!</v>
      </c>
    </row>
    <row r="2010" spans="1:17" ht="15" customHeight="1" x14ac:dyDescent="0.25">
      <c r="A2010" s="244"/>
      <c r="B2010" s="244"/>
      <c r="C2010" s="244"/>
      <c r="D2010" s="244"/>
      <c r="E2010" s="244"/>
      <c r="F2010" s="244"/>
      <c r="G2010" s="244"/>
      <c r="I2010" s="244"/>
      <c r="J2010" s="244"/>
      <c r="K2010" s="246" t="e">
        <f t="shared" si="217"/>
        <v>#VALUE!</v>
      </c>
      <c r="L2010" s="246" t="e">
        <f t="shared" si="218"/>
        <v>#VALUE!</v>
      </c>
      <c r="M2010" s="247" t="e">
        <f t="shared" si="219"/>
        <v>#VALUE!</v>
      </c>
      <c r="N2010" s="246" t="e">
        <f t="shared" si="220"/>
        <v>#VALUE!</v>
      </c>
      <c r="O2010" s="247" t="e">
        <f t="shared" si="221"/>
        <v>#VALUE!</v>
      </c>
      <c r="P2010" s="247">
        <f t="shared" si="222"/>
        <v>0</v>
      </c>
      <c r="Q2010" s="247" t="e">
        <f t="shared" si="223"/>
        <v>#VALUE!</v>
      </c>
    </row>
    <row r="2011" spans="1:17" ht="15" customHeight="1" x14ac:dyDescent="0.25">
      <c r="A2011" s="244"/>
      <c r="B2011" s="244"/>
      <c r="C2011" s="244"/>
      <c r="D2011" s="244"/>
      <c r="E2011" s="244"/>
      <c r="F2011" s="244"/>
      <c r="G2011" s="244"/>
      <c r="I2011" s="244"/>
      <c r="J2011" s="244"/>
      <c r="K2011" s="246" t="e">
        <f t="shared" si="217"/>
        <v>#VALUE!</v>
      </c>
      <c r="L2011" s="246" t="e">
        <f t="shared" si="218"/>
        <v>#VALUE!</v>
      </c>
      <c r="M2011" s="247" t="e">
        <f t="shared" si="219"/>
        <v>#VALUE!</v>
      </c>
      <c r="N2011" s="246" t="e">
        <f t="shared" si="220"/>
        <v>#VALUE!</v>
      </c>
      <c r="O2011" s="247" t="e">
        <f t="shared" si="221"/>
        <v>#VALUE!</v>
      </c>
      <c r="P2011" s="247">
        <f t="shared" si="222"/>
        <v>0</v>
      </c>
      <c r="Q2011" s="247" t="e">
        <f t="shared" si="223"/>
        <v>#VALUE!</v>
      </c>
    </row>
    <row r="2012" spans="1:17" ht="15" customHeight="1" x14ac:dyDescent="0.25">
      <c r="A2012" s="244"/>
      <c r="B2012" s="244"/>
      <c r="C2012" s="244"/>
      <c r="D2012" s="244"/>
      <c r="E2012" s="244"/>
      <c r="F2012" s="244"/>
      <c r="G2012" s="244"/>
      <c r="I2012" s="244"/>
      <c r="J2012" s="244"/>
      <c r="K2012" s="246" t="e">
        <f t="shared" si="217"/>
        <v>#VALUE!</v>
      </c>
      <c r="L2012" s="246" t="e">
        <f t="shared" si="218"/>
        <v>#VALUE!</v>
      </c>
      <c r="M2012" s="247" t="e">
        <f t="shared" si="219"/>
        <v>#VALUE!</v>
      </c>
      <c r="N2012" s="246" t="e">
        <f t="shared" si="220"/>
        <v>#VALUE!</v>
      </c>
      <c r="O2012" s="247" t="e">
        <f t="shared" si="221"/>
        <v>#VALUE!</v>
      </c>
      <c r="P2012" s="247">
        <f t="shared" si="222"/>
        <v>0</v>
      </c>
      <c r="Q2012" s="247" t="e">
        <f t="shared" si="223"/>
        <v>#VALUE!</v>
      </c>
    </row>
    <row r="2013" spans="1:17" ht="15" customHeight="1" x14ac:dyDescent="0.25">
      <c r="A2013" s="244"/>
      <c r="B2013" s="244"/>
      <c r="C2013" s="244"/>
      <c r="D2013" s="244"/>
      <c r="E2013" s="244"/>
      <c r="F2013" s="244"/>
      <c r="G2013" s="244"/>
      <c r="I2013" s="244"/>
      <c r="J2013" s="244"/>
      <c r="K2013" s="246" t="e">
        <f t="shared" si="217"/>
        <v>#VALUE!</v>
      </c>
      <c r="L2013" s="246" t="e">
        <f t="shared" si="218"/>
        <v>#VALUE!</v>
      </c>
      <c r="M2013" s="247" t="e">
        <f t="shared" si="219"/>
        <v>#VALUE!</v>
      </c>
      <c r="N2013" s="246" t="e">
        <f t="shared" si="220"/>
        <v>#VALUE!</v>
      </c>
      <c r="O2013" s="247" t="e">
        <f t="shared" si="221"/>
        <v>#VALUE!</v>
      </c>
      <c r="P2013" s="247">
        <f t="shared" si="222"/>
        <v>0</v>
      </c>
      <c r="Q2013" s="247" t="e">
        <f t="shared" si="223"/>
        <v>#VALUE!</v>
      </c>
    </row>
    <row r="2014" spans="1:17" ht="15" customHeight="1" x14ac:dyDescent="0.25">
      <c r="A2014" s="244"/>
      <c r="B2014" s="244"/>
      <c r="C2014" s="244"/>
      <c r="D2014" s="244"/>
      <c r="E2014" s="244"/>
      <c r="F2014" s="244"/>
      <c r="G2014" s="244"/>
      <c r="I2014" s="244"/>
      <c r="J2014" s="244"/>
      <c r="K2014" s="246" t="e">
        <f t="shared" si="217"/>
        <v>#VALUE!</v>
      </c>
      <c r="L2014" s="246" t="e">
        <f t="shared" si="218"/>
        <v>#VALUE!</v>
      </c>
      <c r="M2014" s="247" t="e">
        <f t="shared" si="219"/>
        <v>#VALUE!</v>
      </c>
      <c r="N2014" s="246" t="e">
        <f t="shared" si="220"/>
        <v>#VALUE!</v>
      </c>
      <c r="O2014" s="247" t="e">
        <f t="shared" si="221"/>
        <v>#VALUE!</v>
      </c>
      <c r="P2014" s="247">
        <f t="shared" si="222"/>
        <v>0</v>
      </c>
      <c r="Q2014" s="247" t="e">
        <f t="shared" si="223"/>
        <v>#VALUE!</v>
      </c>
    </row>
    <row r="2015" spans="1:17" ht="15" customHeight="1" x14ac:dyDescent="0.25">
      <c r="A2015" s="244"/>
      <c r="B2015" s="244"/>
      <c r="C2015" s="244"/>
      <c r="D2015" s="244"/>
      <c r="E2015" s="244"/>
      <c r="F2015" s="244"/>
      <c r="G2015" s="244"/>
      <c r="I2015" s="244"/>
      <c r="J2015" s="244"/>
      <c r="K2015" s="246" t="e">
        <f t="shared" si="217"/>
        <v>#VALUE!</v>
      </c>
      <c r="L2015" s="246" t="e">
        <f t="shared" si="218"/>
        <v>#VALUE!</v>
      </c>
      <c r="M2015" s="247" t="e">
        <f t="shared" si="219"/>
        <v>#VALUE!</v>
      </c>
      <c r="N2015" s="246" t="e">
        <f t="shared" si="220"/>
        <v>#VALUE!</v>
      </c>
      <c r="O2015" s="247" t="e">
        <f t="shared" si="221"/>
        <v>#VALUE!</v>
      </c>
      <c r="P2015" s="247">
        <f t="shared" si="222"/>
        <v>0</v>
      </c>
      <c r="Q2015" s="247" t="e">
        <f t="shared" si="223"/>
        <v>#VALUE!</v>
      </c>
    </row>
    <row r="2016" spans="1:17" ht="15" customHeight="1" x14ac:dyDescent="0.25">
      <c r="A2016" s="244"/>
      <c r="B2016" s="244"/>
      <c r="C2016" s="244"/>
      <c r="D2016" s="244"/>
      <c r="E2016" s="244"/>
      <c r="F2016" s="244"/>
      <c r="G2016" s="244"/>
      <c r="I2016" s="244"/>
      <c r="J2016" s="244"/>
      <c r="K2016" s="246" t="e">
        <f t="shared" si="217"/>
        <v>#VALUE!</v>
      </c>
      <c r="L2016" s="246" t="e">
        <f t="shared" si="218"/>
        <v>#VALUE!</v>
      </c>
      <c r="M2016" s="247" t="e">
        <f t="shared" si="219"/>
        <v>#VALUE!</v>
      </c>
      <c r="N2016" s="246" t="e">
        <f t="shared" si="220"/>
        <v>#VALUE!</v>
      </c>
      <c r="O2016" s="247" t="e">
        <f t="shared" si="221"/>
        <v>#VALUE!</v>
      </c>
      <c r="P2016" s="247">
        <f t="shared" si="222"/>
        <v>0</v>
      </c>
      <c r="Q2016" s="247" t="e">
        <f t="shared" si="223"/>
        <v>#VALUE!</v>
      </c>
    </row>
    <row r="2017" spans="1:17" ht="15" customHeight="1" x14ac:dyDescent="0.25">
      <c r="A2017" s="244"/>
      <c r="B2017" s="244"/>
      <c r="C2017" s="244"/>
      <c r="D2017" s="244"/>
      <c r="E2017" s="244"/>
      <c r="F2017" s="244"/>
      <c r="G2017" s="244"/>
      <c r="I2017" s="244"/>
      <c r="J2017" s="244"/>
      <c r="K2017" s="246" t="e">
        <f t="shared" si="217"/>
        <v>#VALUE!</v>
      </c>
      <c r="L2017" s="246" t="e">
        <f t="shared" si="218"/>
        <v>#VALUE!</v>
      </c>
      <c r="M2017" s="247" t="e">
        <f t="shared" si="219"/>
        <v>#VALUE!</v>
      </c>
      <c r="N2017" s="246" t="e">
        <f t="shared" si="220"/>
        <v>#VALUE!</v>
      </c>
      <c r="O2017" s="247" t="e">
        <f t="shared" si="221"/>
        <v>#VALUE!</v>
      </c>
      <c r="P2017" s="247">
        <f t="shared" si="222"/>
        <v>0</v>
      </c>
      <c r="Q2017" s="247" t="e">
        <f t="shared" si="223"/>
        <v>#VALUE!</v>
      </c>
    </row>
    <row r="2018" spans="1:17" ht="15" customHeight="1" x14ac:dyDescent="0.25">
      <c r="A2018" s="244"/>
      <c r="B2018" s="244"/>
      <c r="C2018" s="244"/>
      <c r="D2018" s="244"/>
      <c r="E2018" s="244"/>
      <c r="F2018" s="244"/>
      <c r="G2018" s="244"/>
      <c r="I2018" s="244"/>
      <c r="J2018" s="244"/>
      <c r="K2018" s="246" t="e">
        <f t="shared" si="217"/>
        <v>#VALUE!</v>
      </c>
      <c r="L2018" s="246" t="e">
        <f t="shared" si="218"/>
        <v>#VALUE!</v>
      </c>
      <c r="M2018" s="247" t="e">
        <f t="shared" si="219"/>
        <v>#VALUE!</v>
      </c>
      <c r="N2018" s="246" t="e">
        <f t="shared" si="220"/>
        <v>#VALUE!</v>
      </c>
      <c r="O2018" s="247" t="e">
        <f t="shared" si="221"/>
        <v>#VALUE!</v>
      </c>
      <c r="P2018" s="247">
        <f t="shared" si="222"/>
        <v>0</v>
      </c>
      <c r="Q2018" s="247" t="e">
        <f t="shared" si="223"/>
        <v>#VALUE!</v>
      </c>
    </row>
    <row r="2019" spans="1:17" ht="15" customHeight="1" x14ac:dyDescent="0.25">
      <c r="A2019" s="244"/>
      <c r="B2019" s="244"/>
      <c r="C2019" s="244"/>
      <c r="D2019" s="244"/>
      <c r="E2019" s="244"/>
      <c r="F2019" s="244"/>
      <c r="G2019" s="244"/>
      <c r="I2019" s="244"/>
      <c r="J2019" s="244"/>
      <c r="K2019" s="246" t="e">
        <f t="shared" si="217"/>
        <v>#VALUE!</v>
      </c>
      <c r="L2019" s="246" t="e">
        <f t="shared" si="218"/>
        <v>#VALUE!</v>
      </c>
      <c r="M2019" s="247" t="e">
        <f t="shared" si="219"/>
        <v>#VALUE!</v>
      </c>
      <c r="N2019" s="246" t="e">
        <f t="shared" si="220"/>
        <v>#VALUE!</v>
      </c>
      <c r="O2019" s="247" t="e">
        <f t="shared" si="221"/>
        <v>#VALUE!</v>
      </c>
      <c r="P2019" s="247">
        <f t="shared" si="222"/>
        <v>0</v>
      </c>
      <c r="Q2019" s="247" t="e">
        <f t="shared" si="223"/>
        <v>#VALUE!</v>
      </c>
    </row>
    <row r="2020" spans="1:17" ht="15" customHeight="1" x14ac:dyDescent="0.25">
      <c r="A2020" s="244"/>
      <c r="B2020" s="244"/>
      <c r="C2020" s="244"/>
      <c r="D2020" s="244"/>
      <c r="E2020" s="244"/>
      <c r="F2020" s="244"/>
      <c r="G2020" s="244"/>
      <c r="I2020" s="244"/>
      <c r="J2020" s="244"/>
      <c r="K2020" s="246" t="e">
        <f t="shared" si="217"/>
        <v>#VALUE!</v>
      </c>
      <c r="L2020" s="246" t="e">
        <f t="shared" si="218"/>
        <v>#VALUE!</v>
      </c>
      <c r="M2020" s="247" t="e">
        <f t="shared" si="219"/>
        <v>#VALUE!</v>
      </c>
      <c r="N2020" s="246" t="e">
        <f t="shared" si="220"/>
        <v>#VALUE!</v>
      </c>
      <c r="O2020" s="247" t="e">
        <f t="shared" si="221"/>
        <v>#VALUE!</v>
      </c>
      <c r="P2020" s="247">
        <f t="shared" si="222"/>
        <v>0</v>
      </c>
      <c r="Q2020" s="247" t="e">
        <f t="shared" si="223"/>
        <v>#VALUE!</v>
      </c>
    </row>
    <row r="2021" spans="1:17" ht="15" customHeight="1" x14ac:dyDescent="0.25">
      <c r="A2021" s="244"/>
      <c r="B2021" s="244"/>
      <c r="C2021" s="244"/>
      <c r="D2021" s="244"/>
      <c r="E2021" s="244"/>
      <c r="F2021" s="244"/>
      <c r="G2021" s="244"/>
      <c r="I2021" s="244"/>
      <c r="J2021" s="244"/>
      <c r="K2021" s="246" t="e">
        <f t="shared" si="217"/>
        <v>#VALUE!</v>
      </c>
      <c r="L2021" s="246" t="e">
        <f t="shared" si="218"/>
        <v>#VALUE!</v>
      </c>
      <c r="M2021" s="247" t="e">
        <f t="shared" si="219"/>
        <v>#VALUE!</v>
      </c>
      <c r="N2021" s="246" t="e">
        <f t="shared" si="220"/>
        <v>#VALUE!</v>
      </c>
      <c r="O2021" s="247" t="e">
        <f t="shared" si="221"/>
        <v>#VALUE!</v>
      </c>
      <c r="P2021" s="247">
        <f t="shared" si="222"/>
        <v>0</v>
      </c>
      <c r="Q2021" s="247" t="e">
        <f t="shared" si="223"/>
        <v>#VALUE!</v>
      </c>
    </row>
    <row r="2022" spans="1:17" ht="15" customHeight="1" x14ac:dyDescent="0.25">
      <c r="A2022" s="244"/>
      <c r="B2022" s="244"/>
      <c r="C2022" s="244"/>
      <c r="D2022" s="244"/>
      <c r="E2022" s="244"/>
      <c r="F2022" s="244"/>
      <c r="G2022" s="244"/>
      <c r="I2022" s="244"/>
      <c r="J2022" s="244"/>
      <c r="K2022" s="246" t="e">
        <f t="shared" si="217"/>
        <v>#VALUE!</v>
      </c>
      <c r="L2022" s="246" t="e">
        <f t="shared" si="218"/>
        <v>#VALUE!</v>
      </c>
      <c r="M2022" s="247" t="e">
        <f t="shared" si="219"/>
        <v>#VALUE!</v>
      </c>
      <c r="N2022" s="246" t="e">
        <f t="shared" si="220"/>
        <v>#VALUE!</v>
      </c>
      <c r="O2022" s="247" t="e">
        <f t="shared" si="221"/>
        <v>#VALUE!</v>
      </c>
      <c r="P2022" s="247">
        <f t="shared" si="222"/>
        <v>0</v>
      </c>
      <c r="Q2022" s="247" t="e">
        <f t="shared" si="223"/>
        <v>#VALUE!</v>
      </c>
    </row>
    <row r="2023" spans="1:17" ht="15" customHeight="1" x14ac:dyDescent="0.25">
      <c r="A2023" s="244"/>
      <c r="B2023" s="244"/>
      <c r="C2023" s="244"/>
      <c r="D2023" s="244"/>
      <c r="E2023" s="244"/>
      <c r="F2023" s="244"/>
      <c r="G2023" s="244"/>
      <c r="I2023" s="244"/>
      <c r="J2023" s="244"/>
      <c r="K2023" s="246" t="e">
        <f t="shared" si="217"/>
        <v>#VALUE!</v>
      </c>
      <c r="L2023" s="246" t="e">
        <f t="shared" si="218"/>
        <v>#VALUE!</v>
      </c>
      <c r="M2023" s="247" t="e">
        <f t="shared" si="219"/>
        <v>#VALUE!</v>
      </c>
      <c r="N2023" s="246" t="e">
        <f t="shared" si="220"/>
        <v>#VALUE!</v>
      </c>
      <c r="O2023" s="247" t="e">
        <f t="shared" si="221"/>
        <v>#VALUE!</v>
      </c>
      <c r="P2023" s="247">
        <f t="shared" si="222"/>
        <v>0</v>
      </c>
      <c r="Q2023" s="247" t="e">
        <f t="shared" si="223"/>
        <v>#VALUE!</v>
      </c>
    </row>
    <row r="2024" spans="1:17" ht="15" customHeight="1" x14ac:dyDescent="0.25">
      <c r="A2024" s="244"/>
      <c r="B2024" s="244"/>
      <c r="C2024" s="244"/>
      <c r="D2024" s="244"/>
      <c r="E2024" s="244"/>
      <c r="F2024" s="244"/>
      <c r="G2024" s="244"/>
      <c r="I2024" s="244"/>
      <c r="J2024" s="244"/>
      <c r="K2024" s="246" t="e">
        <f t="shared" si="217"/>
        <v>#VALUE!</v>
      </c>
      <c r="L2024" s="246" t="e">
        <f t="shared" si="218"/>
        <v>#VALUE!</v>
      </c>
      <c r="M2024" s="247" t="e">
        <f t="shared" si="219"/>
        <v>#VALUE!</v>
      </c>
      <c r="N2024" s="246" t="e">
        <f t="shared" si="220"/>
        <v>#VALUE!</v>
      </c>
      <c r="O2024" s="247" t="e">
        <f t="shared" si="221"/>
        <v>#VALUE!</v>
      </c>
      <c r="P2024" s="247">
        <f t="shared" si="222"/>
        <v>0</v>
      </c>
      <c r="Q2024" s="247" t="e">
        <f t="shared" si="223"/>
        <v>#VALUE!</v>
      </c>
    </row>
    <row r="2025" spans="1:17" ht="15" customHeight="1" x14ac:dyDescent="0.25">
      <c r="A2025" s="244"/>
      <c r="B2025" s="244"/>
      <c r="C2025" s="244"/>
      <c r="D2025" s="244"/>
      <c r="E2025" s="244"/>
      <c r="F2025" s="244"/>
      <c r="G2025" s="244"/>
      <c r="I2025" s="244"/>
      <c r="J2025" s="244"/>
      <c r="K2025" s="246" t="e">
        <f t="shared" si="217"/>
        <v>#VALUE!</v>
      </c>
      <c r="L2025" s="246" t="e">
        <f t="shared" si="218"/>
        <v>#VALUE!</v>
      </c>
      <c r="M2025" s="247" t="e">
        <f t="shared" si="219"/>
        <v>#VALUE!</v>
      </c>
      <c r="N2025" s="246" t="e">
        <f t="shared" si="220"/>
        <v>#VALUE!</v>
      </c>
      <c r="O2025" s="247" t="e">
        <f t="shared" si="221"/>
        <v>#VALUE!</v>
      </c>
      <c r="P2025" s="247">
        <f t="shared" si="222"/>
        <v>0</v>
      </c>
      <c r="Q2025" s="247" t="e">
        <f t="shared" si="223"/>
        <v>#VALUE!</v>
      </c>
    </row>
    <row r="2026" spans="1:17" ht="15" customHeight="1" x14ac:dyDescent="0.25">
      <c r="A2026" s="244"/>
      <c r="B2026" s="244"/>
      <c r="C2026" s="244"/>
      <c r="D2026" s="244"/>
      <c r="E2026" s="244"/>
      <c r="F2026" s="244"/>
      <c r="G2026" s="244"/>
      <c r="I2026" s="244"/>
      <c r="J2026" s="244"/>
      <c r="K2026" s="246" t="e">
        <f t="shared" si="217"/>
        <v>#VALUE!</v>
      </c>
      <c r="L2026" s="246" t="e">
        <f t="shared" si="218"/>
        <v>#VALUE!</v>
      </c>
      <c r="M2026" s="247" t="e">
        <f t="shared" si="219"/>
        <v>#VALUE!</v>
      </c>
      <c r="N2026" s="246" t="e">
        <f t="shared" si="220"/>
        <v>#VALUE!</v>
      </c>
      <c r="O2026" s="247" t="e">
        <f t="shared" si="221"/>
        <v>#VALUE!</v>
      </c>
      <c r="P2026" s="247">
        <f t="shared" si="222"/>
        <v>0</v>
      </c>
      <c r="Q2026" s="247" t="e">
        <f t="shared" si="223"/>
        <v>#VALUE!</v>
      </c>
    </row>
    <row r="2027" spans="1:17" ht="15" customHeight="1" x14ac:dyDescent="0.25">
      <c r="A2027" s="244"/>
      <c r="B2027" s="244"/>
      <c r="C2027" s="244"/>
      <c r="D2027" s="244"/>
      <c r="E2027" s="244"/>
      <c r="F2027" s="244"/>
      <c r="G2027" s="244"/>
      <c r="I2027" s="244"/>
      <c r="J2027" s="244"/>
      <c r="K2027" s="246" t="e">
        <f t="shared" si="217"/>
        <v>#VALUE!</v>
      </c>
      <c r="L2027" s="246" t="e">
        <f t="shared" si="218"/>
        <v>#VALUE!</v>
      </c>
      <c r="M2027" s="247" t="e">
        <f t="shared" si="219"/>
        <v>#VALUE!</v>
      </c>
      <c r="N2027" s="246" t="e">
        <f t="shared" si="220"/>
        <v>#VALUE!</v>
      </c>
      <c r="O2027" s="247" t="e">
        <f t="shared" si="221"/>
        <v>#VALUE!</v>
      </c>
      <c r="P2027" s="247">
        <f t="shared" si="222"/>
        <v>0</v>
      </c>
      <c r="Q2027" s="247" t="e">
        <f t="shared" si="223"/>
        <v>#VALUE!</v>
      </c>
    </row>
    <row r="2028" spans="1:17" ht="15" customHeight="1" x14ac:dyDescent="0.25">
      <c r="A2028" s="244"/>
      <c r="B2028" s="244"/>
      <c r="C2028" s="244"/>
      <c r="D2028" s="244"/>
      <c r="E2028" s="244"/>
      <c r="F2028" s="244"/>
      <c r="G2028" s="244"/>
      <c r="I2028" s="244"/>
      <c r="J2028" s="244"/>
      <c r="K2028" s="246" t="e">
        <f t="shared" si="217"/>
        <v>#VALUE!</v>
      </c>
      <c r="L2028" s="246" t="e">
        <f t="shared" si="218"/>
        <v>#VALUE!</v>
      </c>
      <c r="M2028" s="247" t="e">
        <f t="shared" si="219"/>
        <v>#VALUE!</v>
      </c>
      <c r="N2028" s="246" t="e">
        <f t="shared" si="220"/>
        <v>#VALUE!</v>
      </c>
      <c r="O2028" s="247" t="e">
        <f t="shared" si="221"/>
        <v>#VALUE!</v>
      </c>
      <c r="P2028" s="247">
        <f t="shared" si="222"/>
        <v>0</v>
      </c>
      <c r="Q2028" s="247" t="e">
        <f t="shared" si="223"/>
        <v>#VALUE!</v>
      </c>
    </row>
    <row r="2029" spans="1:17" ht="15" customHeight="1" x14ac:dyDescent="0.25">
      <c r="A2029" s="244"/>
      <c r="B2029" s="244"/>
      <c r="C2029" s="244"/>
      <c r="D2029" s="244"/>
      <c r="E2029" s="244"/>
      <c r="F2029" s="244"/>
      <c r="G2029" s="244"/>
      <c r="I2029" s="244"/>
      <c r="J2029" s="244"/>
      <c r="K2029" s="246" t="e">
        <f t="shared" si="217"/>
        <v>#VALUE!</v>
      </c>
      <c r="L2029" s="246" t="e">
        <f t="shared" si="218"/>
        <v>#VALUE!</v>
      </c>
      <c r="M2029" s="247" t="e">
        <f t="shared" si="219"/>
        <v>#VALUE!</v>
      </c>
      <c r="N2029" s="246" t="e">
        <f t="shared" si="220"/>
        <v>#VALUE!</v>
      </c>
      <c r="O2029" s="247" t="e">
        <f t="shared" si="221"/>
        <v>#VALUE!</v>
      </c>
      <c r="P2029" s="247">
        <f t="shared" si="222"/>
        <v>0</v>
      </c>
      <c r="Q2029" s="247" t="e">
        <f t="shared" si="223"/>
        <v>#VALUE!</v>
      </c>
    </row>
    <row r="2030" spans="1:17" ht="15" customHeight="1" x14ac:dyDescent="0.25">
      <c r="A2030" s="244"/>
      <c r="B2030" s="244"/>
      <c r="C2030" s="244"/>
      <c r="D2030" s="244"/>
      <c r="E2030" s="244"/>
      <c r="F2030" s="244"/>
      <c r="G2030" s="244"/>
      <c r="I2030" s="244"/>
      <c r="J2030" s="244"/>
      <c r="K2030" s="246" t="e">
        <f t="shared" si="217"/>
        <v>#VALUE!</v>
      </c>
      <c r="L2030" s="246" t="e">
        <f t="shared" si="218"/>
        <v>#VALUE!</v>
      </c>
      <c r="M2030" s="247" t="e">
        <f t="shared" si="219"/>
        <v>#VALUE!</v>
      </c>
      <c r="N2030" s="246" t="e">
        <f t="shared" si="220"/>
        <v>#VALUE!</v>
      </c>
      <c r="O2030" s="247" t="e">
        <f t="shared" si="221"/>
        <v>#VALUE!</v>
      </c>
      <c r="P2030" s="247">
        <f t="shared" si="222"/>
        <v>0</v>
      </c>
      <c r="Q2030" s="247" t="e">
        <f t="shared" si="223"/>
        <v>#VALUE!</v>
      </c>
    </row>
    <row r="2031" spans="1:17" ht="15" customHeight="1" x14ac:dyDescent="0.25">
      <c r="A2031" s="244"/>
      <c r="B2031" s="244"/>
      <c r="C2031" s="244"/>
      <c r="D2031" s="244"/>
      <c r="E2031" s="244"/>
      <c r="F2031" s="244"/>
      <c r="G2031" s="244"/>
      <c r="I2031" s="244"/>
      <c r="J2031" s="244"/>
      <c r="K2031" s="246" t="e">
        <f t="shared" si="217"/>
        <v>#VALUE!</v>
      </c>
      <c r="L2031" s="246" t="e">
        <f t="shared" si="218"/>
        <v>#VALUE!</v>
      </c>
      <c r="M2031" s="247" t="e">
        <f t="shared" si="219"/>
        <v>#VALUE!</v>
      </c>
      <c r="N2031" s="246" t="e">
        <f t="shared" si="220"/>
        <v>#VALUE!</v>
      </c>
      <c r="O2031" s="247" t="e">
        <f t="shared" si="221"/>
        <v>#VALUE!</v>
      </c>
      <c r="P2031" s="247">
        <f t="shared" si="222"/>
        <v>0</v>
      </c>
      <c r="Q2031" s="247" t="e">
        <f t="shared" si="223"/>
        <v>#VALUE!</v>
      </c>
    </row>
    <row r="2032" spans="1:17" ht="15" customHeight="1" x14ac:dyDescent="0.25">
      <c r="A2032" s="244"/>
      <c r="B2032" s="244"/>
      <c r="C2032" s="244"/>
      <c r="D2032" s="244"/>
      <c r="E2032" s="244"/>
      <c r="F2032" s="244"/>
      <c r="G2032" s="244"/>
      <c r="I2032" s="244"/>
      <c r="J2032" s="244"/>
      <c r="K2032" s="246" t="e">
        <f t="shared" si="217"/>
        <v>#VALUE!</v>
      </c>
      <c r="L2032" s="246" t="e">
        <f t="shared" si="218"/>
        <v>#VALUE!</v>
      </c>
      <c r="M2032" s="247" t="e">
        <f t="shared" si="219"/>
        <v>#VALUE!</v>
      </c>
      <c r="N2032" s="246" t="e">
        <f t="shared" si="220"/>
        <v>#VALUE!</v>
      </c>
      <c r="O2032" s="247" t="e">
        <f t="shared" si="221"/>
        <v>#VALUE!</v>
      </c>
      <c r="P2032" s="247">
        <f t="shared" si="222"/>
        <v>0</v>
      </c>
      <c r="Q2032" s="247" t="e">
        <f t="shared" si="223"/>
        <v>#VALUE!</v>
      </c>
    </row>
    <row r="2033" spans="1:17" ht="15" customHeight="1" x14ac:dyDescent="0.25">
      <c r="A2033" s="244"/>
      <c r="B2033" s="244"/>
      <c r="C2033" s="244"/>
      <c r="D2033" s="244"/>
      <c r="E2033" s="244"/>
      <c r="F2033" s="244"/>
      <c r="G2033" s="244"/>
      <c r="I2033" s="244"/>
      <c r="J2033" s="244"/>
      <c r="K2033" s="246" t="e">
        <f t="shared" si="217"/>
        <v>#VALUE!</v>
      </c>
      <c r="L2033" s="246" t="e">
        <f t="shared" si="218"/>
        <v>#VALUE!</v>
      </c>
      <c r="M2033" s="247" t="e">
        <f t="shared" si="219"/>
        <v>#VALUE!</v>
      </c>
      <c r="N2033" s="246" t="e">
        <f t="shared" si="220"/>
        <v>#VALUE!</v>
      </c>
      <c r="O2033" s="247" t="e">
        <f t="shared" si="221"/>
        <v>#VALUE!</v>
      </c>
      <c r="P2033" s="247">
        <f t="shared" si="222"/>
        <v>0</v>
      </c>
      <c r="Q2033" s="247" t="e">
        <f t="shared" si="223"/>
        <v>#VALUE!</v>
      </c>
    </row>
    <row r="2034" spans="1:17" ht="15" customHeight="1" x14ac:dyDescent="0.25">
      <c r="A2034" s="244"/>
      <c r="B2034" s="244"/>
      <c r="C2034" s="244"/>
      <c r="D2034" s="244"/>
      <c r="E2034" s="244"/>
      <c r="F2034" s="244"/>
      <c r="G2034" s="244"/>
      <c r="I2034" s="244"/>
      <c r="J2034" s="244"/>
      <c r="K2034" s="246" t="e">
        <f t="shared" si="217"/>
        <v>#VALUE!</v>
      </c>
      <c r="L2034" s="246" t="e">
        <f t="shared" si="218"/>
        <v>#VALUE!</v>
      </c>
      <c r="M2034" s="247" t="e">
        <f t="shared" si="219"/>
        <v>#VALUE!</v>
      </c>
      <c r="N2034" s="246" t="e">
        <f t="shared" si="220"/>
        <v>#VALUE!</v>
      </c>
      <c r="O2034" s="247" t="e">
        <f t="shared" si="221"/>
        <v>#VALUE!</v>
      </c>
      <c r="P2034" s="247">
        <f t="shared" si="222"/>
        <v>0</v>
      </c>
      <c r="Q2034" s="247" t="e">
        <f t="shared" si="223"/>
        <v>#VALUE!</v>
      </c>
    </row>
    <row r="2035" spans="1:17" ht="15" customHeight="1" x14ac:dyDescent="0.25">
      <c r="A2035" s="244"/>
      <c r="B2035" s="244"/>
      <c r="C2035" s="244"/>
      <c r="D2035" s="244"/>
      <c r="E2035" s="244"/>
      <c r="F2035" s="244"/>
      <c r="G2035" s="244"/>
      <c r="I2035" s="244"/>
      <c r="J2035" s="244"/>
      <c r="K2035" s="246" t="e">
        <f t="shared" si="217"/>
        <v>#VALUE!</v>
      </c>
      <c r="L2035" s="246" t="e">
        <f t="shared" si="218"/>
        <v>#VALUE!</v>
      </c>
      <c r="M2035" s="247" t="e">
        <f t="shared" si="219"/>
        <v>#VALUE!</v>
      </c>
      <c r="N2035" s="246" t="e">
        <f t="shared" si="220"/>
        <v>#VALUE!</v>
      </c>
      <c r="O2035" s="247" t="e">
        <f t="shared" si="221"/>
        <v>#VALUE!</v>
      </c>
      <c r="P2035" s="247">
        <f t="shared" si="222"/>
        <v>0</v>
      </c>
      <c r="Q2035" s="247" t="e">
        <f t="shared" si="223"/>
        <v>#VALUE!</v>
      </c>
    </row>
    <row r="2036" spans="1:17" ht="15" customHeight="1" x14ac:dyDescent="0.25">
      <c r="A2036" s="244"/>
      <c r="B2036" s="244"/>
      <c r="C2036" s="244"/>
      <c r="D2036" s="244"/>
      <c r="E2036" s="244"/>
      <c r="F2036" s="244"/>
      <c r="G2036" s="244"/>
      <c r="I2036" s="244"/>
      <c r="J2036" s="244"/>
      <c r="K2036" s="246" t="e">
        <f t="shared" si="217"/>
        <v>#VALUE!</v>
      </c>
      <c r="L2036" s="246" t="e">
        <f t="shared" si="218"/>
        <v>#VALUE!</v>
      </c>
      <c r="M2036" s="247" t="e">
        <f t="shared" si="219"/>
        <v>#VALUE!</v>
      </c>
      <c r="N2036" s="246" t="e">
        <f t="shared" si="220"/>
        <v>#VALUE!</v>
      </c>
      <c r="O2036" s="247" t="e">
        <f t="shared" si="221"/>
        <v>#VALUE!</v>
      </c>
      <c r="P2036" s="247">
        <f t="shared" si="222"/>
        <v>0</v>
      </c>
      <c r="Q2036" s="247" t="e">
        <f t="shared" si="223"/>
        <v>#VALUE!</v>
      </c>
    </row>
    <row r="2037" spans="1:17" ht="15" customHeight="1" x14ac:dyDescent="0.25">
      <c r="A2037" s="244"/>
      <c r="B2037" s="244"/>
      <c r="C2037" s="244"/>
      <c r="D2037" s="244"/>
      <c r="E2037" s="244"/>
      <c r="F2037" s="244"/>
      <c r="G2037" s="244"/>
      <c r="I2037" s="244"/>
      <c r="J2037" s="244"/>
      <c r="K2037" s="246" t="e">
        <f t="shared" si="217"/>
        <v>#VALUE!</v>
      </c>
      <c r="L2037" s="246" t="e">
        <f t="shared" si="218"/>
        <v>#VALUE!</v>
      </c>
      <c r="M2037" s="247" t="e">
        <f t="shared" si="219"/>
        <v>#VALUE!</v>
      </c>
      <c r="N2037" s="246" t="e">
        <f t="shared" si="220"/>
        <v>#VALUE!</v>
      </c>
      <c r="O2037" s="247" t="e">
        <f t="shared" si="221"/>
        <v>#VALUE!</v>
      </c>
      <c r="P2037" s="247">
        <f t="shared" si="222"/>
        <v>0</v>
      </c>
      <c r="Q2037" s="247" t="e">
        <f t="shared" si="223"/>
        <v>#VALUE!</v>
      </c>
    </row>
    <row r="2038" spans="1:17" ht="15" customHeight="1" x14ac:dyDescent="0.25">
      <c r="A2038" s="244"/>
      <c r="B2038" s="244"/>
      <c r="C2038" s="244"/>
      <c r="D2038" s="244"/>
      <c r="E2038" s="244"/>
      <c r="F2038" s="244"/>
      <c r="G2038" s="244"/>
      <c r="I2038" s="244"/>
      <c r="J2038" s="244"/>
      <c r="K2038" s="246" t="e">
        <f t="shared" si="217"/>
        <v>#VALUE!</v>
      </c>
      <c r="L2038" s="246" t="e">
        <f t="shared" si="218"/>
        <v>#VALUE!</v>
      </c>
      <c r="M2038" s="247" t="e">
        <f t="shared" si="219"/>
        <v>#VALUE!</v>
      </c>
      <c r="N2038" s="246" t="e">
        <f t="shared" si="220"/>
        <v>#VALUE!</v>
      </c>
      <c r="O2038" s="247" t="e">
        <f t="shared" si="221"/>
        <v>#VALUE!</v>
      </c>
      <c r="P2038" s="247">
        <f t="shared" si="222"/>
        <v>0</v>
      </c>
      <c r="Q2038" s="247" t="e">
        <f t="shared" si="223"/>
        <v>#VALUE!</v>
      </c>
    </row>
    <row r="2039" spans="1:17" ht="15" customHeight="1" x14ac:dyDescent="0.25">
      <c r="A2039" s="244"/>
      <c r="B2039" s="244"/>
      <c r="C2039" s="244"/>
      <c r="D2039" s="244"/>
      <c r="E2039" s="244"/>
      <c r="F2039" s="244"/>
      <c r="G2039" s="244"/>
      <c r="I2039" s="244"/>
      <c r="J2039" s="244"/>
      <c r="K2039" s="246" t="e">
        <f t="shared" si="217"/>
        <v>#VALUE!</v>
      </c>
      <c r="L2039" s="246" t="e">
        <f t="shared" si="218"/>
        <v>#VALUE!</v>
      </c>
      <c r="M2039" s="247" t="e">
        <f t="shared" si="219"/>
        <v>#VALUE!</v>
      </c>
      <c r="N2039" s="246" t="e">
        <f t="shared" si="220"/>
        <v>#VALUE!</v>
      </c>
      <c r="O2039" s="247" t="e">
        <f t="shared" si="221"/>
        <v>#VALUE!</v>
      </c>
      <c r="P2039" s="247">
        <f t="shared" si="222"/>
        <v>0</v>
      </c>
      <c r="Q2039" s="247" t="e">
        <f t="shared" si="223"/>
        <v>#VALUE!</v>
      </c>
    </row>
    <row r="2040" spans="1:17" ht="15" customHeight="1" x14ac:dyDescent="0.25">
      <c r="A2040" s="244"/>
      <c r="B2040" s="244"/>
      <c r="C2040" s="244"/>
      <c r="D2040" s="244"/>
      <c r="E2040" s="244"/>
      <c r="F2040" s="244"/>
      <c r="G2040" s="244"/>
      <c r="I2040" s="244"/>
      <c r="J2040" s="244"/>
      <c r="K2040" s="246" t="e">
        <f t="shared" si="217"/>
        <v>#VALUE!</v>
      </c>
      <c r="L2040" s="246" t="e">
        <f t="shared" si="218"/>
        <v>#VALUE!</v>
      </c>
      <c r="M2040" s="247" t="e">
        <f t="shared" si="219"/>
        <v>#VALUE!</v>
      </c>
      <c r="N2040" s="246" t="e">
        <f t="shared" si="220"/>
        <v>#VALUE!</v>
      </c>
      <c r="O2040" s="247" t="e">
        <f t="shared" si="221"/>
        <v>#VALUE!</v>
      </c>
      <c r="P2040" s="247">
        <f t="shared" si="222"/>
        <v>0</v>
      </c>
      <c r="Q2040" s="247" t="e">
        <f t="shared" si="223"/>
        <v>#VALUE!</v>
      </c>
    </row>
    <row r="2041" spans="1:17" ht="15" customHeight="1" x14ac:dyDescent="0.25">
      <c r="A2041" s="244"/>
      <c r="B2041" s="244"/>
      <c r="C2041" s="244"/>
      <c r="D2041" s="244"/>
      <c r="E2041" s="244"/>
      <c r="F2041" s="244"/>
      <c r="G2041" s="244"/>
      <c r="I2041" s="244"/>
      <c r="J2041" s="244"/>
      <c r="K2041" s="246" t="e">
        <f t="shared" si="217"/>
        <v>#VALUE!</v>
      </c>
      <c r="L2041" s="246" t="e">
        <f t="shared" si="218"/>
        <v>#VALUE!</v>
      </c>
      <c r="M2041" s="247" t="e">
        <f t="shared" si="219"/>
        <v>#VALUE!</v>
      </c>
      <c r="N2041" s="246" t="e">
        <f t="shared" si="220"/>
        <v>#VALUE!</v>
      </c>
      <c r="O2041" s="247" t="e">
        <f t="shared" si="221"/>
        <v>#VALUE!</v>
      </c>
      <c r="P2041" s="247">
        <f t="shared" si="222"/>
        <v>0</v>
      </c>
      <c r="Q2041" s="247" t="e">
        <f t="shared" si="223"/>
        <v>#VALUE!</v>
      </c>
    </row>
    <row r="2042" spans="1:17" ht="15" customHeight="1" x14ac:dyDescent="0.25">
      <c r="A2042" s="244"/>
      <c r="B2042" s="244"/>
      <c r="C2042" s="244"/>
      <c r="D2042" s="244"/>
      <c r="E2042" s="244"/>
      <c r="F2042" s="244"/>
      <c r="G2042" s="244"/>
      <c r="I2042" s="244"/>
      <c r="J2042" s="244"/>
      <c r="K2042" s="246" t="e">
        <f t="shared" si="217"/>
        <v>#VALUE!</v>
      </c>
      <c r="L2042" s="246" t="e">
        <f t="shared" si="218"/>
        <v>#VALUE!</v>
      </c>
      <c r="M2042" s="247" t="e">
        <f t="shared" si="219"/>
        <v>#VALUE!</v>
      </c>
      <c r="N2042" s="246" t="e">
        <f t="shared" si="220"/>
        <v>#VALUE!</v>
      </c>
      <c r="O2042" s="247" t="e">
        <f t="shared" si="221"/>
        <v>#VALUE!</v>
      </c>
      <c r="P2042" s="247">
        <f t="shared" si="222"/>
        <v>0</v>
      </c>
      <c r="Q2042" s="247" t="e">
        <f t="shared" si="223"/>
        <v>#VALUE!</v>
      </c>
    </row>
    <row r="2043" spans="1:17" ht="15" customHeight="1" x14ac:dyDescent="0.25">
      <c r="A2043" s="244"/>
      <c r="B2043" s="244"/>
      <c r="C2043" s="244"/>
      <c r="D2043" s="244"/>
      <c r="E2043" s="244"/>
      <c r="F2043" s="244"/>
      <c r="G2043" s="244"/>
      <c r="I2043" s="244"/>
      <c r="J2043" s="244"/>
      <c r="K2043" s="246" t="e">
        <f t="shared" si="217"/>
        <v>#VALUE!</v>
      </c>
      <c r="L2043" s="246" t="e">
        <f t="shared" si="218"/>
        <v>#VALUE!</v>
      </c>
      <c r="M2043" s="247" t="e">
        <f t="shared" si="219"/>
        <v>#VALUE!</v>
      </c>
      <c r="N2043" s="246" t="e">
        <f t="shared" si="220"/>
        <v>#VALUE!</v>
      </c>
      <c r="O2043" s="247" t="e">
        <f t="shared" si="221"/>
        <v>#VALUE!</v>
      </c>
      <c r="P2043" s="247">
        <f t="shared" si="222"/>
        <v>0</v>
      </c>
      <c r="Q2043" s="247" t="e">
        <f t="shared" si="223"/>
        <v>#VALUE!</v>
      </c>
    </row>
    <row r="2044" spans="1:17" ht="15" customHeight="1" x14ac:dyDescent="0.25">
      <c r="A2044" s="244"/>
      <c r="B2044" s="244"/>
      <c r="C2044" s="244"/>
      <c r="D2044" s="244"/>
      <c r="E2044" s="244"/>
      <c r="F2044" s="244"/>
      <c r="G2044" s="244"/>
      <c r="I2044" s="244"/>
      <c r="J2044" s="244"/>
      <c r="K2044" s="246" t="e">
        <f t="shared" si="217"/>
        <v>#VALUE!</v>
      </c>
      <c r="L2044" s="246" t="e">
        <f t="shared" si="218"/>
        <v>#VALUE!</v>
      </c>
      <c r="M2044" s="247" t="e">
        <f t="shared" si="219"/>
        <v>#VALUE!</v>
      </c>
      <c r="N2044" s="246" t="e">
        <f t="shared" si="220"/>
        <v>#VALUE!</v>
      </c>
      <c r="O2044" s="247" t="e">
        <f t="shared" si="221"/>
        <v>#VALUE!</v>
      </c>
      <c r="P2044" s="247">
        <f t="shared" si="222"/>
        <v>0</v>
      </c>
      <c r="Q2044" s="247" t="e">
        <f t="shared" si="223"/>
        <v>#VALUE!</v>
      </c>
    </row>
    <row r="2045" spans="1:17" ht="15" customHeight="1" x14ac:dyDescent="0.25">
      <c r="A2045" s="244"/>
      <c r="B2045" s="244"/>
      <c r="C2045" s="244"/>
      <c r="D2045" s="244"/>
      <c r="E2045" s="244"/>
      <c r="F2045" s="244"/>
      <c r="G2045" s="244"/>
      <c r="I2045" s="244"/>
      <c r="J2045" s="244"/>
      <c r="K2045" s="246" t="e">
        <f t="shared" si="217"/>
        <v>#VALUE!</v>
      </c>
      <c r="L2045" s="246" t="e">
        <f t="shared" si="218"/>
        <v>#VALUE!</v>
      </c>
      <c r="M2045" s="247" t="e">
        <f t="shared" si="219"/>
        <v>#VALUE!</v>
      </c>
      <c r="N2045" s="246" t="e">
        <f t="shared" si="220"/>
        <v>#VALUE!</v>
      </c>
      <c r="O2045" s="247" t="e">
        <f t="shared" si="221"/>
        <v>#VALUE!</v>
      </c>
      <c r="P2045" s="247">
        <f t="shared" si="222"/>
        <v>0</v>
      </c>
      <c r="Q2045" s="247" t="e">
        <f t="shared" si="223"/>
        <v>#VALUE!</v>
      </c>
    </row>
    <row r="2046" spans="1:17" ht="15" customHeight="1" x14ac:dyDescent="0.25">
      <c r="A2046" s="244"/>
      <c r="B2046" s="244"/>
      <c r="C2046" s="244"/>
      <c r="D2046" s="244"/>
      <c r="E2046" s="244"/>
      <c r="F2046" s="244"/>
      <c r="G2046" s="244"/>
      <c r="I2046" s="244"/>
      <c r="J2046" s="244"/>
      <c r="K2046" s="246" t="e">
        <f t="shared" si="217"/>
        <v>#VALUE!</v>
      </c>
      <c r="L2046" s="246" t="e">
        <f t="shared" si="218"/>
        <v>#VALUE!</v>
      </c>
      <c r="M2046" s="247" t="e">
        <f t="shared" si="219"/>
        <v>#VALUE!</v>
      </c>
      <c r="N2046" s="246" t="e">
        <f t="shared" si="220"/>
        <v>#VALUE!</v>
      </c>
      <c r="O2046" s="247" t="e">
        <f t="shared" si="221"/>
        <v>#VALUE!</v>
      </c>
      <c r="P2046" s="247">
        <f t="shared" si="222"/>
        <v>0</v>
      </c>
      <c r="Q2046" s="247" t="e">
        <f t="shared" si="223"/>
        <v>#VALUE!</v>
      </c>
    </row>
    <row r="2047" spans="1:17" ht="15" customHeight="1" x14ac:dyDescent="0.25">
      <c r="A2047" s="244"/>
      <c r="B2047" s="244"/>
      <c r="C2047" s="244"/>
      <c r="D2047" s="244"/>
      <c r="E2047" s="244"/>
      <c r="F2047" s="244"/>
      <c r="G2047" s="244"/>
      <c r="I2047" s="244"/>
      <c r="J2047" s="244"/>
      <c r="K2047" s="246" t="e">
        <f t="shared" si="217"/>
        <v>#VALUE!</v>
      </c>
      <c r="L2047" s="246" t="e">
        <f t="shared" si="218"/>
        <v>#VALUE!</v>
      </c>
      <c r="M2047" s="247" t="e">
        <f t="shared" si="219"/>
        <v>#VALUE!</v>
      </c>
      <c r="N2047" s="246" t="e">
        <f t="shared" si="220"/>
        <v>#VALUE!</v>
      </c>
      <c r="O2047" s="247" t="e">
        <f t="shared" si="221"/>
        <v>#VALUE!</v>
      </c>
      <c r="P2047" s="247">
        <f t="shared" si="222"/>
        <v>0</v>
      </c>
      <c r="Q2047" s="247" t="e">
        <f t="shared" si="223"/>
        <v>#VALUE!</v>
      </c>
    </row>
    <row r="2048" spans="1:17" ht="15" customHeight="1" x14ac:dyDescent="0.25">
      <c r="A2048" s="244"/>
      <c r="B2048" s="244"/>
      <c r="C2048" s="244"/>
      <c r="D2048" s="244"/>
      <c r="E2048" s="244"/>
      <c r="F2048" s="244"/>
      <c r="G2048" s="244"/>
      <c r="I2048" s="244"/>
      <c r="J2048" s="244"/>
      <c r="K2048" s="246" t="e">
        <f t="shared" si="217"/>
        <v>#VALUE!</v>
      </c>
      <c r="L2048" s="246" t="e">
        <f t="shared" si="218"/>
        <v>#VALUE!</v>
      </c>
      <c r="M2048" s="247" t="e">
        <f t="shared" si="219"/>
        <v>#VALUE!</v>
      </c>
      <c r="N2048" s="246" t="e">
        <f t="shared" si="220"/>
        <v>#VALUE!</v>
      </c>
      <c r="O2048" s="247" t="e">
        <f t="shared" si="221"/>
        <v>#VALUE!</v>
      </c>
      <c r="P2048" s="247">
        <f t="shared" si="222"/>
        <v>0</v>
      </c>
      <c r="Q2048" s="247" t="e">
        <f t="shared" si="223"/>
        <v>#VALUE!</v>
      </c>
    </row>
    <row r="2049" spans="1:17" ht="15" customHeight="1" x14ac:dyDescent="0.25">
      <c r="A2049" s="244"/>
      <c r="B2049" s="244"/>
      <c r="C2049" s="244"/>
      <c r="D2049" s="244"/>
      <c r="E2049" s="244"/>
      <c r="F2049" s="244"/>
      <c r="G2049" s="244"/>
      <c r="I2049" s="244"/>
      <c r="J2049" s="244"/>
      <c r="K2049" s="246" t="e">
        <f t="shared" si="217"/>
        <v>#VALUE!</v>
      </c>
      <c r="L2049" s="246" t="e">
        <f t="shared" si="218"/>
        <v>#VALUE!</v>
      </c>
      <c r="M2049" s="247" t="e">
        <f t="shared" si="219"/>
        <v>#VALUE!</v>
      </c>
      <c r="N2049" s="246" t="e">
        <f t="shared" si="220"/>
        <v>#VALUE!</v>
      </c>
      <c r="O2049" s="247" t="e">
        <f t="shared" si="221"/>
        <v>#VALUE!</v>
      </c>
      <c r="P2049" s="247">
        <f t="shared" si="222"/>
        <v>0</v>
      </c>
      <c r="Q2049" s="247" t="e">
        <f t="shared" si="223"/>
        <v>#VALUE!</v>
      </c>
    </row>
    <row r="2050" spans="1:17" ht="15" customHeight="1" x14ac:dyDescent="0.25">
      <c r="A2050" s="244"/>
      <c r="B2050" s="244"/>
      <c r="C2050" s="244"/>
      <c r="D2050" s="244"/>
      <c r="E2050" s="244"/>
      <c r="F2050" s="244"/>
      <c r="G2050" s="244"/>
      <c r="I2050" s="244"/>
      <c r="J2050" s="244"/>
      <c r="K2050" s="246" t="e">
        <f t="shared" ref="K2050:K2113" si="224">DATE(VALUE(LEFT(A2050,4)),VALUE(MID(A2050,5,2)),VALUE(RIGHT(A2050,2)))</f>
        <v>#VALUE!</v>
      </c>
      <c r="L2050" s="246" t="e">
        <f t="shared" ref="L2050:L2113" si="225">DATEVALUE(LEFT(F2050,10))</f>
        <v>#VALUE!</v>
      </c>
      <c r="M2050" s="247" t="e">
        <f t="shared" ref="M2050:M2113" si="226">TIMEVALUE(MID(F2050,12,8))</f>
        <v>#VALUE!</v>
      </c>
      <c r="N2050" s="246" t="e">
        <f t="shared" ref="N2050:N2113" si="227">DATEVALUE(LEFT(G2050,10))</f>
        <v>#VALUE!</v>
      </c>
      <c r="O2050" s="247" t="e">
        <f t="shared" ref="O2050:O2113" si="228">TIMEVALUE(MID(G2050,12,8))</f>
        <v>#VALUE!</v>
      </c>
      <c r="P2050" s="247">
        <f t="shared" ref="P2050:P2113" si="229">IFERROR(_xlfn.MINIFS($M:$M,$E:$E,$E2050,$K:$K,$K2050,$M:$M,"&gt;"&amp;$O2050),"")</f>
        <v>0</v>
      </c>
      <c r="Q2050" s="247" t="e">
        <f t="shared" ref="Q2050:Q2113" si="230">IF($P2050="","",$P2050-$O2050)</f>
        <v>#VALUE!</v>
      </c>
    </row>
    <row r="2051" spans="1:17" ht="15" customHeight="1" x14ac:dyDescent="0.25">
      <c r="A2051" s="244"/>
      <c r="B2051" s="244"/>
      <c r="C2051" s="244"/>
      <c r="D2051" s="244"/>
      <c r="E2051" s="244"/>
      <c r="F2051" s="244"/>
      <c r="G2051" s="244"/>
      <c r="I2051" s="244"/>
      <c r="J2051" s="244"/>
      <c r="K2051" s="246" t="e">
        <f t="shared" si="224"/>
        <v>#VALUE!</v>
      </c>
      <c r="L2051" s="246" t="e">
        <f t="shared" si="225"/>
        <v>#VALUE!</v>
      </c>
      <c r="M2051" s="247" t="e">
        <f t="shared" si="226"/>
        <v>#VALUE!</v>
      </c>
      <c r="N2051" s="246" t="e">
        <f t="shared" si="227"/>
        <v>#VALUE!</v>
      </c>
      <c r="O2051" s="247" t="e">
        <f t="shared" si="228"/>
        <v>#VALUE!</v>
      </c>
      <c r="P2051" s="247">
        <f t="shared" si="229"/>
        <v>0</v>
      </c>
      <c r="Q2051" s="247" t="e">
        <f t="shared" si="230"/>
        <v>#VALUE!</v>
      </c>
    </row>
    <row r="2052" spans="1:17" ht="15" customHeight="1" x14ac:dyDescent="0.25">
      <c r="A2052" s="244"/>
      <c r="B2052" s="244"/>
      <c r="C2052" s="244"/>
      <c r="D2052" s="244"/>
      <c r="E2052" s="244"/>
      <c r="F2052" s="244"/>
      <c r="G2052" s="244"/>
      <c r="I2052" s="244"/>
      <c r="J2052" s="244"/>
      <c r="K2052" s="246" t="e">
        <f t="shared" si="224"/>
        <v>#VALUE!</v>
      </c>
      <c r="L2052" s="246" t="e">
        <f t="shared" si="225"/>
        <v>#VALUE!</v>
      </c>
      <c r="M2052" s="247" t="e">
        <f t="shared" si="226"/>
        <v>#VALUE!</v>
      </c>
      <c r="N2052" s="246" t="e">
        <f t="shared" si="227"/>
        <v>#VALUE!</v>
      </c>
      <c r="O2052" s="247" t="e">
        <f t="shared" si="228"/>
        <v>#VALUE!</v>
      </c>
      <c r="P2052" s="247">
        <f t="shared" si="229"/>
        <v>0</v>
      </c>
      <c r="Q2052" s="247" t="e">
        <f t="shared" si="230"/>
        <v>#VALUE!</v>
      </c>
    </row>
    <row r="2053" spans="1:17" ht="15" customHeight="1" x14ac:dyDescent="0.25">
      <c r="A2053" s="244"/>
      <c r="B2053" s="244"/>
      <c r="C2053" s="244"/>
      <c r="D2053" s="244"/>
      <c r="E2053" s="244"/>
      <c r="F2053" s="244"/>
      <c r="G2053" s="244"/>
      <c r="I2053" s="244"/>
      <c r="J2053" s="244"/>
      <c r="K2053" s="246" t="e">
        <f t="shared" si="224"/>
        <v>#VALUE!</v>
      </c>
      <c r="L2053" s="246" t="e">
        <f t="shared" si="225"/>
        <v>#VALUE!</v>
      </c>
      <c r="M2053" s="247" t="e">
        <f t="shared" si="226"/>
        <v>#VALUE!</v>
      </c>
      <c r="N2053" s="246" t="e">
        <f t="shared" si="227"/>
        <v>#VALUE!</v>
      </c>
      <c r="O2053" s="247" t="e">
        <f t="shared" si="228"/>
        <v>#VALUE!</v>
      </c>
      <c r="P2053" s="247">
        <f t="shared" si="229"/>
        <v>0</v>
      </c>
      <c r="Q2053" s="247" t="e">
        <f t="shared" si="230"/>
        <v>#VALUE!</v>
      </c>
    </row>
    <row r="2054" spans="1:17" ht="15" customHeight="1" x14ac:dyDescent="0.25">
      <c r="A2054" s="244"/>
      <c r="B2054" s="244"/>
      <c r="C2054" s="244"/>
      <c r="D2054" s="244"/>
      <c r="E2054" s="244"/>
      <c r="F2054" s="244"/>
      <c r="G2054" s="244"/>
      <c r="I2054" s="244"/>
      <c r="J2054" s="244"/>
      <c r="K2054" s="246" t="e">
        <f t="shared" si="224"/>
        <v>#VALUE!</v>
      </c>
      <c r="L2054" s="246" t="e">
        <f t="shared" si="225"/>
        <v>#VALUE!</v>
      </c>
      <c r="M2054" s="247" t="e">
        <f t="shared" si="226"/>
        <v>#VALUE!</v>
      </c>
      <c r="N2054" s="246" t="e">
        <f t="shared" si="227"/>
        <v>#VALUE!</v>
      </c>
      <c r="O2054" s="247" t="e">
        <f t="shared" si="228"/>
        <v>#VALUE!</v>
      </c>
      <c r="P2054" s="247">
        <f t="shared" si="229"/>
        <v>0</v>
      </c>
      <c r="Q2054" s="247" t="e">
        <f t="shared" si="230"/>
        <v>#VALUE!</v>
      </c>
    </row>
    <row r="2055" spans="1:17" ht="15" customHeight="1" x14ac:dyDescent="0.25">
      <c r="A2055" s="244"/>
      <c r="B2055" s="244"/>
      <c r="C2055" s="244"/>
      <c r="D2055" s="244"/>
      <c r="E2055" s="244"/>
      <c r="F2055" s="244"/>
      <c r="G2055" s="244"/>
      <c r="I2055" s="244"/>
      <c r="J2055" s="244"/>
      <c r="K2055" s="246" t="e">
        <f t="shared" si="224"/>
        <v>#VALUE!</v>
      </c>
      <c r="L2055" s="246" t="e">
        <f t="shared" si="225"/>
        <v>#VALUE!</v>
      </c>
      <c r="M2055" s="247" t="e">
        <f t="shared" si="226"/>
        <v>#VALUE!</v>
      </c>
      <c r="N2055" s="246" t="e">
        <f t="shared" si="227"/>
        <v>#VALUE!</v>
      </c>
      <c r="O2055" s="247" t="e">
        <f t="shared" si="228"/>
        <v>#VALUE!</v>
      </c>
      <c r="P2055" s="247">
        <f t="shared" si="229"/>
        <v>0</v>
      </c>
      <c r="Q2055" s="247" t="e">
        <f t="shared" si="230"/>
        <v>#VALUE!</v>
      </c>
    </row>
    <row r="2056" spans="1:17" ht="15" customHeight="1" x14ac:dyDescent="0.25">
      <c r="A2056" s="244"/>
      <c r="B2056" s="244"/>
      <c r="C2056" s="244"/>
      <c r="D2056" s="244"/>
      <c r="E2056" s="244"/>
      <c r="F2056" s="244"/>
      <c r="G2056" s="244"/>
      <c r="I2056" s="244"/>
      <c r="J2056" s="244"/>
      <c r="K2056" s="246" t="e">
        <f t="shared" si="224"/>
        <v>#VALUE!</v>
      </c>
      <c r="L2056" s="246" t="e">
        <f t="shared" si="225"/>
        <v>#VALUE!</v>
      </c>
      <c r="M2056" s="247" t="e">
        <f t="shared" si="226"/>
        <v>#VALUE!</v>
      </c>
      <c r="N2056" s="246" t="e">
        <f t="shared" si="227"/>
        <v>#VALUE!</v>
      </c>
      <c r="O2056" s="247" t="e">
        <f t="shared" si="228"/>
        <v>#VALUE!</v>
      </c>
      <c r="P2056" s="247">
        <f t="shared" si="229"/>
        <v>0</v>
      </c>
      <c r="Q2056" s="247" t="e">
        <f t="shared" si="230"/>
        <v>#VALUE!</v>
      </c>
    </row>
    <row r="2057" spans="1:17" ht="15" customHeight="1" x14ac:dyDescent="0.25">
      <c r="A2057" s="244"/>
      <c r="B2057" s="244"/>
      <c r="C2057" s="244"/>
      <c r="D2057" s="244"/>
      <c r="E2057" s="244"/>
      <c r="F2057" s="244"/>
      <c r="G2057" s="244"/>
      <c r="I2057" s="244"/>
      <c r="J2057" s="244"/>
      <c r="K2057" s="246" t="e">
        <f t="shared" si="224"/>
        <v>#VALUE!</v>
      </c>
      <c r="L2057" s="246" t="e">
        <f t="shared" si="225"/>
        <v>#VALUE!</v>
      </c>
      <c r="M2057" s="247" t="e">
        <f t="shared" si="226"/>
        <v>#VALUE!</v>
      </c>
      <c r="N2057" s="246" t="e">
        <f t="shared" si="227"/>
        <v>#VALUE!</v>
      </c>
      <c r="O2057" s="247" t="e">
        <f t="shared" si="228"/>
        <v>#VALUE!</v>
      </c>
      <c r="P2057" s="247">
        <f t="shared" si="229"/>
        <v>0</v>
      </c>
      <c r="Q2057" s="247" t="e">
        <f t="shared" si="230"/>
        <v>#VALUE!</v>
      </c>
    </row>
    <row r="2058" spans="1:17" ht="15" customHeight="1" x14ac:dyDescent="0.25">
      <c r="A2058" s="244"/>
      <c r="B2058" s="244"/>
      <c r="C2058" s="244"/>
      <c r="D2058" s="244"/>
      <c r="E2058" s="244"/>
      <c r="F2058" s="244"/>
      <c r="G2058" s="244"/>
      <c r="I2058" s="244"/>
      <c r="J2058" s="244"/>
      <c r="K2058" s="246" t="e">
        <f t="shared" si="224"/>
        <v>#VALUE!</v>
      </c>
      <c r="L2058" s="246" t="e">
        <f t="shared" si="225"/>
        <v>#VALUE!</v>
      </c>
      <c r="M2058" s="247" t="e">
        <f t="shared" si="226"/>
        <v>#VALUE!</v>
      </c>
      <c r="N2058" s="246" t="e">
        <f t="shared" si="227"/>
        <v>#VALUE!</v>
      </c>
      <c r="O2058" s="247" t="e">
        <f t="shared" si="228"/>
        <v>#VALUE!</v>
      </c>
      <c r="P2058" s="247">
        <f t="shared" si="229"/>
        <v>0</v>
      </c>
      <c r="Q2058" s="247" t="e">
        <f t="shared" si="230"/>
        <v>#VALUE!</v>
      </c>
    </row>
    <row r="2059" spans="1:17" ht="15" customHeight="1" x14ac:dyDescent="0.25">
      <c r="A2059" s="244"/>
      <c r="B2059" s="244"/>
      <c r="C2059" s="244"/>
      <c r="D2059" s="244"/>
      <c r="E2059" s="244"/>
      <c r="F2059" s="244"/>
      <c r="G2059" s="244"/>
      <c r="I2059" s="244"/>
      <c r="J2059" s="244"/>
      <c r="K2059" s="246" t="e">
        <f t="shared" si="224"/>
        <v>#VALUE!</v>
      </c>
      <c r="L2059" s="246" t="e">
        <f t="shared" si="225"/>
        <v>#VALUE!</v>
      </c>
      <c r="M2059" s="247" t="e">
        <f t="shared" si="226"/>
        <v>#VALUE!</v>
      </c>
      <c r="N2059" s="246" t="e">
        <f t="shared" si="227"/>
        <v>#VALUE!</v>
      </c>
      <c r="O2059" s="247" t="e">
        <f t="shared" si="228"/>
        <v>#VALUE!</v>
      </c>
      <c r="P2059" s="247">
        <f t="shared" si="229"/>
        <v>0</v>
      </c>
      <c r="Q2059" s="247" t="e">
        <f t="shared" si="230"/>
        <v>#VALUE!</v>
      </c>
    </row>
    <row r="2060" spans="1:17" ht="15" customHeight="1" x14ac:dyDescent="0.25">
      <c r="A2060" s="244"/>
      <c r="B2060" s="244"/>
      <c r="C2060" s="244"/>
      <c r="D2060" s="244"/>
      <c r="E2060" s="244"/>
      <c r="F2060" s="244"/>
      <c r="G2060" s="244"/>
      <c r="I2060" s="244"/>
      <c r="J2060" s="244"/>
      <c r="K2060" s="246" t="e">
        <f t="shared" si="224"/>
        <v>#VALUE!</v>
      </c>
      <c r="L2060" s="246" t="e">
        <f t="shared" si="225"/>
        <v>#VALUE!</v>
      </c>
      <c r="M2060" s="247" t="e">
        <f t="shared" si="226"/>
        <v>#VALUE!</v>
      </c>
      <c r="N2060" s="246" t="e">
        <f t="shared" si="227"/>
        <v>#VALUE!</v>
      </c>
      <c r="O2060" s="247" t="e">
        <f t="shared" si="228"/>
        <v>#VALUE!</v>
      </c>
      <c r="P2060" s="247">
        <f t="shared" si="229"/>
        <v>0</v>
      </c>
      <c r="Q2060" s="247" t="e">
        <f t="shared" si="230"/>
        <v>#VALUE!</v>
      </c>
    </row>
    <row r="2061" spans="1:17" ht="15" customHeight="1" x14ac:dyDescent="0.25">
      <c r="A2061" s="244"/>
      <c r="B2061" s="244"/>
      <c r="C2061" s="244"/>
      <c r="D2061" s="244"/>
      <c r="E2061" s="244"/>
      <c r="F2061" s="244"/>
      <c r="G2061" s="244"/>
      <c r="I2061" s="244"/>
      <c r="J2061" s="244"/>
      <c r="K2061" s="246" t="e">
        <f t="shared" si="224"/>
        <v>#VALUE!</v>
      </c>
      <c r="L2061" s="246" t="e">
        <f t="shared" si="225"/>
        <v>#VALUE!</v>
      </c>
      <c r="M2061" s="247" t="e">
        <f t="shared" si="226"/>
        <v>#VALUE!</v>
      </c>
      <c r="N2061" s="246" t="e">
        <f t="shared" si="227"/>
        <v>#VALUE!</v>
      </c>
      <c r="O2061" s="247" t="e">
        <f t="shared" si="228"/>
        <v>#VALUE!</v>
      </c>
      <c r="P2061" s="247">
        <f t="shared" si="229"/>
        <v>0</v>
      </c>
      <c r="Q2061" s="247" t="e">
        <f t="shared" si="230"/>
        <v>#VALUE!</v>
      </c>
    </row>
    <row r="2062" spans="1:17" ht="15" customHeight="1" x14ac:dyDescent="0.25">
      <c r="A2062" s="244"/>
      <c r="B2062" s="244"/>
      <c r="C2062" s="244"/>
      <c r="D2062" s="244"/>
      <c r="E2062" s="244"/>
      <c r="F2062" s="244"/>
      <c r="G2062" s="244"/>
      <c r="I2062" s="244"/>
      <c r="J2062" s="244"/>
      <c r="K2062" s="246" t="e">
        <f t="shared" si="224"/>
        <v>#VALUE!</v>
      </c>
      <c r="L2062" s="246" t="e">
        <f t="shared" si="225"/>
        <v>#VALUE!</v>
      </c>
      <c r="M2062" s="247" t="e">
        <f t="shared" si="226"/>
        <v>#VALUE!</v>
      </c>
      <c r="N2062" s="246" t="e">
        <f t="shared" si="227"/>
        <v>#VALUE!</v>
      </c>
      <c r="O2062" s="247" t="e">
        <f t="shared" si="228"/>
        <v>#VALUE!</v>
      </c>
      <c r="P2062" s="247">
        <f t="shared" si="229"/>
        <v>0</v>
      </c>
      <c r="Q2062" s="247" t="e">
        <f t="shared" si="230"/>
        <v>#VALUE!</v>
      </c>
    </row>
    <row r="2063" spans="1:17" ht="15" customHeight="1" x14ac:dyDescent="0.25">
      <c r="A2063" s="244"/>
      <c r="B2063" s="244"/>
      <c r="C2063" s="244"/>
      <c r="D2063" s="244"/>
      <c r="E2063" s="244"/>
      <c r="F2063" s="244"/>
      <c r="G2063" s="244"/>
      <c r="I2063" s="244"/>
      <c r="J2063" s="244"/>
      <c r="K2063" s="246" t="e">
        <f t="shared" si="224"/>
        <v>#VALUE!</v>
      </c>
      <c r="L2063" s="246" t="e">
        <f t="shared" si="225"/>
        <v>#VALUE!</v>
      </c>
      <c r="M2063" s="247" t="e">
        <f t="shared" si="226"/>
        <v>#VALUE!</v>
      </c>
      <c r="N2063" s="246" t="e">
        <f t="shared" si="227"/>
        <v>#VALUE!</v>
      </c>
      <c r="O2063" s="247" t="e">
        <f t="shared" si="228"/>
        <v>#VALUE!</v>
      </c>
      <c r="P2063" s="247">
        <f t="shared" si="229"/>
        <v>0</v>
      </c>
      <c r="Q2063" s="247" t="e">
        <f t="shared" si="230"/>
        <v>#VALUE!</v>
      </c>
    </row>
    <row r="2064" spans="1:17" ht="15" customHeight="1" x14ac:dyDescent="0.25">
      <c r="A2064" s="244"/>
      <c r="B2064" s="244"/>
      <c r="C2064" s="244"/>
      <c r="D2064" s="244"/>
      <c r="E2064" s="244"/>
      <c r="F2064" s="244"/>
      <c r="G2064" s="244"/>
      <c r="I2064" s="244"/>
      <c r="J2064" s="244"/>
      <c r="K2064" s="246" t="e">
        <f t="shared" si="224"/>
        <v>#VALUE!</v>
      </c>
      <c r="L2064" s="246" t="e">
        <f t="shared" si="225"/>
        <v>#VALUE!</v>
      </c>
      <c r="M2064" s="247" t="e">
        <f t="shared" si="226"/>
        <v>#VALUE!</v>
      </c>
      <c r="N2064" s="246" t="e">
        <f t="shared" si="227"/>
        <v>#VALUE!</v>
      </c>
      <c r="O2064" s="247" t="e">
        <f t="shared" si="228"/>
        <v>#VALUE!</v>
      </c>
      <c r="P2064" s="247">
        <f t="shared" si="229"/>
        <v>0</v>
      </c>
      <c r="Q2064" s="247" t="e">
        <f t="shared" si="230"/>
        <v>#VALUE!</v>
      </c>
    </row>
    <row r="2065" spans="1:17" ht="15" customHeight="1" x14ac:dyDescent="0.25">
      <c r="A2065" s="244"/>
      <c r="B2065" s="244"/>
      <c r="C2065" s="244"/>
      <c r="D2065" s="244"/>
      <c r="E2065" s="244"/>
      <c r="F2065" s="244"/>
      <c r="G2065" s="244"/>
      <c r="I2065" s="244"/>
      <c r="J2065" s="244"/>
      <c r="K2065" s="246" t="e">
        <f t="shared" si="224"/>
        <v>#VALUE!</v>
      </c>
      <c r="L2065" s="246" t="e">
        <f t="shared" si="225"/>
        <v>#VALUE!</v>
      </c>
      <c r="M2065" s="247" t="e">
        <f t="shared" si="226"/>
        <v>#VALUE!</v>
      </c>
      <c r="N2065" s="246" t="e">
        <f t="shared" si="227"/>
        <v>#VALUE!</v>
      </c>
      <c r="O2065" s="247" t="e">
        <f t="shared" si="228"/>
        <v>#VALUE!</v>
      </c>
      <c r="P2065" s="247">
        <f t="shared" si="229"/>
        <v>0</v>
      </c>
      <c r="Q2065" s="247" t="e">
        <f t="shared" si="230"/>
        <v>#VALUE!</v>
      </c>
    </row>
    <row r="2066" spans="1:17" ht="15" customHeight="1" x14ac:dyDescent="0.25">
      <c r="A2066" s="244"/>
      <c r="B2066" s="244"/>
      <c r="C2066" s="244"/>
      <c r="D2066" s="244"/>
      <c r="E2066" s="244"/>
      <c r="F2066" s="244"/>
      <c r="G2066" s="244"/>
      <c r="I2066" s="244"/>
      <c r="J2066" s="244"/>
      <c r="K2066" s="246" t="e">
        <f t="shared" si="224"/>
        <v>#VALUE!</v>
      </c>
      <c r="L2066" s="246" t="e">
        <f t="shared" si="225"/>
        <v>#VALUE!</v>
      </c>
      <c r="M2066" s="247" t="e">
        <f t="shared" si="226"/>
        <v>#VALUE!</v>
      </c>
      <c r="N2066" s="246" t="e">
        <f t="shared" si="227"/>
        <v>#VALUE!</v>
      </c>
      <c r="O2066" s="247" t="e">
        <f t="shared" si="228"/>
        <v>#VALUE!</v>
      </c>
      <c r="P2066" s="247">
        <f t="shared" si="229"/>
        <v>0</v>
      </c>
      <c r="Q2066" s="247" t="e">
        <f t="shared" si="230"/>
        <v>#VALUE!</v>
      </c>
    </row>
    <row r="2067" spans="1:17" ht="15" customHeight="1" x14ac:dyDescent="0.25">
      <c r="A2067" s="244"/>
      <c r="B2067" s="244"/>
      <c r="C2067" s="244"/>
      <c r="D2067" s="244"/>
      <c r="E2067" s="244"/>
      <c r="F2067" s="244"/>
      <c r="G2067" s="244"/>
      <c r="I2067" s="244"/>
      <c r="J2067" s="244"/>
      <c r="K2067" s="246" t="e">
        <f t="shared" si="224"/>
        <v>#VALUE!</v>
      </c>
      <c r="L2067" s="246" t="e">
        <f t="shared" si="225"/>
        <v>#VALUE!</v>
      </c>
      <c r="M2067" s="247" t="e">
        <f t="shared" si="226"/>
        <v>#VALUE!</v>
      </c>
      <c r="N2067" s="246" t="e">
        <f t="shared" si="227"/>
        <v>#VALUE!</v>
      </c>
      <c r="O2067" s="247" t="e">
        <f t="shared" si="228"/>
        <v>#VALUE!</v>
      </c>
      <c r="P2067" s="247">
        <f t="shared" si="229"/>
        <v>0</v>
      </c>
      <c r="Q2067" s="247" t="e">
        <f t="shared" si="230"/>
        <v>#VALUE!</v>
      </c>
    </row>
    <row r="2068" spans="1:17" ht="15" customHeight="1" x14ac:dyDescent="0.25">
      <c r="A2068" s="244"/>
      <c r="B2068" s="244"/>
      <c r="C2068" s="244"/>
      <c r="D2068" s="244"/>
      <c r="E2068" s="244"/>
      <c r="F2068" s="244"/>
      <c r="G2068" s="244"/>
      <c r="I2068" s="244"/>
      <c r="J2068" s="244"/>
      <c r="K2068" s="246" t="e">
        <f t="shared" si="224"/>
        <v>#VALUE!</v>
      </c>
      <c r="L2068" s="246" t="e">
        <f t="shared" si="225"/>
        <v>#VALUE!</v>
      </c>
      <c r="M2068" s="247" t="e">
        <f t="shared" si="226"/>
        <v>#VALUE!</v>
      </c>
      <c r="N2068" s="246" t="e">
        <f t="shared" si="227"/>
        <v>#VALUE!</v>
      </c>
      <c r="O2068" s="247" t="e">
        <f t="shared" si="228"/>
        <v>#VALUE!</v>
      </c>
      <c r="P2068" s="247">
        <f t="shared" si="229"/>
        <v>0</v>
      </c>
      <c r="Q2068" s="247" t="e">
        <f t="shared" si="230"/>
        <v>#VALUE!</v>
      </c>
    </row>
    <row r="2069" spans="1:17" ht="15" customHeight="1" x14ac:dyDescent="0.25">
      <c r="A2069" s="244"/>
      <c r="B2069" s="244"/>
      <c r="C2069" s="244"/>
      <c r="D2069" s="244"/>
      <c r="E2069" s="244"/>
      <c r="F2069" s="244"/>
      <c r="G2069" s="244"/>
      <c r="I2069" s="244"/>
      <c r="J2069" s="244"/>
      <c r="K2069" s="246" t="e">
        <f t="shared" si="224"/>
        <v>#VALUE!</v>
      </c>
      <c r="L2069" s="246" t="e">
        <f t="shared" si="225"/>
        <v>#VALUE!</v>
      </c>
      <c r="M2069" s="247" t="e">
        <f t="shared" si="226"/>
        <v>#VALUE!</v>
      </c>
      <c r="N2069" s="246" t="e">
        <f t="shared" si="227"/>
        <v>#VALUE!</v>
      </c>
      <c r="O2069" s="247" t="e">
        <f t="shared" si="228"/>
        <v>#VALUE!</v>
      </c>
      <c r="P2069" s="247">
        <f t="shared" si="229"/>
        <v>0</v>
      </c>
      <c r="Q2069" s="247" t="e">
        <f t="shared" si="230"/>
        <v>#VALUE!</v>
      </c>
    </row>
    <row r="2070" spans="1:17" ht="15" customHeight="1" x14ac:dyDescent="0.25">
      <c r="A2070" s="244"/>
      <c r="B2070" s="244"/>
      <c r="C2070" s="244"/>
      <c r="D2070" s="244"/>
      <c r="E2070" s="244"/>
      <c r="F2070" s="244"/>
      <c r="G2070" s="244"/>
      <c r="I2070" s="244"/>
      <c r="J2070" s="244"/>
      <c r="K2070" s="246" t="e">
        <f t="shared" si="224"/>
        <v>#VALUE!</v>
      </c>
      <c r="L2070" s="246" t="e">
        <f t="shared" si="225"/>
        <v>#VALUE!</v>
      </c>
      <c r="M2070" s="247" t="e">
        <f t="shared" si="226"/>
        <v>#VALUE!</v>
      </c>
      <c r="N2070" s="246" t="e">
        <f t="shared" si="227"/>
        <v>#VALUE!</v>
      </c>
      <c r="O2070" s="247" t="e">
        <f t="shared" si="228"/>
        <v>#VALUE!</v>
      </c>
      <c r="P2070" s="247">
        <f t="shared" si="229"/>
        <v>0</v>
      </c>
      <c r="Q2070" s="247" t="e">
        <f t="shared" si="230"/>
        <v>#VALUE!</v>
      </c>
    </row>
    <row r="2071" spans="1:17" ht="15" customHeight="1" x14ac:dyDescent="0.25">
      <c r="A2071" s="244"/>
      <c r="B2071" s="244"/>
      <c r="C2071" s="244"/>
      <c r="D2071" s="244"/>
      <c r="E2071" s="244"/>
      <c r="F2071" s="244"/>
      <c r="G2071" s="244"/>
      <c r="I2071" s="244"/>
      <c r="J2071" s="244"/>
      <c r="K2071" s="246" t="e">
        <f t="shared" si="224"/>
        <v>#VALUE!</v>
      </c>
      <c r="L2071" s="246" t="e">
        <f t="shared" si="225"/>
        <v>#VALUE!</v>
      </c>
      <c r="M2071" s="247" t="e">
        <f t="shared" si="226"/>
        <v>#VALUE!</v>
      </c>
      <c r="N2071" s="246" t="e">
        <f t="shared" si="227"/>
        <v>#VALUE!</v>
      </c>
      <c r="O2071" s="247" t="e">
        <f t="shared" si="228"/>
        <v>#VALUE!</v>
      </c>
      <c r="P2071" s="247">
        <f t="shared" si="229"/>
        <v>0</v>
      </c>
      <c r="Q2071" s="247" t="e">
        <f t="shared" si="230"/>
        <v>#VALUE!</v>
      </c>
    </row>
    <row r="2072" spans="1:17" ht="15" customHeight="1" x14ac:dyDescent="0.25">
      <c r="A2072" s="244"/>
      <c r="B2072" s="244"/>
      <c r="C2072" s="244"/>
      <c r="D2072" s="244"/>
      <c r="E2072" s="244"/>
      <c r="F2072" s="244"/>
      <c r="G2072" s="244"/>
      <c r="I2072" s="244"/>
      <c r="J2072" s="244"/>
      <c r="K2072" s="246" t="e">
        <f t="shared" si="224"/>
        <v>#VALUE!</v>
      </c>
      <c r="L2072" s="246" t="e">
        <f t="shared" si="225"/>
        <v>#VALUE!</v>
      </c>
      <c r="M2072" s="247" t="e">
        <f t="shared" si="226"/>
        <v>#VALUE!</v>
      </c>
      <c r="N2072" s="246" t="e">
        <f t="shared" si="227"/>
        <v>#VALUE!</v>
      </c>
      <c r="O2072" s="247" t="e">
        <f t="shared" si="228"/>
        <v>#VALUE!</v>
      </c>
      <c r="P2072" s="247">
        <f t="shared" si="229"/>
        <v>0</v>
      </c>
      <c r="Q2072" s="247" t="e">
        <f t="shared" si="230"/>
        <v>#VALUE!</v>
      </c>
    </row>
    <row r="2073" spans="1:17" ht="15" customHeight="1" x14ac:dyDescent="0.25">
      <c r="A2073" s="244"/>
      <c r="B2073" s="244"/>
      <c r="C2073" s="244"/>
      <c r="D2073" s="244"/>
      <c r="E2073" s="244"/>
      <c r="F2073" s="244"/>
      <c r="G2073" s="244"/>
      <c r="I2073" s="244"/>
      <c r="J2073" s="244"/>
      <c r="K2073" s="246" t="e">
        <f t="shared" si="224"/>
        <v>#VALUE!</v>
      </c>
      <c r="L2073" s="246" t="e">
        <f t="shared" si="225"/>
        <v>#VALUE!</v>
      </c>
      <c r="M2073" s="247" t="e">
        <f t="shared" si="226"/>
        <v>#VALUE!</v>
      </c>
      <c r="N2073" s="246" t="e">
        <f t="shared" si="227"/>
        <v>#VALUE!</v>
      </c>
      <c r="O2073" s="247" t="e">
        <f t="shared" si="228"/>
        <v>#VALUE!</v>
      </c>
      <c r="P2073" s="247">
        <f t="shared" si="229"/>
        <v>0</v>
      </c>
      <c r="Q2073" s="247" t="e">
        <f t="shared" si="230"/>
        <v>#VALUE!</v>
      </c>
    </row>
    <row r="2074" spans="1:17" ht="15" customHeight="1" x14ac:dyDescent="0.25">
      <c r="A2074" s="244"/>
      <c r="B2074" s="244"/>
      <c r="C2074" s="244"/>
      <c r="D2074" s="244"/>
      <c r="E2074" s="244"/>
      <c r="F2074" s="244"/>
      <c r="G2074" s="244"/>
      <c r="I2074" s="244"/>
      <c r="J2074" s="244"/>
      <c r="K2074" s="246" t="e">
        <f t="shared" si="224"/>
        <v>#VALUE!</v>
      </c>
      <c r="L2074" s="246" t="e">
        <f t="shared" si="225"/>
        <v>#VALUE!</v>
      </c>
      <c r="M2074" s="247" t="e">
        <f t="shared" si="226"/>
        <v>#VALUE!</v>
      </c>
      <c r="N2074" s="246" t="e">
        <f t="shared" si="227"/>
        <v>#VALUE!</v>
      </c>
      <c r="O2074" s="247" t="e">
        <f t="shared" si="228"/>
        <v>#VALUE!</v>
      </c>
      <c r="P2074" s="247">
        <f t="shared" si="229"/>
        <v>0</v>
      </c>
      <c r="Q2074" s="247" t="e">
        <f t="shared" si="230"/>
        <v>#VALUE!</v>
      </c>
    </row>
    <row r="2075" spans="1:17" ht="15" customHeight="1" x14ac:dyDescent="0.25">
      <c r="A2075" s="244"/>
      <c r="B2075" s="244"/>
      <c r="C2075" s="244"/>
      <c r="D2075" s="244"/>
      <c r="E2075" s="244"/>
      <c r="F2075" s="244"/>
      <c r="G2075" s="244"/>
      <c r="I2075" s="244"/>
      <c r="J2075" s="244"/>
      <c r="K2075" s="246" t="e">
        <f t="shared" si="224"/>
        <v>#VALUE!</v>
      </c>
      <c r="L2075" s="246" t="e">
        <f t="shared" si="225"/>
        <v>#VALUE!</v>
      </c>
      <c r="M2075" s="247" t="e">
        <f t="shared" si="226"/>
        <v>#VALUE!</v>
      </c>
      <c r="N2075" s="246" t="e">
        <f t="shared" si="227"/>
        <v>#VALUE!</v>
      </c>
      <c r="O2075" s="247" t="e">
        <f t="shared" si="228"/>
        <v>#VALUE!</v>
      </c>
      <c r="P2075" s="247">
        <f t="shared" si="229"/>
        <v>0</v>
      </c>
      <c r="Q2075" s="247" t="e">
        <f t="shared" si="230"/>
        <v>#VALUE!</v>
      </c>
    </row>
    <row r="2076" spans="1:17" ht="15" customHeight="1" x14ac:dyDescent="0.25">
      <c r="A2076" s="244"/>
      <c r="B2076" s="244"/>
      <c r="C2076" s="244"/>
      <c r="D2076" s="244"/>
      <c r="E2076" s="244"/>
      <c r="F2076" s="244"/>
      <c r="G2076" s="244"/>
      <c r="I2076" s="244"/>
      <c r="J2076" s="244"/>
      <c r="K2076" s="246" t="e">
        <f t="shared" si="224"/>
        <v>#VALUE!</v>
      </c>
      <c r="L2076" s="246" t="e">
        <f t="shared" si="225"/>
        <v>#VALUE!</v>
      </c>
      <c r="M2076" s="247" t="e">
        <f t="shared" si="226"/>
        <v>#VALUE!</v>
      </c>
      <c r="N2076" s="246" t="e">
        <f t="shared" si="227"/>
        <v>#VALUE!</v>
      </c>
      <c r="O2076" s="247" t="e">
        <f t="shared" si="228"/>
        <v>#VALUE!</v>
      </c>
      <c r="P2076" s="247">
        <f t="shared" si="229"/>
        <v>0</v>
      </c>
      <c r="Q2076" s="247" t="e">
        <f t="shared" si="230"/>
        <v>#VALUE!</v>
      </c>
    </row>
    <row r="2077" spans="1:17" ht="15" customHeight="1" x14ac:dyDescent="0.25">
      <c r="A2077" s="244"/>
      <c r="B2077" s="244"/>
      <c r="C2077" s="244"/>
      <c r="D2077" s="244"/>
      <c r="E2077" s="244"/>
      <c r="F2077" s="244"/>
      <c r="G2077" s="244"/>
      <c r="I2077" s="244"/>
      <c r="J2077" s="244"/>
      <c r="K2077" s="246" t="e">
        <f t="shared" si="224"/>
        <v>#VALUE!</v>
      </c>
      <c r="L2077" s="246" t="e">
        <f t="shared" si="225"/>
        <v>#VALUE!</v>
      </c>
      <c r="M2077" s="247" t="e">
        <f t="shared" si="226"/>
        <v>#VALUE!</v>
      </c>
      <c r="N2077" s="246" t="e">
        <f t="shared" si="227"/>
        <v>#VALUE!</v>
      </c>
      <c r="O2077" s="247" t="e">
        <f t="shared" si="228"/>
        <v>#VALUE!</v>
      </c>
      <c r="P2077" s="247">
        <f t="shared" si="229"/>
        <v>0</v>
      </c>
      <c r="Q2077" s="247" t="e">
        <f t="shared" si="230"/>
        <v>#VALUE!</v>
      </c>
    </row>
    <row r="2078" spans="1:17" ht="15" customHeight="1" x14ac:dyDescent="0.25">
      <c r="A2078" s="244"/>
      <c r="B2078" s="244"/>
      <c r="C2078" s="244"/>
      <c r="D2078" s="244"/>
      <c r="E2078" s="244"/>
      <c r="F2078" s="244"/>
      <c r="G2078" s="244"/>
      <c r="I2078" s="244"/>
      <c r="J2078" s="244"/>
      <c r="K2078" s="246" t="e">
        <f t="shared" si="224"/>
        <v>#VALUE!</v>
      </c>
      <c r="L2078" s="246" t="e">
        <f t="shared" si="225"/>
        <v>#VALUE!</v>
      </c>
      <c r="M2078" s="247" t="e">
        <f t="shared" si="226"/>
        <v>#VALUE!</v>
      </c>
      <c r="N2078" s="246" t="e">
        <f t="shared" si="227"/>
        <v>#VALUE!</v>
      </c>
      <c r="O2078" s="247" t="e">
        <f t="shared" si="228"/>
        <v>#VALUE!</v>
      </c>
      <c r="P2078" s="247">
        <f t="shared" si="229"/>
        <v>0</v>
      </c>
      <c r="Q2078" s="247" t="e">
        <f t="shared" si="230"/>
        <v>#VALUE!</v>
      </c>
    </row>
    <row r="2079" spans="1:17" ht="15" customHeight="1" x14ac:dyDescent="0.25">
      <c r="A2079" s="244"/>
      <c r="B2079" s="244"/>
      <c r="C2079" s="244"/>
      <c r="D2079" s="244"/>
      <c r="E2079" s="244"/>
      <c r="F2079" s="244"/>
      <c r="G2079" s="244"/>
      <c r="I2079" s="244"/>
      <c r="J2079" s="244"/>
      <c r="K2079" s="246" t="e">
        <f t="shared" si="224"/>
        <v>#VALUE!</v>
      </c>
      <c r="L2079" s="246" t="e">
        <f t="shared" si="225"/>
        <v>#VALUE!</v>
      </c>
      <c r="M2079" s="247" t="e">
        <f t="shared" si="226"/>
        <v>#VALUE!</v>
      </c>
      <c r="N2079" s="246" t="e">
        <f t="shared" si="227"/>
        <v>#VALUE!</v>
      </c>
      <c r="O2079" s="247" t="e">
        <f t="shared" si="228"/>
        <v>#VALUE!</v>
      </c>
      <c r="P2079" s="247">
        <f t="shared" si="229"/>
        <v>0</v>
      </c>
      <c r="Q2079" s="247" t="e">
        <f t="shared" si="230"/>
        <v>#VALUE!</v>
      </c>
    </row>
    <row r="2080" spans="1:17" ht="15" customHeight="1" x14ac:dyDescent="0.25">
      <c r="A2080" s="244"/>
      <c r="B2080" s="244"/>
      <c r="C2080" s="244"/>
      <c r="D2080" s="244"/>
      <c r="E2080" s="244"/>
      <c r="F2080" s="244"/>
      <c r="G2080" s="244"/>
      <c r="I2080" s="244"/>
      <c r="J2080" s="244"/>
      <c r="K2080" s="246" t="e">
        <f t="shared" si="224"/>
        <v>#VALUE!</v>
      </c>
      <c r="L2080" s="246" t="e">
        <f t="shared" si="225"/>
        <v>#VALUE!</v>
      </c>
      <c r="M2080" s="247" t="e">
        <f t="shared" si="226"/>
        <v>#VALUE!</v>
      </c>
      <c r="N2080" s="246" t="e">
        <f t="shared" si="227"/>
        <v>#VALUE!</v>
      </c>
      <c r="O2080" s="247" t="e">
        <f t="shared" si="228"/>
        <v>#VALUE!</v>
      </c>
      <c r="P2080" s="247">
        <f t="shared" si="229"/>
        <v>0</v>
      </c>
      <c r="Q2080" s="247" t="e">
        <f t="shared" si="230"/>
        <v>#VALUE!</v>
      </c>
    </row>
    <row r="2081" spans="1:17" ht="15" customHeight="1" x14ac:dyDescent="0.25">
      <c r="A2081" s="244"/>
      <c r="B2081" s="244"/>
      <c r="C2081" s="244"/>
      <c r="D2081" s="244"/>
      <c r="E2081" s="244"/>
      <c r="F2081" s="244"/>
      <c r="G2081" s="244"/>
      <c r="I2081" s="244"/>
      <c r="J2081" s="244"/>
      <c r="K2081" s="246" t="e">
        <f t="shared" si="224"/>
        <v>#VALUE!</v>
      </c>
      <c r="L2081" s="246" t="e">
        <f t="shared" si="225"/>
        <v>#VALUE!</v>
      </c>
      <c r="M2081" s="247" t="e">
        <f t="shared" si="226"/>
        <v>#VALUE!</v>
      </c>
      <c r="N2081" s="246" t="e">
        <f t="shared" si="227"/>
        <v>#VALUE!</v>
      </c>
      <c r="O2081" s="247" t="e">
        <f t="shared" si="228"/>
        <v>#VALUE!</v>
      </c>
      <c r="P2081" s="247">
        <f t="shared" si="229"/>
        <v>0</v>
      </c>
      <c r="Q2081" s="247" t="e">
        <f t="shared" si="230"/>
        <v>#VALUE!</v>
      </c>
    </row>
    <row r="2082" spans="1:17" ht="15" customHeight="1" x14ac:dyDescent="0.25">
      <c r="A2082" s="244"/>
      <c r="B2082" s="244"/>
      <c r="C2082" s="244"/>
      <c r="D2082" s="244"/>
      <c r="E2082" s="244"/>
      <c r="F2082" s="244"/>
      <c r="G2082" s="244"/>
      <c r="I2082" s="244"/>
      <c r="J2082" s="244"/>
      <c r="K2082" s="246" t="e">
        <f t="shared" si="224"/>
        <v>#VALUE!</v>
      </c>
      <c r="L2082" s="246" t="e">
        <f t="shared" si="225"/>
        <v>#VALUE!</v>
      </c>
      <c r="M2082" s="247" t="e">
        <f t="shared" si="226"/>
        <v>#VALUE!</v>
      </c>
      <c r="N2082" s="246" t="e">
        <f t="shared" si="227"/>
        <v>#VALUE!</v>
      </c>
      <c r="O2082" s="247" t="e">
        <f t="shared" si="228"/>
        <v>#VALUE!</v>
      </c>
      <c r="P2082" s="247">
        <f t="shared" si="229"/>
        <v>0</v>
      </c>
      <c r="Q2082" s="247" t="e">
        <f t="shared" si="230"/>
        <v>#VALUE!</v>
      </c>
    </row>
    <row r="2083" spans="1:17" ht="15" customHeight="1" x14ac:dyDescent="0.25">
      <c r="A2083" s="244"/>
      <c r="B2083" s="244"/>
      <c r="C2083" s="244"/>
      <c r="D2083" s="244"/>
      <c r="E2083" s="244"/>
      <c r="F2083" s="244"/>
      <c r="G2083" s="244"/>
      <c r="I2083" s="244"/>
      <c r="J2083" s="244"/>
      <c r="K2083" s="246" t="e">
        <f t="shared" si="224"/>
        <v>#VALUE!</v>
      </c>
      <c r="L2083" s="246" t="e">
        <f t="shared" si="225"/>
        <v>#VALUE!</v>
      </c>
      <c r="M2083" s="247" t="e">
        <f t="shared" si="226"/>
        <v>#VALUE!</v>
      </c>
      <c r="N2083" s="246" t="e">
        <f t="shared" si="227"/>
        <v>#VALUE!</v>
      </c>
      <c r="O2083" s="247" t="e">
        <f t="shared" si="228"/>
        <v>#VALUE!</v>
      </c>
      <c r="P2083" s="247">
        <f t="shared" si="229"/>
        <v>0</v>
      </c>
      <c r="Q2083" s="247" t="e">
        <f t="shared" si="230"/>
        <v>#VALUE!</v>
      </c>
    </row>
    <row r="2084" spans="1:17" ht="15" customHeight="1" x14ac:dyDescent="0.25">
      <c r="A2084" s="244"/>
      <c r="B2084" s="244"/>
      <c r="C2084" s="244"/>
      <c r="D2084" s="244"/>
      <c r="E2084" s="244"/>
      <c r="F2084" s="244"/>
      <c r="G2084" s="244"/>
      <c r="I2084" s="244"/>
      <c r="J2084" s="244"/>
      <c r="K2084" s="246" t="e">
        <f t="shared" si="224"/>
        <v>#VALUE!</v>
      </c>
      <c r="L2084" s="246" t="e">
        <f t="shared" si="225"/>
        <v>#VALUE!</v>
      </c>
      <c r="M2084" s="247" t="e">
        <f t="shared" si="226"/>
        <v>#VALUE!</v>
      </c>
      <c r="N2084" s="246" t="e">
        <f t="shared" si="227"/>
        <v>#VALUE!</v>
      </c>
      <c r="O2084" s="247" t="e">
        <f t="shared" si="228"/>
        <v>#VALUE!</v>
      </c>
      <c r="P2084" s="247">
        <f t="shared" si="229"/>
        <v>0</v>
      </c>
      <c r="Q2084" s="247" t="e">
        <f t="shared" si="230"/>
        <v>#VALUE!</v>
      </c>
    </row>
    <row r="2085" spans="1:17" ht="15" customHeight="1" x14ac:dyDescent="0.25">
      <c r="A2085" s="244"/>
      <c r="B2085" s="244"/>
      <c r="C2085" s="244"/>
      <c r="D2085" s="244"/>
      <c r="E2085" s="244"/>
      <c r="F2085" s="244"/>
      <c r="G2085" s="244"/>
      <c r="I2085" s="244"/>
      <c r="J2085" s="244"/>
      <c r="K2085" s="246" t="e">
        <f t="shared" si="224"/>
        <v>#VALUE!</v>
      </c>
      <c r="L2085" s="246" t="e">
        <f t="shared" si="225"/>
        <v>#VALUE!</v>
      </c>
      <c r="M2085" s="247" t="e">
        <f t="shared" si="226"/>
        <v>#VALUE!</v>
      </c>
      <c r="N2085" s="246" t="e">
        <f t="shared" si="227"/>
        <v>#VALUE!</v>
      </c>
      <c r="O2085" s="247" t="e">
        <f t="shared" si="228"/>
        <v>#VALUE!</v>
      </c>
      <c r="P2085" s="247">
        <f t="shared" si="229"/>
        <v>0</v>
      </c>
      <c r="Q2085" s="247" t="e">
        <f t="shared" si="230"/>
        <v>#VALUE!</v>
      </c>
    </row>
    <row r="2086" spans="1:17" ht="15" customHeight="1" x14ac:dyDescent="0.25">
      <c r="A2086" s="244"/>
      <c r="B2086" s="244"/>
      <c r="C2086" s="244"/>
      <c r="D2086" s="244"/>
      <c r="E2086" s="244"/>
      <c r="F2086" s="244"/>
      <c r="G2086" s="244"/>
      <c r="I2086" s="244"/>
      <c r="J2086" s="244"/>
      <c r="K2086" s="246" t="e">
        <f t="shared" si="224"/>
        <v>#VALUE!</v>
      </c>
      <c r="L2086" s="246" t="e">
        <f t="shared" si="225"/>
        <v>#VALUE!</v>
      </c>
      <c r="M2086" s="247" t="e">
        <f t="shared" si="226"/>
        <v>#VALUE!</v>
      </c>
      <c r="N2086" s="246" t="e">
        <f t="shared" si="227"/>
        <v>#VALUE!</v>
      </c>
      <c r="O2086" s="247" t="e">
        <f t="shared" si="228"/>
        <v>#VALUE!</v>
      </c>
      <c r="P2086" s="247">
        <f t="shared" si="229"/>
        <v>0</v>
      </c>
      <c r="Q2086" s="247" t="e">
        <f t="shared" si="230"/>
        <v>#VALUE!</v>
      </c>
    </row>
    <row r="2087" spans="1:17" ht="15" customHeight="1" x14ac:dyDescent="0.25">
      <c r="A2087" s="244"/>
      <c r="B2087" s="244"/>
      <c r="C2087" s="244"/>
      <c r="D2087" s="244"/>
      <c r="E2087" s="244"/>
      <c r="F2087" s="244"/>
      <c r="G2087" s="244"/>
      <c r="I2087" s="244"/>
      <c r="J2087" s="244"/>
      <c r="K2087" s="246" t="e">
        <f t="shared" si="224"/>
        <v>#VALUE!</v>
      </c>
      <c r="L2087" s="246" t="e">
        <f t="shared" si="225"/>
        <v>#VALUE!</v>
      </c>
      <c r="M2087" s="247" t="e">
        <f t="shared" si="226"/>
        <v>#VALUE!</v>
      </c>
      <c r="N2087" s="246" t="e">
        <f t="shared" si="227"/>
        <v>#VALUE!</v>
      </c>
      <c r="O2087" s="247" t="e">
        <f t="shared" si="228"/>
        <v>#VALUE!</v>
      </c>
      <c r="P2087" s="247">
        <f t="shared" si="229"/>
        <v>0</v>
      </c>
      <c r="Q2087" s="247" t="e">
        <f t="shared" si="230"/>
        <v>#VALUE!</v>
      </c>
    </row>
    <row r="2088" spans="1:17" ht="15" customHeight="1" x14ac:dyDescent="0.25">
      <c r="A2088" s="244"/>
      <c r="B2088" s="244"/>
      <c r="C2088" s="244"/>
      <c r="D2088" s="244"/>
      <c r="E2088" s="244"/>
      <c r="F2088" s="244"/>
      <c r="G2088" s="244"/>
      <c r="I2088" s="244"/>
      <c r="J2088" s="244"/>
      <c r="K2088" s="246" t="e">
        <f t="shared" si="224"/>
        <v>#VALUE!</v>
      </c>
      <c r="L2088" s="246" t="e">
        <f t="shared" si="225"/>
        <v>#VALUE!</v>
      </c>
      <c r="M2088" s="247" t="e">
        <f t="shared" si="226"/>
        <v>#VALUE!</v>
      </c>
      <c r="N2088" s="246" t="e">
        <f t="shared" si="227"/>
        <v>#VALUE!</v>
      </c>
      <c r="O2088" s="247" t="e">
        <f t="shared" si="228"/>
        <v>#VALUE!</v>
      </c>
      <c r="P2088" s="247">
        <f t="shared" si="229"/>
        <v>0</v>
      </c>
      <c r="Q2088" s="247" t="e">
        <f t="shared" si="230"/>
        <v>#VALUE!</v>
      </c>
    </row>
    <row r="2089" spans="1:17" ht="15" customHeight="1" x14ac:dyDescent="0.25">
      <c r="A2089" s="244"/>
      <c r="B2089" s="244"/>
      <c r="C2089" s="244"/>
      <c r="D2089" s="244"/>
      <c r="E2089" s="244"/>
      <c r="F2089" s="244"/>
      <c r="G2089" s="244"/>
      <c r="I2089" s="244"/>
      <c r="J2089" s="244"/>
      <c r="K2089" s="246" t="e">
        <f t="shared" si="224"/>
        <v>#VALUE!</v>
      </c>
      <c r="L2089" s="246" t="e">
        <f t="shared" si="225"/>
        <v>#VALUE!</v>
      </c>
      <c r="M2089" s="247" t="e">
        <f t="shared" si="226"/>
        <v>#VALUE!</v>
      </c>
      <c r="N2089" s="246" t="e">
        <f t="shared" si="227"/>
        <v>#VALUE!</v>
      </c>
      <c r="O2089" s="247" t="e">
        <f t="shared" si="228"/>
        <v>#VALUE!</v>
      </c>
      <c r="P2089" s="247">
        <f t="shared" si="229"/>
        <v>0</v>
      </c>
      <c r="Q2089" s="247" t="e">
        <f t="shared" si="230"/>
        <v>#VALUE!</v>
      </c>
    </row>
    <row r="2090" spans="1:17" ht="15" customHeight="1" x14ac:dyDescent="0.25">
      <c r="A2090" s="244"/>
      <c r="B2090" s="244"/>
      <c r="C2090" s="244"/>
      <c r="D2090" s="244"/>
      <c r="E2090" s="244"/>
      <c r="F2090" s="244"/>
      <c r="G2090" s="244"/>
      <c r="I2090" s="244"/>
      <c r="J2090" s="244"/>
      <c r="K2090" s="246" t="e">
        <f t="shared" si="224"/>
        <v>#VALUE!</v>
      </c>
      <c r="L2090" s="246" t="e">
        <f t="shared" si="225"/>
        <v>#VALUE!</v>
      </c>
      <c r="M2090" s="247" t="e">
        <f t="shared" si="226"/>
        <v>#VALUE!</v>
      </c>
      <c r="N2090" s="246" t="e">
        <f t="shared" si="227"/>
        <v>#VALUE!</v>
      </c>
      <c r="O2090" s="247" t="e">
        <f t="shared" si="228"/>
        <v>#VALUE!</v>
      </c>
      <c r="P2090" s="247">
        <f t="shared" si="229"/>
        <v>0</v>
      </c>
      <c r="Q2090" s="247" t="e">
        <f t="shared" si="230"/>
        <v>#VALUE!</v>
      </c>
    </row>
    <row r="2091" spans="1:17" ht="15" customHeight="1" x14ac:dyDescent="0.25">
      <c r="A2091" s="244"/>
      <c r="B2091" s="244"/>
      <c r="C2091" s="244"/>
      <c r="D2091" s="244"/>
      <c r="E2091" s="244"/>
      <c r="F2091" s="244"/>
      <c r="G2091" s="244"/>
      <c r="I2091" s="244"/>
      <c r="J2091" s="244"/>
      <c r="K2091" s="246" t="e">
        <f t="shared" si="224"/>
        <v>#VALUE!</v>
      </c>
      <c r="L2091" s="246" t="e">
        <f t="shared" si="225"/>
        <v>#VALUE!</v>
      </c>
      <c r="M2091" s="247" t="e">
        <f t="shared" si="226"/>
        <v>#VALUE!</v>
      </c>
      <c r="N2091" s="246" t="e">
        <f t="shared" si="227"/>
        <v>#VALUE!</v>
      </c>
      <c r="O2091" s="247" t="e">
        <f t="shared" si="228"/>
        <v>#VALUE!</v>
      </c>
      <c r="P2091" s="247">
        <f t="shared" si="229"/>
        <v>0</v>
      </c>
      <c r="Q2091" s="247" t="e">
        <f t="shared" si="230"/>
        <v>#VALUE!</v>
      </c>
    </row>
    <row r="2092" spans="1:17" ht="15" customHeight="1" x14ac:dyDescent="0.25">
      <c r="A2092" s="244"/>
      <c r="B2092" s="244"/>
      <c r="C2092" s="244"/>
      <c r="D2092" s="244"/>
      <c r="E2092" s="244"/>
      <c r="F2092" s="244"/>
      <c r="G2092" s="244"/>
      <c r="I2092" s="244"/>
      <c r="J2092" s="244"/>
      <c r="K2092" s="246" t="e">
        <f t="shared" si="224"/>
        <v>#VALUE!</v>
      </c>
      <c r="L2092" s="246" t="e">
        <f t="shared" si="225"/>
        <v>#VALUE!</v>
      </c>
      <c r="M2092" s="247" t="e">
        <f t="shared" si="226"/>
        <v>#VALUE!</v>
      </c>
      <c r="N2092" s="246" t="e">
        <f t="shared" si="227"/>
        <v>#VALUE!</v>
      </c>
      <c r="O2092" s="247" t="e">
        <f t="shared" si="228"/>
        <v>#VALUE!</v>
      </c>
      <c r="P2092" s="247">
        <f t="shared" si="229"/>
        <v>0</v>
      </c>
      <c r="Q2092" s="247" t="e">
        <f t="shared" si="230"/>
        <v>#VALUE!</v>
      </c>
    </row>
    <row r="2093" spans="1:17" ht="15" customHeight="1" x14ac:dyDescent="0.25">
      <c r="A2093" s="244"/>
      <c r="B2093" s="244"/>
      <c r="C2093" s="244"/>
      <c r="D2093" s="244"/>
      <c r="E2093" s="244"/>
      <c r="F2093" s="244"/>
      <c r="G2093" s="244"/>
      <c r="I2093" s="244"/>
      <c r="J2093" s="244"/>
      <c r="K2093" s="246" t="e">
        <f t="shared" si="224"/>
        <v>#VALUE!</v>
      </c>
      <c r="L2093" s="246" t="e">
        <f t="shared" si="225"/>
        <v>#VALUE!</v>
      </c>
      <c r="M2093" s="247" t="e">
        <f t="shared" si="226"/>
        <v>#VALUE!</v>
      </c>
      <c r="N2093" s="246" t="e">
        <f t="shared" si="227"/>
        <v>#VALUE!</v>
      </c>
      <c r="O2093" s="247" t="e">
        <f t="shared" si="228"/>
        <v>#VALUE!</v>
      </c>
      <c r="P2093" s="247">
        <f t="shared" si="229"/>
        <v>0</v>
      </c>
      <c r="Q2093" s="247" t="e">
        <f t="shared" si="230"/>
        <v>#VALUE!</v>
      </c>
    </row>
    <row r="2094" spans="1:17" ht="15" customHeight="1" x14ac:dyDescent="0.25">
      <c r="A2094" s="244"/>
      <c r="B2094" s="244"/>
      <c r="C2094" s="244"/>
      <c r="D2094" s="244"/>
      <c r="E2094" s="244"/>
      <c r="F2094" s="244"/>
      <c r="G2094" s="244"/>
      <c r="I2094" s="244"/>
      <c r="J2094" s="244"/>
      <c r="K2094" s="246" t="e">
        <f t="shared" si="224"/>
        <v>#VALUE!</v>
      </c>
      <c r="L2094" s="246" t="e">
        <f t="shared" si="225"/>
        <v>#VALUE!</v>
      </c>
      <c r="M2094" s="247" t="e">
        <f t="shared" si="226"/>
        <v>#VALUE!</v>
      </c>
      <c r="N2094" s="246" t="e">
        <f t="shared" si="227"/>
        <v>#VALUE!</v>
      </c>
      <c r="O2094" s="247" t="e">
        <f t="shared" si="228"/>
        <v>#VALUE!</v>
      </c>
      <c r="P2094" s="247">
        <f t="shared" si="229"/>
        <v>0</v>
      </c>
      <c r="Q2094" s="247" t="e">
        <f t="shared" si="230"/>
        <v>#VALUE!</v>
      </c>
    </row>
    <row r="2095" spans="1:17" ht="15" customHeight="1" x14ac:dyDescent="0.25">
      <c r="A2095" s="244"/>
      <c r="B2095" s="244"/>
      <c r="C2095" s="244"/>
      <c r="D2095" s="244"/>
      <c r="E2095" s="244"/>
      <c r="F2095" s="244"/>
      <c r="G2095" s="244"/>
      <c r="I2095" s="244"/>
      <c r="J2095" s="244"/>
      <c r="K2095" s="246" t="e">
        <f t="shared" si="224"/>
        <v>#VALUE!</v>
      </c>
      <c r="L2095" s="246" t="e">
        <f t="shared" si="225"/>
        <v>#VALUE!</v>
      </c>
      <c r="M2095" s="247" t="e">
        <f t="shared" si="226"/>
        <v>#VALUE!</v>
      </c>
      <c r="N2095" s="246" t="e">
        <f t="shared" si="227"/>
        <v>#VALUE!</v>
      </c>
      <c r="O2095" s="247" t="e">
        <f t="shared" si="228"/>
        <v>#VALUE!</v>
      </c>
      <c r="P2095" s="247">
        <f t="shared" si="229"/>
        <v>0</v>
      </c>
      <c r="Q2095" s="247" t="e">
        <f t="shared" si="230"/>
        <v>#VALUE!</v>
      </c>
    </row>
    <row r="2096" spans="1:17" ht="15" customHeight="1" x14ac:dyDescent="0.25">
      <c r="A2096" s="244"/>
      <c r="B2096" s="244"/>
      <c r="C2096" s="244"/>
      <c r="D2096" s="244"/>
      <c r="E2096" s="244"/>
      <c r="F2096" s="244"/>
      <c r="G2096" s="244"/>
      <c r="I2096" s="244"/>
      <c r="J2096" s="244"/>
      <c r="K2096" s="246" t="e">
        <f t="shared" si="224"/>
        <v>#VALUE!</v>
      </c>
      <c r="L2096" s="246" t="e">
        <f t="shared" si="225"/>
        <v>#VALUE!</v>
      </c>
      <c r="M2096" s="247" t="e">
        <f t="shared" si="226"/>
        <v>#VALUE!</v>
      </c>
      <c r="N2096" s="246" t="e">
        <f t="shared" si="227"/>
        <v>#VALUE!</v>
      </c>
      <c r="O2096" s="247" t="e">
        <f t="shared" si="228"/>
        <v>#VALUE!</v>
      </c>
      <c r="P2096" s="247">
        <f t="shared" si="229"/>
        <v>0</v>
      </c>
      <c r="Q2096" s="247" t="e">
        <f t="shared" si="230"/>
        <v>#VALUE!</v>
      </c>
    </row>
    <row r="2097" spans="1:17" ht="15" customHeight="1" x14ac:dyDescent="0.25">
      <c r="A2097" s="244"/>
      <c r="B2097" s="244"/>
      <c r="C2097" s="244"/>
      <c r="D2097" s="244"/>
      <c r="E2097" s="244"/>
      <c r="F2097" s="244"/>
      <c r="G2097" s="244"/>
      <c r="I2097" s="244"/>
      <c r="J2097" s="244"/>
      <c r="K2097" s="246" t="e">
        <f t="shared" si="224"/>
        <v>#VALUE!</v>
      </c>
      <c r="L2097" s="246" t="e">
        <f t="shared" si="225"/>
        <v>#VALUE!</v>
      </c>
      <c r="M2097" s="247" t="e">
        <f t="shared" si="226"/>
        <v>#VALUE!</v>
      </c>
      <c r="N2097" s="246" t="e">
        <f t="shared" si="227"/>
        <v>#VALUE!</v>
      </c>
      <c r="O2097" s="247" t="e">
        <f t="shared" si="228"/>
        <v>#VALUE!</v>
      </c>
      <c r="P2097" s="247">
        <f t="shared" si="229"/>
        <v>0</v>
      </c>
      <c r="Q2097" s="247" t="e">
        <f t="shared" si="230"/>
        <v>#VALUE!</v>
      </c>
    </row>
    <row r="2098" spans="1:17" ht="15" customHeight="1" x14ac:dyDescent="0.25">
      <c r="A2098" s="244"/>
      <c r="B2098" s="244"/>
      <c r="C2098" s="244"/>
      <c r="D2098" s="244"/>
      <c r="E2098" s="244"/>
      <c r="F2098" s="244"/>
      <c r="G2098" s="244"/>
      <c r="I2098" s="244"/>
      <c r="J2098" s="244"/>
      <c r="K2098" s="246" t="e">
        <f t="shared" si="224"/>
        <v>#VALUE!</v>
      </c>
      <c r="L2098" s="246" t="e">
        <f t="shared" si="225"/>
        <v>#VALUE!</v>
      </c>
      <c r="M2098" s="247" t="e">
        <f t="shared" si="226"/>
        <v>#VALUE!</v>
      </c>
      <c r="N2098" s="246" t="e">
        <f t="shared" si="227"/>
        <v>#VALUE!</v>
      </c>
      <c r="O2098" s="247" t="e">
        <f t="shared" si="228"/>
        <v>#VALUE!</v>
      </c>
      <c r="P2098" s="247">
        <f t="shared" si="229"/>
        <v>0</v>
      </c>
      <c r="Q2098" s="247" t="e">
        <f t="shared" si="230"/>
        <v>#VALUE!</v>
      </c>
    </row>
    <row r="2099" spans="1:17" ht="15" customHeight="1" x14ac:dyDescent="0.25">
      <c r="A2099" s="244"/>
      <c r="B2099" s="244"/>
      <c r="C2099" s="244"/>
      <c r="D2099" s="244"/>
      <c r="E2099" s="244"/>
      <c r="F2099" s="244"/>
      <c r="G2099" s="244"/>
      <c r="I2099" s="244"/>
      <c r="J2099" s="244"/>
      <c r="K2099" s="246" t="e">
        <f t="shared" si="224"/>
        <v>#VALUE!</v>
      </c>
      <c r="L2099" s="246" t="e">
        <f t="shared" si="225"/>
        <v>#VALUE!</v>
      </c>
      <c r="M2099" s="247" t="e">
        <f t="shared" si="226"/>
        <v>#VALUE!</v>
      </c>
      <c r="N2099" s="246" t="e">
        <f t="shared" si="227"/>
        <v>#VALUE!</v>
      </c>
      <c r="O2099" s="247" t="e">
        <f t="shared" si="228"/>
        <v>#VALUE!</v>
      </c>
      <c r="P2099" s="247">
        <f t="shared" si="229"/>
        <v>0</v>
      </c>
      <c r="Q2099" s="247" t="e">
        <f t="shared" si="230"/>
        <v>#VALUE!</v>
      </c>
    </row>
    <row r="2100" spans="1:17" ht="15" customHeight="1" x14ac:dyDescent="0.25">
      <c r="A2100" s="244"/>
      <c r="B2100" s="244"/>
      <c r="C2100" s="244"/>
      <c r="D2100" s="244"/>
      <c r="E2100" s="244"/>
      <c r="F2100" s="244"/>
      <c r="G2100" s="244"/>
      <c r="I2100" s="244"/>
      <c r="J2100" s="244"/>
      <c r="K2100" s="246" t="e">
        <f t="shared" si="224"/>
        <v>#VALUE!</v>
      </c>
      <c r="L2100" s="246" t="e">
        <f t="shared" si="225"/>
        <v>#VALUE!</v>
      </c>
      <c r="M2100" s="247" t="e">
        <f t="shared" si="226"/>
        <v>#VALUE!</v>
      </c>
      <c r="N2100" s="246" t="e">
        <f t="shared" si="227"/>
        <v>#VALUE!</v>
      </c>
      <c r="O2100" s="247" t="e">
        <f t="shared" si="228"/>
        <v>#VALUE!</v>
      </c>
      <c r="P2100" s="247">
        <f t="shared" si="229"/>
        <v>0</v>
      </c>
      <c r="Q2100" s="247" t="e">
        <f t="shared" si="230"/>
        <v>#VALUE!</v>
      </c>
    </row>
    <row r="2101" spans="1:17" ht="15" customHeight="1" x14ac:dyDescent="0.25">
      <c r="A2101" s="244"/>
      <c r="B2101" s="244"/>
      <c r="C2101" s="244"/>
      <c r="D2101" s="244"/>
      <c r="E2101" s="244"/>
      <c r="F2101" s="244"/>
      <c r="G2101" s="244"/>
      <c r="I2101" s="244"/>
      <c r="J2101" s="244"/>
      <c r="K2101" s="246" t="e">
        <f t="shared" si="224"/>
        <v>#VALUE!</v>
      </c>
      <c r="L2101" s="246" t="e">
        <f t="shared" si="225"/>
        <v>#VALUE!</v>
      </c>
      <c r="M2101" s="247" t="e">
        <f t="shared" si="226"/>
        <v>#VALUE!</v>
      </c>
      <c r="N2101" s="246" t="e">
        <f t="shared" si="227"/>
        <v>#VALUE!</v>
      </c>
      <c r="O2101" s="247" t="e">
        <f t="shared" si="228"/>
        <v>#VALUE!</v>
      </c>
      <c r="P2101" s="247">
        <f t="shared" si="229"/>
        <v>0</v>
      </c>
      <c r="Q2101" s="247" t="e">
        <f t="shared" si="230"/>
        <v>#VALUE!</v>
      </c>
    </row>
    <row r="2102" spans="1:17" ht="15" customHeight="1" x14ac:dyDescent="0.25">
      <c r="A2102" s="244"/>
      <c r="B2102" s="244"/>
      <c r="C2102" s="244"/>
      <c r="D2102" s="244"/>
      <c r="E2102" s="244"/>
      <c r="F2102" s="244"/>
      <c r="G2102" s="244"/>
      <c r="I2102" s="244"/>
      <c r="J2102" s="244"/>
      <c r="K2102" s="246" t="e">
        <f t="shared" si="224"/>
        <v>#VALUE!</v>
      </c>
      <c r="L2102" s="246" t="e">
        <f t="shared" si="225"/>
        <v>#VALUE!</v>
      </c>
      <c r="M2102" s="247" t="e">
        <f t="shared" si="226"/>
        <v>#VALUE!</v>
      </c>
      <c r="N2102" s="246" t="e">
        <f t="shared" si="227"/>
        <v>#VALUE!</v>
      </c>
      <c r="O2102" s="247" t="e">
        <f t="shared" si="228"/>
        <v>#VALUE!</v>
      </c>
      <c r="P2102" s="247">
        <f t="shared" si="229"/>
        <v>0</v>
      </c>
      <c r="Q2102" s="247" t="e">
        <f t="shared" si="230"/>
        <v>#VALUE!</v>
      </c>
    </row>
    <row r="2103" spans="1:17" ht="15" customHeight="1" x14ac:dyDescent="0.25">
      <c r="A2103" s="244"/>
      <c r="B2103" s="244"/>
      <c r="C2103" s="244"/>
      <c r="D2103" s="244"/>
      <c r="E2103" s="244"/>
      <c r="F2103" s="244"/>
      <c r="G2103" s="244"/>
      <c r="I2103" s="244"/>
      <c r="J2103" s="244"/>
      <c r="K2103" s="246" t="e">
        <f t="shared" si="224"/>
        <v>#VALUE!</v>
      </c>
      <c r="L2103" s="246" t="e">
        <f t="shared" si="225"/>
        <v>#VALUE!</v>
      </c>
      <c r="M2103" s="247" t="e">
        <f t="shared" si="226"/>
        <v>#VALUE!</v>
      </c>
      <c r="N2103" s="246" t="e">
        <f t="shared" si="227"/>
        <v>#VALUE!</v>
      </c>
      <c r="O2103" s="247" t="e">
        <f t="shared" si="228"/>
        <v>#VALUE!</v>
      </c>
      <c r="P2103" s="247">
        <f t="shared" si="229"/>
        <v>0</v>
      </c>
      <c r="Q2103" s="247" t="e">
        <f t="shared" si="230"/>
        <v>#VALUE!</v>
      </c>
    </row>
    <row r="2104" spans="1:17" ht="15" customHeight="1" x14ac:dyDescent="0.25">
      <c r="A2104" s="244"/>
      <c r="B2104" s="244"/>
      <c r="C2104" s="244"/>
      <c r="D2104" s="244"/>
      <c r="E2104" s="244"/>
      <c r="F2104" s="244"/>
      <c r="G2104" s="244"/>
      <c r="I2104" s="244"/>
      <c r="J2104" s="244"/>
      <c r="K2104" s="246" t="e">
        <f t="shared" si="224"/>
        <v>#VALUE!</v>
      </c>
      <c r="L2104" s="246" t="e">
        <f t="shared" si="225"/>
        <v>#VALUE!</v>
      </c>
      <c r="M2104" s="247" t="e">
        <f t="shared" si="226"/>
        <v>#VALUE!</v>
      </c>
      <c r="N2104" s="246" t="e">
        <f t="shared" si="227"/>
        <v>#VALUE!</v>
      </c>
      <c r="O2104" s="247" t="e">
        <f t="shared" si="228"/>
        <v>#VALUE!</v>
      </c>
      <c r="P2104" s="247">
        <f t="shared" si="229"/>
        <v>0</v>
      </c>
      <c r="Q2104" s="247" t="e">
        <f t="shared" si="230"/>
        <v>#VALUE!</v>
      </c>
    </row>
    <row r="2105" spans="1:17" ht="15" customHeight="1" x14ac:dyDescent="0.25">
      <c r="A2105" s="244"/>
      <c r="B2105" s="244"/>
      <c r="C2105" s="244"/>
      <c r="D2105" s="244"/>
      <c r="E2105" s="244"/>
      <c r="F2105" s="244"/>
      <c r="G2105" s="244"/>
      <c r="I2105" s="244"/>
      <c r="J2105" s="244"/>
      <c r="K2105" s="246" t="e">
        <f t="shared" si="224"/>
        <v>#VALUE!</v>
      </c>
      <c r="L2105" s="246" t="e">
        <f t="shared" si="225"/>
        <v>#VALUE!</v>
      </c>
      <c r="M2105" s="247" t="e">
        <f t="shared" si="226"/>
        <v>#VALUE!</v>
      </c>
      <c r="N2105" s="246" t="e">
        <f t="shared" si="227"/>
        <v>#VALUE!</v>
      </c>
      <c r="O2105" s="247" t="e">
        <f t="shared" si="228"/>
        <v>#VALUE!</v>
      </c>
      <c r="P2105" s="247">
        <f t="shared" si="229"/>
        <v>0</v>
      </c>
      <c r="Q2105" s="247" t="e">
        <f t="shared" si="230"/>
        <v>#VALUE!</v>
      </c>
    </row>
    <row r="2106" spans="1:17" ht="15" customHeight="1" x14ac:dyDescent="0.25">
      <c r="A2106" s="244"/>
      <c r="B2106" s="244"/>
      <c r="C2106" s="244"/>
      <c r="D2106" s="244"/>
      <c r="E2106" s="244"/>
      <c r="F2106" s="244"/>
      <c r="G2106" s="244"/>
      <c r="I2106" s="244"/>
      <c r="J2106" s="244"/>
      <c r="K2106" s="246" t="e">
        <f t="shared" si="224"/>
        <v>#VALUE!</v>
      </c>
      <c r="L2106" s="246" t="e">
        <f t="shared" si="225"/>
        <v>#VALUE!</v>
      </c>
      <c r="M2106" s="247" t="e">
        <f t="shared" si="226"/>
        <v>#VALUE!</v>
      </c>
      <c r="N2106" s="246" t="e">
        <f t="shared" si="227"/>
        <v>#VALUE!</v>
      </c>
      <c r="O2106" s="247" t="e">
        <f t="shared" si="228"/>
        <v>#VALUE!</v>
      </c>
      <c r="P2106" s="247">
        <f t="shared" si="229"/>
        <v>0</v>
      </c>
      <c r="Q2106" s="247" t="e">
        <f t="shared" si="230"/>
        <v>#VALUE!</v>
      </c>
    </row>
    <row r="2107" spans="1:17" ht="15" customHeight="1" x14ac:dyDescent="0.25">
      <c r="A2107" s="244"/>
      <c r="B2107" s="244"/>
      <c r="C2107" s="244"/>
      <c r="D2107" s="244"/>
      <c r="E2107" s="244"/>
      <c r="F2107" s="244"/>
      <c r="G2107" s="244"/>
      <c r="I2107" s="244"/>
      <c r="J2107" s="244"/>
      <c r="K2107" s="246" t="e">
        <f t="shared" si="224"/>
        <v>#VALUE!</v>
      </c>
      <c r="L2107" s="246" t="e">
        <f t="shared" si="225"/>
        <v>#VALUE!</v>
      </c>
      <c r="M2107" s="247" t="e">
        <f t="shared" si="226"/>
        <v>#VALUE!</v>
      </c>
      <c r="N2107" s="246" t="e">
        <f t="shared" si="227"/>
        <v>#VALUE!</v>
      </c>
      <c r="O2107" s="247" t="e">
        <f t="shared" si="228"/>
        <v>#VALUE!</v>
      </c>
      <c r="P2107" s="247">
        <f t="shared" si="229"/>
        <v>0</v>
      </c>
      <c r="Q2107" s="247" t="e">
        <f t="shared" si="230"/>
        <v>#VALUE!</v>
      </c>
    </row>
    <row r="2108" spans="1:17" ht="15" customHeight="1" x14ac:dyDescent="0.25">
      <c r="A2108" s="244"/>
      <c r="B2108" s="244"/>
      <c r="C2108" s="244"/>
      <c r="D2108" s="244"/>
      <c r="E2108" s="244"/>
      <c r="F2108" s="244"/>
      <c r="G2108" s="244"/>
      <c r="I2108" s="244"/>
      <c r="J2108" s="244"/>
      <c r="K2108" s="246" t="e">
        <f t="shared" si="224"/>
        <v>#VALUE!</v>
      </c>
      <c r="L2108" s="246" t="e">
        <f t="shared" si="225"/>
        <v>#VALUE!</v>
      </c>
      <c r="M2108" s="247" t="e">
        <f t="shared" si="226"/>
        <v>#VALUE!</v>
      </c>
      <c r="N2108" s="246" t="e">
        <f t="shared" si="227"/>
        <v>#VALUE!</v>
      </c>
      <c r="O2108" s="247" t="e">
        <f t="shared" si="228"/>
        <v>#VALUE!</v>
      </c>
      <c r="P2108" s="247">
        <f t="shared" si="229"/>
        <v>0</v>
      </c>
      <c r="Q2108" s="247" t="e">
        <f t="shared" si="230"/>
        <v>#VALUE!</v>
      </c>
    </row>
    <row r="2109" spans="1:17" ht="15" customHeight="1" x14ac:dyDescent="0.25">
      <c r="A2109" s="244"/>
      <c r="B2109" s="244"/>
      <c r="C2109" s="244"/>
      <c r="D2109" s="244"/>
      <c r="E2109" s="244"/>
      <c r="F2109" s="244"/>
      <c r="G2109" s="244"/>
      <c r="I2109" s="244"/>
      <c r="J2109" s="244"/>
      <c r="K2109" s="246" t="e">
        <f t="shared" si="224"/>
        <v>#VALUE!</v>
      </c>
      <c r="L2109" s="246" t="e">
        <f t="shared" si="225"/>
        <v>#VALUE!</v>
      </c>
      <c r="M2109" s="247" t="e">
        <f t="shared" si="226"/>
        <v>#VALUE!</v>
      </c>
      <c r="N2109" s="246" t="e">
        <f t="shared" si="227"/>
        <v>#VALUE!</v>
      </c>
      <c r="O2109" s="247" t="e">
        <f t="shared" si="228"/>
        <v>#VALUE!</v>
      </c>
      <c r="P2109" s="247">
        <f t="shared" si="229"/>
        <v>0</v>
      </c>
      <c r="Q2109" s="247" t="e">
        <f t="shared" si="230"/>
        <v>#VALUE!</v>
      </c>
    </row>
    <row r="2110" spans="1:17" ht="15" customHeight="1" x14ac:dyDescent="0.25">
      <c r="A2110" s="244"/>
      <c r="B2110" s="244"/>
      <c r="C2110" s="244"/>
      <c r="D2110" s="244"/>
      <c r="E2110" s="244"/>
      <c r="F2110" s="244"/>
      <c r="G2110" s="244"/>
      <c r="I2110" s="244"/>
      <c r="J2110" s="244"/>
      <c r="K2110" s="246" t="e">
        <f t="shared" si="224"/>
        <v>#VALUE!</v>
      </c>
      <c r="L2110" s="246" t="e">
        <f t="shared" si="225"/>
        <v>#VALUE!</v>
      </c>
      <c r="M2110" s="247" t="e">
        <f t="shared" si="226"/>
        <v>#VALUE!</v>
      </c>
      <c r="N2110" s="246" t="e">
        <f t="shared" si="227"/>
        <v>#VALUE!</v>
      </c>
      <c r="O2110" s="247" t="e">
        <f t="shared" si="228"/>
        <v>#VALUE!</v>
      </c>
      <c r="P2110" s="247">
        <f t="shared" si="229"/>
        <v>0</v>
      </c>
      <c r="Q2110" s="247" t="e">
        <f t="shared" si="230"/>
        <v>#VALUE!</v>
      </c>
    </row>
    <row r="2111" spans="1:17" ht="15" customHeight="1" x14ac:dyDescent="0.25">
      <c r="A2111" s="244"/>
      <c r="B2111" s="244"/>
      <c r="C2111" s="244"/>
      <c r="D2111" s="244"/>
      <c r="E2111" s="244"/>
      <c r="F2111" s="244"/>
      <c r="G2111" s="244"/>
      <c r="I2111" s="244"/>
      <c r="J2111" s="244"/>
      <c r="K2111" s="246" t="e">
        <f t="shared" si="224"/>
        <v>#VALUE!</v>
      </c>
      <c r="L2111" s="246" t="e">
        <f t="shared" si="225"/>
        <v>#VALUE!</v>
      </c>
      <c r="M2111" s="247" t="e">
        <f t="shared" si="226"/>
        <v>#VALUE!</v>
      </c>
      <c r="N2111" s="246" t="e">
        <f t="shared" si="227"/>
        <v>#VALUE!</v>
      </c>
      <c r="O2111" s="247" t="e">
        <f t="shared" si="228"/>
        <v>#VALUE!</v>
      </c>
      <c r="P2111" s="247">
        <f t="shared" si="229"/>
        <v>0</v>
      </c>
      <c r="Q2111" s="247" t="e">
        <f t="shared" si="230"/>
        <v>#VALUE!</v>
      </c>
    </row>
    <row r="2112" spans="1:17" ht="15" customHeight="1" x14ac:dyDescent="0.25">
      <c r="A2112" s="244"/>
      <c r="B2112" s="244"/>
      <c r="C2112" s="244"/>
      <c r="D2112" s="244"/>
      <c r="E2112" s="244"/>
      <c r="F2112" s="244"/>
      <c r="G2112" s="244"/>
      <c r="I2112" s="244"/>
      <c r="J2112" s="244"/>
      <c r="K2112" s="246" t="e">
        <f t="shared" si="224"/>
        <v>#VALUE!</v>
      </c>
      <c r="L2112" s="246" t="e">
        <f t="shared" si="225"/>
        <v>#VALUE!</v>
      </c>
      <c r="M2112" s="247" t="e">
        <f t="shared" si="226"/>
        <v>#VALUE!</v>
      </c>
      <c r="N2112" s="246" t="e">
        <f t="shared" si="227"/>
        <v>#VALUE!</v>
      </c>
      <c r="O2112" s="247" t="e">
        <f t="shared" si="228"/>
        <v>#VALUE!</v>
      </c>
      <c r="P2112" s="247">
        <f t="shared" si="229"/>
        <v>0</v>
      </c>
      <c r="Q2112" s="247" t="e">
        <f t="shared" si="230"/>
        <v>#VALUE!</v>
      </c>
    </row>
    <row r="2113" spans="1:17" ht="15" customHeight="1" x14ac:dyDescent="0.25">
      <c r="A2113" s="244"/>
      <c r="B2113" s="244"/>
      <c r="C2113" s="244"/>
      <c r="D2113" s="244"/>
      <c r="E2113" s="244"/>
      <c r="F2113" s="244"/>
      <c r="G2113" s="244"/>
      <c r="I2113" s="244"/>
      <c r="J2113" s="244"/>
      <c r="K2113" s="246" t="e">
        <f t="shared" si="224"/>
        <v>#VALUE!</v>
      </c>
      <c r="L2113" s="246" t="e">
        <f t="shared" si="225"/>
        <v>#VALUE!</v>
      </c>
      <c r="M2113" s="247" t="e">
        <f t="shared" si="226"/>
        <v>#VALUE!</v>
      </c>
      <c r="N2113" s="246" t="e">
        <f t="shared" si="227"/>
        <v>#VALUE!</v>
      </c>
      <c r="O2113" s="247" t="e">
        <f t="shared" si="228"/>
        <v>#VALUE!</v>
      </c>
      <c r="P2113" s="247">
        <f t="shared" si="229"/>
        <v>0</v>
      </c>
      <c r="Q2113" s="247" t="e">
        <f t="shared" si="230"/>
        <v>#VALUE!</v>
      </c>
    </row>
    <row r="2114" spans="1:17" ht="15" customHeight="1" x14ac:dyDescent="0.25">
      <c r="A2114" s="244"/>
      <c r="B2114" s="244"/>
      <c r="C2114" s="244"/>
      <c r="D2114" s="244"/>
      <c r="E2114" s="244"/>
      <c r="F2114" s="244"/>
      <c r="G2114" s="244"/>
      <c r="I2114" s="244"/>
      <c r="J2114" s="244"/>
      <c r="K2114" s="246" t="e">
        <f t="shared" ref="K2114:K2177" si="231">DATE(VALUE(LEFT(A2114,4)),VALUE(MID(A2114,5,2)),VALUE(RIGHT(A2114,2)))</f>
        <v>#VALUE!</v>
      </c>
      <c r="L2114" s="246" t="e">
        <f t="shared" ref="L2114:L2177" si="232">DATEVALUE(LEFT(F2114,10))</f>
        <v>#VALUE!</v>
      </c>
      <c r="M2114" s="247" t="e">
        <f t="shared" ref="M2114:M2177" si="233">TIMEVALUE(MID(F2114,12,8))</f>
        <v>#VALUE!</v>
      </c>
      <c r="N2114" s="246" t="e">
        <f t="shared" ref="N2114:N2177" si="234">DATEVALUE(LEFT(G2114,10))</f>
        <v>#VALUE!</v>
      </c>
      <c r="O2114" s="247" t="e">
        <f t="shared" ref="O2114:O2177" si="235">TIMEVALUE(MID(G2114,12,8))</f>
        <v>#VALUE!</v>
      </c>
      <c r="P2114" s="247">
        <f t="shared" ref="P2114:P2177" si="236">IFERROR(_xlfn.MINIFS($M:$M,$E:$E,$E2114,$K:$K,$K2114,$M:$M,"&gt;"&amp;$O2114),"")</f>
        <v>0</v>
      </c>
      <c r="Q2114" s="247" t="e">
        <f t="shared" ref="Q2114:Q2177" si="237">IF($P2114="","",$P2114-$O2114)</f>
        <v>#VALUE!</v>
      </c>
    </row>
    <row r="2115" spans="1:17" ht="15" customHeight="1" x14ac:dyDescent="0.25">
      <c r="A2115" s="244"/>
      <c r="B2115" s="244"/>
      <c r="C2115" s="244"/>
      <c r="D2115" s="244"/>
      <c r="E2115" s="244"/>
      <c r="F2115" s="244"/>
      <c r="G2115" s="244"/>
      <c r="I2115" s="244"/>
      <c r="J2115" s="244"/>
      <c r="K2115" s="246" t="e">
        <f t="shared" si="231"/>
        <v>#VALUE!</v>
      </c>
      <c r="L2115" s="246" t="e">
        <f t="shared" si="232"/>
        <v>#VALUE!</v>
      </c>
      <c r="M2115" s="247" t="e">
        <f t="shared" si="233"/>
        <v>#VALUE!</v>
      </c>
      <c r="N2115" s="246" t="e">
        <f t="shared" si="234"/>
        <v>#VALUE!</v>
      </c>
      <c r="O2115" s="247" t="e">
        <f t="shared" si="235"/>
        <v>#VALUE!</v>
      </c>
      <c r="P2115" s="247">
        <f t="shared" si="236"/>
        <v>0</v>
      </c>
      <c r="Q2115" s="247" t="e">
        <f t="shared" si="237"/>
        <v>#VALUE!</v>
      </c>
    </row>
    <row r="2116" spans="1:17" ht="15" customHeight="1" x14ac:dyDescent="0.25">
      <c r="A2116" s="244"/>
      <c r="B2116" s="244"/>
      <c r="C2116" s="244"/>
      <c r="D2116" s="244"/>
      <c r="E2116" s="244"/>
      <c r="F2116" s="244"/>
      <c r="G2116" s="244"/>
      <c r="I2116" s="244"/>
      <c r="J2116" s="244"/>
      <c r="K2116" s="246" t="e">
        <f t="shared" si="231"/>
        <v>#VALUE!</v>
      </c>
      <c r="L2116" s="246" t="e">
        <f t="shared" si="232"/>
        <v>#VALUE!</v>
      </c>
      <c r="M2116" s="247" t="e">
        <f t="shared" si="233"/>
        <v>#VALUE!</v>
      </c>
      <c r="N2116" s="246" t="e">
        <f t="shared" si="234"/>
        <v>#VALUE!</v>
      </c>
      <c r="O2116" s="247" t="e">
        <f t="shared" si="235"/>
        <v>#VALUE!</v>
      </c>
      <c r="P2116" s="247">
        <f t="shared" si="236"/>
        <v>0</v>
      </c>
      <c r="Q2116" s="247" t="e">
        <f t="shared" si="237"/>
        <v>#VALUE!</v>
      </c>
    </row>
    <row r="2117" spans="1:17" ht="15" customHeight="1" x14ac:dyDescent="0.25">
      <c r="A2117" s="244"/>
      <c r="B2117" s="244"/>
      <c r="C2117" s="244"/>
      <c r="D2117" s="244"/>
      <c r="E2117" s="244"/>
      <c r="F2117" s="244"/>
      <c r="G2117" s="244"/>
      <c r="I2117" s="244"/>
      <c r="J2117" s="244"/>
      <c r="K2117" s="246" t="e">
        <f t="shared" si="231"/>
        <v>#VALUE!</v>
      </c>
      <c r="L2117" s="246" t="e">
        <f t="shared" si="232"/>
        <v>#VALUE!</v>
      </c>
      <c r="M2117" s="247" t="e">
        <f t="shared" si="233"/>
        <v>#VALUE!</v>
      </c>
      <c r="N2117" s="246" t="e">
        <f t="shared" si="234"/>
        <v>#VALUE!</v>
      </c>
      <c r="O2117" s="247" t="e">
        <f t="shared" si="235"/>
        <v>#VALUE!</v>
      </c>
      <c r="P2117" s="247">
        <f t="shared" si="236"/>
        <v>0</v>
      </c>
      <c r="Q2117" s="247" t="e">
        <f t="shared" si="237"/>
        <v>#VALUE!</v>
      </c>
    </row>
    <row r="2118" spans="1:17" ht="15" customHeight="1" x14ac:dyDescent="0.25">
      <c r="A2118" s="244"/>
      <c r="B2118" s="244"/>
      <c r="C2118" s="244"/>
      <c r="D2118" s="244"/>
      <c r="E2118" s="244"/>
      <c r="F2118" s="244"/>
      <c r="G2118" s="244"/>
      <c r="I2118" s="244"/>
      <c r="J2118" s="244"/>
      <c r="K2118" s="246" t="e">
        <f t="shared" si="231"/>
        <v>#VALUE!</v>
      </c>
      <c r="L2118" s="246" t="e">
        <f t="shared" si="232"/>
        <v>#VALUE!</v>
      </c>
      <c r="M2118" s="247" t="e">
        <f t="shared" si="233"/>
        <v>#VALUE!</v>
      </c>
      <c r="N2118" s="246" t="e">
        <f t="shared" si="234"/>
        <v>#VALUE!</v>
      </c>
      <c r="O2118" s="247" t="e">
        <f t="shared" si="235"/>
        <v>#VALUE!</v>
      </c>
      <c r="P2118" s="247">
        <f t="shared" si="236"/>
        <v>0</v>
      </c>
      <c r="Q2118" s="247" t="e">
        <f t="shared" si="237"/>
        <v>#VALUE!</v>
      </c>
    </row>
    <row r="2119" spans="1:17" ht="15" customHeight="1" x14ac:dyDescent="0.25">
      <c r="A2119" s="244"/>
      <c r="B2119" s="244"/>
      <c r="C2119" s="244"/>
      <c r="D2119" s="244"/>
      <c r="E2119" s="244"/>
      <c r="F2119" s="244"/>
      <c r="G2119" s="244"/>
      <c r="I2119" s="244"/>
      <c r="J2119" s="244"/>
      <c r="K2119" s="246" t="e">
        <f t="shared" si="231"/>
        <v>#VALUE!</v>
      </c>
      <c r="L2119" s="246" t="e">
        <f t="shared" si="232"/>
        <v>#VALUE!</v>
      </c>
      <c r="M2119" s="247" t="e">
        <f t="shared" si="233"/>
        <v>#VALUE!</v>
      </c>
      <c r="N2119" s="246" t="e">
        <f t="shared" si="234"/>
        <v>#VALUE!</v>
      </c>
      <c r="O2119" s="247" t="e">
        <f t="shared" si="235"/>
        <v>#VALUE!</v>
      </c>
      <c r="P2119" s="247">
        <f t="shared" si="236"/>
        <v>0</v>
      </c>
      <c r="Q2119" s="247" t="e">
        <f t="shared" si="237"/>
        <v>#VALUE!</v>
      </c>
    </row>
    <row r="2120" spans="1:17" ht="15" customHeight="1" x14ac:dyDescent="0.25">
      <c r="A2120" s="244"/>
      <c r="B2120" s="244"/>
      <c r="C2120" s="244"/>
      <c r="D2120" s="244"/>
      <c r="E2120" s="244"/>
      <c r="F2120" s="244"/>
      <c r="G2120" s="244"/>
      <c r="I2120" s="244"/>
      <c r="J2120" s="244"/>
      <c r="K2120" s="246" t="e">
        <f t="shared" si="231"/>
        <v>#VALUE!</v>
      </c>
      <c r="L2120" s="246" t="e">
        <f t="shared" si="232"/>
        <v>#VALUE!</v>
      </c>
      <c r="M2120" s="247" t="e">
        <f t="shared" si="233"/>
        <v>#VALUE!</v>
      </c>
      <c r="N2120" s="246" t="e">
        <f t="shared" si="234"/>
        <v>#VALUE!</v>
      </c>
      <c r="O2120" s="247" t="e">
        <f t="shared" si="235"/>
        <v>#VALUE!</v>
      </c>
      <c r="P2120" s="247">
        <f t="shared" si="236"/>
        <v>0</v>
      </c>
      <c r="Q2120" s="247" t="e">
        <f t="shared" si="237"/>
        <v>#VALUE!</v>
      </c>
    </row>
    <row r="2121" spans="1:17" ht="15" customHeight="1" x14ac:dyDescent="0.25">
      <c r="A2121" s="244"/>
      <c r="B2121" s="244"/>
      <c r="C2121" s="244"/>
      <c r="D2121" s="244"/>
      <c r="E2121" s="244"/>
      <c r="F2121" s="244"/>
      <c r="G2121" s="244"/>
      <c r="I2121" s="244"/>
      <c r="J2121" s="244"/>
      <c r="K2121" s="246" t="e">
        <f t="shared" si="231"/>
        <v>#VALUE!</v>
      </c>
      <c r="L2121" s="246" t="e">
        <f t="shared" si="232"/>
        <v>#VALUE!</v>
      </c>
      <c r="M2121" s="247" t="e">
        <f t="shared" si="233"/>
        <v>#VALUE!</v>
      </c>
      <c r="N2121" s="246" t="e">
        <f t="shared" si="234"/>
        <v>#VALUE!</v>
      </c>
      <c r="O2121" s="247" t="e">
        <f t="shared" si="235"/>
        <v>#VALUE!</v>
      </c>
      <c r="P2121" s="247">
        <f t="shared" si="236"/>
        <v>0</v>
      </c>
      <c r="Q2121" s="247" t="e">
        <f t="shared" si="237"/>
        <v>#VALUE!</v>
      </c>
    </row>
    <row r="2122" spans="1:17" ht="15" customHeight="1" x14ac:dyDescent="0.25">
      <c r="A2122" s="244"/>
      <c r="B2122" s="244"/>
      <c r="C2122" s="244"/>
      <c r="D2122" s="244"/>
      <c r="E2122" s="244"/>
      <c r="F2122" s="244"/>
      <c r="G2122" s="244"/>
      <c r="I2122" s="244"/>
      <c r="J2122" s="244"/>
      <c r="K2122" s="246" t="e">
        <f t="shared" si="231"/>
        <v>#VALUE!</v>
      </c>
      <c r="L2122" s="246" t="e">
        <f t="shared" si="232"/>
        <v>#VALUE!</v>
      </c>
      <c r="M2122" s="247" t="e">
        <f t="shared" si="233"/>
        <v>#VALUE!</v>
      </c>
      <c r="N2122" s="246" t="e">
        <f t="shared" si="234"/>
        <v>#VALUE!</v>
      </c>
      <c r="O2122" s="247" t="e">
        <f t="shared" si="235"/>
        <v>#VALUE!</v>
      </c>
      <c r="P2122" s="247">
        <f t="shared" si="236"/>
        <v>0</v>
      </c>
      <c r="Q2122" s="247" t="e">
        <f t="shared" si="237"/>
        <v>#VALUE!</v>
      </c>
    </row>
    <row r="2123" spans="1:17" ht="15" customHeight="1" x14ac:dyDescent="0.25">
      <c r="A2123" s="244"/>
      <c r="B2123" s="244"/>
      <c r="C2123" s="244"/>
      <c r="D2123" s="244"/>
      <c r="E2123" s="244"/>
      <c r="F2123" s="244"/>
      <c r="G2123" s="244"/>
      <c r="I2123" s="244"/>
      <c r="J2123" s="244"/>
      <c r="K2123" s="246" t="e">
        <f t="shared" si="231"/>
        <v>#VALUE!</v>
      </c>
      <c r="L2123" s="246" t="e">
        <f t="shared" si="232"/>
        <v>#VALUE!</v>
      </c>
      <c r="M2123" s="247" t="e">
        <f t="shared" si="233"/>
        <v>#VALUE!</v>
      </c>
      <c r="N2123" s="246" t="e">
        <f t="shared" si="234"/>
        <v>#VALUE!</v>
      </c>
      <c r="O2123" s="247" t="e">
        <f t="shared" si="235"/>
        <v>#VALUE!</v>
      </c>
      <c r="P2123" s="247">
        <f t="shared" si="236"/>
        <v>0</v>
      </c>
      <c r="Q2123" s="247" t="e">
        <f t="shared" si="237"/>
        <v>#VALUE!</v>
      </c>
    </row>
    <row r="2124" spans="1:17" ht="15" customHeight="1" x14ac:dyDescent="0.25">
      <c r="A2124" s="244"/>
      <c r="B2124" s="244"/>
      <c r="C2124" s="244"/>
      <c r="D2124" s="244"/>
      <c r="E2124" s="244"/>
      <c r="F2124" s="244"/>
      <c r="G2124" s="244"/>
      <c r="I2124" s="244"/>
      <c r="J2124" s="244"/>
      <c r="K2124" s="246" t="e">
        <f t="shared" si="231"/>
        <v>#VALUE!</v>
      </c>
      <c r="L2124" s="246" t="e">
        <f t="shared" si="232"/>
        <v>#VALUE!</v>
      </c>
      <c r="M2124" s="247" t="e">
        <f t="shared" si="233"/>
        <v>#VALUE!</v>
      </c>
      <c r="N2124" s="246" t="e">
        <f t="shared" si="234"/>
        <v>#VALUE!</v>
      </c>
      <c r="O2124" s="247" t="e">
        <f t="shared" si="235"/>
        <v>#VALUE!</v>
      </c>
      <c r="P2124" s="247">
        <f t="shared" si="236"/>
        <v>0</v>
      </c>
      <c r="Q2124" s="247" t="e">
        <f t="shared" si="237"/>
        <v>#VALUE!</v>
      </c>
    </row>
    <row r="2125" spans="1:17" ht="15" customHeight="1" x14ac:dyDescent="0.25">
      <c r="A2125" s="244"/>
      <c r="B2125" s="244"/>
      <c r="C2125" s="244"/>
      <c r="D2125" s="244"/>
      <c r="E2125" s="244"/>
      <c r="F2125" s="244"/>
      <c r="G2125" s="244"/>
      <c r="I2125" s="244"/>
      <c r="J2125" s="244"/>
      <c r="K2125" s="246" t="e">
        <f t="shared" si="231"/>
        <v>#VALUE!</v>
      </c>
      <c r="L2125" s="246" t="e">
        <f t="shared" si="232"/>
        <v>#VALUE!</v>
      </c>
      <c r="M2125" s="247" t="e">
        <f t="shared" si="233"/>
        <v>#VALUE!</v>
      </c>
      <c r="N2125" s="246" t="e">
        <f t="shared" si="234"/>
        <v>#VALUE!</v>
      </c>
      <c r="O2125" s="247" t="e">
        <f t="shared" si="235"/>
        <v>#VALUE!</v>
      </c>
      <c r="P2125" s="247">
        <f t="shared" si="236"/>
        <v>0</v>
      </c>
      <c r="Q2125" s="247" t="e">
        <f t="shared" si="237"/>
        <v>#VALUE!</v>
      </c>
    </row>
    <row r="2126" spans="1:17" ht="15" customHeight="1" x14ac:dyDescent="0.25">
      <c r="A2126" s="244"/>
      <c r="B2126" s="244"/>
      <c r="C2126" s="244"/>
      <c r="D2126" s="244"/>
      <c r="E2126" s="244"/>
      <c r="F2126" s="244"/>
      <c r="G2126" s="244"/>
      <c r="I2126" s="244"/>
      <c r="J2126" s="244"/>
      <c r="K2126" s="246" t="e">
        <f t="shared" si="231"/>
        <v>#VALUE!</v>
      </c>
      <c r="L2126" s="246" t="e">
        <f t="shared" si="232"/>
        <v>#VALUE!</v>
      </c>
      <c r="M2126" s="247" t="e">
        <f t="shared" si="233"/>
        <v>#VALUE!</v>
      </c>
      <c r="N2126" s="246" t="e">
        <f t="shared" si="234"/>
        <v>#VALUE!</v>
      </c>
      <c r="O2126" s="247" t="e">
        <f t="shared" si="235"/>
        <v>#VALUE!</v>
      </c>
      <c r="P2126" s="247">
        <f t="shared" si="236"/>
        <v>0</v>
      </c>
      <c r="Q2126" s="247" t="e">
        <f t="shared" si="237"/>
        <v>#VALUE!</v>
      </c>
    </row>
    <row r="2127" spans="1:17" ht="15" customHeight="1" x14ac:dyDescent="0.25">
      <c r="A2127" s="244"/>
      <c r="B2127" s="244"/>
      <c r="C2127" s="244"/>
      <c r="D2127" s="244"/>
      <c r="E2127" s="244"/>
      <c r="F2127" s="244"/>
      <c r="G2127" s="244"/>
      <c r="I2127" s="244"/>
      <c r="J2127" s="244"/>
      <c r="K2127" s="246" t="e">
        <f t="shared" si="231"/>
        <v>#VALUE!</v>
      </c>
      <c r="L2127" s="246" t="e">
        <f t="shared" si="232"/>
        <v>#VALUE!</v>
      </c>
      <c r="M2127" s="247" t="e">
        <f t="shared" si="233"/>
        <v>#VALUE!</v>
      </c>
      <c r="N2127" s="246" t="e">
        <f t="shared" si="234"/>
        <v>#VALUE!</v>
      </c>
      <c r="O2127" s="247" t="e">
        <f t="shared" si="235"/>
        <v>#VALUE!</v>
      </c>
      <c r="P2127" s="247">
        <f t="shared" si="236"/>
        <v>0</v>
      </c>
      <c r="Q2127" s="247" t="e">
        <f t="shared" si="237"/>
        <v>#VALUE!</v>
      </c>
    </row>
    <row r="2128" spans="1:17" ht="15" customHeight="1" x14ac:dyDescent="0.25">
      <c r="A2128" s="244"/>
      <c r="B2128" s="244"/>
      <c r="C2128" s="244"/>
      <c r="D2128" s="244"/>
      <c r="E2128" s="244"/>
      <c r="F2128" s="244"/>
      <c r="G2128" s="244"/>
      <c r="I2128" s="244"/>
      <c r="J2128" s="244"/>
      <c r="K2128" s="246" t="e">
        <f t="shared" si="231"/>
        <v>#VALUE!</v>
      </c>
      <c r="L2128" s="246" t="e">
        <f t="shared" si="232"/>
        <v>#VALUE!</v>
      </c>
      <c r="M2128" s="247" t="e">
        <f t="shared" si="233"/>
        <v>#VALUE!</v>
      </c>
      <c r="N2128" s="246" t="e">
        <f t="shared" si="234"/>
        <v>#VALUE!</v>
      </c>
      <c r="O2128" s="247" t="e">
        <f t="shared" si="235"/>
        <v>#VALUE!</v>
      </c>
      <c r="P2128" s="247">
        <f t="shared" si="236"/>
        <v>0</v>
      </c>
      <c r="Q2128" s="247" t="e">
        <f t="shared" si="237"/>
        <v>#VALUE!</v>
      </c>
    </row>
    <row r="2129" spans="1:17" ht="15" customHeight="1" x14ac:dyDescent="0.25">
      <c r="A2129" s="244"/>
      <c r="B2129" s="244"/>
      <c r="C2129" s="244"/>
      <c r="D2129" s="244"/>
      <c r="E2129" s="244"/>
      <c r="F2129" s="244"/>
      <c r="G2129" s="244"/>
      <c r="I2129" s="244"/>
      <c r="J2129" s="244"/>
      <c r="K2129" s="246" t="e">
        <f t="shared" si="231"/>
        <v>#VALUE!</v>
      </c>
      <c r="L2129" s="246" t="e">
        <f t="shared" si="232"/>
        <v>#VALUE!</v>
      </c>
      <c r="M2129" s="247" t="e">
        <f t="shared" si="233"/>
        <v>#VALUE!</v>
      </c>
      <c r="N2129" s="246" t="e">
        <f t="shared" si="234"/>
        <v>#VALUE!</v>
      </c>
      <c r="O2129" s="247" t="e">
        <f t="shared" si="235"/>
        <v>#VALUE!</v>
      </c>
      <c r="P2129" s="247">
        <f t="shared" si="236"/>
        <v>0</v>
      </c>
      <c r="Q2129" s="247" t="e">
        <f t="shared" si="237"/>
        <v>#VALUE!</v>
      </c>
    </row>
    <row r="2130" spans="1:17" ht="15" customHeight="1" x14ac:dyDescent="0.25">
      <c r="A2130" s="244"/>
      <c r="B2130" s="244"/>
      <c r="C2130" s="244"/>
      <c r="D2130" s="244"/>
      <c r="E2130" s="244"/>
      <c r="F2130" s="244"/>
      <c r="G2130" s="244"/>
      <c r="I2130" s="244"/>
      <c r="J2130" s="244"/>
      <c r="K2130" s="246" t="e">
        <f t="shared" si="231"/>
        <v>#VALUE!</v>
      </c>
      <c r="L2130" s="246" t="e">
        <f t="shared" si="232"/>
        <v>#VALUE!</v>
      </c>
      <c r="M2130" s="247" t="e">
        <f t="shared" si="233"/>
        <v>#VALUE!</v>
      </c>
      <c r="N2130" s="246" t="e">
        <f t="shared" si="234"/>
        <v>#VALUE!</v>
      </c>
      <c r="O2130" s="247" t="e">
        <f t="shared" si="235"/>
        <v>#VALUE!</v>
      </c>
      <c r="P2130" s="247">
        <f t="shared" si="236"/>
        <v>0</v>
      </c>
      <c r="Q2130" s="247" t="e">
        <f t="shared" si="237"/>
        <v>#VALUE!</v>
      </c>
    </row>
    <row r="2131" spans="1:17" ht="15" customHeight="1" x14ac:dyDescent="0.25">
      <c r="A2131" s="244"/>
      <c r="B2131" s="244"/>
      <c r="C2131" s="244"/>
      <c r="D2131" s="244"/>
      <c r="E2131" s="244"/>
      <c r="F2131" s="244"/>
      <c r="G2131" s="244"/>
      <c r="I2131" s="244"/>
      <c r="J2131" s="244"/>
      <c r="K2131" s="246" t="e">
        <f t="shared" si="231"/>
        <v>#VALUE!</v>
      </c>
      <c r="L2131" s="246" t="e">
        <f t="shared" si="232"/>
        <v>#VALUE!</v>
      </c>
      <c r="M2131" s="247" t="e">
        <f t="shared" si="233"/>
        <v>#VALUE!</v>
      </c>
      <c r="N2131" s="246" t="e">
        <f t="shared" si="234"/>
        <v>#VALUE!</v>
      </c>
      <c r="O2131" s="247" t="e">
        <f t="shared" si="235"/>
        <v>#VALUE!</v>
      </c>
      <c r="P2131" s="247">
        <f t="shared" si="236"/>
        <v>0</v>
      </c>
      <c r="Q2131" s="247" t="e">
        <f t="shared" si="237"/>
        <v>#VALUE!</v>
      </c>
    </row>
    <row r="2132" spans="1:17" ht="15" customHeight="1" x14ac:dyDescent="0.25">
      <c r="A2132" s="244"/>
      <c r="B2132" s="244"/>
      <c r="C2132" s="244"/>
      <c r="D2132" s="244"/>
      <c r="E2132" s="244"/>
      <c r="F2132" s="244"/>
      <c r="G2132" s="244"/>
      <c r="I2132" s="244"/>
      <c r="J2132" s="244"/>
      <c r="K2132" s="246" t="e">
        <f t="shared" si="231"/>
        <v>#VALUE!</v>
      </c>
      <c r="L2132" s="246" t="e">
        <f t="shared" si="232"/>
        <v>#VALUE!</v>
      </c>
      <c r="M2132" s="247" t="e">
        <f t="shared" si="233"/>
        <v>#VALUE!</v>
      </c>
      <c r="N2132" s="246" t="e">
        <f t="shared" si="234"/>
        <v>#VALUE!</v>
      </c>
      <c r="O2132" s="247" t="e">
        <f t="shared" si="235"/>
        <v>#VALUE!</v>
      </c>
      <c r="P2132" s="247">
        <f t="shared" si="236"/>
        <v>0</v>
      </c>
      <c r="Q2132" s="247" t="e">
        <f t="shared" si="237"/>
        <v>#VALUE!</v>
      </c>
    </row>
    <row r="2133" spans="1:17" ht="15" customHeight="1" x14ac:dyDescent="0.25">
      <c r="A2133" s="244"/>
      <c r="B2133" s="244"/>
      <c r="C2133" s="244"/>
      <c r="D2133" s="244"/>
      <c r="E2133" s="244"/>
      <c r="F2133" s="244"/>
      <c r="G2133" s="244"/>
      <c r="I2133" s="244"/>
      <c r="J2133" s="244"/>
      <c r="K2133" s="246" t="e">
        <f t="shared" si="231"/>
        <v>#VALUE!</v>
      </c>
      <c r="L2133" s="246" t="e">
        <f t="shared" si="232"/>
        <v>#VALUE!</v>
      </c>
      <c r="M2133" s="247" t="e">
        <f t="shared" si="233"/>
        <v>#VALUE!</v>
      </c>
      <c r="N2133" s="246" t="e">
        <f t="shared" si="234"/>
        <v>#VALUE!</v>
      </c>
      <c r="O2133" s="247" t="e">
        <f t="shared" si="235"/>
        <v>#VALUE!</v>
      </c>
      <c r="P2133" s="247">
        <f t="shared" si="236"/>
        <v>0</v>
      </c>
      <c r="Q2133" s="247" t="e">
        <f t="shared" si="237"/>
        <v>#VALUE!</v>
      </c>
    </row>
    <row r="2134" spans="1:17" ht="15" customHeight="1" x14ac:dyDescent="0.25">
      <c r="A2134" s="244"/>
      <c r="B2134" s="244"/>
      <c r="C2134" s="244"/>
      <c r="D2134" s="244"/>
      <c r="E2134" s="244"/>
      <c r="F2134" s="244"/>
      <c r="G2134" s="244"/>
      <c r="I2134" s="244"/>
      <c r="J2134" s="244"/>
      <c r="K2134" s="246" t="e">
        <f t="shared" si="231"/>
        <v>#VALUE!</v>
      </c>
      <c r="L2134" s="246" t="e">
        <f t="shared" si="232"/>
        <v>#VALUE!</v>
      </c>
      <c r="M2134" s="247" t="e">
        <f t="shared" si="233"/>
        <v>#VALUE!</v>
      </c>
      <c r="N2134" s="246" t="e">
        <f t="shared" si="234"/>
        <v>#VALUE!</v>
      </c>
      <c r="O2134" s="247" t="e">
        <f t="shared" si="235"/>
        <v>#VALUE!</v>
      </c>
      <c r="P2134" s="247">
        <f t="shared" si="236"/>
        <v>0</v>
      </c>
      <c r="Q2134" s="247" t="e">
        <f t="shared" si="237"/>
        <v>#VALUE!</v>
      </c>
    </row>
    <row r="2135" spans="1:17" ht="15" customHeight="1" x14ac:dyDescent="0.25">
      <c r="A2135" s="244"/>
      <c r="B2135" s="244"/>
      <c r="C2135" s="244"/>
      <c r="D2135" s="244"/>
      <c r="E2135" s="244"/>
      <c r="F2135" s="244"/>
      <c r="G2135" s="244"/>
      <c r="I2135" s="244"/>
      <c r="J2135" s="244"/>
      <c r="K2135" s="246" t="e">
        <f t="shared" si="231"/>
        <v>#VALUE!</v>
      </c>
      <c r="L2135" s="246" t="e">
        <f t="shared" si="232"/>
        <v>#VALUE!</v>
      </c>
      <c r="M2135" s="247" t="e">
        <f t="shared" si="233"/>
        <v>#VALUE!</v>
      </c>
      <c r="N2135" s="246" t="e">
        <f t="shared" si="234"/>
        <v>#VALUE!</v>
      </c>
      <c r="O2135" s="247" t="e">
        <f t="shared" si="235"/>
        <v>#VALUE!</v>
      </c>
      <c r="P2135" s="247">
        <f t="shared" si="236"/>
        <v>0</v>
      </c>
      <c r="Q2135" s="247" t="e">
        <f t="shared" si="237"/>
        <v>#VALUE!</v>
      </c>
    </row>
    <row r="2136" spans="1:17" ht="15" customHeight="1" x14ac:dyDescent="0.25">
      <c r="A2136" s="244"/>
      <c r="B2136" s="244"/>
      <c r="C2136" s="244"/>
      <c r="D2136" s="244"/>
      <c r="E2136" s="244"/>
      <c r="F2136" s="244"/>
      <c r="G2136" s="244"/>
      <c r="I2136" s="244"/>
      <c r="J2136" s="244"/>
      <c r="K2136" s="246" t="e">
        <f t="shared" si="231"/>
        <v>#VALUE!</v>
      </c>
      <c r="L2136" s="246" t="e">
        <f t="shared" si="232"/>
        <v>#VALUE!</v>
      </c>
      <c r="M2136" s="247" t="e">
        <f t="shared" si="233"/>
        <v>#VALUE!</v>
      </c>
      <c r="N2136" s="246" t="e">
        <f t="shared" si="234"/>
        <v>#VALUE!</v>
      </c>
      <c r="O2136" s="247" t="e">
        <f t="shared" si="235"/>
        <v>#VALUE!</v>
      </c>
      <c r="P2136" s="247">
        <f t="shared" si="236"/>
        <v>0</v>
      </c>
      <c r="Q2136" s="247" t="e">
        <f t="shared" si="237"/>
        <v>#VALUE!</v>
      </c>
    </row>
    <row r="2137" spans="1:17" ht="15" customHeight="1" x14ac:dyDescent="0.25">
      <c r="A2137" s="244"/>
      <c r="B2137" s="244"/>
      <c r="C2137" s="244"/>
      <c r="D2137" s="244"/>
      <c r="E2137" s="244"/>
      <c r="F2137" s="244"/>
      <c r="G2137" s="244"/>
      <c r="I2137" s="244"/>
      <c r="J2137" s="244"/>
      <c r="K2137" s="246" t="e">
        <f t="shared" si="231"/>
        <v>#VALUE!</v>
      </c>
      <c r="L2137" s="246" t="e">
        <f t="shared" si="232"/>
        <v>#VALUE!</v>
      </c>
      <c r="M2137" s="247" t="e">
        <f t="shared" si="233"/>
        <v>#VALUE!</v>
      </c>
      <c r="N2137" s="246" t="e">
        <f t="shared" si="234"/>
        <v>#VALUE!</v>
      </c>
      <c r="O2137" s="247" t="e">
        <f t="shared" si="235"/>
        <v>#VALUE!</v>
      </c>
      <c r="P2137" s="247">
        <f t="shared" si="236"/>
        <v>0</v>
      </c>
      <c r="Q2137" s="247" t="e">
        <f t="shared" si="237"/>
        <v>#VALUE!</v>
      </c>
    </row>
    <row r="2138" spans="1:17" ht="15" customHeight="1" x14ac:dyDescent="0.25">
      <c r="A2138" s="244"/>
      <c r="B2138" s="244"/>
      <c r="C2138" s="244"/>
      <c r="D2138" s="244"/>
      <c r="E2138" s="244"/>
      <c r="F2138" s="244"/>
      <c r="G2138" s="244"/>
      <c r="I2138" s="244"/>
      <c r="J2138" s="244"/>
      <c r="K2138" s="246" t="e">
        <f t="shared" si="231"/>
        <v>#VALUE!</v>
      </c>
      <c r="L2138" s="246" t="e">
        <f t="shared" si="232"/>
        <v>#VALUE!</v>
      </c>
      <c r="M2138" s="247" t="e">
        <f t="shared" si="233"/>
        <v>#VALUE!</v>
      </c>
      <c r="N2138" s="246" t="e">
        <f t="shared" si="234"/>
        <v>#VALUE!</v>
      </c>
      <c r="O2138" s="247" t="e">
        <f t="shared" si="235"/>
        <v>#VALUE!</v>
      </c>
      <c r="P2138" s="247">
        <f t="shared" si="236"/>
        <v>0</v>
      </c>
      <c r="Q2138" s="247" t="e">
        <f t="shared" si="237"/>
        <v>#VALUE!</v>
      </c>
    </row>
    <row r="2139" spans="1:17" ht="15" customHeight="1" x14ac:dyDescent="0.25">
      <c r="A2139" s="244"/>
      <c r="B2139" s="244"/>
      <c r="C2139" s="244"/>
      <c r="D2139" s="244"/>
      <c r="E2139" s="244"/>
      <c r="F2139" s="244"/>
      <c r="G2139" s="244"/>
      <c r="I2139" s="244"/>
      <c r="J2139" s="244"/>
      <c r="K2139" s="246" t="e">
        <f t="shared" si="231"/>
        <v>#VALUE!</v>
      </c>
      <c r="L2139" s="246" t="e">
        <f t="shared" si="232"/>
        <v>#VALUE!</v>
      </c>
      <c r="M2139" s="247" t="e">
        <f t="shared" si="233"/>
        <v>#VALUE!</v>
      </c>
      <c r="N2139" s="246" t="e">
        <f t="shared" si="234"/>
        <v>#VALUE!</v>
      </c>
      <c r="O2139" s="247" t="e">
        <f t="shared" si="235"/>
        <v>#VALUE!</v>
      </c>
      <c r="P2139" s="247">
        <f t="shared" si="236"/>
        <v>0</v>
      </c>
      <c r="Q2139" s="247" t="e">
        <f t="shared" si="237"/>
        <v>#VALUE!</v>
      </c>
    </row>
    <row r="2140" spans="1:17" ht="15" customHeight="1" x14ac:dyDescent="0.25">
      <c r="A2140" s="244"/>
      <c r="B2140" s="244"/>
      <c r="C2140" s="244"/>
      <c r="D2140" s="244"/>
      <c r="E2140" s="244"/>
      <c r="F2140" s="244"/>
      <c r="G2140" s="244"/>
      <c r="I2140" s="244"/>
      <c r="J2140" s="244"/>
      <c r="K2140" s="246" t="e">
        <f t="shared" si="231"/>
        <v>#VALUE!</v>
      </c>
      <c r="L2140" s="246" t="e">
        <f t="shared" si="232"/>
        <v>#VALUE!</v>
      </c>
      <c r="M2140" s="247" t="e">
        <f t="shared" si="233"/>
        <v>#VALUE!</v>
      </c>
      <c r="N2140" s="246" t="e">
        <f t="shared" si="234"/>
        <v>#VALUE!</v>
      </c>
      <c r="O2140" s="247" t="e">
        <f t="shared" si="235"/>
        <v>#VALUE!</v>
      </c>
      <c r="P2140" s="247">
        <f t="shared" si="236"/>
        <v>0</v>
      </c>
      <c r="Q2140" s="247" t="e">
        <f t="shared" si="237"/>
        <v>#VALUE!</v>
      </c>
    </row>
    <row r="2141" spans="1:17" ht="15" customHeight="1" x14ac:dyDescent="0.25">
      <c r="A2141" s="244"/>
      <c r="B2141" s="244"/>
      <c r="C2141" s="244"/>
      <c r="D2141" s="244"/>
      <c r="E2141" s="244"/>
      <c r="F2141" s="244"/>
      <c r="G2141" s="244"/>
      <c r="I2141" s="244"/>
      <c r="J2141" s="244"/>
      <c r="K2141" s="246" t="e">
        <f t="shared" si="231"/>
        <v>#VALUE!</v>
      </c>
      <c r="L2141" s="246" t="e">
        <f t="shared" si="232"/>
        <v>#VALUE!</v>
      </c>
      <c r="M2141" s="247" t="e">
        <f t="shared" si="233"/>
        <v>#VALUE!</v>
      </c>
      <c r="N2141" s="246" t="e">
        <f t="shared" si="234"/>
        <v>#VALUE!</v>
      </c>
      <c r="O2141" s="247" t="e">
        <f t="shared" si="235"/>
        <v>#VALUE!</v>
      </c>
      <c r="P2141" s="247">
        <f t="shared" si="236"/>
        <v>0</v>
      </c>
      <c r="Q2141" s="247" t="e">
        <f t="shared" si="237"/>
        <v>#VALUE!</v>
      </c>
    </row>
    <row r="2142" spans="1:17" ht="15" customHeight="1" x14ac:dyDescent="0.25">
      <c r="A2142" s="244"/>
      <c r="B2142" s="244"/>
      <c r="C2142" s="244"/>
      <c r="D2142" s="244"/>
      <c r="E2142" s="244"/>
      <c r="F2142" s="244"/>
      <c r="G2142" s="244"/>
      <c r="I2142" s="244"/>
      <c r="J2142" s="244"/>
      <c r="K2142" s="246" t="e">
        <f t="shared" si="231"/>
        <v>#VALUE!</v>
      </c>
      <c r="L2142" s="246" t="e">
        <f t="shared" si="232"/>
        <v>#VALUE!</v>
      </c>
      <c r="M2142" s="247" t="e">
        <f t="shared" si="233"/>
        <v>#VALUE!</v>
      </c>
      <c r="N2142" s="246" t="e">
        <f t="shared" si="234"/>
        <v>#VALUE!</v>
      </c>
      <c r="O2142" s="247" t="e">
        <f t="shared" si="235"/>
        <v>#VALUE!</v>
      </c>
      <c r="P2142" s="247">
        <f t="shared" si="236"/>
        <v>0</v>
      </c>
      <c r="Q2142" s="247" t="e">
        <f t="shared" si="237"/>
        <v>#VALUE!</v>
      </c>
    </row>
    <row r="2143" spans="1:17" ht="15" customHeight="1" x14ac:dyDescent="0.25">
      <c r="A2143" s="244"/>
      <c r="B2143" s="244"/>
      <c r="C2143" s="244"/>
      <c r="D2143" s="244"/>
      <c r="E2143" s="244"/>
      <c r="F2143" s="244"/>
      <c r="G2143" s="244"/>
      <c r="I2143" s="244"/>
      <c r="J2143" s="244"/>
      <c r="K2143" s="246" t="e">
        <f t="shared" si="231"/>
        <v>#VALUE!</v>
      </c>
      <c r="L2143" s="246" t="e">
        <f t="shared" si="232"/>
        <v>#VALUE!</v>
      </c>
      <c r="M2143" s="247" t="e">
        <f t="shared" si="233"/>
        <v>#VALUE!</v>
      </c>
      <c r="N2143" s="246" t="e">
        <f t="shared" si="234"/>
        <v>#VALUE!</v>
      </c>
      <c r="O2143" s="247" t="e">
        <f t="shared" si="235"/>
        <v>#VALUE!</v>
      </c>
      <c r="P2143" s="247">
        <f t="shared" si="236"/>
        <v>0</v>
      </c>
      <c r="Q2143" s="247" t="e">
        <f t="shared" si="237"/>
        <v>#VALUE!</v>
      </c>
    </row>
    <row r="2144" spans="1:17" ht="15" customHeight="1" x14ac:dyDescent="0.25">
      <c r="A2144" s="244"/>
      <c r="B2144" s="244"/>
      <c r="C2144" s="244"/>
      <c r="D2144" s="244"/>
      <c r="E2144" s="244"/>
      <c r="F2144" s="244"/>
      <c r="G2144" s="244"/>
      <c r="I2144" s="244"/>
      <c r="J2144" s="244"/>
      <c r="K2144" s="246" t="e">
        <f t="shared" si="231"/>
        <v>#VALUE!</v>
      </c>
      <c r="L2144" s="246" t="e">
        <f t="shared" si="232"/>
        <v>#VALUE!</v>
      </c>
      <c r="M2144" s="247" t="e">
        <f t="shared" si="233"/>
        <v>#VALUE!</v>
      </c>
      <c r="N2144" s="246" t="e">
        <f t="shared" si="234"/>
        <v>#VALUE!</v>
      </c>
      <c r="O2144" s="247" t="e">
        <f t="shared" si="235"/>
        <v>#VALUE!</v>
      </c>
      <c r="P2144" s="247">
        <f t="shared" si="236"/>
        <v>0</v>
      </c>
      <c r="Q2144" s="247" t="e">
        <f t="shared" si="237"/>
        <v>#VALUE!</v>
      </c>
    </row>
    <row r="2145" spans="1:17" ht="15" customHeight="1" x14ac:dyDescent="0.25">
      <c r="A2145" s="244"/>
      <c r="B2145" s="244"/>
      <c r="C2145" s="244"/>
      <c r="D2145" s="244"/>
      <c r="E2145" s="244"/>
      <c r="F2145" s="244"/>
      <c r="G2145" s="244"/>
      <c r="I2145" s="244"/>
      <c r="J2145" s="244"/>
      <c r="K2145" s="246" t="e">
        <f t="shared" si="231"/>
        <v>#VALUE!</v>
      </c>
      <c r="L2145" s="246" t="e">
        <f t="shared" si="232"/>
        <v>#VALUE!</v>
      </c>
      <c r="M2145" s="247" t="e">
        <f t="shared" si="233"/>
        <v>#VALUE!</v>
      </c>
      <c r="N2145" s="246" t="e">
        <f t="shared" si="234"/>
        <v>#VALUE!</v>
      </c>
      <c r="O2145" s="247" t="e">
        <f t="shared" si="235"/>
        <v>#VALUE!</v>
      </c>
      <c r="P2145" s="247">
        <f t="shared" si="236"/>
        <v>0</v>
      </c>
      <c r="Q2145" s="247" t="e">
        <f t="shared" si="237"/>
        <v>#VALUE!</v>
      </c>
    </row>
    <row r="2146" spans="1:17" ht="15" customHeight="1" x14ac:dyDescent="0.25">
      <c r="A2146" s="244"/>
      <c r="B2146" s="244"/>
      <c r="C2146" s="244"/>
      <c r="D2146" s="244"/>
      <c r="E2146" s="244"/>
      <c r="F2146" s="244"/>
      <c r="G2146" s="244"/>
      <c r="I2146" s="244"/>
      <c r="J2146" s="244"/>
      <c r="K2146" s="246" t="e">
        <f t="shared" si="231"/>
        <v>#VALUE!</v>
      </c>
      <c r="L2146" s="246" t="e">
        <f t="shared" si="232"/>
        <v>#VALUE!</v>
      </c>
      <c r="M2146" s="247" t="e">
        <f t="shared" si="233"/>
        <v>#VALUE!</v>
      </c>
      <c r="N2146" s="246" t="e">
        <f t="shared" si="234"/>
        <v>#VALUE!</v>
      </c>
      <c r="O2146" s="247" t="e">
        <f t="shared" si="235"/>
        <v>#VALUE!</v>
      </c>
      <c r="P2146" s="247">
        <f t="shared" si="236"/>
        <v>0</v>
      </c>
      <c r="Q2146" s="247" t="e">
        <f t="shared" si="237"/>
        <v>#VALUE!</v>
      </c>
    </row>
    <row r="2147" spans="1:17" ht="15" customHeight="1" x14ac:dyDescent="0.25">
      <c r="A2147" s="244"/>
      <c r="B2147" s="244"/>
      <c r="C2147" s="244"/>
      <c r="D2147" s="244"/>
      <c r="E2147" s="244"/>
      <c r="F2147" s="244"/>
      <c r="G2147" s="244"/>
      <c r="I2147" s="244"/>
      <c r="J2147" s="244"/>
      <c r="K2147" s="246" t="e">
        <f t="shared" si="231"/>
        <v>#VALUE!</v>
      </c>
      <c r="L2147" s="246" t="e">
        <f t="shared" si="232"/>
        <v>#VALUE!</v>
      </c>
      <c r="M2147" s="247" t="e">
        <f t="shared" si="233"/>
        <v>#VALUE!</v>
      </c>
      <c r="N2147" s="246" t="e">
        <f t="shared" si="234"/>
        <v>#VALUE!</v>
      </c>
      <c r="O2147" s="247" t="e">
        <f t="shared" si="235"/>
        <v>#VALUE!</v>
      </c>
      <c r="P2147" s="247">
        <f t="shared" si="236"/>
        <v>0</v>
      </c>
      <c r="Q2147" s="247" t="e">
        <f t="shared" si="237"/>
        <v>#VALUE!</v>
      </c>
    </row>
    <row r="2148" spans="1:17" ht="15" customHeight="1" x14ac:dyDescent="0.25">
      <c r="A2148" s="244"/>
      <c r="B2148" s="244"/>
      <c r="C2148" s="244"/>
      <c r="D2148" s="244"/>
      <c r="E2148" s="244"/>
      <c r="F2148" s="244"/>
      <c r="G2148" s="244"/>
      <c r="I2148" s="244"/>
      <c r="J2148" s="244"/>
      <c r="K2148" s="246" t="e">
        <f t="shared" si="231"/>
        <v>#VALUE!</v>
      </c>
      <c r="L2148" s="246" t="e">
        <f t="shared" si="232"/>
        <v>#VALUE!</v>
      </c>
      <c r="M2148" s="247" t="e">
        <f t="shared" si="233"/>
        <v>#VALUE!</v>
      </c>
      <c r="N2148" s="246" t="e">
        <f t="shared" si="234"/>
        <v>#VALUE!</v>
      </c>
      <c r="O2148" s="247" t="e">
        <f t="shared" si="235"/>
        <v>#VALUE!</v>
      </c>
      <c r="P2148" s="247">
        <f t="shared" si="236"/>
        <v>0</v>
      </c>
      <c r="Q2148" s="247" t="e">
        <f t="shared" si="237"/>
        <v>#VALUE!</v>
      </c>
    </row>
    <row r="2149" spans="1:17" ht="15" customHeight="1" x14ac:dyDescent="0.25">
      <c r="A2149" s="244"/>
      <c r="B2149" s="244"/>
      <c r="C2149" s="244"/>
      <c r="D2149" s="244"/>
      <c r="E2149" s="244"/>
      <c r="F2149" s="244"/>
      <c r="G2149" s="244"/>
      <c r="I2149" s="244"/>
      <c r="J2149" s="244"/>
      <c r="K2149" s="246" t="e">
        <f t="shared" si="231"/>
        <v>#VALUE!</v>
      </c>
      <c r="L2149" s="246" t="e">
        <f t="shared" si="232"/>
        <v>#VALUE!</v>
      </c>
      <c r="M2149" s="247" t="e">
        <f t="shared" si="233"/>
        <v>#VALUE!</v>
      </c>
      <c r="N2149" s="246" t="e">
        <f t="shared" si="234"/>
        <v>#VALUE!</v>
      </c>
      <c r="O2149" s="247" t="e">
        <f t="shared" si="235"/>
        <v>#VALUE!</v>
      </c>
      <c r="P2149" s="247">
        <f t="shared" si="236"/>
        <v>0</v>
      </c>
      <c r="Q2149" s="247" t="e">
        <f t="shared" si="237"/>
        <v>#VALUE!</v>
      </c>
    </row>
    <row r="2150" spans="1:17" ht="15" customHeight="1" x14ac:dyDescent="0.25">
      <c r="A2150" s="244"/>
      <c r="B2150" s="244"/>
      <c r="C2150" s="244"/>
      <c r="D2150" s="244"/>
      <c r="E2150" s="244"/>
      <c r="F2150" s="244"/>
      <c r="G2150" s="244"/>
      <c r="I2150" s="244"/>
      <c r="J2150" s="244"/>
      <c r="K2150" s="246" t="e">
        <f t="shared" si="231"/>
        <v>#VALUE!</v>
      </c>
      <c r="L2150" s="246" t="e">
        <f t="shared" si="232"/>
        <v>#VALUE!</v>
      </c>
      <c r="M2150" s="247" t="e">
        <f t="shared" si="233"/>
        <v>#VALUE!</v>
      </c>
      <c r="N2150" s="246" t="e">
        <f t="shared" si="234"/>
        <v>#VALUE!</v>
      </c>
      <c r="O2150" s="247" t="e">
        <f t="shared" si="235"/>
        <v>#VALUE!</v>
      </c>
      <c r="P2150" s="247">
        <f t="shared" si="236"/>
        <v>0</v>
      </c>
      <c r="Q2150" s="247" t="e">
        <f t="shared" si="237"/>
        <v>#VALUE!</v>
      </c>
    </row>
    <row r="2151" spans="1:17" ht="15" customHeight="1" x14ac:dyDescent="0.25">
      <c r="A2151" s="244"/>
      <c r="B2151" s="244"/>
      <c r="C2151" s="244"/>
      <c r="D2151" s="244"/>
      <c r="E2151" s="244"/>
      <c r="F2151" s="244"/>
      <c r="G2151" s="244"/>
      <c r="I2151" s="244"/>
      <c r="J2151" s="244"/>
      <c r="K2151" s="246" t="e">
        <f t="shared" si="231"/>
        <v>#VALUE!</v>
      </c>
      <c r="L2151" s="246" t="e">
        <f t="shared" si="232"/>
        <v>#VALUE!</v>
      </c>
      <c r="M2151" s="247" t="e">
        <f t="shared" si="233"/>
        <v>#VALUE!</v>
      </c>
      <c r="N2151" s="246" t="e">
        <f t="shared" si="234"/>
        <v>#VALUE!</v>
      </c>
      <c r="O2151" s="247" t="e">
        <f t="shared" si="235"/>
        <v>#VALUE!</v>
      </c>
      <c r="P2151" s="247">
        <f t="shared" si="236"/>
        <v>0</v>
      </c>
      <c r="Q2151" s="247" t="e">
        <f t="shared" si="237"/>
        <v>#VALUE!</v>
      </c>
    </row>
    <row r="2152" spans="1:17" ht="15" customHeight="1" x14ac:dyDescent="0.25">
      <c r="A2152" s="244"/>
      <c r="B2152" s="244"/>
      <c r="C2152" s="244"/>
      <c r="D2152" s="244"/>
      <c r="E2152" s="244"/>
      <c r="F2152" s="244"/>
      <c r="G2152" s="244"/>
      <c r="I2152" s="244"/>
      <c r="J2152" s="244"/>
      <c r="K2152" s="246" t="e">
        <f t="shared" si="231"/>
        <v>#VALUE!</v>
      </c>
      <c r="L2152" s="246" t="e">
        <f t="shared" si="232"/>
        <v>#VALUE!</v>
      </c>
      <c r="M2152" s="247" t="e">
        <f t="shared" si="233"/>
        <v>#VALUE!</v>
      </c>
      <c r="N2152" s="246" t="e">
        <f t="shared" si="234"/>
        <v>#VALUE!</v>
      </c>
      <c r="O2152" s="247" t="e">
        <f t="shared" si="235"/>
        <v>#VALUE!</v>
      </c>
      <c r="P2152" s="247">
        <f t="shared" si="236"/>
        <v>0</v>
      </c>
      <c r="Q2152" s="247" t="e">
        <f t="shared" si="237"/>
        <v>#VALUE!</v>
      </c>
    </row>
    <row r="2153" spans="1:17" ht="15" customHeight="1" x14ac:dyDescent="0.25">
      <c r="A2153" s="244"/>
      <c r="B2153" s="244"/>
      <c r="C2153" s="244"/>
      <c r="D2153" s="244"/>
      <c r="E2153" s="244"/>
      <c r="F2153" s="244"/>
      <c r="G2153" s="244"/>
      <c r="I2153" s="244"/>
      <c r="J2153" s="244"/>
      <c r="K2153" s="246" t="e">
        <f t="shared" si="231"/>
        <v>#VALUE!</v>
      </c>
      <c r="L2153" s="246" t="e">
        <f t="shared" si="232"/>
        <v>#VALUE!</v>
      </c>
      <c r="M2153" s="247" t="e">
        <f t="shared" si="233"/>
        <v>#VALUE!</v>
      </c>
      <c r="N2153" s="246" t="e">
        <f t="shared" si="234"/>
        <v>#VALUE!</v>
      </c>
      <c r="O2153" s="247" t="e">
        <f t="shared" si="235"/>
        <v>#VALUE!</v>
      </c>
      <c r="P2153" s="247">
        <f t="shared" si="236"/>
        <v>0</v>
      </c>
      <c r="Q2153" s="247" t="e">
        <f t="shared" si="237"/>
        <v>#VALUE!</v>
      </c>
    </row>
    <row r="2154" spans="1:17" ht="15" customHeight="1" x14ac:dyDescent="0.25">
      <c r="A2154" s="244"/>
      <c r="B2154" s="244"/>
      <c r="C2154" s="244"/>
      <c r="D2154" s="244"/>
      <c r="E2154" s="244"/>
      <c r="F2154" s="244"/>
      <c r="G2154" s="244"/>
      <c r="I2154" s="244"/>
      <c r="J2154" s="244"/>
      <c r="K2154" s="246" t="e">
        <f t="shared" si="231"/>
        <v>#VALUE!</v>
      </c>
      <c r="L2154" s="246" t="e">
        <f t="shared" si="232"/>
        <v>#VALUE!</v>
      </c>
      <c r="M2154" s="247" t="e">
        <f t="shared" si="233"/>
        <v>#VALUE!</v>
      </c>
      <c r="N2154" s="246" t="e">
        <f t="shared" si="234"/>
        <v>#VALUE!</v>
      </c>
      <c r="O2154" s="247" t="e">
        <f t="shared" si="235"/>
        <v>#VALUE!</v>
      </c>
      <c r="P2154" s="247">
        <f t="shared" si="236"/>
        <v>0</v>
      </c>
      <c r="Q2154" s="247" t="e">
        <f t="shared" si="237"/>
        <v>#VALUE!</v>
      </c>
    </row>
    <row r="2155" spans="1:17" ht="15" customHeight="1" x14ac:dyDescent="0.25">
      <c r="A2155" s="244"/>
      <c r="B2155" s="244"/>
      <c r="C2155" s="244"/>
      <c r="D2155" s="244"/>
      <c r="E2155" s="244"/>
      <c r="F2155" s="244"/>
      <c r="G2155" s="244"/>
      <c r="I2155" s="244"/>
      <c r="J2155" s="244"/>
      <c r="K2155" s="246" t="e">
        <f t="shared" si="231"/>
        <v>#VALUE!</v>
      </c>
      <c r="L2155" s="246" t="e">
        <f t="shared" si="232"/>
        <v>#VALUE!</v>
      </c>
      <c r="M2155" s="247" t="e">
        <f t="shared" si="233"/>
        <v>#VALUE!</v>
      </c>
      <c r="N2155" s="246" t="e">
        <f t="shared" si="234"/>
        <v>#VALUE!</v>
      </c>
      <c r="O2155" s="247" t="e">
        <f t="shared" si="235"/>
        <v>#VALUE!</v>
      </c>
      <c r="P2155" s="247">
        <f t="shared" si="236"/>
        <v>0</v>
      </c>
      <c r="Q2155" s="247" t="e">
        <f t="shared" si="237"/>
        <v>#VALUE!</v>
      </c>
    </row>
    <row r="2156" spans="1:17" ht="15" customHeight="1" x14ac:dyDescent="0.25">
      <c r="A2156" s="244"/>
      <c r="B2156" s="244"/>
      <c r="C2156" s="244"/>
      <c r="D2156" s="244"/>
      <c r="E2156" s="244"/>
      <c r="F2156" s="244"/>
      <c r="G2156" s="244"/>
      <c r="I2156" s="244"/>
      <c r="J2156" s="244"/>
      <c r="K2156" s="246" t="e">
        <f t="shared" si="231"/>
        <v>#VALUE!</v>
      </c>
      <c r="L2156" s="246" t="e">
        <f t="shared" si="232"/>
        <v>#VALUE!</v>
      </c>
      <c r="M2156" s="247" t="e">
        <f t="shared" si="233"/>
        <v>#VALUE!</v>
      </c>
      <c r="N2156" s="246" t="e">
        <f t="shared" si="234"/>
        <v>#VALUE!</v>
      </c>
      <c r="O2156" s="247" t="e">
        <f t="shared" si="235"/>
        <v>#VALUE!</v>
      </c>
      <c r="P2156" s="247">
        <f t="shared" si="236"/>
        <v>0</v>
      </c>
      <c r="Q2156" s="247" t="e">
        <f t="shared" si="237"/>
        <v>#VALUE!</v>
      </c>
    </row>
    <row r="2157" spans="1:17" ht="15" customHeight="1" x14ac:dyDescent="0.25">
      <c r="A2157" s="244"/>
      <c r="B2157" s="244"/>
      <c r="C2157" s="244"/>
      <c r="D2157" s="244"/>
      <c r="E2157" s="244"/>
      <c r="F2157" s="244"/>
      <c r="G2157" s="244"/>
      <c r="I2157" s="244"/>
      <c r="J2157" s="244"/>
      <c r="K2157" s="246" t="e">
        <f t="shared" si="231"/>
        <v>#VALUE!</v>
      </c>
      <c r="L2157" s="246" t="e">
        <f t="shared" si="232"/>
        <v>#VALUE!</v>
      </c>
      <c r="M2157" s="247" t="e">
        <f t="shared" si="233"/>
        <v>#VALUE!</v>
      </c>
      <c r="N2157" s="246" t="e">
        <f t="shared" si="234"/>
        <v>#VALUE!</v>
      </c>
      <c r="O2157" s="247" t="e">
        <f t="shared" si="235"/>
        <v>#VALUE!</v>
      </c>
      <c r="P2157" s="247">
        <f t="shared" si="236"/>
        <v>0</v>
      </c>
      <c r="Q2157" s="247" t="e">
        <f t="shared" si="237"/>
        <v>#VALUE!</v>
      </c>
    </row>
    <row r="2158" spans="1:17" ht="15" customHeight="1" x14ac:dyDescent="0.25">
      <c r="A2158" s="244"/>
      <c r="B2158" s="244"/>
      <c r="C2158" s="244"/>
      <c r="D2158" s="244"/>
      <c r="E2158" s="244"/>
      <c r="F2158" s="244"/>
      <c r="G2158" s="244"/>
      <c r="I2158" s="244"/>
      <c r="J2158" s="244"/>
      <c r="K2158" s="246" t="e">
        <f t="shared" si="231"/>
        <v>#VALUE!</v>
      </c>
      <c r="L2158" s="246" t="e">
        <f t="shared" si="232"/>
        <v>#VALUE!</v>
      </c>
      <c r="M2158" s="247" t="e">
        <f t="shared" si="233"/>
        <v>#VALUE!</v>
      </c>
      <c r="N2158" s="246" t="e">
        <f t="shared" si="234"/>
        <v>#VALUE!</v>
      </c>
      <c r="O2158" s="247" t="e">
        <f t="shared" si="235"/>
        <v>#VALUE!</v>
      </c>
      <c r="P2158" s="247">
        <f t="shared" si="236"/>
        <v>0</v>
      </c>
      <c r="Q2158" s="247" t="e">
        <f t="shared" si="237"/>
        <v>#VALUE!</v>
      </c>
    </row>
    <row r="2159" spans="1:17" ht="15" customHeight="1" x14ac:dyDescent="0.25">
      <c r="A2159" s="244"/>
      <c r="B2159" s="244"/>
      <c r="C2159" s="244"/>
      <c r="D2159" s="244"/>
      <c r="E2159" s="244"/>
      <c r="F2159" s="244"/>
      <c r="G2159" s="244"/>
      <c r="I2159" s="244"/>
      <c r="J2159" s="244"/>
      <c r="K2159" s="246" t="e">
        <f t="shared" si="231"/>
        <v>#VALUE!</v>
      </c>
      <c r="L2159" s="246" t="e">
        <f t="shared" si="232"/>
        <v>#VALUE!</v>
      </c>
      <c r="M2159" s="247" t="e">
        <f t="shared" si="233"/>
        <v>#VALUE!</v>
      </c>
      <c r="N2159" s="246" t="e">
        <f t="shared" si="234"/>
        <v>#VALUE!</v>
      </c>
      <c r="O2159" s="247" t="e">
        <f t="shared" si="235"/>
        <v>#VALUE!</v>
      </c>
      <c r="P2159" s="247">
        <f t="shared" si="236"/>
        <v>0</v>
      </c>
      <c r="Q2159" s="247" t="e">
        <f t="shared" si="237"/>
        <v>#VALUE!</v>
      </c>
    </row>
    <row r="2160" spans="1:17" ht="15" customHeight="1" x14ac:dyDescent="0.25">
      <c r="A2160" s="244"/>
      <c r="B2160" s="244"/>
      <c r="C2160" s="244"/>
      <c r="D2160" s="244"/>
      <c r="E2160" s="244"/>
      <c r="F2160" s="244"/>
      <c r="G2160" s="244"/>
      <c r="I2160" s="244"/>
      <c r="J2160" s="244"/>
      <c r="K2160" s="246" t="e">
        <f t="shared" si="231"/>
        <v>#VALUE!</v>
      </c>
      <c r="L2160" s="246" t="e">
        <f t="shared" si="232"/>
        <v>#VALUE!</v>
      </c>
      <c r="M2160" s="247" t="e">
        <f t="shared" si="233"/>
        <v>#VALUE!</v>
      </c>
      <c r="N2160" s="246" t="e">
        <f t="shared" si="234"/>
        <v>#VALUE!</v>
      </c>
      <c r="O2160" s="247" t="e">
        <f t="shared" si="235"/>
        <v>#VALUE!</v>
      </c>
      <c r="P2160" s="247">
        <f t="shared" si="236"/>
        <v>0</v>
      </c>
      <c r="Q2160" s="247" t="e">
        <f t="shared" si="237"/>
        <v>#VALUE!</v>
      </c>
    </row>
    <row r="2161" spans="1:17" ht="15" customHeight="1" x14ac:dyDescent="0.25">
      <c r="A2161" s="244"/>
      <c r="B2161" s="244"/>
      <c r="C2161" s="244"/>
      <c r="D2161" s="244"/>
      <c r="E2161" s="244"/>
      <c r="F2161" s="244"/>
      <c r="G2161" s="244"/>
      <c r="I2161" s="244"/>
      <c r="J2161" s="244"/>
      <c r="K2161" s="246" t="e">
        <f t="shared" si="231"/>
        <v>#VALUE!</v>
      </c>
      <c r="L2161" s="246" t="e">
        <f t="shared" si="232"/>
        <v>#VALUE!</v>
      </c>
      <c r="M2161" s="247" t="e">
        <f t="shared" si="233"/>
        <v>#VALUE!</v>
      </c>
      <c r="N2161" s="246" t="e">
        <f t="shared" si="234"/>
        <v>#VALUE!</v>
      </c>
      <c r="O2161" s="247" t="e">
        <f t="shared" si="235"/>
        <v>#VALUE!</v>
      </c>
      <c r="P2161" s="247">
        <f t="shared" si="236"/>
        <v>0</v>
      </c>
      <c r="Q2161" s="247" t="e">
        <f t="shared" si="237"/>
        <v>#VALUE!</v>
      </c>
    </row>
    <row r="2162" spans="1:17" ht="15" customHeight="1" x14ac:dyDescent="0.25">
      <c r="A2162" s="244"/>
      <c r="B2162" s="244"/>
      <c r="C2162" s="244"/>
      <c r="D2162" s="244"/>
      <c r="E2162" s="244"/>
      <c r="F2162" s="244"/>
      <c r="G2162" s="244"/>
      <c r="I2162" s="244"/>
      <c r="J2162" s="244"/>
      <c r="K2162" s="246" t="e">
        <f t="shared" si="231"/>
        <v>#VALUE!</v>
      </c>
      <c r="L2162" s="246" t="e">
        <f t="shared" si="232"/>
        <v>#VALUE!</v>
      </c>
      <c r="M2162" s="247" t="e">
        <f t="shared" si="233"/>
        <v>#VALUE!</v>
      </c>
      <c r="N2162" s="246" t="e">
        <f t="shared" si="234"/>
        <v>#VALUE!</v>
      </c>
      <c r="O2162" s="247" t="e">
        <f t="shared" si="235"/>
        <v>#VALUE!</v>
      </c>
      <c r="P2162" s="247">
        <f t="shared" si="236"/>
        <v>0</v>
      </c>
      <c r="Q2162" s="247" t="e">
        <f t="shared" si="237"/>
        <v>#VALUE!</v>
      </c>
    </row>
    <row r="2163" spans="1:17" ht="15" customHeight="1" x14ac:dyDescent="0.25">
      <c r="A2163" s="244"/>
      <c r="B2163" s="244"/>
      <c r="C2163" s="244"/>
      <c r="D2163" s="244"/>
      <c r="E2163" s="244"/>
      <c r="F2163" s="244"/>
      <c r="G2163" s="244"/>
      <c r="I2163" s="244"/>
      <c r="J2163" s="244"/>
      <c r="K2163" s="246" t="e">
        <f t="shared" si="231"/>
        <v>#VALUE!</v>
      </c>
      <c r="L2163" s="246" t="e">
        <f t="shared" si="232"/>
        <v>#VALUE!</v>
      </c>
      <c r="M2163" s="247" t="e">
        <f t="shared" si="233"/>
        <v>#VALUE!</v>
      </c>
      <c r="N2163" s="246" t="e">
        <f t="shared" si="234"/>
        <v>#VALUE!</v>
      </c>
      <c r="O2163" s="247" t="e">
        <f t="shared" si="235"/>
        <v>#VALUE!</v>
      </c>
      <c r="P2163" s="247">
        <f t="shared" si="236"/>
        <v>0</v>
      </c>
      <c r="Q2163" s="247" t="e">
        <f t="shared" si="237"/>
        <v>#VALUE!</v>
      </c>
    </row>
    <row r="2164" spans="1:17" ht="15" customHeight="1" x14ac:dyDescent="0.25">
      <c r="A2164" s="244"/>
      <c r="B2164" s="244"/>
      <c r="C2164" s="244"/>
      <c r="D2164" s="244"/>
      <c r="E2164" s="244"/>
      <c r="F2164" s="244"/>
      <c r="G2164" s="244"/>
      <c r="I2164" s="244"/>
      <c r="J2164" s="244"/>
      <c r="K2164" s="246" t="e">
        <f t="shared" si="231"/>
        <v>#VALUE!</v>
      </c>
      <c r="L2164" s="246" t="e">
        <f t="shared" si="232"/>
        <v>#VALUE!</v>
      </c>
      <c r="M2164" s="247" t="e">
        <f t="shared" si="233"/>
        <v>#VALUE!</v>
      </c>
      <c r="N2164" s="246" t="e">
        <f t="shared" si="234"/>
        <v>#VALUE!</v>
      </c>
      <c r="O2164" s="247" t="e">
        <f t="shared" si="235"/>
        <v>#VALUE!</v>
      </c>
      <c r="P2164" s="247">
        <f t="shared" si="236"/>
        <v>0</v>
      </c>
      <c r="Q2164" s="247" t="e">
        <f t="shared" si="237"/>
        <v>#VALUE!</v>
      </c>
    </row>
    <row r="2165" spans="1:17" ht="15" customHeight="1" x14ac:dyDescent="0.25">
      <c r="A2165" s="244"/>
      <c r="B2165" s="244"/>
      <c r="C2165" s="244"/>
      <c r="D2165" s="244"/>
      <c r="E2165" s="244"/>
      <c r="F2165" s="244"/>
      <c r="G2165" s="244"/>
      <c r="I2165" s="244"/>
      <c r="J2165" s="244"/>
      <c r="K2165" s="246" t="e">
        <f t="shared" si="231"/>
        <v>#VALUE!</v>
      </c>
      <c r="L2165" s="246" t="e">
        <f t="shared" si="232"/>
        <v>#VALUE!</v>
      </c>
      <c r="M2165" s="247" t="e">
        <f t="shared" si="233"/>
        <v>#VALUE!</v>
      </c>
      <c r="N2165" s="246" t="e">
        <f t="shared" si="234"/>
        <v>#VALUE!</v>
      </c>
      <c r="O2165" s="247" t="e">
        <f t="shared" si="235"/>
        <v>#VALUE!</v>
      </c>
      <c r="P2165" s="247">
        <f t="shared" si="236"/>
        <v>0</v>
      </c>
      <c r="Q2165" s="247" t="e">
        <f t="shared" si="237"/>
        <v>#VALUE!</v>
      </c>
    </row>
    <row r="2166" spans="1:17" ht="15" customHeight="1" x14ac:dyDescent="0.25">
      <c r="A2166" s="244"/>
      <c r="B2166" s="244"/>
      <c r="C2166" s="244"/>
      <c r="D2166" s="244"/>
      <c r="E2166" s="244"/>
      <c r="F2166" s="244"/>
      <c r="G2166" s="244"/>
      <c r="I2166" s="244"/>
      <c r="J2166" s="244"/>
      <c r="K2166" s="246" t="e">
        <f t="shared" si="231"/>
        <v>#VALUE!</v>
      </c>
      <c r="L2166" s="246" t="e">
        <f t="shared" si="232"/>
        <v>#VALUE!</v>
      </c>
      <c r="M2166" s="247" t="e">
        <f t="shared" si="233"/>
        <v>#VALUE!</v>
      </c>
      <c r="N2166" s="246" t="e">
        <f t="shared" si="234"/>
        <v>#VALUE!</v>
      </c>
      <c r="O2166" s="247" t="e">
        <f t="shared" si="235"/>
        <v>#VALUE!</v>
      </c>
      <c r="P2166" s="247">
        <f t="shared" si="236"/>
        <v>0</v>
      </c>
      <c r="Q2166" s="247" t="e">
        <f t="shared" si="237"/>
        <v>#VALUE!</v>
      </c>
    </row>
    <row r="2167" spans="1:17" ht="15" customHeight="1" x14ac:dyDescent="0.25">
      <c r="A2167" s="244"/>
      <c r="B2167" s="244"/>
      <c r="C2167" s="244"/>
      <c r="D2167" s="244"/>
      <c r="E2167" s="244"/>
      <c r="F2167" s="244"/>
      <c r="G2167" s="244"/>
      <c r="I2167" s="244"/>
      <c r="J2167" s="244"/>
      <c r="K2167" s="246" t="e">
        <f t="shared" si="231"/>
        <v>#VALUE!</v>
      </c>
      <c r="L2167" s="246" t="e">
        <f t="shared" si="232"/>
        <v>#VALUE!</v>
      </c>
      <c r="M2167" s="247" t="e">
        <f t="shared" si="233"/>
        <v>#VALUE!</v>
      </c>
      <c r="N2167" s="246" t="e">
        <f t="shared" si="234"/>
        <v>#VALUE!</v>
      </c>
      <c r="O2167" s="247" t="e">
        <f t="shared" si="235"/>
        <v>#VALUE!</v>
      </c>
      <c r="P2167" s="247">
        <f t="shared" si="236"/>
        <v>0</v>
      </c>
      <c r="Q2167" s="247" t="e">
        <f t="shared" si="237"/>
        <v>#VALUE!</v>
      </c>
    </row>
    <row r="2168" spans="1:17" ht="15" customHeight="1" x14ac:dyDescent="0.25">
      <c r="A2168" s="244"/>
      <c r="B2168" s="244"/>
      <c r="C2168" s="244"/>
      <c r="D2168" s="244"/>
      <c r="E2168" s="244"/>
      <c r="F2168" s="244"/>
      <c r="G2168" s="244"/>
      <c r="I2168" s="244"/>
      <c r="J2168" s="244"/>
      <c r="K2168" s="246" t="e">
        <f t="shared" si="231"/>
        <v>#VALUE!</v>
      </c>
      <c r="L2168" s="246" t="e">
        <f t="shared" si="232"/>
        <v>#VALUE!</v>
      </c>
      <c r="M2168" s="247" t="e">
        <f t="shared" si="233"/>
        <v>#VALUE!</v>
      </c>
      <c r="N2168" s="246" t="e">
        <f t="shared" si="234"/>
        <v>#VALUE!</v>
      </c>
      <c r="O2168" s="247" t="e">
        <f t="shared" si="235"/>
        <v>#VALUE!</v>
      </c>
      <c r="P2168" s="247">
        <f t="shared" si="236"/>
        <v>0</v>
      </c>
      <c r="Q2168" s="247" t="e">
        <f t="shared" si="237"/>
        <v>#VALUE!</v>
      </c>
    </row>
    <row r="2169" spans="1:17" ht="15" customHeight="1" x14ac:dyDescent="0.25">
      <c r="A2169" s="244"/>
      <c r="B2169" s="244"/>
      <c r="C2169" s="244"/>
      <c r="D2169" s="244"/>
      <c r="E2169" s="244"/>
      <c r="F2169" s="244"/>
      <c r="G2169" s="244"/>
      <c r="I2169" s="244"/>
      <c r="J2169" s="244"/>
      <c r="K2169" s="246" t="e">
        <f t="shared" si="231"/>
        <v>#VALUE!</v>
      </c>
      <c r="L2169" s="246" t="e">
        <f t="shared" si="232"/>
        <v>#VALUE!</v>
      </c>
      <c r="M2169" s="247" t="e">
        <f t="shared" si="233"/>
        <v>#VALUE!</v>
      </c>
      <c r="N2169" s="246" t="e">
        <f t="shared" si="234"/>
        <v>#VALUE!</v>
      </c>
      <c r="O2169" s="247" t="e">
        <f t="shared" si="235"/>
        <v>#VALUE!</v>
      </c>
      <c r="P2169" s="247">
        <f t="shared" si="236"/>
        <v>0</v>
      </c>
      <c r="Q2169" s="247" t="e">
        <f t="shared" si="237"/>
        <v>#VALUE!</v>
      </c>
    </row>
    <row r="2170" spans="1:17" ht="15" customHeight="1" x14ac:dyDescent="0.25">
      <c r="A2170" s="244"/>
      <c r="B2170" s="244"/>
      <c r="C2170" s="244"/>
      <c r="D2170" s="244"/>
      <c r="E2170" s="244"/>
      <c r="F2170" s="244"/>
      <c r="G2170" s="244"/>
      <c r="I2170" s="244"/>
      <c r="J2170" s="244"/>
      <c r="K2170" s="246" t="e">
        <f t="shared" si="231"/>
        <v>#VALUE!</v>
      </c>
      <c r="L2170" s="246" t="e">
        <f t="shared" si="232"/>
        <v>#VALUE!</v>
      </c>
      <c r="M2170" s="247" t="e">
        <f t="shared" si="233"/>
        <v>#VALUE!</v>
      </c>
      <c r="N2170" s="246" t="e">
        <f t="shared" si="234"/>
        <v>#VALUE!</v>
      </c>
      <c r="O2170" s="247" t="e">
        <f t="shared" si="235"/>
        <v>#VALUE!</v>
      </c>
      <c r="P2170" s="247">
        <f t="shared" si="236"/>
        <v>0</v>
      </c>
      <c r="Q2170" s="247" t="e">
        <f t="shared" si="237"/>
        <v>#VALUE!</v>
      </c>
    </row>
    <row r="2171" spans="1:17" ht="15" customHeight="1" x14ac:dyDescent="0.25">
      <c r="A2171" s="244"/>
      <c r="B2171" s="244"/>
      <c r="C2171" s="244"/>
      <c r="D2171" s="244"/>
      <c r="E2171" s="244"/>
      <c r="F2171" s="244"/>
      <c r="G2171" s="244"/>
      <c r="I2171" s="244"/>
      <c r="J2171" s="244"/>
      <c r="K2171" s="246" t="e">
        <f t="shared" si="231"/>
        <v>#VALUE!</v>
      </c>
      <c r="L2171" s="246" t="e">
        <f t="shared" si="232"/>
        <v>#VALUE!</v>
      </c>
      <c r="M2171" s="247" t="e">
        <f t="shared" si="233"/>
        <v>#VALUE!</v>
      </c>
      <c r="N2171" s="246" t="e">
        <f t="shared" si="234"/>
        <v>#VALUE!</v>
      </c>
      <c r="O2171" s="247" t="e">
        <f t="shared" si="235"/>
        <v>#VALUE!</v>
      </c>
      <c r="P2171" s="247">
        <f t="shared" si="236"/>
        <v>0</v>
      </c>
      <c r="Q2171" s="247" t="e">
        <f t="shared" si="237"/>
        <v>#VALUE!</v>
      </c>
    </row>
    <row r="2172" spans="1:17" ht="15" customHeight="1" x14ac:dyDescent="0.25">
      <c r="A2172" s="244"/>
      <c r="B2172" s="244"/>
      <c r="C2172" s="244"/>
      <c r="D2172" s="244"/>
      <c r="E2172" s="244"/>
      <c r="F2172" s="244"/>
      <c r="G2172" s="244"/>
      <c r="I2172" s="244"/>
      <c r="J2172" s="244"/>
      <c r="K2172" s="246" t="e">
        <f t="shared" si="231"/>
        <v>#VALUE!</v>
      </c>
      <c r="L2172" s="246" t="e">
        <f t="shared" si="232"/>
        <v>#VALUE!</v>
      </c>
      <c r="M2172" s="247" t="e">
        <f t="shared" si="233"/>
        <v>#VALUE!</v>
      </c>
      <c r="N2172" s="246" t="e">
        <f t="shared" si="234"/>
        <v>#VALUE!</v>
      </c>
      <c r="O2172" s="247" t="e">
        <f t="shared" si="235"/>
        <v>#VALUE!</v>
      </c>
      <c r="P2172" s="247">
        <f t="shared" si="236"/>
        <v>0</v>
      </c>
      <c r="Q2172" s="247" t="e">
        <f t="shared" si="237"/>
        <v>#VALUE!</v>
      </c>
    </row>
    <row r="2173" spans="1:17" ht="15" customHeight="1" x14ac:dyDescent="0.25">
      <c r="A2173" s="244"/>
      <c r="B2173" s="244"/>
      <c r="C2173" s="244"/>
      <c r="D2173" s="244"/>
      <c r="E2173" s="244"/>
      <c r="F2173" s="244"/>
      <c r="G2173" s="244"/>
      <c r="I2173" s="244"/>
      <c r="J2173" s="244"/>
      <c r="K2173" s="246" t="e">
        <f t="shared" si="231"/>
        <v>#VALUE!</v>
      </c>
      <c r="L2173" s="246" t="e">
        <f t="shared" si="232"/>
        <v>#VALUE!</v>
      </c>
      <c r="M2173" s="247" t="e">
        <f t="shared" si="233"/>
        <v>#VALUE!</v>
      </c>
      <c r="N2173" s="246" t="e">
        <f t="shared" si="234"/>
        <v>#VALUE!</v>
      </c>
      <c r="O2173" s="247" t="e">
        <f t="shared" si="235"/>
        <v>#VALUE!</v>
      </c>
      <c r="P2173" s="247">
        <f t="shared" si="236"/>
        <v>0</v>
      </c>
      <c r="Q2173" s="247" t="e">
        <f t="shared" si="237"/>
        <v>#VALUE!</v>
      </c>
    </row>
    <row r="2174" spans="1:17" ht="15" customHeight="1" x14ac:dyDescent="0.25">
      <c r="A2174" s="244"/>
      <c r="B2174" s="244"/>
      <c r="C2174" s="244"/>
      <c r="D2174" s="244"/>
      <c r="E2174" s="244"/>
      <c r="F2174" s="244"/>
      <c r="G2174" s="244"/>
      <c r="I2174" s="244"/>
      <c r="J2174" s="244"/>
      <c r="K2174" s="246" t="e">
        <f t="shared" si="231"/>
        <v>#VALUE!</v>
      </c>
      <c r="L2174" s="246" t="e">
        <f t="shared" si="232"/>
        <v>#VALUE!</v>
      </c>
      <c r="M2174" s="247" t="e">
        <f t="shared" si="233"/>
        <v>#VALUE!</v>
      </c>
      <c r="N2174" s="246" t="e">
        <f t="shared" si="234"/>
        <v>#VALUE!</v>
      </c>
      <c r="O2174" s="247" t="e">
        <f t="shared" si="235"/>
        <v>#VALUE!</v>
      </c>
      <c r="P2174" s="247">
        <f t="shared" si="236"/>
        <v>0</v>
      </c>
      <c r="Q2174" s="247" t="e">
        <f t="shared" si="237"/>
        <v>#VALUE!</v>
      </c>
    </row>
    <row r="2175" spans="1:17" ht="15" customHeight="1" x14ac:dyDescent="0.25">
      <c r="A2175" s="244"/>
      <c r="B2175" s="244"/>
      <c r="C2175" s="244"/>
      <c r="D2175" s="244"/>
      <c r="E2175" s="244"/>
      <c r="F2175" s="244"/>
      <c r="G2175" s="244"/>
      <c r="I2175" s="244"/>
      <c r="J2175" s="244"/>
      <c r="K2175" s="246" t="e">
        <f t="shared" si="231"/>
        <v>#VALUE!</v>
      </c>
      <c r="L2175" s="246" t="e">
        <f t="shared" si="232"/>
        <v>#VALUE!</v>
      </c>
      <c r="M2175" s="247" t="e">
        <f t="shared" si="233"/>
        <v>#VALUE!</v>
      </c>
      <c r="N2175" s="246" t="e">
        <f t="shared" si="234"/>
        <v>#VALUE!</v>
      </c>
      <c r="O2175" s="247" t="e">
        <f t="shared" si="235"/>
        <v>#VALUE!</v>
      </c>
      <c r="P2175" s="247">
        <f t="shared" si="236"/>
        <v>0</v>
      </c>
      <c r="Q2175" s="247" t="e">
        <f t="shared" si="237"/>
        <v>#VALUE!</v>
      </c>
    </row>
    <row r="2176" spans="1:17" ht="15" customHeight="1" x14ac:dyDescent="0.25">
      <c r="A2176" s="244"/>
      <c r="B2176" s="244"/>
      <c r="C2176" s="244"/>
      <c r="D2176" s="244"/>
      <c r="E2176" s="244"/>
      <c r="F2176" s="244"/>
      <c r="G2176" s="244"/>
      <c r="I2176" s="244"/>
      <c r="J2176" s="244"/>
      <c r="K2176" s="246" t="e">
        <f t="shared" si="231"/>
        <v>#VALUE!</v>
      </c>
      <c r="L2176" s="246" t="e">
        <f t="shared" si="232"/>
        <v>#VALUE!</v>
      </c>
      <c r="M2176" s="247" t="e">
        <f t="shared" si="233"/>
        <v>#VALUE!</v>
      </c>
      <c r="N2176" s="246" t="e">
        <f t="shared" si="234"/>
        <v>#VALUE!</v>
      </c>
      <c r="O2176" s="247" t="e">
        <f t="shared" si="235"/>
        <v>#VALUE!</v>
      </c>
      <c r="P2176" s="247">
        <f t="shared" si="236"/>
        <v>0</v>
      </c>
      <c r="Q2176" s="247" t="e">
        <f t="shared" si="237"/>
        <v>#VALUE!</v>
      </c>
    </row>
    <row r="2177" spans="1:17" ht="15" customHeight="1" x14ac:dyDescent="0.25">
      <c r="A2177" s="244"/>
      <c r="B2177" s="244"/>
      <c r="C2177" s="244"/>
      <c r="D2177" s="244"/>
      <c r="E2177" s="244"/>
      <c r="F2177" s="244"/>
      <c r="G2177" s="244"/>
      <c r="I2177" s="244"/>
      <c r="J2177" s="244"/>
      <c r="K2177" s="246" t="e">
        <f t="shared" si="231"/>
        <v>#VALUE!</v>
      </c>
      <c r="L2177" s="246" t="e">
        <f t="shared" si="232"/>
        <v>#VALUE!</v>
      </c>
      <c r="M2177" s="247" t="e">
        <f t="shared" si="233"/>
        <v>#VALUE!</v>
      </c>
      <c r="N2177" s="246" t="e">
        <f t="shared" si="234"/>
        <v>#VALUE!</v>
      </c>
      <c r="O2177" s="247" t="e">
        <f t="shared" si="235"/>
        <v>#VALUE!</v>
      </c>
      <c r="P2177" s="247">
        <f t="shared" si="236"/>
        <v>0</v>
      </c>
      <c r="Q2177" s="247" t="e">
        <f t="shared" si="237"/>
        <v>#VALUE!</v>
      </c>
    </row>
    <row r="2178" spans="1:17" ht="15" customHeight="1" x14ac:dyDescent="0.25">
      <c r="A2178" s="244"/>
      <c r="B2178" s="244"/>
      <c r="C2178" s="244"/>
      <c r="D2178" s="244"/>
      <c r="E2178" s="244"/>
      <c r="F2178" s="244"/>
      <c r="G2178" s="244"/>
      <c r="I2178" s="244"/>
      <c r="J2178" s="244"/>
      <c r="K2178" s="246" t="e">
        <f t="shared" ref="K2178:K2241" si="238">DATE(VALUE(LEFT(A2178,4)),VALUE(MID(A2178,5,2)),VALUE(RIGHT(A2178,2)))</f>
        <v>#VALUE!</v>
      </c>
      <c r="L2178" s="246" t="e">
        <f t="shared" ref="L2178:L2241" si="239">DATEVALUE(LEFT(F2178,10))</f>
        <v>#VALUE!</v>
      </c>
      <c r="M2178" s="247" t="e">
        <f t="shared" ref="M2178:M2241" si="240">TIMEVALUE(MID(F2178,12,8))</f>
        <v>#VALUE!</v>
      </c>
      <c r="N2178" s="246" t="e">
        <f t="shared" ref="N2178:N2241" si="241">DATEVALUE(LEFT(G2178,10))</f>
        <v>#VALUE!</v>
      </c>
      <c r="O2178" s="247" t="e">
        <f t="shared" ref="O2178:O2241" si="242">TIMEVALUE(MID(G2178,12,8))</f>
        <v>#VALUE!</v>
      </c>
      <c r="P2178" s="247">
        <f t="shared" ref="P2178:P2241" si="243">IFERROR(_xlfn.MINIFS($M:$M,$E:$E,$E2178,$K:$K,$K2178,$M:$M,"&gt;"&amp;$O2178),"")</f>
        <v>0</v>
      </c>
      <c r="Q2178" s="247" t="e">
        <f t="shared" ref="Q2178:Q2241" si="244">IF($P2178="","",$P2178-$O2178)</f>
        <v>#VALUE!</v>
      </c>
    </row>
    <row r="2179" spans="1:17" ht="15" customHeight="1" x14ac:dyDescent="0.25">
      <c r="A2179" s="244"/>
      <c r="B2179" s="244"/>
      <c r="C2179" s="244"/>
      <c r="D2179" s="244"/>
      <c r="E2179" s="244"/>
      <c r="F2179" s="244"/>
      <c r="G2179" s="244"/>
      <c r="I2179" s="244"/>
      <c r="J2179" s="244"/>
      <c r="K2179" s="246" t="e">
        <f t="shared" si="238"/>
        <v>#VALUE!</v>
      </c>
      <c r="L2179" s="246" t="e">
        <f t="shared" si="239"/>
        <v>#VALUE!</v>
      </c>
      <c r="M2179" s="247" t="e">
        <f t="shared" si="240"/>
        <v>#VALUE!</v>
      </c>
      <c r="N2179" s="246" t="e">
        <f t="shared" si="241"/>
        <v>#VALUE!</v>
      </c>
      <c r="O2179" s="247" t="e">
        <f t="shared" si="242"/>
        <v>#VALUE!</v>
      </c>
      <c r="P2179" s="247">
        <f t="shared" si="243"/>
        <v>0</v>
      </c>
      <c r="Q2179" s="247" t="e">
        <f t="shared" si="244"/>
        <v>#VALUE!</v>
      </c>
    </row>
    <row r="2180" spans="1:17" ht="15" customHeight="1" x14ac:dyDescent="0.25">
      <c r="A2180" s="244"/>
      <c r="B2180" s="244"/>
      <c r="C2180" s="244"/>
      <c r="D2180" s="244"/>
      <c r="E2180" s="244"/>
      <c r="F2180" s="244"/>
      <c r="G2180" s="244"/>
      <c r="I2180" s="244"/>
      <c r="J2180" s="244"/>
      <c r="K2180" s="246" t="e">
        <f t="shared" si="238"/>
        <v>#VALUE!</v>
      </c>
      <c r="L2180" s="246" t="e">
        <f t="shared" si="239"/>
        <v>#VALUE!</v>
      </c>
      <c r="M2180" s="247" t="e">
        <f t="shared" si="240"/>
        <v>#VALUE!</v>
      </c>
      <c r="N2180" s="246" t="e">
        <f t="shared" si="241"/>
        <v>#VALUE!</v>
      </c>
      <c r="O2180" s="247" t="e">
        <f t="shared" si="242"/>
        <v>#VALUE!</v>
      </c>
      <c r="P2180" s="247">
        <f t="shared" si="243"/>
        <v>0</v>
      </c>
      <c r="Q2180" s="247" t="e">
        <f t="shared" si="244"/>
        <v>#VALUE!</v>
      </c>
    </row>
    <row r="2181" spans="1:17" ht="15" customHeight="1" x14ac:dyDescent="0.25">
      <c r="A2181" s="244"/>
      <c r="B2181" s="244"/>
      <c r="C2181" s="244"/>
      <c r="D2181" s="244"/>
      <c r="E2181" s="244"/>
      <c r="F2181" s="244"/>
      <c r="G2181" s="244"/>
      <c r="I2181" s="244"/>
      <c r="J2181" s="244"/>
      <c r="K2181" s="246" t="e">
        <f t="shared" si="238"/>
        <v>#VALUE!</v>
      </c>
      <c r="L2181" s="246" t="e">
        <f t="shared" si="239"/>
        <v>#VALUE!</v>
      </c>
      <c r="M2181" s="247" t="e">
        <f t="shared" si="240"/>
        <v>#VALUE!</v>
      </c>
      <c r="N2181" s="246" t="e">
        <f t="shared" si="241"/>
        <v>#VALUE!</v>
      </c>
      <c r="O2181" s="247" t="e">
        <f t="shared" si="242"/>
        <v>#VALUE!</v>
      </c>
      <c r="P2181" s="247">
        <f t="shared" si="243"/>
        <v>0</v>
      </c>
      <c r="Q2181" s="247" t="e">
        <f t="shared" si="244"/>
        <v>#VALUE!</v>
      </c>
    </row>
    <row r="2182" spans="1:17" ht="15" customHeight="1" x14ac:dyDescent="0.25">
      <c r="A2182" s="244"/>
      <c r="B2182" s="244"/>
      <c r="C2182" s="244"/>
      <c r="D2182" s="244"/>
      <c r="E2182" s="244"/>
      <c r="F2182" s="244"/>
      <c r="G2182" s="244"/>
      <c r="I2182" s="244"/>
      <c r="J2182" s="244"/>
      <c r="K2182" s="246" t="e">
        <f t="shared" si="238"/>
        <v>#VALUE!</v>
      </c>
      <c r="L2182" s="246" t="e">
        <f t="shared" si="239"/>
        <v>#VALUE!</v>
      </c>
      <c r="M2182" s="247" t="e">
        <f t="shared" si="240"/>
        <v>#VALUE!</v>
      </c>
      <c r="N2182" s="246" t="e">
        <f t="shared" si="241"/>
        <v>#VALUE!</v>
      </c>
      <c r="O2182" s="247" t="e">
        <f t="shared" si="242"/>
        <v>#VALUE!</v>
      </c>
      <c r="P2182" s="247">
        <f t="shared" si="243"/>
        <v>0</v>
      </c>
      <c r="Q2182" s="247" t="e">
        <f t="shared" si="244"/>
        <v>#VALUE!</v>
      </c>
    </row>
    <row r="2183" spans="1:17" ht="15" customHeight="1" x14ac:dyDescent="0.25">
      <c r="A2183" s="244"/>
      <c r="B2183" s="244"/>
      <c r="C2183" s="244"/>
      <c r="D2183" s="244"/>
      <c r="E2183" s="244"/>
      <c r="F2183" s="244"/>
      <c r="G2183" s="244"/>
      <c r="I2183" s="244"/>
      <c r="J2183" s="244"/>
      <c r="K2183" s="246" t="e">
        <f t="shared" si="238"/>
        <v>#VALUE!</v>
      </c>
      <c r="L2183" s="246" t="e">
        <f t="shared" si="239"/>
        <v>#VALUE!</v>
      </c>
      <c r="M2183" s="247" t="e">
        <f t="shared" si="240"/>
        <v>#VALUE!</v>
      </c>
      <c r="N2183" s="246" t="e">
        <f t="shared" si="241"/>
        <v>#VALUE!</v>
      </c>
      <c r="O2183" s="247" t="e">
        <f t="shared" si="242"/>
        <v>#VALUE!</v>
      </c>
      <c r="P2183" s="247">
        <f t="shared" si="243"/>
        <v>0</v>
      </c>
      <c r="Q2183" s="247" t="e">
        <f t="shared" si="244"/>
        <v>#VALUE!</v>
      </c>
    </row>
    <row r="2184" spans="1:17" ht="15" customHeight="1" x14ac:dyDescent="0.25">
      <c r="A2184" s="244"/>
      <c r="B2184" s="244"/>
      <c r="C2184" s="244"/>
      <c r="D2184" s="244"/>
      <c r="E2184" s="244"/>
      <c r="F2184" s="244"/>
      <c r="G2184" s="244"/>
      <c r="I2184" s="244"/>
      <c r="J2184" s="244"/>
      <c r="K2184" s="246" t="e">
        <f t="shared" si="238"/>
        <v>#VALUE!</v>
      </c>
      <c r="L2184" s="246" t="e">
        <f t="shared" si="239"/>
        <v>#VALUE!</v>
      </c>
      <c r="M2184" s="247" t="e">
        <f t="shared" si="240"/>
        <v>#VALUE!</v>
      </c>
      <c r="N2184" s="246" t="e">
        <f t="shared" si="241"/>
        <v>#VALUE!</v>
      </c>
      <c r="O2184" s="247" t="e">
        <f t="shared" si="242"/>
        <v>#VALUE!</v>
      </c>
      <c r="P2184" s="247">
        <f t="shared" si="243"/>
        <v>0</v>
      </c>
      <c r="Q2184" s="247" t="e">
        <f t="shared" si="244"/>
        <v>#VALUE!</v>
      </c>
    </row>
    <row r="2185" spans="1:17" ht="15" customHeight="1" x14ac:dyDescent="0.25">
      <c r="A2185" s="244"/>
      <c r="B2185" s="244"/>
      <c r="C2185" s="244"/>
      <c r="D2185" s="244"/>
      <c r="E2185" s="244"/>
      <c r="F2185" s="244"/>
      <c r="G2185" s="244"/>
      <c r="I2185" s="244"/>
      <c r="J2185" s="244"/>
      <c r="K2185" s="246" t="e">
        <f t="shared" si="238"/>
        <v>#VALUE!</v>
      </c>
      <c r="L2185" s="246" t="e">
        <f t="shared" si="239"/>
        <v>#VALUE!</v>
      </c>
      <c r="M2185" s="247" t="e">
        <f t="shared" si="240"/>
        <v>#VALUE!</v>
      </c>
      <c r="N2185" s="246" t="e">
        <f t="shared" si="241"/>
        <v>#VALUE!</v>
      </c>
      <c r="O2185" s="247" t="e">
        <f t="shared" si="242"/>
        <v>#VALUE!</v>
      </c>
      <c r="P2185" s="247">
        <f t="shared" si="243"/>
        <v>0</v>
      </c>
      <c r="Q2185" s="247" t="e">
        <f t="shared" si="244"/>
        <v>#VALUE!</v>
      </c>
    </row>
    <row r="2186" spans="1:17" ht="15" customHeight="1" x14ac:dyDescent="0.25">
      <c r="A2186" s="244"/>
      <c r="B2186" s="244"/>
      <c r="C2186" s="244"/>
      <c r="D2186" s="244"/>
      <c r="E2186" s="244"/>
      <c r="F2186" s="244"/>
      <c r="G2186" s="244"/>
      <c r="I2186" s="244"/>
      <c r="J2186" s="244"/>
      <c r="K2186" s="246" t="e">
        <f t="shared" si="238"/>
        <v>#VALUE!</v>
      </c>
      <c r="L2186" s="246" t="e">
        <f t="shared" si="239"/>
        <v>#VALUE!</v>
      </c>
      <c r="M2186" s="247" t="e">
        <f t="shared" si="240"/>
        <v>#VALUE!</v>
      </c>
      <c r="N2186" s="246" t="e">
        <f t="shared" si="241"/>
        <v>#VALUE!</v>
      </c>
      <c r="O2186" s="247" t="e">
        <f t="shared" si="242"/>
        <v>#VALUE!</v>
      </c>
      <c r="P2186" s="247">
        <f t="shared" si="243"/>
        <v>0</v>
      </c>
      <c r="Q2186" s="247" t="e">
        <f t="shared" si="244"/>
        <v>#VALUE!</v>
      </c>
    </row>
    <row r="2187" spans="1:17" ht="15" customHeight="1" x14ac:dyDescent="0.25">
      <c r="A2187" s="244"/>
      <c r="B2187" s="244"/>
      <c r="C2187" s="244"/>
      <c r="D2187" s="244"/>
      <c r="E2187" s="244"/>
      <c r="F2187" s="244"/>
      <c r="G2187" s="244"/>
      <c r="I2187" s="244"/>
      <c r="J2187" s="244"/>
      <c r="K2187" s="246" t="e">
        <f t="shared" si="238"/>
        <v>#VALUE!</v>
      </c>
      <c r="L2187" s="246" t="e">
        <f t="shared" si="239"/>
        <v>#VALUE!</v>
      </c>
      <c r="M2187" s="247" t="e">
        <f t="shared" si="240"/>
        <v>#VALUE!</v>
      </c>
      <c r="N2187" s="246" t="e">
        <f t="shared" si="241"/>
        <v>#VALUE!</v>
      </c>
      <c r="O2187" s="247" t="e">
        <f t="shared" si="242"/>
        <v>#VALUE!</v>
      </c>
      <c r="P2187" s="247">
        <f t="shared" si="243"/>
        <v>0</v>
      </c>
      <c r="Q2187" s="247" t="e">
        <f t="shared" si="244"/>
        <v>#VALUE!</v>
      </c>
    </row>
    <row r="2188" spans="1:17" ht="15" customHeight="1" x14ac:dyDescent="0.25">
      <c r="A2188" s="244"/>
      <c r="B2188" s="244"/>
      <c r="C2188" s="244"/>
      <c r="D2188" s="244"/>
      <c r="E2188" s="244"/>
      <c r="F2188" s="244"/>
      <c r="G2188" s="244"/>
      <c r="I2188" s="244"/>
      <c r="J2188" s="244"/>
      <c r="K2188" s="246" t="e">
        <f t="shared" si="238"/>
        <v>#VALUE!</v>
      </c>
      <c r="L2188" s="246" t="e">
        <f t="shared" si="239"/>
        <v>#VALUE!</v>
      </c>
      <c r="M2188" s="247" t="e">
        <f t="shared" si="240"/>
        <v>#VALUE!</v>
      </c>
      <c r="N2188" s="246" t="e">
        <f t="shared" si="241"/>
        <v>#VALUE!</v>
      </c>
      <c r="O2188" s="247" t="e">
        <f t="shared" si="242"/>
        <v>#VALUE!</v>
      </c>
      <c r="P2188" s="247">
        <f t="shared" si="243"/>
        <v>0</v>
      </c>
      <c r="Q2188" s="247" t="e">
        <f t="shared" si="244"/>
        <v>#VALUE!</v>
      </c>
    </row>
    <row r="2189" spans="1:17" ht="15" customHeight="1" x14ac:dyDescent="0.25">
      <c r="A2189" s="244"/>
      <c r="B2189" s="244"/>
      <c r="C2189" s="244"/>
      <c r="D2189" s="244"/>
      <c r="E2189" s="244"/>
      <c r="F2189" s="244"/>
      <c r="G2189" s="244"/>
      <c r="I2189" s="244"/>
      <c r="J2189" s="244"/>
      <c r="K2189" s="246" t="e">
        <f t="shared" si="238"/>
        <v>#VALUE!</v>
      </c>
      <c r="L2189" s="246" t="e">
        <f t="shared" si="239"/>
        <v>#VALUE!</v>
      </c>
      <c r="M2189" s="247" t="e">
        <f t="shared" si="240"/>
        <v>#VALUE!</v>
      </c>
      <c r="N2189" s="246" t="e">
        <f t="shared" si="241"/>
        <v>#VALUE!</v>
      </c>
      <c r="O2189" s="247" t="e">
        <f t="shared" si="242"/>
        <v>#VALUE!</v>
      </c>
      <c r="P2189" s="247">
        <f t="shared" si="243"/>
        <v>0</v>
      </c>
      <c r="Q2189" s="247" t="e">
        <f t="shared" si="244"/>
        <v>#VALUE!</v>
      </c>
    </row>
    <row r="2190" spans="1:17" ht="15" customHeight="1" x14ac:dyDescent="0.25">
      <c r="A2190" s="244"/>
      <c r="B2190" s="244"/>
      <c r="C2190" s="244"/>
      <c r="D2190" s="244"/>
      <c r="E2190" s="244"/>
      <c r="F2190" s="244"/>
      <c r="G2190" s="244"/>
      <c r="I2190" s="244"/>
      <c r="J2190" s="244"/>
      <c r="K2190" s="246" t="e">
        <f t="shared" si="238"/>
        <v>#VALUE!</v>
      </c>
      <c r="L2190" s="246" t="e">
        <f t="shared" si="239"/>
        <v>#VALUE!</v>
      </c>
      <c r="M2190" s="247" t="e">
        <f t="shared" si="240"/>
        <v>#VALUE!</v>
      </c>
      <c r="N2190" s="246" t="e">
        <f t="shared" si="241"/>
        <v>#VALUE!</v>
      </c>
      <c r="O2190" s="247" t="e">
        <f t="shared" si="242"/>
        <v>#VALUE!</v>
      </c>
      <c r="P2190" s="247">
        <f t="shared" si="243"/>
        <v>0</v>
      </c>
      <c r="Q2190" s="247" t="e">
        <f t="shared" si="244"/>
        <v>#VALUE!</v>
      </c>
    </row>
    <row r="2191" spans="1:17" ht="15" customHeight="1" x14ac:dyDescent="0.25">
      <c r="A2191" s="244"/>
      <c r="B2191" s="244"/>
      <c r="C2191" s="244"/>
      <c r="D2191" s="244"/>
      <c r="E2191" s="244"/>
      <c r="F2191" s="244"/>
      <c r="G2191" s="244"/>
      <c r="I2191" s="244"/>
      <c r="J2191" s="244"/>
      <c r="K2191" s="246" t="e">
        <f t="shared" si="238"/>
        <v>#VALUE!</v>
      </c>
      <c r="L2191" s="246" t="e">
        <f t="shared" si="239"/>
        <v>#VALUE!</v>
      </c>
      <c r="M2191" s="247" t="e">
        <f t="shared" si="240"/>
        <v>#VALUE!</v>
      </c>
      <c r="N2191" s="246" t="e">
        <f t="shared" si="241"/>
        <v>#VALUE!</v>
      </c>
      <c r="O2191" s="247" t="e">
        <f t="shared" si="242"/>
        <v>#VALUE!</v>
      </c>
      <c r="P2191" s="247">
        <f t="shared" si="243"/>
        <v>0</v>
      </c>
      <c r="Q2191" s="247" t="e">
        <f t="shared" si="244"/>
        <v>#VALUE!</v>
      </c>
    </row>
    <row r="2192" spans="1:17" ht="15" customHeight="1" x14ac:dyDescent="0.25">
      <c r="A2192" s="244"/>
      <c r="B2192" s="244"/>
      <c r="C2192" s="244"/>
      <c r="D2192" s="244"/>
      <c r="E2192" s="244"/>
      <c r="F2192" s="244"/>
      <c r="G2192" s="244"/>
      <c r="I2192" s="244"/>
      <c r="J2192" s="244"/>
      <c r="K2192" s="246" t="e">
        <f t="shared" si="238"/>
        <v>#VALUE!</v>
      </c>
      <c r="L2192" s="246" t="e">
        <f t="shared" si="239"/>
        <v>#VALUE!</v>
      </c>
      <c r="M2192" s="247" t="e">
        <f t="shared" si="240"/>
        <v>#VALUE!</v>
      </c>
      <c r="N2192" s="246" t="e">
        <f t="shared" si="241"/>
        <v>#VALUE!</v>
      </c>
      <c r="O2192" s="247" t="e">
        <f t="shared" si="242"/>
        <v>#VALUE!</v>
      </c>
      <c r="P2192" s="247">
        <f t="shared" si="243"/>
        <v>0</v>
      </c>
      <c r="Q2192" s="247" t="e">
        <f t="shared" si="244"/>
        <v>#VALUE!</v>
      </c>
    </row>
    <row r="2193" spans="1:17" ht="15" customHeight="1" x14ac:dyDescent="0.25">
      <c r="A2193" s="244"/>
      <c r="B2193" s="244"/>
      <c r="C2193" s="244"/>
      <c r="D2193" s="244"/>
      <c r="E2193" s="244"/>
      <c r="F2193" s="244"/>
      <c r="G2193" s="244"/>
      <c r="I2193" s="244"/>
      <c r="J2193" s="244"/>
      <c r="K2193" s="246" t="e">
        <f t="shared" si="238"/>
        <v>#VALUE!</v>
      </c>
      <c r="L2193" s="246" t="e">
        <f t="shared" si="239"/>
        <v>#VALUE!</v>
      </c>
      <c r="M2193" s="247" t="e">
        <f t="shared" si="240"/>
        <v>#VALUE!</v>
      </c>
      <c r="N2193" s="246" t="e">
        <f t="shared" si="241"/>
        <v>#VALUE!</v>
      </c>
      <c r="O2193" s="247" t="e">
        <f t="shared" si="242"/>
        <v>#VALUE!</v>
      </c>
      <c r="P2193" s="247">
        <f t="shared" si="243"/>
        <v>0</v>
      </c>
      <c r="Q2193" s="247" t="e">
        <f t="shared" si="244"/>
        <v>#VALUE!</v>
      </c>
    </row>
    <row r="2194" spans="1:17" ht="15" customHeight="1" x14ac:dyDescent="0.25">
      <c r="A2194" s="244"/>
      <c r="B2194" s="244"/>
      <c r="C2194" s="244"/>
      <c r="D2194" s="244"/>
      <c r="E2194" s="244"/>
      <c r="F2194" s="244"/>
      <c r="G2194" s="244"/>
      <c r="I2194" s="244"/>
      <c r="J2194" s="244"/>
      <c r="K2194" s="246" t="e">
        <f t="shared" si="238"/>
        <v>#VALUE!</v>
      </c>
      <c r="L2194" s="246" t="e">
        <f t="shared" si="239"/>
        <v>#VALUE!</v>
      </c>
      <c r="M2194" s="247" t="e">
        <f t="shared" si="240"/>
        <v>#VALUE!</v>
      </c>
      <c r="N2194" s="246" t="e">
        <f t="shared" si="241"/>
        <v>#VALUE!</v>
      </c>
      <c r="O2194" s="247" t="e">
        <f t="shared" si="242"/>
        <v>#VALUE!</v>
      </c>
      <c r="P2194" s="247">
        <f t="shared" si="243"/>
        <v>0</v>
      </c>
      <c r="Q2194" s="247" t="e">
        <f t="shared" si="244"/>
        <v>#VALUE!</v>
      </c>
    </row>
    <row r="2195" spans="1:17" ht="15" customHeight="1" x14ac:dyDescent="0.25">
      <c r="A2195" s="244"/>
      <c r="B2195" s="244"/>
      <c r="C2195" s="244"/>
      <c r="D2195" s="244"/>
      <c r="E2195" s="244"/>
      <c r="F2195" s="244"/>
      <c r="G2195" s="244"/>
      <c r="I2195" s="244"/>
      <c r="J2195" s="244"/>
      <c r="K2195" s="246" t="e">
        <f t="shared" si="238"/>
        <v>#VALUE!</v>
      </c>
      <c r="L2195" s="246" t="e">
        <f t="shared" si="239"/>
        <v>#VALUE!</v>
      </c>
      <c r="M2195" s="247" t="e">
        <f t="shared" si="240"/>
        <v>#VALUE!</v>
      </c>
      <c r="N2195" s="246" t="e">
        <f t="shared" si="241"/>
        <v>#VALUE!</v>
      </c>
      <c r="O2195" s="247" t="e">
        <f t="shared" si="242"/>
        <v>#VALUE!</v>
      </c>
      <c r="P2195" s="247">
        <f t="shared" si="243"/>
        <v>0</v>
      </c>
      <c r="Q2195" s="247" t="e">
        <f t="shared" si="244"/>
        <v>#VALUE!</v>
      </c>
    </row>
    <row r="2196" spans="1:17" ht="15" customHeight="1" x14ac:dyDescent="0.25">
      <c r="A2196" s="244"/>
      <c r="B2196" s="244"/>
      <c r="C2196" s="244"/>
      <c r="D2196" s="244"/>
      <c r="E2196" s="244"/>
      <c r="F2196" s="244"/>
      <c r="G2196" s="244"/>
      <c r="I2196" s="244"/>
      <c r="J2196" s="244"/>
      <c r="K2196" s="246" t="e">
        <f t="shared" si="238"/>
        <v>#VALUE!</v>
      </c>
      <c r="L2196" s="246" t="e">
        <f t="shared" si="239"/>
        <v>#VALUE!</v>
      </c>
      <c r="M2196" s="247" t="e">
        <f t="shared" si="240"/>
        <v>#VALUE!</v>
      </c>
      <c r="N2196" s="246" t="e">
        <f t="shared" si="241"/>
        <v>#VALUE!</v>
      </c>
      <c r="O2196" s="247" t="e">
        <f t="shared" si="242"/>
        <v>#VALUE!</v>
      </c>
      <c r="P2196" s="247">
        <f t="shared" si="243"/>
        <v>0</v>
      </c>
      <c r="Q2196" s="247" t="e">
        <f t="shared" si="244"/>
        <v>#VALUE!</v>
      </c>
    </row>
    <row r="2197" spans="1:17" ht="15" customHeight="1" x14ac:dyDescent="0.25">
      <c r="A2197" s="244"/>
      <c r="B2197" s="244"/>
      <c r="C2197" s="244"/>
      <c r="D2197" s="244"/>
      <c r="E2197" s="244"/>
      <c r="F2197" s="244"/>
      <c r="G2197" s="244"/>
      <c r="I2197" s="244"/>
      <c r="J2197" s="244"/>
      <c r="K2197" s="246" t="e">
        <f t="shared" si="238"/>
        <v>#VALUE!</v>
      </c>
      <c r="L2197" s="246" t="e">
        <f t="shared" si="239"/>
        <v>#VALUE!</v>
      </c>
      <c r="M2197" s="247" t="e">
        <f t="shared" si="240"/>
        <v>#VALUE!</v>
      </c>
      <c r="N2197" s="246" t="e">
        <f t="shared" si="241"/>
        <v>#VALUE!</v>
      </c>
      <c r="O2197" s="247" t="e">
        <f t="shared" si="242"/>
        <v>#VALUE!</v>
      </c>
      <c r="P2197" s="247">
        <f t="shared" si="243"/>
        <v>0</v>
      </c>
      <c r="Q2197" s="247" t="e">
        <f t="shared" si="244"/>
        <v>#VALUE!</v>
      </c>
    </row>
    <row r="2198" spans="1:17" ht="15" customHeight="1" x14ac:dyDescent="0.25">
      <c r="A2198" s="244"/>
      <c r="B2198" s="244"/>
      <c r="C2198" s="244"/>
      <c r="D2198" s="244"/>
      <c r="E2198" s="244"/>
      <c r="F2198" s="244"/>
      <c r="G2198" s="244"/>
      <c r="I2198" s="244"/>
      <c r="J2198" s="244"/>
      <c r="K2198" s="246" t="e">
        <f t="shared" si="238"/>
        <v>#VALUE!</v>
      </c>
      <c r="L2198" s="246" t="e">
        <f t="shared" si="239"/>
        <v>#VALUE!</v>
      </c>
      <c r="M2198" s="247" t="e">
        <f t="shared" si="240"/>
        <v>#VALUE!</v>
      </c>
      <c r="N2198" s="246" t="e">
        <f t="shared" si="241"/>
        <v>#VALUE!</v>
      </c>
      <c r="O2198" s="247" t="e">
        <f t="shared" si="242"/>
        <v>#VALUE!</v>
      </c>
      <c r="P2198" s="247">
        <f t="shared" si="243"/>
        <v>0</v>
      </c>
      <c r="Q2198" s="247" t="e">
        <f t="shared" si="244"/>
        <v>#VALUE!</v>
      </c>
    </row>
    <row r="2199" spans="1:17" ht="15" customHeight="1" x14ac:dyDescent="0.25">
      <c r="A2199" s="244"/>
      <c r="B2199" s="244"/>
      <c r="C2199" s="244"/>
      <c r="D2199" s="244"/>
      <c r="E2199" s="244"/>
      <c r="F2199" s="244"/>
      <c r="G2199" s="244"/>
      <c r="I2199" s="244"/>
      <c r="J2199" s="244"/>
      <c r="K2199" s="246" t="e">
        <f t="shared" si="238"/>
        <v>#VALUE!</v>
      </c>
      <c r="L2199" s="246" t="e">
        <f t="shared" si="239"/>
        <v>#VALUE!</v>
      </c>
      <c r="M2199" s="247" t="e">
        <f t="shared" si="240"/>
        <v>#VALUE!</v>
      </c>
      <c r="N2199" s="246" t="e">
        <f t="shared" si="241"/>
        <v>#VALUE!</v>
      </c>
      <c r="O2199" s="247" t="e">
        <f t="shared" si="242"/>
        <v>#VALUE!</v>
      </c>
      <c r="P2199" s="247">
        <f t="shared" si="243"/>
        <v>0</v>
      </c>
      <c r="Q2199" s="247" t="e">
        <f t="shared" si="244"/>
        <v>#VALUE!</v>
      </c>
    </row>
    <row r="2200" spans="1:17" ht="15" customHeight="1" x14ac:dyDescent="0.25">
      <c r="A2200" s="244"/>
      <c r="B2200" s="244"/>
      <c r="C2200" s="244"/>
      <c r="D2200" s="244"/>
      <c r="E2200" s="244"/>
      <c r="F2200" s="244"/>
      <c r="G2200" s="244"/>
      <c r="I2200" s="244"/>
      <c r="J2200" s="244"/>
      <c r="K2200" s="246" t="e">
        <f t="shared" si="238"/>
        <v>#VALUE!</v>
      </c>
      <c r="L2200" s="246" t="e">
        <f t="shared" si="239"/>
        <v>#VALUE!</v>
      </c>
      <c r="M2200" s="247" t="e">
        <f t="shared" si="240"/>
        <v>#VALUE!</v>
      </c>
      <c r="N2200" s="246" t="e">
        <f t="shared" si="241"/>
        <v>#VALUE!</v>
      </c>
      <c r="O2200" s="247" t="e">
        <f t="shared" si="242"/>
        <v>#VALUE!</v>
      </c>
      <c r="P2200" s="247">
        <f t="shared" si="243"/>
        <v>0</v>
      </c>
      <c r="Q2200" s="247" t="e">
        <f t="shared" si="244"/>
        <v>#VALUE!</v>
      </c>
    </row>
    <row r="2201" spans="1:17" ht="15" customHeight="1" x14ac:dyDescent="0.25">
      <c r="A2201" s="244"/>
      <c r="B2201" s="244"/>
      <c r="C2201" s="244"/>
      <c r="D2201" s="244"/>
      <c r="E2201" s="244"/>
      <c r="F2201" s="244"/>
      <c r="G2201" s="244"/>
      <c r="I2201" s="244"/>
      <c r="J2201" s="244"/>
      <c r="K2201" s="246" t="e">
        <f t="shared" si="238"/>
        <v>#VALUE!</v>
      </c>
      <c r="L2201" s="246" t="e">
        <f t="shared" si="239"/>
        <v>#VALUE!</v>
      </c>
      <c r="M2201" s="247" t="e">
        <f t="shared" si="240"/>
        <v>#VALUE!</v>
      </c>
      <c r="N2201" s="246" t="e">
        <f t="shared" si="241"/>
        <v>#VALUE!</v>
      </c>
      <c r="O2201" s="247" t="e">
        <f t="shared" si="242"/>
        <v>#VALUE!</v>
      </c>
      <c r="P2201" s="247">
        <f t="shared" si="243"/>
        <v>0</v>
      </c>
      <c r="Q2201" s="247" t="e">
        <f t="shared" si="244"/>
        <v>#VALUE!</v>
      </c>
    </row>
    <row r="2202" spans="1:17" ht="15" customHeight="1" x14ac:dyDescent="0.25">
      <c r="A2202" s="244"/>
      <c r="B2202" s="244"/>
      <c r="C2202" s="244"/>
      <c r="D2202" s="244"/>
      <c r="E2202" s="244"/>
      <c r="F2202" s="244"/>
      <c r="G2202" s="244"/>
      <c r="I2202" s="244"/>
      <c r="J2202" s="244"/>
      <c r="K2202" s="246" t="e">
        <f t="shared" si="238"/>
        <v>#VALUE!</v>
      </c>
      <c r="L2202" s="246" t="e">
        <f t="shared" si="239"/>
        <v>#VALUE!</v>
      </c>
      <c r="M2202" s="247" t="e">
        <f t="shared" si="240"/>
        <v>#VALUE!</v>
      </c>
      <c r="N2202" s="246" t="e">
        <f t="shared" si="241"/>
        <v>#VALUE!</v>
      </c>
      <c r="O2202" s="247" t="e">
        <f t="shared" si="242"/>
        <v>#VALUE!</v>
      </c>
      <c r="P2202" s="247">
        <f t="shared" si="243"/>
        <v>0</v>
      </c>
      <c r="Q2202" s="247" t="e">
        <f t="shared" si="244"/>
        <v>#VALUE!</v>
      </c>
    </row>
    <row r="2203" spans="1:17" ht="15" customHeight="1" x14ac:dyDescent="0.25">
      <c r="A2203" s="244"/>
      <c r="B2203" s="244"/>
      <c r="C2203" s="244"/>
      <c r="D2203" s="244"/>
      <c r="E2203" s="244"/>
      <c r="F2203" s="244"/>
      <c r="G2203" s="244"/>
      <c r="I2203" s="244"/>
      <c r="J2203" s="244"/>
      <c r="K2203" s="246" t="e">
        <f t="shared" si="238"/>
        <v>#VALUE!</v>
      </c>
      <c r="L2203" s="246" t="e">
        <f t="shared" si="239"/>
        <v>#VALUE!</v>
      </c>
      <c r="M2203" s="247" t="e">
        <f t="shared" si="240"/>
        <v>#VALUE!</v>
      </c>
      <c r="N2203" s="246" t="e">
        <f t="shared" si="241"/>
        <v>#VALUE!</v>
      </c>
      <c r="O2203" s="247" t="e">
        <f t="shared" si="242"/>
        <v>#VALUE!</v>
      </c>
      <c r="P2203" s="247">
        <f t="shared" si="243"/>
        <v>0</v>
      </c>
      <c r="Q2203" s="247" t="e">
        <f t="shared" si="244"/>
        <v>#VALUE!</v>
      </c>
    </row>
    <row r="2204" spans="1:17" ht="15" customHeight="1" x14ac:dyDescent="0.25">
      <c r="A2204" s="244"/>
      <c r="B2204" s="244"/>
      <c r="C2204" s="244"/>
      <c r="D2204" s="244"/>
      <c r="E2204" s="244"/>
      <c r="F2204" s="244"/>
      <c r="G2204" s="244"/>
      <c r="I2204" s="244"/>
      <c r="J2204" s="244"/>
      <c r="K2204" s="246" t="e">
        <f t="shared" si="238"/>
        <v>#VALUE!</v>
      </c>
      <c r="L2204" s="246" t="e">
        <f t="shared" si="239"/>
        <v>#VALUE!</v>
      </c>
      <c r="M2204" s="247" t="e">
        <f t="shared" si="240"/>
        <v>#VALUE!</v>
      </c>
      <c r="N2204" s="246" t="e">
        <f t="shared" si="241"/>
        <v>#VALUE!</v>
      </c>
      <c r="O2204" s="247" t="e">
        <f t="shared" si="242"/>
        <v>#VALUE!</v>
      </c>
      <c r="P2204" s="247">
        <f t="shared" si="243"/>
        <v>0</v>
      </c>
      <c r="Q2204" s="247" t="e">
        <f t="shared" si="244"/>
        <v>#VALUE!</v>
      </c>
    </row>
    <row r="2205" spans="1:17" ht="15" customHeight="1" x14ac:dyDescent="0.25">
      <c r="A2205" s="244"/>
      <c r="B2205" s="244"/>
      <c r="C2205" s="244"/>
      <c r="D2205" s="244"/>
      <c r="E2205" s="244"/>
      <c r="F2205" s="244"/>
      <c r="G2205" s="244"/>
      <c r="I2205" s="244"/>
      <c r="J2205" s="244"/>
      <c r="K2205" s="246" t="e">
        <f t="shared" si="238"/>
        <v>#VALUE!</v>
      </c>
      <c r="L2205" s="246" t="e">
        <f t="shared" si="239"/>
        <v>#VALUE!</v>
      </c>
      <c r="M2205" s="247" t="e">
        <f t="shared" si="240"/>
        <v>#VALUE!</v>
      </c>
      <c r="N2205" s="246" t="e">
        <f t="shared" si="241"/>
        <v>#VALUE!</v>
      </c>
      <c r="O2205" s="247" t="e">
        <f t="shared" si="242"/>
        <v>#VALUE!</v>
      </c>
      <c r="P2205" s="247">
        <f t="shared" si="243"/>
        <v>0</v>
      </c>
      <c r="Q2205" s="247" t="e">
        <f t="shared" si="244"/>
        <v>#VALUE!</v>
      </c>
    </row>
    <row r="2206" spans="1:17" ht="15" customHeight="1" x14ac:dyDescent="0.25">
      <c r="A2206" s="244"/>
      <c r="B2206" s="244"/>
      <c r="C2206" s="244"/>
      <c r="D2206" s="244"/>
      <c r="E2206" s="244"/>
      <c r="F2206" s="244"/>
      <c r="G2206" s="244"/>
      <c r="I2206" s="244"/>
      <c r="J2206" s="244"/>
      <c r="K2206" s="246" t="e">
        <f t="shared" si="238"/>
        <v>#VALUE!</v>
      </c>
      <c r="L2206" s="246" t="e">
        <f t="shared" si="239"/>
        <v>#VALUE!</v>
      </c>
      <c r="M2206" s="247" t="e">
        <f t="shared" si="240"/>
        <v>#VALUE!</v>
      </c>
      <c r="N2206" s="246" t="e">
        <f t="shared" si="241"/>
        <v>#VALUE!</v>
      </c>
      <c r="O2206" s="247" t="e">
        <f t="shared" si="242"/>
        <v>#VALUE!</v>
      </c>
      <c r="P2206" s="247">
        <f t="shared" si="243"/>
        <v>0</v>
      </c>
      <c r="Q2206" s="247" t="e">
        <f t="shared" si="244"/>
        <v>#VALUE!</v>
      </c>
    </row>
    <row r="2207" spans="1:17" ht="15" customHeight="1" x14ac:dyDescent="0.25">
      <c r="A2207" s="244"/>
      <c r="B2207" s="244"/>
      <c r="C2207" s="244"/>
      <c r="D2207" s="244"/>
      <c r="E2207" s="244"/>
      <c r="F2207" s="244"/>
      <c r="G2207" s="244"/>
      <c r="I2207" s="244"/>
      <c r="J2207" s="244"/>
      <c r="K2207" s="246" t="e">
        <f t="shared" si="238"/>
        <v>#VALUE!</v>
      </c>
      <c r="L2207" s="246" t="e">
        <f t="shared" si="239"/>
        <v>#VALUE!</v>
      </c>
      <c r="M2207" s="247" t="e">
        <f t="shared" si="240"/>
        <v>#VALUE!</v>
      </c>
      <c r="N2207" s="246" t="e">
        <f t="shared" si="241"/>
        <v>#VALUE!</v>
      </c>
      <c r="O2207" s="247" t="e">
        <f t="shared" si="242"/>
        <v>#VALUE!</v>
      </c>
      <c r="P2207" s="247">
        <f t="shared" si="243"/>
        <v>0</v>
      </c>
      <c r="Q2207" s="247" t="e">
        <f t="shared" si="244"/>
        <v>#VALUE!</v>
      </c>
    </row>
    <row r="2208" spans="1:17" ht="15" customHeight="1" x14ac:dyDescent="0.25">
      <c r="A2208" s="244"/>
      <c r="B2208" s="244"/>
      <c r="C2208" s="244"/>
      <c r="D2208" s="244"/>
      <c r="E2208" s="244"/>
      <c r="F2208" s="244"/>
      <c r="G2208" s="244"/>
      <c r="I2208" s="244"/>
      <c r="J2208" s="244"/>
      <c r="K2208" s="246" t="e">
        <f t="shared" si="238"/>
        <v>#VALUE!</v>
      </c>
      <c r="L2208" s="246" t="e">
        <f t="shared" si="239"/>
        <v>#VALUE!</v>
      </c>
      <c r="M2208" s="247" t="e">
        <f t="shared" si="240"/>
        <v>#VALUE!</v>
      </c>
      <c r="N2208" s="246" t="e">
        <f t="shared" si="241"/>
        <v>#VALUE!</v>
      </c>
      <c r="O2208" s="247" t="e">
        <f t="shared" si="242"/>
        <v>#VALUE!</v>
      </c>
      <c r="P2208" s="247">
        <f t="shared" si="243"/>
        <v>0</v>
      </c>
      <c r="Q2208" s="247" t="e">
        <f t="shared" si="244"/>
        <v>#VALUE!</v>
      </c>
    </row>
    <row r="2209" spans="1:17" ht="15" customHeight="1" x14ac:dyDescent="0.25">
      <c r="A2209" s="244"/>
      <c r="B2209" s="244"/>
      <c r="C2209" s="244"/>
      <c r="D2209" s="244"/>
      <c r="E2209" s="244"/>
      <c r="F2209" s="244"/>
      <c r="G2209" s="244"/>
      <c r="I2209" s="244"/>
      <c r="J2209" s="244"/>
      <c r="K2209" s="246" t="e">
        <f t="shared" si="238"/>
        <v>#VALUE!</v>
      </c>
      <c r="L2209" s="246" t="e">
        <f t="shared" si="239"/>
        <v>#VALUE!</v>
      </c>
      <c r="M2209" s="247" t="e">
        <f t="shared" si="240"/>
        <v>#VALUE!</v>
      </c>
      <c r="N2209" s="246" t="e">
        <f t="shared" si="241"/>
        <v>#VALUE!</v>
      </c>
      <c r="O2209" s="247" t="e">
        <f t="shared" si="242"/>
        <v>#VALUE!</v>
      </c>
      <c r="P2209" s="247">
        <f t="shared" si="243"/>
        <v>0</v>
      </c>
      <c r="Q2209" s="247" t="e">
        <f t="shared" si="244"/>
        <v>#VALUE!</v>
      </c>
    </row>
    <row r="2210" spans="1:17" ht="15" customHeight="1" x14ac:dyDescent="0.25">
      <c r="A2210" s="244"/>
      <c r="B2210" s="244"/>
      <c r="C2210" s="244"/>
      <c r="D2210" s="244"/>
      <c r="E2210" s="244"/>
      <c r="F2210" s="244"/>
      <c r="G2210" s="244"/>
      <c r="I2210" s="244"/>
      <c r="J2210" s="244"/>
      <c r="K2210" s="246" t="e">
        <f t="shared" si="238"/>
        <v>#VALUE!</v>
      </c>
      <c r="L2210" s="246" t="e">
        <f t="shared" si="239"/>
        <v>#VALUE!</v>
      </c>
      <c r="M2210" s="247" t="e">
        <f t="shared" si="240"/>
        <v>#VALUE!</v>
      </c>
      <c r="N2210" s="246" t="e">
        <f t="shared" si="241"/>
        <v>#VALUE!</v>
      </c>
      <c r="O2210" s="247" t="e">
        <f t="shared" si="242"/>
        <v>#VALUE!</v>
      </c>
      <c r="P2210" s="247">
        <f t="shared" si="243"/>
        <v>0</v>
      </c>
      <c r="Q2210" s="247" t="e">
        <f t="shared" si="244"/>
        <v>#VALUE!</v>
      </c>
    </row>
    <row r="2211" spans="1:17" ht="15" customHeight="1" x14ac:dyDescent="0.25">
      <c r="A2211" s="244"/>
      <c r="B2211" s="244"/>
      <c r="C2211" s="244"/>
      <c r="D2211" s="244"/>
      <c r="E2211" s="244"/>
      <c r="F2211" s="244"/>
      <c r="G2211" s="244"/>
      <c r="I2211" s="244"/>
      <c r="J2211" s="244"/>
      <c r="K2211" s="246" t="e">
        <f t="shared" si="238"/>
        <v>#VALUE!</v>
      </c>
      <c r="L2211" s="246" t="e">
        <f t="shared" si="239"/>
        <v>#VALUE!</v>
      </c>
      <c r="M2211" s="247" t="e">
        <f t="shared" si="240"/>
        <v>#VALUE!</v>
      </c>
      <c r="N2211" s="246" t="e">
        <f t="shared" si="241"/>
        <v>#VALUE!</v>
      </c>
      <c r="O2211" s="247" t="e">
        <f t="shared" si="242"/>
        <v>#VALUE!</v>
      </c>
      <c r="P2211" s="247">
        <f t="shared" si="243"/>
        <v>0</v>
      </c>
      <c r="Q2211" s="247" t="e">
        <f t="shared" si="244"/>
        <v>#VALUE!</v>
      </c>
    </row>
    <row r="2212" spans="1:17" ht="15" customHeight="1" x14ac:dyDescent="0.25">
      <c r="A2212" s="244"/>
      <c r="B2212" s="244"/>
      <c r="C2212" s="244"/>
      <c r="D2212" s="244"/>
      <c r="E2212" s="244"/>
      <c r="F2212" s="244"/>
      <c r="G2212" s="244"/>
      <c r="I2212" s="244"/>
      <c r="J2212" s="244"/>
      <c r="K2212" s="246" t="e">
        <f t="shared" si="238"/>
        <v>#VALUE!</v>
      </c>
      <c r="L2212" s="246" t="e">
        <f t="shared" si="239"/>
        <v>#VALUE!</v>
      </c>
      <c r="M2212" s="247" t="e">
        <f t="shared" si="240"/>
        <v>#VALUE!</v>
      </c>
      <c r="N2212" s="246" t="e">
        <f t="shared" si="241"/>
        <v>#VALUE!</v>
      </c>
      <c r="O2212" s="247" t="e">
        <f t="shared" si="242"/>
        <v>#VALUE!</v>
      </c>
      <c r="P2212" s="247">
        <f t="shared" si="243"/>
        <v>0</v>
      </c>
      <c r="Q2212" s="247" t="e">
        <f t="shared" si="244"/>
        <v>#VALUE!</v>
      </c>
    </row>
    <row r="2213" spans="1:17" ht="15" customHeight="1" x14ac:dyDescent="0.25">
      <c r="A2213" s="244"/>
      <c r="B2213" s="244"/>
      <c r="C2213" s="244"/>
      <c r="D2213" s="244"/>
      <c r="E2213" s="244"/>
      <c r="F2213" s="244"/>
      <c r="G2213" s="244"/>
      <c r="I2213" s="244"/>
      <c r="J2213" s="244"/>
      <c r="K2213" s="246" t="e">
        <f t="shared" si="238"/>
        <v>#VALUE!</v>
      </c>
      <c r="L2213" s="246" t="e">
        <f t="shared" si="239"/>
        <v>#VALUE!</v>
      </c>
      <c r="M2213" s="247" t="e">
        <f t="shared" si="240"/>
        <v>#VALUE!</v>
      </c>
      <c r="N2213" s="246" t="e">
        <f t="shared" si="241"/>
        <v>#VALUE!</v>
      </c>
      <c r="O2213" s="247" t="e">
        <f t="shared" si="242"/>
        <v>#VALUE!</v>
      </c>
      <c r="P2213" s="247">
        <f t="shared" si="243"/>
        <v>0</v>
      </c>
      <c r="Q2213" s="247" t="e">
        <f t="shared" si="244"/>
        <v>#VALUE!</v>
      </c>
    </row>
    <row r="2214" spans="1:17" ht="15" customHeight="1" x14ac:dyDescent="0.25">
      <c r="A2214" s="244"/>
      <c r="B2214" s="244"/>
      <c r="C2214" s="244"/>
      <c r="D2214" s="244"/>
      <c r="E2214" s="244"/>
      <c r="F2214" s="244"/>
      <c r="G2214" s="244"/>
      <c r="I2214" s="244"/>
      <c r="J2214" s="244"/>
      <c r="K2214" s="246" t="e">
        <f t="shared" si="238"/>
        <v>#VALUE!</v>
      </c>
      <c r="L2214" s="246" t="e">
        <f t="shared" si="239"/>
        <v>#VALUE!</v>
      </c>
      <c r="M2214" s="247" t="e">
        <f t="shared" si="240"/>
        <v>#VALUE!</v>
      </c>
      <c r="N2214" s="246" t="e">
        <f t="shared" si="241"/>
        <v>#VALUE!</v>
      </c>
      <c r="O2214" s="247" t="e">
        <f t="shared" si="242"/>
        <v>#VALUE!</v>
      </c>
      <c r="P2214" s="247">
        <f t="shared" si="243"/>
        <v>0</v>
      </c>
      <c r="Q2214" s="247" t="e">
        <f t="shared" si="244"/>
        <v>#VALUE!</v>
      </c>
    </row>
    <row r="2215" spans="1:17" ht="15" customHeight="1" x14ac:dyDescent="0.25">
      <c r="A2215" s="244"/>
      <c r="B2215" s="244"/>
      <c r="C2215" s="244"/>
      <c r="D2215" s="244"/>
      <c r="E2215" s="244"/>
      <c r="F2215" s="244"/>
      <c r="G2215" s="244"/>
      <c r="I2215" s="244"/>
      <c r="J2215" s="244"/>
      <c r="K2215" s="246" t="e">
        <f t="shared" si="238"/>
        <v>#VALUE!</v>
      </c>
      <c r="L2215" s="246" t="e">
        <f t="shared" si="239"/>
        <v>#VALUE!</v>
      </c>
      <c r="M2215" s="247" t="e">
        <f t="shared" si="240"/>
        <v>#VALUE!</v>
      </c>
      <c r="N2215" s="246" t="e">
        <f t="shared" si="241"/>
        <v>#VALUE!</v>
      </c>
      <c r="O2215" s="247" t="e">
        <f t="shared" si="242"/>
        <v>#VALUE!</v>
      </c>
      <c r="P2215" s="247">
        <f t="shared" si="243"/>
        <v>0</v>
      </c>
      <c r="Q2215" s="247" t="e">
        <f t="shared" si="244"/>
        <v>#VALUE!</v>
      </c>
    </row>
    <row r="2216" spans="1:17" ht="15" customHeight="1" x14ac:dyDescent="0.25">
      <c r="A2216" s="244"/>
      <c r="B2216" s="244"/>
      <c r="C2216" s="244"/>
      <c r="D2216" s="244"/>
      <c r="E2216" s="244"/>
      <c r="F2216" s="244"/>
      <c r="G2216" s="244"/>
      <c r="I2216" s="244"/>
      <c r="J2216" s="244"/>
      <c r="K2216" s="246" t="e">
        <f t="shared" si="238"/>
        <v>#VALUE!</v>
      </c>
      <c r="L2216" s="246" t="e">
        <f t="shared" si="239"/>
        <v>#VALUE!</v>
      </c>
      <c r="M2216" s="247" t="e">
        <f t="shared" si="240"/>
        <v>#VALUE!</v>
      </c>
      <c r="N2216" s="246" t="e">
        <f t="shared" si="241"/>
        <v>#VALUE!</v>
      </c>
      <c r="O2216" s="247" t="e">
        <f t="shared" si="242"/>
        <v>#VALUE!</v>
      </c>
      <c r="P2216" s="247">
        <f t="shared" si="243"/>
        <v>0</v>
      </c>
      <c r="Q2216" s="247" t="e">
        <f t="shared" si="244"/>
        <v>#VALUE!</v>
      </c>
    </row>
    <row r="2217" spans="1:17" ht="15" customHeight="1" x14ac:dyDescent="0.25">
      <c r="A2217" s="244"/>
      <c r="B2217" s="244"/>
      <c r="C2217" s="244"/>
      <c r="D2217" s="244"/>
      <c r="E2217" s="244"/>
      <c r="F2217" s="244"/>
      <c r="G2217" s="244"/>
      <c r="I2217" s="244"/>
      <c r="J2217" s="244"/>
      <c r="K2217" s="246" t="e">
        <f t="shared" si="238"/>
        <v>#VALUE!</v>
      </c>
      <c r="L2217" s="246" t="e">
        <f t="shared" si="239"/>
        <v>#VALUE!</v>
      </c>
      <c r="M2217" s="247" t="e">
        <f t="shared" si="240"/>
        <v>#VALUE!</v>
      </c>
      <c r="N2217" s="246" t="e">
        <f t="shared" si="241"/>
        <v>#VALUE!</v>
      </c>
      <c r="O2217" s="247" t="e">
        <f t="shared" si="242"/>
        <v>#VALUE!</v>
      </c>
      <c r="P2217" s="247">
        <f t="shared" si="243"/>
        <v>0</v>
      </c>
      <c r="Q2217" s="247" t="e">
        <f t="shared" si="244"/>
        <v>#VALUE!</v>
      </c>
    </row>
    <row r="2218" spans="1:17" ht="15" customHeight="1" x14ac:dyDescent="0.25">
      <c r="A2218" s="244"/>
      <c r="B2218" s="244"/>
      <c r="C2218" s="244"/>
      <c r="D2218" s="244"/>
      <c r="E2218" s="244"/>
      <c r="F2218" s="244"/>
      <c r="G2218" s="244"/>
      <c r="I2218" s="244"/>
      <c r="J2218" s="244"/>
      <c r="K2218" s="246" t="e">
        <f t="shared" si="238"/>
        <v>#VALUE!</v>
      </c>
      <c r="L2218" s="246" t="e">
        <f t="shared" si="239"/>
        <v>#VALUE!</v>
      </c>
      <c r="M2218" s="247" t="e">
        <f t="shared" si="240"/>
        <v>#VALUE!</v>
      </c>
      <c r="N2218" s="246" t="e">
        <f t="shared" si="241"/>
        <v>#VALUE!</v>
      </c>
      <c r="O2218" s="247" t="e">
        <f t="shared" si="242"/>
        <v>#VALUE!</v>
      </c>
      <c r="P2218" s="247">
        <f t="shared" si="243"/>
        <v>0</v>
      </c>
      <c r="Q2218" s="247" t="e">
        <f t="shared" si="244"/>
        <v>#VALUE!</v>
      </c>
    </row>
    <row r="2219" spans="1:17" ht="15" customHeight="1" x14ac:dyDescent="0.25">
      <c r="A2219" s="244"/>
      <c r="B2219" s="244"/>
      <c r="C2219" s="244"/>
      <c r="D2219" s="244"/>
      <c r="E2219" s="244"/>
      <c r="F2219" s="244"/>
      <c r="G2219" s="244"/>
      <c r="I2219" s="244"/>
      <c r="J2219" s="244"/>
      <c r="K2219" s="246" t="e">
        <f t="shared" si="238"/>
        <v>#VALUE!</v>
      </c>
      <c r="L2219" s="246" t="e">
        <f t="shared" si="239"/>
        <v>#VALUE!</v>
      </c>
      <c r="M2219" s="247" t="e">
        <f t="shared" si="240"/>
        <v>#VALUE!</v>
      </c>
      <c r="N2219" s="246" t="e">
        <f t="shared" si="241"/>
        <v>#VALUE!</v>
      </c>
      <c r="O2219" s="247" t="e">
        <f t="shared" si="242"/>
        <v>#VALUE!</v>
      </c>
      <c r="P2219" s="247">
        <f t="shared" si="243"/>
        <v>0</v>
      </c>
      <c r="Q2219" s="247" t="e">
        <f t="shared" si="244"/>
        <v>#VALUE!</v>
      </c>
    </row>
    <row r="2220" spans="1:17" ht="15" customHeight="1" x14ac:dyDescent="0.25">
      <c r="A2220" s="244"/>
      <c r="B2220" s="244"/>
      <c r="C2220" s="244"/>
      <c r="D2220" s="244"/>
      <c r="E2220" s="244"/>
      <c r="F2220" s="244"/>
      <c r="G2220" s="244"/>
      <c r="I2220" s="244"/>
      <c r="J2220" s="244"/>
      <c r="K2220" s="246" t="e">
        <f t="shared" si="238"/>
        <v>#VALUE!</v>
      </c>
      <c r="L2220" s="246" t="e">
        <f t="shared" si="239"/>
        <v>#VALUE!</v>
      </c>
      <c r="M2220" s="247" t="e">
        <f t="shared" si="240"/>
        <v>#VALUE!</v>
      </c>
      <c r="N2220" s="246" t="e">
        <f t="shared" si="241"/>
        <v>#VALUE!</v>
      </c>
      <c r="O2220" s="247" t="e">
        <f t="shared" si="242"/>
        <v>#VALUE!</v>
      </c>
      <c r="P2220" s="247">
        <f t="shared" si="243"/>
        <v>0</v>
      </c>
      <c r="Q2220" s="247" t="e">
        <f t="shared" si="244"/>
        <v>#VALUE!</v>
      </c>
    </row>
    <row r="2221" spans="1:17" ht="15" customHeight="1" x14ac:dyDescent="0.25">
      <c r="A2221" s="244"/>
      <c r="B2221" s="244"/>
      <c r="C2221" s="244"/>
      <c r="D2221" s="244"/>
      <c r="E2221" s="244"/>
      <c r="F2221" s="244"/>
      <c r="G2221" s="244"/>
      <c r="I2221" s="244"/>
      <c r="J2221" s="244"/>
      <c r="K2221" s="246" t="e">
        <f t="shared" si="238"/>
        <v>#VALUE!</v>
      </c>
      <c r="L2221" s="246" t="e">
        <f t="shared" si="239"/>
        <v>#VALUE!</v>
      </c>
      <c r="M2221" s="247" t="e">
        <f t="shared" si="240"/>
        <v>#VALUE!</v>
      </c>
      <c r="N2221" s="246" t="e">
        <f t="shared" si="241"/>
        <v>#VALUE!</v>
      </c>
      <c r="O2221" s="247" t="e">
        <f t="shared" si="242"/>
        <v>#VALUE!</v>
      </c>
      <c r="P2221" s="247">
        <f t="shared" si="243"/>
        <v>0</v>
      </c>
      <c r="Q2221" s="247" t="e">
        <f t="shared" si="244"/>
        <v>#VALUE!</v>
      </c>
    </row>
    <row r="2222" spans="1:17" ht="15" customHeight="1" x14ac:dyDescent="0.25">
      <c r="A2222" s="244"/>
      <c r="B2222" s="244"/>
      <c r="C2222" s="244"/>
      <c r="D2222" s="244"/>
      <c r="E2222" s="244"/>
      <c r="F2222" s="244"/>
      <c r="G2222" s="244"/>
      <c r="I2222" s="244"/>
      <c r="J2222" s="244"/>
      <c r="K2222" s="246" t="e">
        <f t="shared" si="238"/>
        <v>#VALUE!</v>
      </c>
      <c r="L2222" s="246" t="e">
        <f t="shared" si="239"/>
        <v>#VALUE!</v>
      </c>
      <c r="M2222" s="247" t="e">
        <f t="shared" si="240"/>
        <v>#VALUE!</v>
      </c>
      <c r="N2222" s="246" t="e">
        <f t="shared" si="241"/>
        <v>#VALUE!</v>
      </c>
      <c r="O2222" s="247" t="e">
        <f t="shared" si="242"/>
        <v>#VALUE!</v>
      </c>
      <c r="P2222" s="247">
        <f t="shared" si="243"/>
        <v>0</v>
      </c>
      <c r="Q2222" s="247" t="e">
        <f t="shared" si="244"/>
        <v>#VALUE!</v>
      </c>
    </row>
    <row r="2223" spans="1:17" ht="15" customHeight="1" x14ac:dyDescent="0.25">
      <c r="A2223" s="244"/>
      <c r="B2223" s="244"/>
      <c r="C2223" s="244"/>
      <c r="D2223" s="244"/>
      <c r="E2223" s="244"/>
      <c r="F2223" s="244"/>
      <c r="G2223" s="244"/>
      <c r="I2223" s="244"/>
      <c r="J2223" s="244"/>
      <c r="K2223" s="246" t="e">
        <f t="shared" si="238"/>
        <v>#VALUE!</v>
      </c>
      <c r="L2223" s="246" t="e">
        <f t="shared" si="239"/>
        <v>#VALUE!</v>
      </c>
      <c r="M2223" s="247" t="e">
        <f t="shared" si="240"/>
        <v>#VALUE!</v>
      </c>
      <c r="N2223" s="246" t="e">
        <f t="shared" si="241"/>
        <v>#VALUE!</v>
      </c>
      <c r="O2223" s="247" t="e">
        <f t="shared" si="242"/>
        <v>#VALUE!</v>
      </c>
      <c r="P2223" s="247">
        <f t="shared" si="243"/>
        <v>0</v>
      </c>
      <c r="Q2223" s="247" t="e">
        <f t="shared" si="244"/>
        <v>#VALUE!</v>
      </c>
    </row>
    <row r="2224" spans="1:17" ht="15" customHeight="1" x14ac:dyDescent="0.25">
      <c r="A2224" s="244"/>
      <c r="B2224" s="244"/>
      <c r="C2224" s="244"/>
      <c r="D2224" s="244"/>
      <c r="E2224" s="244"/>
      <c r="F2224" s="244"/>
      <c r="G2224" s="244"/>
      <c r="I2224" s="244"/>
      <c r="J2224" s="244"/>
      <c r="K2224" s="246" t="e">
        <f t="shared" si="238"/>
        <v>#VALUE!</v>
      </c>
      <c r="L2224" s="246" t="e">
        <f t="shared" si="239"/>
        <v>#VALUE!</v>
      </c>
      <c r="M2224" s="247" t="e">
        <f t="shared" si="240"/>
        <v>#VALUE!</v>
      </c>
      <c r="N2224" s="246" t="e">
        <f t="shared" si="241"/>
        <v>#VALUE!</v>
      </c>
      <c r="O2224" s="247" t="e">
        <f t="shared" si="242"/>
        <v>#VALUE!</v>
      </c>
      <c r="P2224" s="247">
        <f t="shared" si="243"/>
        <v>0</v>
      </c>
      <c r="Q2224" s="247" t="e">
        <f t="shared" si="244"/>
        <v>#VALUE!</v>
      </c>
    </row>
    <row r="2225" spans="1:17" ht="15" customHeight="1" x14ac:dyDescent="0.25">
      <c r="A2225" s="244"/>
      <c r="B2225" s="244"/>
      <c r="C2225" s="244"/>
      <c r="D2225" s="244"/>
      <c r="E2225" s="244"/>
      <c r="F2225" s="244"/>
      <c r="G2225" s="244"/>
      <c r="I2225" s="244"/>
      <c r="J2225" s="244"/>
      <c r="K2225" s="246" t="e">
        <f t="shared" si="238"/>
        <v>#VALUE!</v>
      </c>
      <c r="L2225" s="246" t="e">
        <f t="shared" si="239"/>
        <v>#VALUE!</v>
      </c>
      <c r="M2225" s="247" t="e">
        <f t="shared" si="240"/>
        <v>#VALUE!</v>
      </c>
      <c r="N2225" s="246" t="e">
        <f t="shared" si="241"/>
        <v>#VALUE!</v>
      </c>
      <c r="O2225" s="247" t="e">
        <f t="shared" si="242"/>
        <v>#VALUE!</v>
      </c>
      <c r="P2225" s="247">
        <f t="shared" si="243"/>
        <v>0</v>
      </c>
      <c r="Q2225" s="247" t="e">
        <f t="shared" si="244"/>
        <v>#VALUE!</v>
      </c>
    </row>
    <row r="2226" spans="1:17" ht="15" customHeight="1" x14ac:dyDescent="0.25">
      <c r="A2226" s="244"/>
      <c r="B2226" s="244"/>
      <c r="C2226" s="244"/>
      <c r="D2226" s="244"/>
      <c r="E2226" s="244"/>
      <c r="F2226" s="244"/>
      <c r="G2226" s="244"/>
      <c r="I2226" s="244"/>
      <c r="J2226" s="244"/>
      <c r="K2226" s="246" t="e">
        <f t="shared" si="238"/>
        <v>#VALUE!</v>
      </c>
      <c r="L2226" s="246" t="e">
        <f t="shared" si="239"/>
        <v>#VALUE!</v>
      </c>
      <c r="M2226" s="247" t="e">
        <f t="shared" si="240"/>
        <v>#VALUE!</v>
      </c>
      <c r="N2226" s="246" t="e">
        <f t="shared" si="241"/>
        <v>#VALUE!</v>
      </c>
      <c r="O2226" s="247" t="e">
        <f t="shared" si="242"/>
        <v>#VALUE!</v>
      </c>
      <c r="P2226" s="247">
        <f t="shared" si="243"/>
        <v>0</v>
      </c>
      <c r="Q2226" s="247" t="e">
        <f t="shared" si="244"/>
        <v>#VALUE!</v>
      </c>
    </row>
    <row r="2227" spans="1:17" ht="15" customHeight="1" x14ac:dyDescent="0.25">
      <c r="A2227" s="244"/>
      <c r="B2227" s="244"/>
      <c r="C2227" s="244"/>
      <c r="D2227" s="244"/>
      <c r="E2227" s="244"/>
      <c r="F2227" s="244"/>
      <c r="G2227" s="244"/>
      <c r="I2227" s="244"/>
      <c r="J2227" s="244"/>
      <c r="K2227" s="246" t="e">
        <f t="shared" si="238"/>
        <v>#VALUE!</v>
      </c>
      <c r="L2227" s="246" t="e">
        <f t="shared" si="239"/>
        <v>#VALUE!</v>
      </c>
      <c r="M2227" s="247" t="e">
        <f t="shared" si="240"/>
        <v>#VALUE!</v>
      </c>
      <c r="N2227" s="246" t="e">
        <f t="shared" si="241"/>
        <v>#VALUE!</v>
      </c>
      <c r="O2227" s="247" t="e">
        <f t="shared" si="242"/>
        <v>#VALUE!</v>
      </c>
      <c r="P2227" s="247">
        <f t="shared" si="243"/>
        <v>0</v>
      </c>
      <c r="Q2227" s="247" t="e">
        <f t="shared" si="244"/>
        <v>#VALUE!</v>
      </c>
    </row>
    <row r="2228" spans="1:17" ht="15" customHeight="1" x14ac:dyDescent="0.25">
      <c r="A2228" s="244"/>
      <c r="B2228" s="244"/>
      <c r="C2228" s="244"/>
      <c r="D2228" s="244"/>
      <c r="E2228" s="244"/>
      <c r="F2228" s="244"/>
      <c r="G2228" s="244"/>
      <c r="I2228" s="244"/>
      <c r="J2228" s="244"/>
      <c r="K2228" s="246" t="e">
        <f t="shared" si="238"/>
        <v>#VALUE!</v>
      </c>
      <c r="L2228" s="246" t="e">
        <f t="shared" si="239"/>
        <v>#VALUE!</v>
      </c>
      <c r="M2228" s="247" t="e">
        <f t="shared" si="240"/>
        <v>#VALUE!</v>
      </c>
      <c r="N2228" s="246" t="e">
        <f t="shared" si="241"/>
        <v>#VALUE!</v>
      </c>
      <c r="O2228" s="247" t="e">
        <f t="shared" si="242"/>
        <v>#VALUE!</v>
      </c>
      <c r="P2228" s="247">
        <f t="shared" si="243"/>
        <v>0</v>
      </c>
      <c r="Q2228" s="247" t="e">
        <f t="shared" si="244"/>
        <v>#VALUE!</v>
      </c>
    </row>
    <row r="2229" spans="1:17" ht="15" customHeight="1" x14ac:dyDescent="0.25">
      <c r="A2229" s="244"/>
      <c r="B2229" s="244"/>
      <c r="C2229" s="244"/>
      <c r="D2229" s="244"/>
      <c r="E2229" s="244"/>
      <c r="F2229" s="244"/>
      <c r="G2229" s="244"/>
      <c r="I2229" s="244"/>
      <c r="J2229" s="244"/>
      <c r="K2229" s="246" t="e">
        <f t="shared" si="238"/>
        <v>#VALUE!</v>
      </c>
      <c r="L2229" s="246" t="e">
        <f t="shared" si="239"/>
        <v>#VALUE!</v>
      </c>
      <c r="M2229" s="247" t="e">
        <f t="shared" si="240"/>
        <v>#VALUE!</v>
      </c>
      <c r="N2229" s="246" t="e">
        <f t="shared" si="241"/>
        <v>#VALUE!</v>
      </c>
      <c r="O2229" s="247" t="e">
        <f t="shared" si="242"/>
        <v>#VALUE!</v>
      </c>
      <c r="P2229" s="247">
        <f t="shared" si="243"/>
        <v>0</v>
      </c>
      <c r="Q2229" s="247" t="e">
        <f t="shared" si="244"/>
        <v>#VALUE!</v>
      </c>
    </row>
    <row r="2230" spans="1:17" ht="15" customHeight="1" x14ac:dyDescent="0.25">
      <c r="A2230" s="244"/>
      <c r="B2230" s="244"/>
      <c r="C2230" s="244"/>
      <c r="D2230" s="244"/>
      <c r="E2230" s="244"/>
      <c r="F2230" s="244"/>
      <c r="G2230" s="244"/>
      <c r="I2230" s="244"/>
      <c r="J2230" s="244"/>
      <c r="K2230" s="246" t="e">
        <f t="shared" si="238"/>
        <v>#VALUE!</v>
      </c>
      <c r="L2230" s="246" t="e">
        <f t="shared" si="239"/>
        <v>#VALUE!</v>
      </c>
      <c r="M2230" s="247" t="e">
        <f t="shared" si="240"/>
        <v>#VALUE!</v>
      </c>
      <c r="N2230" s="246" t="e">
        <f t="shared" si="241"/>
        <v>#VALUE!</v>
      </c>
      <c r="O2230" s="247" t="e">
        <f t="shared" si="242"/>
        <v>#VALUE!</v>
      </c>
      <c r="P2230" s="247">
        <f t="shared" si="243"/>
        <v>0</v>
      </c>
      <c r="Q2230" s="247" t="e">
        <f t="shared" si="244"/>
        <v>#VALUE!</v>
      </c>
    </row>
    <row r="2231" spans="1:17" ht="15" customHeight="1" x14ac:dyDescent="0.25">
      <c r="A2231" s="244"/>
      <c r="B2231" s="244"/>
      <c r="C2231" s="244"/>
      <c r="D2231" s="244"/>
      <c r="E2231" s="244"/>
      <c r="F2231" s="244"/>
      <c r="G2231" s="244"/>
      <c r="I2231" s="244"/>
      <c r="J2231" s="244"/>
      <c r="K2231" s="246" t="e">
        <f t="shared" si="238"/>
        <v>#VALUE!</v>
      </c>
      <c r="L2231" s="246" t="e">
        <f t="shared" si="239"/>
        <v>#VALUE!</v>
      </c>
      <c r="M2231" s="247" t="e">
        <f t="shared" si="240"/>
        <v>#VALUE!</v>
      </c>
      <c r="N2231" s="246" t="e">
        <f t="shared" si="241"/>
        <v>#VALUE!</v>
      </c>
      <c r="O2231" s="247" t="e">
        <f t="shared" si="242"/>
        <v>#VALUE!</v>
      </c>
      <c r="P2231" s="247">
        <f t="shared" si="243"/>
        <v>0</v>
      </c>
      <c r="Q2231" s="247" t="e">
        <f t="shared" si="244"/>
        <v>#VALUE!</v>
      </c>
    </row>
    <row r="2232" spans="1:17" ht="15" customHeight="1" x14ac:dyDescent="0.25">
      <c r="A2232" s="244"/>
      <c r="B2232" s="244"/>
      <c r="C2232" s="244"/>
      <c r="D2232" s="244"/>
      <c r="E2232" s="244"/>
      <c r="F2232" s="244"/>
      <c r="G2232" s="244"/>
      <c r="I2232" s="244"/>
      <c r="J2232" s="244"/>
      <c r="K2232" s="246" t="e">
        <f t="shared" si="238"/>
        <v>#VALUE!</v>
      </c>
      <c r="L2232" s="246" t="e">
        <f t="shared" si="239"/>
        <v>#VALUE!</v>
      </c>
      <c r="M2232" s="247" t="e">
        <f t="shared" si="240"/>
        <v>#VALUE!</v>
      </c>
      <c r="N2232" s="246" t="e">
        <f t="shared" si="241"/>
        <v>#VALUE!</v>
      </c>
      <c r="O2232" s="247" t="e">
        <f t="shared" si="242"/>
        <v>#VALUE!</v>
      </c>
      <c r="P2232" s="247">
        <f t="shared" si="243"/>
        <v>0</v>
      </c>
      <c r="Q2232" s="247" t="e">
        <f t="shared" si="244"/>
        <v>#VALUE!</v>
      </c>
    </row>
    <row r="2233" spans="1:17" ht="15" customHeight="1" x14ac:dyDescent="0.25">
      <c r="A2233" s="244"/>
      <c r="B2233" s="244"/>
      <c r="C2233" s="244"/>
      <c r="D2233" s="244"/>
      <c r="E2233" s="244"/>
      <c r="F2233" s="244"/>
      <c r="G2233" s="244"/>
      <c r="I2233" s="244"/>
      <c r="J2233" s="244"/>
      <c r="K2233" s="246" t="e">
        <f t="shared" si="238"/>
        <v>#VALUE!</v>
      </c>
      <c r="L2233" s="246" t="e">
        <f t="shared" si="239"/>
        <v>#VALUE!</v>
      </c>
      <c r="M2233" s="247" t="e">
        <f t="shared" si="240"/>
        <v>#VALUE!</v>
      </c>
      <c r="N2233" s="246" t="e">
        <f t="shared" si="241"/>
        <v>#VALUE!</v>
      </c>
      <c r="O2233" s="247" t="e">
        <f t="shared" si="242"/>
        <v>#VALUE!</v>
      </c>
      <c r="P2233" s="247">
        <f t="shared" si="243"/>
        <v>0</v>
      </c>
      <c r="Q2233" s="247" t="e">
        <f t="shared" si="244"/>
        <v>#VALUE!</v>
      </c>
    </row>
    <row r="2234" spans="1:17" ht="15" customHeight="1" x14ac:dyDescent="0.25">
      <c r="A2234" s="244"/>
      <c r="B2234" s="244"/>
      <c r="C2234" s="244"/>
      <c r="D2234" s="244"/>
      <c r="E2234" s="244"/>
      <c r="F2234" s="244"/>
      <c r="G2234" s="244"/>
      <c r="I2234" s="244"/>
      <c r="J2234" s="244"/>
      <c r="K2234" s="246" t="e">
        <f t="shared" si="238"/>
        <v>#VALUE!</v>
      </c>
      <c r="L2234" s="246" t="e">
        <f t="shared" si="239"/>
        <v>#VALUE!</v>
      </c>
      <c r="M2234" s="247" t="e">
        <f t="shared" si="240"/>
        <v>#VALUE!</v>
      </c>
      <c r="N2234" s="246" t="e">
        <f t="shared" si="241"/>
        <v>#VALUE!</v>
      </c>
      <c r="O2234" s="247" t="e">
        <f t="shared" si="242"/>
        <v>#VALUE!</v>
      </c>
      <c r="P2234" s="247">
        <f t="shared" si="243"/>
        <v>0</v>
      </c>
      <c r="Q2234" s="247" t="e">
        <f t="shared" si="244"/>
        <v>#VALUE!</v>
      </c>
    </row>
    <row r="2235" spans="1:17" ht="15" customHeight="1" x14ac:dyDescent="0.25">
      <c r="A2235" s="244"/>
      <c r="B2235" s="244"/>
      <c r="C2235" s="244"/>
      <c r="D2235" s="244"/>
      <c r="E2235" s="244"/>
      <c r="F2235" s="244"/>
      <c r="G2235" s="244"/>
      <c r="I2235" s="244"/>
      <c r="J2235" s="244"/>
      <c r="K2235" s="246" t="e">
        <f t="shared" si="238"/>
        <v>#VALUE!</v>
      </c>
      <c r="L2235" s="246" t="e">
        <f t="shared" si="239"/>
        <v>#VALUE!</v>
      </c>
      <c r="M2235" s="247" t="e">
        <f t="shared" si="240"/>
        <v>#VALUE!</v>
      </c>
      <c r="N2235" s="246" t="e">
        <f t="shared" si="241"/>
        <v>#VALUE!</v>
      </c>
      <c r="O2235" s="247" t="e">
        <f t="shared" si="242"/>
        <v>#VALUE!</v>
      </c>
      <c r="P2235" s="247">
        <f t="shared" si="243"/>
        <v>0</v>
      </c>
      <c r="Q2235" s="247" t="e">
        <f t="shared" si="244"/>
        <v>#VALUE!</v>
      </c>
    </row>
    <row r="2236" spans="1:17" ht="15" customHeight="1" x14ac:dyDescent="0.25">
      <c r="A2236" s="244"/>
      <c r="B2236" s="244"/>
      <c r="C2236" s="244"/>
      <c r="D2236" s="244"/>
      <c r="E2236" s="244"/>
      <c r="F2236" s="244"/>
      <c r="G2236" s="244"/>
      <c r="I2236" s="244"/>
      <c r="J2236" s="244"/>
      <c r="K2236" s="246" t="e">
        <f t="shared" si="238"/>
        <v>#VALUE!</v>
      </c>
      <c r="L2236" s="246" t="e">
        <f t="shared" si="239"/>
        <v>#VALUE!</v>
      </c>
      <c r="M2236" s="247" t="e">
        <f t="shared" si="240"/>
        <v>#VALUE!</v>
      </c>
      <c r="N2236" s="246" t="e">
        <f t="shared" si="241"/>
        <v>#VALUE!</v>
      </c>
      <c r="O2236" s="247" t="e">
        <f t="shared" si="242"/>
        <v>#VALUE!</v>
      </c>
      <c r="P2236" s="247">
        <f t="shared" si="243"/>
        <v>0</v>
      </c>
      <c r="Q2236" s="247" t="e">
        <f t="shared" si="244"/>
        <v>#VALUE!</v>
      </c>
    </row>
    <row r="2237" spans="1:17" ht="15" customHeight="1" x14ac:dyDescent="0.25">
      <c r="A2237" s="244"/>
      <c r="B2237" s="244"/>
      <c r="C2237" s="244"/>
      <c r="D2237" s="244"/>
      <c r="E2237" s="244"/>
      <c r="F2237" s="244"/>
      <c r="G2237" s="244"/>
      <c r="I2237" s="244"/>
      <c r="J2237" s="244"/>
      <c r="K2237" s="246" t="e">
        <f t="shared" si="238"/>
        <v>#VALUE!</v>
      </c>
      <c r="L2237" s="246" t="e">
        <f t="shared" si="239"/>
        <v>#VALUE!</v>
      </c>
      <c r="M2237" s="247" t="e">
        <f t="shared" si="240"/>
        <v>#VALUE!</v>
      </c>
      <c r="N2237" s="246" t="e">
        <f t="shared" si="241"/>
        <v>#VALUE!</v>
      </c>
      <c r="O2237" s="247" t="e">
        <f t="shared" si="242"/>
        <v>#VALUE!</v>
      </c>
      <c r="P2237" s="247">
        <f t="shared" si="243"/>
        <v>0</v>
      </c>
      <c r="Q2237" s="247" t="e">
        <f t="shared" si="244"/>
        <v>#VALUE!</v>
      </c>
    </row>
    <row r="2238" spans="1:17" ht="15" customHeight="1" x14ac:dyDescent="0.25">
      <c r="A2238" s="244"/>
      <c r="B2238" s="244"/>
      <c r="C2238" s="244"/>
      <c r="D2238" s="244"/>
      <c r="E2238" s="244"/>
      <c r="F2238" s="244"/>
      <c r="G2238" s="244"/>
      <c r="I2238" s="244"/>
      <c r="J2238" s="244"/>
      <c r="K2238" s="246" t="e">
        <f t="shared" si="238"/>
        <v>#VALUE!</v>
      </c>
      <c r="L2238" s="246" t="e">
        <f t="shared" si="239"/>
        <v>#VALUE!</v>
      </c>
      <c r="M2238" s="247" t="e">
        <f t="shared" si="240"/>
        <v>#VALUE!</v>
      </c>
      <c r="N2238" s="246" t="e">
        <f t="shared" si="241"/>
        <v>#VALUE!</v>
      </c>
      <c r="O2238" s="247" t="e">
        <f t="shared" si="242"/>
        <v>#VALUE!</v>
      </c>
      <c r="P2238" s="247">
        <f t="shared" si="243"/>
        <v>0</v>
      </c>
      <c r="Q2238" s="247" t="e">
        <f t="shared" si="244"/>
        <v>#VALUE!</v>
      </c>
    </row>
    <row r="2239" spans="1:17" ht="15" customHeight="1" x14ac:dyDescent="0.25">
      <c r="A2239" s="244"/>
      <c r="B2239" s="244"/>
      <c r="C2239" s="244"/>
      <c r="D2239" s="244"/>
      <c r="E2239" s="244"/>
      <c r="F2239" s="244"/>
      <c r="G2239" s="244"/>
      <c r="I2239" s="244"/>
      <c r="J2239" s="244"/>
      <c r="K2239" s="246" t="e">
        <f t="shared" si="238"/>
        <v>#VALUE!</v>
      </c>
      <c r="L2239" s="246" t="e">
        <f t="shared" si="239"/>
        <v>#VALUE!</v>
      </c>
      <c r="M2239" s="247" t="e">
        <f t="shared" si="240"/>
        <v>#VALUE!</v>
      </c>
      <c r="N2239" s="246" t="e">
        <f t="shared" si="241"/>
        <v>#VALUE!</v>
      </c>
      <c r="O2239" s="247" t="e">
        <f t="shared" si="242"/>
        <v>#VALUE!</v>
      </c>
      <c r="P2239" s="247">
        <f t="shared" si="243"/>
        <v>0</v>
      </c>
      <c r="Q2239" s="247" t="e">
        <f t="shared" si="244"/>
        <v>#VALUE!</v>
      </c>
    </row>
    <row r="2240" spans="1:17" ht="15" customHeight="1" x14ac:dyDescent="0.25">
      <c r="A2240" s="244"/>
      <c r="B2240" s="244"/>
      <c r="C2240" s="244"/>
      <c r="D2240" s="244"/>
      <c r="E2240" s="244"/>
      <c r="F2240" s="244"/>
      <c r="G2240" s="244"/>
      <c r="I2240" s="244"/>
      <c r="J2240" s="244"/>
      <c r="K2240" s="246" t="e">
        <f t="shared" si="238"/>
        <v>#VALUE!</v>
      </c>
      <c r="L2240" s="246" t="e">
        <f t="shared" si="239"/>
        <v>#VALUE!</v>
      </c>
      <c r="M2240" s="247" t="e">
        <f t="shared" si="240"/>
        <v>#VALUE!</v>
      </c>
      <c r="N2240" s="246" t="e">
        <f t="shared" si="241"/>
        <v>#VALUE!</v>
      </c>
      <c r="O2240" s="247" t="e">
        <f t="shared" si="242"/>
        <v>#VALUE!</v>
      </c>
      <c r="P2240" s="247">
        <f t="shared" si="243"/>
        <v>0</v>
      </c>
      <c r="Q2240" s="247" t="e">
        <f t="shared" si="244"/>
        <v>#VALUE!</v>
      </c>
    </row>
    <row r="2241" spans="1:17" ht="15" customHeight="1" x14ac:dyDescent="0.25">
      <c r="A2241" s="244"/>
      <c r="B2241" s="244"/>
      <c r="C2241" s="244"/>
      <c r="D2241" s="244"/>
      <c r="E2241" s="244"/>
      <c r="F2241" s="244"/>
      <c r="G2241" s="244"/>
      <c r="I2241" s="244"/>
      <c r="J2241" s="244"/>
      <c r="K2241" s="246" t="e">
        <f t="shared" si="238"/>
        <v>#VALUE!</v>
      </c>
      <c r="L2241" s="246" t="e">
        <f t="shared" si="239"/>
        <v>#VALUE!</v>
      </c>
      <c r="M2241" s="247" t="e">
        <f t="shared" si="240"/>
        <v>#VALUE!</v>
      </c>
      <c r="N2241" s="246" t="e">
        <f t="shared" si="241"/>
        <v>#VALUE!</v>
      </c>
      <c r="O2241" s="247" t="e">
        <f t="shared" si="242"/>
        <v>#VALUE!</v>
      </c>
      <c r="P2241" s="247">
        <f t="shared" si="243"/>
        <v>0</v>
      </c>
      <c r="Q2241" s="247" t="e">
        <f t="shared" si="244"/>
        <v>#VALUE!</v>
      </c>
    </row>
    <row r="2242" spans="1:17" ht="15" customHeight="1" x14ac:dyDescent="0.25">
      <c r="A2242" s="244"/>
      <c r="B2242" s="244"/>
      <c r="C2242" s="244"/>
      <c r="D2242" s="244"/>
      <c r="E2242" s="244"/>
      <c r="F2242" s="244"/>
      <c r="G2242" s="244"/>
      <c r="I2242" s="244"/>
      <c r="J2242" s="244"/>
      <c r="K2242" s="246" t="e">
        <f t="shared" ref="K2242:K2305" si="245">DATE(VALUE(LEFT(A2242,4)),VALUE(MID(A2242,5,2)),VALUE(RIGHT(A2242,2)))</f>
        <v>#VALUE!</v>
      </c>
      <c r="L2242" s="246" t="e">
        <f t="shared" ref="L2242:L2305" si="246">DATEVALUE(LEFT(F2242,10))</f>
        <v>#VALUE!</v>
      </c>
      <c r="M2242" s="247" t="e">
        <f t="shared" ref="M2242:M2305" si="247">TIMEVALUE(MID(F2242,12,8))</f>
        <v>#VALUE!</v>
      </c>
      <c r="N2242" s="246" t="e">
        <f t="shared" ref="N2242:N2305" si="248">DATEVALUE(LEFT(G2242,10))</f>
        <v>#VALUE!</v>
      </c>
      <c r="O2242" s="247" t="e">
        <f t="shared" ref="O2242:O2305" si="249">TIMEVALUE(MID(G2242,12,8))</f>
        <v>#VALUE!</v>
      </c>
      <c r="P2242" s="247">
        <f t="shared" ref="P2242:P2305" si="250">IFERROR(_xlfn.MINIFS($M:$M,$E:$E,$E2242,$K:$K,$K2242,$M:$M,"&gt;"&amp;$O2242),"")</f>
        <v>0</v>
      </c>
      <c r="Q2242" s="247" t="e">
        <f t="shared" ref="Q2242:Q2305" si="251">IF($P2242="","",$P2242-$O2242)</f>
        <v>#VALUE!</v>
      </c>
    </row>
    <row r="2243" spans="1:17" ht="15" customHeight="1" x14ac:dyDescent="0.25">
      <c r="A2243" s="244"/>
      <c r="B2243" s="244"/>
      <c r="C2243" s="244"/>
      <c r="D2243" s="244"/>
      <c r="E2243" s="244"/>
      <c r="F2243" s="244"/>
      <c r="G2243" s="244"/>
      <c r="I2243" s="244"/>
      <c r="J2243" s="244"/>
      <c r="K2243" s="246" t="e">
        <f t="shared" si="245"/>
        <v>#VALUE!</v>
      </c>
      <c r="L2243" s="246" t="e">
        <f t="shared" si="246"/>
        <v>#VALUE!</v>
      </c>
      <c r="M2243" s="247" t="e">
        <f t="shared" si="247"/>
        <v>#VALUE!</v>
      </c>
      <c r="N2243" s="246" t="e">
        <f t="shared" si="248"/>
        <v>#VALUE!</v>
      </c>
      <c r="O2243" s="247" t="e">
        <f t="shared" si="249"/>
        <v>#VALUE!</v>
      </c>
      <c r="P2243" s="247">
        <f t="shared" si="250"/>
        <v>0</v>
      </c>
      <c r="Q2243" s="247" t="e">
        <f t="shared" si="251"/>
        <v>#VALUE!</v>
      </c>
    </row>
    <row r="2244" spans="1:17" ht="15" customHeight="1" x14ac:dyDescent="0.25">
      <c r="A2244" s="244"/>
      <c r="B2244" s="244"/>
      <c r="C2244" s="244"/>
      <c r="D2244" s="244"/>
      <c r="E2244" s="244"/>
      <c r="F2244" s="244"/>
      <c r="G2244" s="244"/>
      <c r="I2244" s="244"/>
      <c r="J2244" s="244"/>
      <c r="K2244" s="246" t="e">
        <f t="shared" si="245"/>
        <v>#VALUE!</v>
      </c>
      <c r="L2244" s="246" t="e">
        <f t="shared" si="246"/>
        <v>#VALUE!</v>
      </c>
      <c r="M2244" s="247" t="e">
        <f t="shared" si="247"/>
        <v>#VALUE!</v>
      </c>
      <c r="N2244" s="246" t="e">
        <f t="shared" si="248"/>
        <v>#VALUE!</v>
      </c>
      <c r="O2244" s="247" t="e">
        <f t="shared" si="249"/>
        <v>#VALUE!</v>
      </c>
      <c r="P2244" s="247">
        <f t="shared" si="250"/>
        <v>0</v>
      </c>
      <c r="Q2244" s="247" t="e">
        <f t="shared" si="251"/>
        <v>#VALUE!</v>
      </c>
    </row>
    <row r="2245" spans="1:17" ht="15" customHeight="1" x14ac:dyDescent="0.25">
      <c r="A2245" s="244"/>
      <c r="B2245" s="244"/>
      <c r="C2245" s="244"/>
      <c r="D2245" s="244"/>
      <c r="E2245" s="244"/>
      <c r="F2245" s="244"/>
      <c r="G2245" s="244"/>
      <c r="I2245" s="244"/>
      <c r="J2245" s="244"/>
      <c r="K2245" s="246" t="e">
        <f t="shared" si="245"/>
        <v>#VALUE!</v>
      </c>
      <c r="L2245" s="246" t="e">
        <f t="shared" si="246"/>
        <v>#VALUE!</v>
      </c>
      <c r="M2245" s="247" t="e">
        <f t="shared" si="247"/>
        <v>#VALUE!</v>
      </c>
      <c r="N2245" s="246" t="e">
        <f t="shared" si="248"/>
        <v>#VALUE!</v>
      </c>
      <c r="O2245" s="247" t="e">
        <f t="shared" si="249"/>
        <v>#VALUE!</v>
      </c>
      <c r="P2245" s="247">
        <f t="shared" si="250"/>
        <v>0</v>
      </c>
      <c r="Q2245" s="247" t="e">
        <f t="shared" si="251"/>
        <v>#VALUE!</v>
      </c>
    </row>
    <row r="2246" spans="1:17" ht="15" customHeight="1" x14ac:dyDescent="0.25">
      <c r="A2246" s="244"/>
      <c r="B2246" s="244"/>
      <c r="C2246" s="244"/>
      <c r="D2246" s="244"/>
      <c r="E2246" s="244"/>
      <c r="F2246" s="244"/>
      <c r="G2246" s="244"/>
      <c r="I2246" s="244"/>
      <c r="J2246" s="244"/>
      <c r="K2246" s="246" t="e">
        <f t="shared" si="245"/>
        <v>#VALUE!</v>
      </c>
      <c r="L2246" s="246" t="e">
        <f t="shared" si="246"/>
        <v>#VALUE!</v>
      </c>
      <c r="M2246" s="247" t="e">
        <f t="shared" si="247"/>
        <v>#VALUE!</v>
      </c>
      <c r="N2246" s="246" t="e">
        <f t="shared" si="248"/>
        <v>#VALUE!</v>
      </c>
      <c r="O2246" s="247" t="e">
        <f t="shared" si="249"/>
        <v>#VALUE!</v>
      </c>
      <c r="P2246" s="247">
        <f t="shared" si="250"/>
        <v>0</v>
      </c>
      <c r="Q2246" s="247" t="e">
        <f t="shared" si="251"/>
        <v>#VALUE!</v>
      </c>
    </row>
    <row r="2247" spans="1:17" ht="15" customHeight="1" x14ac:dyDescent="0.25">
      <c r="A2247" s="244"/>
      <c r="B2247" s="244"/>
      <c r="C2247" s="244"/>
      <c r="D2247" s="244"/>
      <c r="E2247" s="244"/>
      <c r="F2247" s="244"/>
      <c r="G2247" s="244"/>
      <c r="I2247" s="244"/>
      <c r="J2247" s="244"/>
      <c r="K2247" s="246" t="e">
        <f t="shared" si="245"/>
        <v>#VALUE!</v>
      </c>
      <c r="L2247" s="246" t="e">
        <f t="shared" si="246"/>
        <v>#VALUE!</v>
      </c>
      <c r="M2247" s="247" t="e">
        <f t="shared" si="247"/>
        <v>#VALUE!</v>
      </c>
      <c r="N2247" s="246" t="e">
        <f t="shared" si="248"/>
        <v>#VALUE!</v>
      </c>
      <c r="O2247" s="247" t="e">
        <f t="shared" si="249"/>
        <v>#VALUE!</v>
      </c>
      <c r="P2247" s="247">
        <f t="shared" si="250"/>
        <v>0</v>
      </c>
      <c r="Q2247" s="247" t="e">
        <f t="shared" si="251"/>
        <v>#VALUE!</v>
      </c>
    </row>
    <row r="2248" spans="1:17" ht="15" customHeight="1" x14ac:dyDescent="0.25">
      <c r="A2248" s="244"/>
      <c r="B2248" s="244"/>
      <c r="C2248" s="244"/>
      <c r="D2248" s="244"/>
      <c r="E2248" s="244"/>
      <c r="F2248" s="244"/>
      <c r="G2248" s="244"/>
      <c r="I2248" s="244"/>
      <c r="J2248" s="244"/>
      <c r="K2248" s="246" t="e">
        <f t="shared" si="245"/>
        <v>#VALUE!</v>
      </c>
      <c r="L2248" s="246" t="e">
        <f t="shared" si="246"/>
        <v>#VALUE!</v>
      </c>
      <c r="M2248" s="247" t="e">
        <f t="shared" si="247"/>
        <v>#VALUE!</v>
      </c>
      <c r="N2248" s="246" t="e">
        <f t="shared" si="248"/>
        <v>#VALUE!</v>
      </c>
      <c r="O2248" s="247" t="e">
        <f t="shared" si="249"/>
        <v>#VALUE!</v>
      </c>
      <c r="P2248" s="247">
        <f t="shared" si="250"/>
        <v>0</v>
      </c>
      <c r="Q2248" s="247" t="e">
        <f t="shared" si="251"/>
        <v>#VALUE!</v>
      </c>
    </row>
    <row r="2249" spans="1:17" ht="15" customHeight="1" x14ac:dyDescent="0.25">
      <c r="A2249" s="244"/>
      <c r="B2249" s="244"/>
      <c r="C2249" s="244"/>
      <c r="D2249" s="244"/>
      <c r="E2249" s="244"/>
      <c r="F2249" s="244"/>
      <c r="G2249" s="244"/>
      <c r="I2249" s="244"/>
      <c r="J2249" s="244"/>
      <c r="K2249" s="246" t="e">
        <f t="shared" si="245"/>
        <v>#VALUE!</v>
      </c>
      <c r="L2249" s="246" t="e">
        <f t="shared" si="246"/>
        <v>#VALUE!</v>
      </c>
      <c r="M2249" s="247" t="e">
        <f t="shared" si="247"/>
        <v>#VALUE!</v>
      </c>
      <c r="N2249" s="246" t="e">
        <f t="shared" si="248"/>
        <v>#VALUE!</v>
      </c>
      <c r="O2249" s="247" t="e">
        <f t="shared" si="249"/>
        <v>#VALUE!</v>
      </c>
      <c r="P2249" s="247">
        <f t="shared" si="250"/>
        <v>0</v>
      </c>
      <c r="Q2249" s="247" t="e">
        <f t="shared" si="251"/>
        <v>#VALUE!</v>
      </c>
    </row>
    <row r="2250" spans="1:17" ht="15" customHeight="1" x14ac:dyDescent="0.25">
      <c r="A2250" s="244"/>
      <c r="B2250" s="244"/>
      <c r="C2250" s="244"/>
      <c r="D2250" s="244"/>
      <c r="E2250" s="244"/>
      <c r="F2250" s="244"/>
      <c r="G2250" s="244"/>
      <c r="I2250" s="244"/>
      <c r="J2250" s="244"/>
      <c r="K2250" s="246" t="e">
        <f t="shared" si="245"/>
        <v>#VALUE!</v>
      </c>
      <c r="L2250" s="246" t="e">
        <f t="shared" si="246"/>
        <v>#VALUE!</v>
      </c>
      <c r="M2250" s="247" t="e">
        <f t="shared" si="247"/>
        <v>#VALUE!</v>
      </c>
      <c r="N2250" s="246" t="e">
        <f t="shared" si="248"/>
        <v>#VALUE!</v>
      </c>
      <c r="O2250" s="247" t="e">
        <f t="shared" si="249"/>
        <v>#VALUE!</v>
      </c>
      <c r="P2250" s="247">
        <f t="shared" si="250"/>
        <v>0</v>
      </c>
      <c r="Q2250" s="247" t="e">
        <f t="shared" si="251"/>
        <v>#VALUE!</v>
      </c>
    </row>
    <row r="2251" spans="1:17" ht="15" customHeight="1" x14ac:dyDescent="0.25">
      <c r="A2251" s="244"/>
      <c r="B2251" s="244"/>
      <c r="C2251" s="244"/>
      <c r="D2251" s="244"/>
      <c r="E2251" s="244"/>
      <c r="F2251" s="244"/>
      <c r="G2251" s="244"/>
      <c r="I2251" s="244"/>
      <c r="J2251" s="244"/>
      <c r="K2251" s="246" t="e">
        <f t="shared" si="245"/>
        <v>#VALUE!</v>
      </c>
      <c r="L2251" s="246" t="e">
        <f t="shared" si="246"/>
        <v>#VALUE!</v>
      </c>
      <c r="M2251" s="247" t="e">
        <f t="shared" si="247"/>
        <v>#VALUE!</v>
      </c>
      <c r="N2251" s="246" t="e">
        <f t="shared" si="248"/>
        <v>#VALUE!</v>
      </c>
      <c r="O2251" s="247" t="e">
        <f t="shared" si="249"/>
        <v>#VALUE!</v>
      </c>
      <c r="P2251" s="247">
        <f t="shared" si="250"/>
        <v>0</v>
      </c>
      <c r="Q2251" s="247" t="e">
        <f t="shared" si="251"/>
        <v>#VALUE!</v>
      </c>
    </row>
    <row r="2252" spans="1:17" ht="15" customHeight="1" x14ac:dyDescent="0.25">
      <c r="A2252" s="244"/>
      <c r="B2252" s="244"/>
      <c r="C2252" s="244"/>
      <c r="D2252" s="244"/>
      <c r="E2252" s="244"/>
      <c r="F2252" s="244"/>
      <c r="G2252" s="244"/>
      <c r="I2252" s="244"/>
      <c r="J2252" s="244"/>
      <c r="K2252" s="246" t="e">
        <f t="shared" si="245"/>
        <v>#VALUE!</v>
      </c>
      <c r="L2252" s="246" t="e">
        <f t="shared" si="246"/>
        <v>#VALUE!</v>
      </c>
      <c r="M2252" s="247" t="e">
        <f t="shared" si="247"/>
        <v>#VALUE!</v>
      </c>
      <c r="N2252" s="246" t="e">
        <f t="shared" si="248"/>
        <v>#VALUE!</v>
      </c>
      <c r="O2252" s="247" t="e">
        <f t="shared" si="249"/>
        <v>#VALUE!</v>
      </c>
      <c r="P2252" s="247">
        <f t="shared" si="250"/>
        <v>0</v>
      </c>
      <c r="Q2252" s="247" t="e">
        <f t="shared" si="251"/>
        <v>#VALUE!</v>
      </c>
    </row>
    <row r="2253" spans="1:17" ht="15" customHeight="1" x14ac:dyDescent="0.25">
      <c r="A2253" s="244"/>
      <c r="B2253" s="244"/>
      <c r="C2253" s="244"/>
      <c r="D2253" s="244"/>
      <c r="E2253" s="244"/>
      <c r="F2253" s="244"/>
      <c r="G2253" s="244"/>
      <c r="I2253" s="244"/>
      <c r="J2253" s="244"/>
      <c r="K2253" s="246" t="e">
        <f t="shared" si="245"/>
        <v>#VALUE!</v>
      </c>
      <c r="L2253" s="246" t="e">
        <f t="shared" si="246"/>
        <v>#VALUE!</v>
      </c>
      <c r="M2253" s="247" t="e">
        <f t="shared" si="247"/>
        <v>#VALUE!</v>
      </c>
      <c r="N2253" s="246" t="e">
        <f t="shared" si="248"/>
        <v>#VALUE!</v>
      </c>
      <c r="O2253" s="247" t="e">
        <f t="shared" si="249"/>
        <v>#VALUE!</v>
      </c>
      <c r="P2253" s="247">
        <f t="shared" si="250"/>
        <v>0</v>
      </c>
      <c r="Q2253" s="247" t="e">
        <f t="shared" si="251"/>
        <v>#VALUE!</v>
      </c>
    </row>
    <row r="2254" spans="1:17" ht="15" customHeight="1" x14ac:dyDescent="0.25">
      <c r="A2254" s="244"/>
      <c r="B2254" s="244"/>
      <c r="C2254" s="244"/>
      <c r="D2254" s="244"/>
      <c r="E2254" s="244"/>
      <c r="F2254" s="244"/>
      <c r="G2254" s="244"/>
      <c r="I2254" s="244"/>
      <c r="J2254" s="244"/>
      <c r="K2254" s="246" t="e">
        <f t="shared" si="245"/>
        <v>#VALUE!</v>
      </c>
      <c r="L2254" s="246" t="e">
        <f t="shared" si="246"/>
        <v>#VALUE!</v>
      </c>
      <c r="M2254" s="247" t="e">
        <f t="shared" si="247"/>
        <v>#VALUE!</v>
      </c>
      <c r="N2254" s="246" t="e">
        <f t="shared" si="248"/>
        <v>#VALUE!</v>
      </c>
      <c r="O2254" s="247" t="e">
        <f t="shared" si="249"/>
        <v>#VALUE!</v>
      </c>
      <c r="P2254" s="247">
        <f t="shared" si="250"/>
        <v>0</v>
      </c>
      <c r="Q2254" s="247" t="e">
        <f t="shared" si="251"/>
        <v>#VALUE!</v>
      </c>
    </row>
    <row r="2255" spans="1:17" ht="15" customHeight="1" x14ac:dyDescent="0.25">
      <c r="A2255" s="244"/>
      <c r="B2255" s="244"/>
      <c r="C2255" s="244"/>
      <c r="D2255" s="244"/>
      <c r="E2255" s="244"/>
      <c r="F2255" s="244"/>
      <c r="G2255" s="244"/>
      <c r="I2255" s="244"/>
      <c r="J2255" s="244"/>
      <c r="K2255" s="246" t="e">
        <f t="shared" si="245"/>
        <v>#VALUE!</v>
      </c>
      <c r="L2255" s="246" t="e">
        <f t="shared" si="246"/>
        <v>#VALUE!</v>
      </c>
      <c r="M2255" s="247" t="e">
        <f t="shared" si="247"/>
        <v>#VALUE!</v>
      </c>
      <c r="N2255" s="246" t="e">
        <f t="shared" si="248"/>
        <v>#VALUE!</v>
      </c>
      <c r="O2255" s="247" t="e">
        <f t="shared" si="249"/>
        <v>#VALUE!</v>
      </c>
      <c r="P2255" s="247">
        <f t="shared" si="250"/>
        <v>0</v>
      </c>
      <c r="Q2255" s="247" t="e">
        <f t="shared" si="251"/>
        <v>#VALUE!</v>
      </c>
    </row>
    <row r="2256" spans="1:17" ht="15" customHeight="1" x14ac:dyDescent="0.25">
      <c r="A2256" s="244"/>
      <c r="B2256" s="244"/>
      <c r="C2256" s="244"/>
      <c r="D2256" s="244"/>
      <c r="E2256" s="244"/>
      <c r="F2256" s="244"/>
      <c r="G2256" s="244"/>
      <c r="I2256" s="244"/>
      <c r="J2256" s="244"/>
      <c r="K2256" s="246" t="e">
        <f t="shared" si="245"/>
        <v>#VALUE!</v>
      </c>
      <c r="L2256" s="246" t="e">
        <f t="shared" si="246"/>
        <v>#VALUE!</v>
      </c>
      <c r="M2256" s="247" t="e">
        <f t="shared" si="247"/>
        <v>#VALUE!</v>
      </c>
      <c r="N2256" s="246" t="e">
        <f t="shared" si="248"/>
        <v>#VALUE!</v>
      </c>
      <c r="O2256" s="247" t="e">
        <f t="shared" si="249"/>
        <v>#VALUE!</v>
      </c>
      <c r="P2256" s="247">
        <f t="shared" si="250"/>
        <v>0</v>
      </c>
      <c r="Q2256" s="247" t="e">
        <f t="shared" si="251"/>
        <v>#VALUE!</v>
      </c>
    </row>
    <row r="2257" spans="1:17" ht="15" customHeight="1" x14ac:dyDescent="0.25">
      <c r="A2257" s="244"/>
      <c r="B2257" s="244"/>
      <c r="C2257" s="244"/>
      <c r="D2257" s="244"/>
      <c r="E2257" s="244"/>
      <c r="F2257" s="244"/>
      <c r="G2257" s="244"/>
      <c r="I2257" s="244"/>
      <c r="J2257" s="244"/>
      <c r="K2257" s="246" t="e">
        <f t="shared" si="245"/>
        <v>#VALUE!</v>
      </c>
      <c r="L2257" s="246" t="e">
        <f t="shared" si="246"/>
        <v>#VALUE!</v>
      </c>
      <c r="M2257" s="247" t="e">
        <f t="shared" si="247"/>
        <v>#VALUE!</v>
      </c>
      <c r="N2257" s="246" t="e">
        <f t="shared" si="248"/>
        <v>#VALUE!</v>
      </c>
      <c r="O2257" s="247" t="e">
        <f t="shared" si="249"/>
        <v>#VALUE!</v>
      </c>
      <c r="P2257" s="247">
        <f t="shared" si="250"/>
        <v>0</v>
      </c>
      <c r="Q2257" s="247" t="e">
        <f t="shared" si="251"/>
        <v>#VALUE!</v>
      </c>
    </row>
    <row r="2258" spans="1:17" ht="15" customHeight="1" x14ac:dyDescent="0.25">
      <c r="A2258" s="244"/>
      <c r="B2258" s="244"/>
      <c r="C2258" s="244"/>
      <c r="D2258" s="244"/>
      <c r="E2258" s="244"/>
      <c r="F2258" s="244"/>
      <c r="G2258" s="244"/>
      <c r="I2258" s="244"/>
      <c r="J2258" s="244"/>
      <c r="K2258" s="246" t="e">
        <f t="shared" si="245"/>
        <v>#VALUE!</v>
      </c>
      <c r="L2258" s="246" t="e">
        <f t="shared" si="246"/>
        <v>#VALUE!</v>
      </c>
      <c r="M2258" s="247" t="e">
        <f t="shared" si="247"/>
        <v>#VALUE!</v>
      </c>
      <c r="N2258" s="246" t="e">
        <f t="shared" si="248"/>
        <v>#VALUE!</v>
      </c>
      <c r="O2258" s="247" t="e">
        <f t="shared" si="249"/>
        <v>#VALUE!</v>
      </c>
      <c r="P2258" s="247">
        <f t="shared" si="250"/>
        <v>0</v>
      </c>
      <c r="Q2258" s="247" t="e">
        <f t="shared" si="251"/>
        <v>#VALUE!</v>
      </c>
    </row>
    <row r="2259" spans="1:17" ht="15" customHeight="1" x14ac:dyDescent="0.25">
      <c r="A2259" s="244"/>
      <c r="B2259" s="244"/>
      <c r="C2259" s="244"/>
      <c r="D2259" s="244"/>
      <c r="E2259" s="244"/>
      <c r="F2259" s="244"/>
      <c r="G2259" s="244"/>
      <c r="I2259" s="244"/>
      <c r="J2259" s="244"/>
      <c r="K2259" s="246" t="e">
        <f t="shared" si="245"/>
        <v>#VALUE!</v>
      </c>
      <c r="L2259" s="246" t="e">
        <f t="shared" si="246"/>
        <v>#VALUE!</v>
      </c>
      <c r="M2259" s="247" t="e">
        <f t="shared" si="247"/>
        <v>#VALUE!</v>
      </c>
      <c r="N2259" s="246" t="e">
        <f t="shared" si="248"/>
        <v>#VALUE!</v>
      </c>
      <c r="O2259" s="247" t="e">
        <f t="shared" si="249"/>
        <v>#VALUE!</v>
      </c>
      <c r="P2259" s="247">
        <f t="shared" si="250"/>
        <v>0</v>
      </c>
      <c r="Q2259" s="247" t="e">
        <f t="shared" si="251"/>
        <v>#VALUE!</v>
      </c>
    </row>
    <row r="2260" spans="1:17" ht="15" customHeight="1" x14ac:dyDescent="0.25">
      <c r="A2260" s="244"/>
      <c r="B2260" s="244"/>
      <c r="C2260" s="244"/>
      <c r="D2260" s="244"/>
      <c r="E2260" s="244"/>
      <c r="F2260" s="244"/>
      <c r="G2260" s="244"/>
      <c r="I2260" s="244"/>
      <c r="J2260" s="244"/>
      <c r="K2260" s="246" t="e">
        <f t="shared" si="245"/>
        <v>#VALUE!</v>
      </c>
      <c r="L2260" s="246" t="e">
        <f t="shared" si="246"/>
        <v>#VALUE!</v>
      </c>
      <c r="M2260" s="247" t="e">
        <f t="shared" si="247"/>
        <v>#VALUE!</v>
      </c>
      <c r="N2260" s="246" t="e">
        <f t="shared" si="248"/>
        <v>#VALUE!</v>
      </c>
      <c r="O2260" s="247" t="e">
        <f t="shared" si="249"/>
        <v>#VALUE!</v>
      </c>
      <c r="P2260" s="247">
        <f t="shared" si="250"/>
        <v>0</v>
      </c>
      <c r="Q2260" s="247" t="e">
        <f t="shared" si="251"/>
        <v>#VALUE!</v>
      </c>
    </row>
    <row r="2261" spans="1:17" ht="15" customHeight="1" x14ac:dyDescent="0.25">
      <c r="A2261" s="244"/>
      <c r="B2261" s="244"/>
      <c r="C2261" s="244"/>
      <c r="D2261" s="244"/>
      <c r="E2261" s="244"/>
      <c r="F2261" s="244"/>
      <c r="G2261" s="244"/>
      <c r="I2261" s="244"/>
      <c r="J2261" s="244"/>
      <c r="K2261" s="246" t="e">
        <f t="shared" si="245"/>
        <v>#VALUE!</v>
      </c>
      <c r="L2261" s="246" t="e">
        <f t="shared" si="246"/>
        <v>#VALUE!</v>
      </c>
      <c r="M2261" s="247" t="e">
        <f t="shared" si="247"/>
        <v>#VALUE!</v>
      </c>
      <c r="N2261" s="246" t="e">
        <f t="shared" si="248"/>
        <v>#VALUE!</v>
      </c>
      <c r="O2261" s="247" t="e">
        <f t="shared" si="249"/>
        <v>#VALUE!</v>
      </c>
      <c r="P2261" s="247">
        <f t="shared" si="250"/>
        <v>0</v>
      </c>
      <c r="Q2261" s="247" t="e">
        <f t="shared" si="251"/>
        <v>#VALUE!</v>
      </c>
    </row>
    <row r="2262" spans="1:17" ht="15" customHeight="1" x14ac:dyDescent="0.25">
      <c r="A2262" s="244"/>
      <c r="B2262" s="244"/>
      <c r="C2262" s="244"/>
      <c r="D2262" s="244"/>
      <c r="E2262" s="244"/>
      <c r="F2262" s="244"/>
      <c r="G2262" s="244"/>
      <c r="I2262" s="244"/>
      <c r="J2262" s="244"/>
      <c r="K2262" s="246" t="e">
        <f t="shared" si="245"/>
        <v>#VALUE!</v>
      </c>
      <c r="L2262" s="246" t="e">
        <f t="shared" si="246"/>
        <v>#VALUE!</v>
      </c>
      <c r="M2262" s="247" t="e">
        <f t="shared" si="247"/>
        <v>#VALUE!</v>
      </c>
      <c r="N2262" s="246" t="e">
        <f t="shared" si="248"/>
        <v>#VALUE!</v>
      </c>
      <c r="O2262" s="247" t="e">
        <f t="shared" si="249"/>
        <v>#VALUE!</v>
      </c>
      <c r="P2262" s="247">
        <f t="shared" si="250"/>
        <v>0</v>
      </c>
      <c r="Q2262" s="247" t="e">
        <f t="shared" si="251"/>
        <v>#VALUE!</v>
      </c>
    </row>
    <row r="2263" spans="1:17" ht="15" customHeight="1" x14ac:dyDescent="0.25">
      <c r="A2263" s="244"/>
      <c r="B2263" s="244"/>
      <c r="C2263" s="244"/>
      <c r="D2263" s="244"/>
      <c r="E2263" s="244"/>
      <c r="F2263" s="244"/>
      <c r="G2263" s="244"/>
      <c r="I2263" s="244"/>
      <c r="J2263" s="244"/>
      <c r="K2263" s="246" t="e">
        <f t="shared" si="245"/>
        <v>#VALUE!</v>
      </c>
      <c r="L2263" s="246" t="e">
        <f t="shared" si="246"/>
        <v>#VALUE!</v>
      </c>
      <c r="M2263" s="247" t="e">
        <f t="shared" si="247"/>
        <v>#VALUE!</v>
      </c>
      <c r="N2263" s="246" t="e">
        <f t="shared" si="248"/>
        <v>#VALUE!</v>
      </c>
      <c r="O2263" s="247" t="e">
        <f t="shared" si="249"/>
        <v>#VALUE!</v>
      </c>
      <c r="P2263" s="247">
        <f t="shared" si="250"/>
        <v>0</v>
      </c>
      <c r="Q2263" s="247" t="e">
        <f t="shared" si="251"/>
        <v>#VALUE!</v>
      </c>
    </row>
    <row r="2264" spans="1:17" ht="15" customHeight="1" x14ac:dyDescent="0.25">
      <c r="A2264" s="244"/>
      <c r="B2264" s="244"/>
      <c r="C2264" s="244"/>
      <c r="D2264" s="244"/>
      <c r="E2264" s="244"/>
      <c r="F2264" s="244"/>
      <c r="G2264" s="244"/>
      <c r="I2264" s="244"/>
      <c r="J2264" s="244"/>
      <c r="K2264" s="246" t="e">
        <f t="shared" si="245"/>
        <v>#VALUE!</v>
      </c>
      <c r="L2264" s="246" t="e">
        <f t="shared" si="246"/>
        <v>#VALUE!</v>
      </c>
      <c r="M2264" s="247" t="e">
        <f t="shared" si="247"/>
        <v>#VALUE!</v>
      </c>
      <c r="N2264" s="246" t="e">
        <f t="shared" si="248"/>
        <v>#VALUE!</v>
      </c>
      <c r="O2264" s="247" t="e">
        <f t="shared" si="249"/>
        <v>#VALUE!</v>
      </c>
      <c r="P2264" s="247">
        <f t="shared" si="250"/>
        <v>0</v>
      </c>
      <c r="Q2264" s="247" t="e">
        <f t="shared" si="251"/>
        <v>#VALUE!</v>
      </c>
    </row>
    <row r="2265" spans="1:17" ht="15" customHeight="1" x14ac:dyDescent="0.25">
      <c r="A2265" s="244"/>
      <c r="B2265" s="244"/>
      <c r="C2265" s="244"/>
      <c r="D2265" s="244"/>
      <c r="E2265" s="244"/>
      <c r="F2265" s="244"/>
      <c r="G2265" s="244"/>
      <c r="I2265" s="244"/>
      <c r="J2265" s="244"/>
      <c r="K2265" s="246" t="e">
        <f t="shared" si="245"/>
        <v>#VALUE!</v>
      </c>
      <c r="L2265" s="246" t="e">
        <f t="shared" si="246"/>
        <v>#VALUE!</v>
      </c>
      <c r="M2265" s="247" t="e">
        <f t="shared" si="247"/>
        <v>#VALUE!</v>
      </c>
      <c r="N2265" s="246" t="e">
        <f t="shared" si="248"/>
        <v>#VALUE!</v>
      </c>
      <c r="O2265" s="247" t="e">
        <f t="shared" si="249"/>
        <v>#VALUE!</v>
      </c>
      <c r="P2265" s="247">
        <f t="shared" si="250"/>
        <v>0</v>
      </c>
      <c r="Q2265" s="247" t="e">
        <f t="shared" si="251"/>
        <v>#VALUE!</v>
      </c>
    </row>
    <row r="2266" spans="1:17" ht="15" customHeight="1" x14ac:dyDescent="0.25">
      <c r="A2266" s="244"/>
      <c r="B2266" s="244"/>
      <c r="C2266" s="244"/>
      <c r="D2266" s="244"/>
      <c r="E2266" s="244"/>
      <c r="F2266" s="244"/>
      <c r="G2266" s="244"/>
      <c r="I2266" s="244"/>
      <c r="J2266" s="244"/>
      <c r="K2266" s="246" t="e">
        <f t="shared" si="245"/>
        <v>#VALUE!</v>
      </c>
      <c r="L2266" s="246" t="e">
        <f t="shared" si="246"/>
        <v>#VALUE!</v>
      </c>
      <c r="M2266" s="247" t="e">
        <f t="shared" si="247"/>
        <v>#VALUE!</v>
      </c>
      <c r="N2266" s="246" t="e">
        <f t="shared" si="248"/>
        <v>#VALUE!</v>
      </c>
      <c r="O2266" s="247" t="e">
        <f t="shared" si="249"/>
        <v>#VALUE!</v>
      </c>
      <c r="P2266" s="247">
        <f t="shared" si="250"/>
        <v>0</v>
      </c>
      <c r="Q2266" s="247" t="e">
        <f t="shared" si="251"/>
        <v>#VALUE!</v>
      </c>
    </row>
    <row r="2267" spans="1:17" ht="15" customHeight="1" x14ac:dyDescent="0.25">
      <c r="A2267" s="244"/>
      <c r="B2267" s="244"/>
      <c r="C2267" s="244"/>
      <c r="D2267" s="244"/>
      <c r="E2267" s="244"/>
      <c r="F2267" s="244"/>
      <c r="G2267" s="244"/>
      <c r="I2267" s="244"/>
      <c r="J2267" s="244"/>
      <c r="K2267" s="246" t="e">
        <f t="shared" si="245"/>
        <v>#VALUE!</v>
      </c>
      <c r="L2267" s="246" t="e">
        <f t="shared" si="246"/>
        <v>#VALUE!</v>
      </c>
      <c r="M2267" s="247" t="e">
        <f t="shared" si="247"/>
        <v>#VALUE!</v>
      </c>
      <c r="N2267" s="246" t="e">
        <f t="shared" si="248"/>
        <v>#VALUE!</v>
      </c>
      <c r="O2267" s="247" t="e">
        <f t="shared" si="249"/>
        <v>#VALUE!</v>
      </c>
      <c r="P2267" s="247">
        <f t="shared" si="250"/>
        <v>0</v>
      </c>
      <c r="Q2267" s="247" t="e">
        <f t="shared" si="251"/>
        <v>#VALUE!</v>
      </c>
    </row>
    <row r="2268" spans="1:17" ht="15" customHeight="1" x14ac:dyDescent="0.25">
      <c r="A2268" s="244"/>
      <c r="B2268" s="244"/>
      <c r="C2268" s="244"/>
      <c r="D2268" s="244"/>
      <c r="E2268" s="244"/>
      <c r="F2268" s="244"/>
      <c r="G2268" s="244"/>
      <c r="I2268" s="244"/>
      <c r="J2268" s="244"/>
      <c r="K2268" s="246" t="e">
        <f t="shared" si="245"/>
        <v>#VALUE!</v>
      </c>
      <c r="L2268" s="246" t="e">
        <f t="shared" si="246"/>
        <v>#VALUE!</v>
      </c>
      <c r="M2268" s="247" t="e">
        <f t="shared" si="247"/>
        <v>#VALUE!</v>
      </c>
      <c r="N2268" s="246" t="e">
        <f t="shared" si="248"/>
        <v>#VALUE!</v>
      </c>
      <c r="O2268" s="247" t="e">
        <f t="shared" si="249"/>
        <v>#VALUE!</v>
      </c>
      <c r="P2268" s="247">
        <f t="shared" si="250"/>
        <v>0</v>
      </c>
      <c r="Q2268" s="247" t="e">
        <f t="shared" si="251"/>
        <v>#VALUE!</v>
      </c>
    </row>
    <row r="2269" spans="1:17" ht="15" customHeight="1" x14ac:dyDescent="0.25">
      <c r="A2269" s="244"/>
      <c r="B2269" s="244"/>
      <c r="C2269" s="244"/>
      <c r="D2269" s="244"/>
      <c r="E2269" s="244"/>
      <c r="F2269" s="244"/>
      <c r="G2269" s="244"/>
      <c r="I2269" s="244"/>
      <c r="J2269" s="244"/>
      <c r="K2269" s="246" t="e">
        <f t="shared" si="245"/>
        <v>#VALUE!</v>
      </c>
      <c r="L2269" s="246" t="e">
        <f t="shared" si="246"/>
        <v>#VALUE!</v>
      </c>
      <c r="M2269" s="247" t="e">
        <f t="shared" si="247"/>
        <v>#VALUE!</v>
      </c>
      <c r="N2269" s="246" t="e">
        <f t="shared" si="248"/>
        <v>#VALUE!</v>
      </c>
      <c r="O2269" s="247" t="e">
        <f t="shared" si="249"/>
        <v>#VALUE!</v>
      </c>
      <c r="P2269" s="247">
        <f t="shared" si="250"/>
        <v>0</v>
      </c>
      <c r="Q2269" s="247" t="e">
        <f t="shared" si="251"/>
        <v>#VALUE!</v>
      </c>
    </row>
    <row r="2270" spans="1:17" ht="15" customHeight="1" x14ac:dyDescent="0.25">
      <c r="A2270" s="244"/>
      <c r="B2270" s="244"/>
      <c r="C2270" s="244"/>
      <c r="D2270" s="244"/>
      <c r="E2270" s="244"/>
      <c r="F2270" s="244"/>
      <c r="G2270" s="244"/>
      <c r="I2270" s="244"/>
      <c r="J2270" s="244"/>
      <c r="K2270" s="246" t="e">
        <f t="shared" si="245"/>
        <v>#VALUE!</v>
      </c>
      <c r="L2270" s="246" t="e">
        <f t="shared" si="246"/>
        <v>#VALUE!</v>
      </c>
      <c r="M2270" s="247" t="e">
        <f t="shared" si="247"/>
        <v>#VALUE!</v>
      </c>
      <c r="N2270" s="246" t="e">
        <f t="shared" si="248"/>
        <v>#VALUE!</v>
      </c>
      <c r="O2270" s="247" t="e">
        <f t="shared" si="249"/>
        <v>#VALUE!</v>
      </c>
      <c r="P2270" s="247">
        <f t="shared" si="250"/>
        <v>0</v>
      </c>
      <c r="Q2270" s="247" t="e">
        <f t="shared" si="251"/>
        <v>#VALUE!</v>
      </c>
    </row>
    <row r="2271" spans="1:17" ht="15" customHeight="1" x14ac:dyDescent="0.25">
      <c r="A2271" s="244"/>
      <c r="B2271" s="244"/>
      <c r="C2271" s="244"/>
      <c r="D2271" s="244"/>
      <c r="E2271" s="244"/>
      <c r="F2271" s="244"/>
      <c r="G2271" s="244"/>
      <c r="I2271" s="244"/>
      <c r="J2271" s="244"/>
      <c r="K2271" s="246" t="e">
        <f t="shared" si="245"/>
        <v>#VALUE!</v>
      </c>
      <c r="L2271" s="246" t="e">
        <f t="shared" si="246"/>
        <v>#VALUE!</v>
      </c>
      <c r="M2271" s="247" t="e">
        <f t="shared" si="247"/>
        <v>#VALUE!</v>
      </c>
      <c r="N2271" s="246" t="e">
        <f t="shared" si="248"/>
        <v>#VALUE!</v>
      </c>
      <c r="O2271" s="247" t="e">
        <f t="shared" si="249"/>
        <v>#VALUE!</v>
      </c>
      <c r="P2271" s="247">
        <f t="shared" si="250"/>
        <v>0</v>
      </c>
      <c r="Q2271" s="247" t="e">
        <f t="shared" si="251"/>
        <v>#VALUE!</v>
      </c>
    </row>
    <row r="2272" spans="1:17" ht="15" customHeight="1" x14ac:dyDescent="0.25">
      <c r="A2272" s="244"/>
      <c r="B2272" s="244"/>
      <c r="C2272" s="244"/>
      <c r="D2272" s="244"/>
      <c r="E2272" s="244"/>
      <c r="F2272" s="244"/>
      <c r="G2272" s="244"/>
      <c r="I2272" s="244"/>
      <c r="J2272" s="244"/>
      <c r="K2272" s="246" t="e">
        <f t="shared" si="245"/>
        <v>#VALUE!</v>
      </c>
      <c r="L2272" s="246" t="e">
        <f t="shared" si="246"/>
        <v>#VALUE!</v>
      </c>
      <c r="M2272" s="247" t="e">
        <f t="shared" si="247"/>
        <v>#VALUE!</v>
      </c>
      <c r="N2272" s="246" t="e">
        <f t="shared" si="248"/>
        <v>#VALUE!</v>
      </c>
      <c r="O2272" s="247" t="e">
        <f t="shared" si="249"/>
        <v>#VALUE!</v>
      </c>
      <c r="P2272" s="247">
        <f t="shared" si="250"/>
        <v>0</v>
      </c>
      <c r="Q2272" s="247" t="e">
        <f t="shared" si="251"/>
        <v>#VALUE!</v>
      </c>
    </row>
    <row r="2273" spans="1:17" ht="15" customHeight="1" x14ac:dyDescent="0.25">
      <c r="A2273" s="244"/>
      <c r="B2273" s="244"/>
      <c r="C2273" s="244"/>
      <c r="D2273" s="244"/>
      <c r="E2273" s="244"/>
      <c r="F2273" s="244"/>
      <c r="G2273" s="244"/>
      <c r="I2273" s="244"/>
      <c r="J2273" s="244"/>
      <c r="K2273" s="246" t="e">
        <f t="shared" si="245"/>
        <v>#VALUE!</v>
      </c>
      <c r="L2273" s="246" t="e">
        <f t="shared" si="246"/>
        <v>#VALUE!</v>
      </c>
      <c r="M2273" s="247" t="e">
        <f t="shared" si="247"/>
        <v>#VALUE!</v>
      </c>
      <c r="N2273" s="246" t="e">
        <f t="shared" si="248"/>
        <v>#VALUE!</v>
      </c>
      <c r="O2273" s="247" t="e">
        <f t="shared" si="249"/>
        <v>#VALUE!</v>
      </c>
      <c r="P2273" s="247">
        <f t="shared" si="250"/>
        <v>0</v>
      </c>
      <c r="Q2273" s="247" t="e">
        <f t="shared" si="251"/>
        <v>#VALUE!</v>
      </c>
    </row>
    <row r="2274" spans="1:17" ht="15" customHeight="1" x14ac:dyDescent="0.25">
      <c r="A2274" s="244"/>
      <c r="B2274" s="244"/>
      <c r="C2274" s="244"/>
      <c r="D2274" s="244"/>
      <c r="E2274" s="244"/>
      <c r="F2274" s="244"/>
      <c r="G2274" s="244"/>
      <c r="I2274" s="244"/>
      <c r="J2274" s="244"/>
      <c r="K2274" s="246" t="e">
        <f t="shared" si="245"/>
        <v>#VALUE!</v>
      </c>
      <c r="L2274" s="246" t="e">
        <f t="shared" si="246"/>
        <v>#VALUE!</v>
      </c>
      <c r="M2274" s="247" t="e">
        <f t="shared" si="247"/>
        <v>#VALUE!</v>
      </c>
      <c r="N2274" s="246" t="e">
        <f t="shared" si="248"/>
        <v>#VALUE!</v>
      </c>
      <c r="O2274" s="247" t="e">
        <f t="shared" si="249"/>
        <v>#VALUE!</v>
      </c>
      <c r="P2274" s="247">
        <f t="shared" si="250"/>
        <v>0</v>
      </c>
      <c r="Q2274" s="247" t="e">
        <f t="shared" si="251"/>
        <v>#VALUE!</v>
      </c>
    </row>
    <row r="2275" spans="1:17" ht="15" customHeight="1" x14ac:dyDescent="0.25">
      <c r="A2275" s="244"/>
      <c r="B2275" s="244"/>
      <c r="C2275" s="244"/>
      <c r="D2275" s="244"/>
      <c r="E2275" s="244"/>
      <c r="F2275" s="244"/>
      <c r="G2275" s="244"/>
      <c r="I2275" s="244"/>
      <c r="J2275" s="244"/>
      <c r="K2275" s="246" t="e">
        <f t="shared" si="245"/>
        <v>#VALUE!</v>
      </c>
      <c r="L2275" s="246" t="e">
        <f t="shared" si="246"/>
        <v>#VALUE!</v>
      </c>
      <c r="M2275" s="247" t="e">
        <f t="shared" si="247"/>
        <v>#VALUE!</v>
      </c>
      <c r="N2275" s="246" t="e">
        <f t="shared" si="248"/>
        <v>#VALUE!</v>
      </c>
      <c r="O2275" s="247" t="e">
        <f t="shared" si="249"/>
        <v>#VALUE!</v>
      </c>
      <c r="P2275" s="247">
        <f t="shared" si="250"/>
        <v>0</v>
      </c>
      <c r="Q2275" s="247" t="e">
        <f t="shared" si="251"/>
        <v>#VALUE!</v>
      </c>
    </row>
    <row r="2276" spans="1:17" ht="15" customHeight="1" x14ac:dyDescent="0.25">
      <c r="A2276" s="244"/>
      <c r="B2276" s="244"/>
      <c r="C2276" s="244"/>
      <c r="D2276" s="244"/>
      <c r="E2276" s="244"/>
      <c r="F2276" s="244"/>
      <c r="G2276" s="244"/>
      <c r="I2276" s="244"/>
      <c r="J2276" s="244"/>
      <c r="K2276" s="246" t="e">
        <f t="shared" si="245"/>
        <v>#VALUE!</v>
      </c>
      <c r="L2276" s="246" t="e">
        <f t="shared" si="246"/>
        <v>#VALUE!</v>
      </c>
      <c r="M2276" s="247" t="e">
        <f t="shared" si="247"/>
        <v>#VALUE!</v>
      </c>
      <c r="N2276" s="246" t="e">
        <f t="shared" si="248"/>
        <v>#VALUE!</v>
      </c>
      <c r="O2276" s="247" t="e">
        <f t="shared" si="249"/>
        <v>#VALUE!</v>
      </c>
      <c r="P2276" s="247">
        <f t="shared" si="250"/>
        <v>0</v>
      </c>
      <c r="Q2276" s="247" t="e">
        <f t="shared" si="251"/>
        <v>#VALUE!</v>
      </c>
    </row>
    <row r="2277" spans="1:17" ht="15" customHeight="1" x14ac:dyDescent="0.25">
      <c r="A2277" s="244"/>
      <c r="B2277" s="244"/>
      <c r="C2277" s="244"/>
      <c r="D2277" s="244"/>
      <c r="E2277" s="244"/>
      <c r="F2277" s="244"/>
      <c r="G2277" s="244"/>
      <c r="I2277" s="244"/>
      <c r="J2277" s="244"/>
      <c r="K2277" s="246" t="e">
        <f t="shared" si="245"/>
        <v>#VALUE!</v>
      </c>
      <c r="L2277" s="246" t="e">
        <f t="shared" si="246"/>
        <v>#VALUE!</v>
      </c>
      <c r="M2277" s="247" t="e">
        <f t="shared" si="247"/>
        <v>#VALUE!</v>
      </c>
      <c r="N2277" s="246" t="e">
        <f t="shared" si="248"/>
        <v>#VALUE!</v>
      </c>
      <c r="O2277" s="247" t="e">
        <f t="shared" si="249"/>
        <v>#VALUE!</v>
      </c>
      <c r="P2277" s="247">
        <f t="shared" si="250"/>
        <v>0</v>
      </c>
      <c r="Q2277" s="247" t="e">
        <f t="shared" si="251"/>
        <v>#VALUE!</v>
      </c>
    </row>
    <row r="2278" spans="1:17" ht="15" customHeight="1" x14ac:dyDescent="0.25">
      <c r="A2278" s="244"/>
      <c r="B2278" s="244"/>
      <c r="C2278" s="244"/>
      <c r="D2278" s="244"/>
      <c r="E2278" s="244"/>
      <c r="F2278" s="244"/>
      <c r="G2278" s="244"/>
      <c r="I2278" s="244"/>
      <c r="J2278" s="244"/>
      <c r="K2278" s="246" t="e">
        <f t="shared" si="245"/>
        <v>#VALUE!</v>
      </c>
      <c r="L2278" s="246" t="e">
        <f t="shared" si="246"/>
        <v>#VALUE!</v>
      </c>
      <c r="M2278" s="247" t="e">
        <f t="shared" si="247"/>
        <v>#VALUE!</v>
      </c>
      <c r="N2278" s="246" t="e">
        <f t="shared" si="248"/>
        <v>#VALUE!</v>
      </c>
      <c r="O2278" s="247" t="e">
        <f t="shared" si="249"/>
        <v>#VALUE!</v>
      </c>
      <c r="P2278" s="247">
        <f t="shared" si="250"/>
        <v>0</v>
      </c>
      <c r="Q2278" s="247" t="e">
        <f t="shared" si="251"/>
        <v>#VALUE!</v>
      </c>
    </row>
    <row r="2279" spans="1:17" ht="15" customHeight="1" x14ac:dyDescent="0.25">
      <c r="A2279" s="244"/>
      <c r="B2279" s="244"/>
      <c r="C2279" s="244"/>
      <c r="D2279" s="244"/>
      <c r="E2279" s="244"/>
      <c r="F2279" s="244"/>
      <c r="G2279" s="244"/>
      <c r="I2279" s="244"/>
      <c r="J2279" s="244"/>
      <c r="K2279" s="246" t="e">
        <f t="shared" si="245"/>
        <v>#VALUE!</v>
      </c>
      <c r="L2279" s="246" t="e">
        <f t="shared" si="246"/>
        <v>#VALUE!</v>
      </c>
      <c r="M2279" s="247" t="e">
        <f t="shared" si="247"/>
        <v>#VALUE!</v>
      </c>
      <c r="N2279" s="246" t="e">
        <f t="shared" si="248"/>
        <v>#VALUE!</v>
      </c>
      <c r="O2279" s="247" t="e">
        <f t="shared" si="249"/>
        <v>#VALUE!</v>
      </c>
      <c r="P2279" s="247">
        <f t="shared" si="250"/>
        <v>0</v>
      </c>
      <c r="Q2279" s="247" t="e">
        <f t="shared" si="251"/>
        <v>#VALUE!</v>
      </c>
    </row>
    <row r="2280" spans="1:17" ht="15" customHeight="1" x14ac:dyDescent="0.25">
      <c r="A2280" s="244"/>
      <c r="B2280" s="244"/>
      <c r="C2280" s="244"/>
      <c r="D2280" s="244"/>
      <c r="E2280" s="244"/>
      <c r="F2280" s="244"/>
      <c r="G2280" s="244"/>
      <c r="I2280" s="244"/>
      <c r="J2280" s="244"/>
      <c r="K2280" s="246" t="e">
        <f t="shared" si="245"/>
        <v>#VALUE!</v>
      </c>
      <c r="L2280" s="246" t="e">
        <f t="shared" si="246"/>
        <v>#VALUE!</v>
      </c>
      <c r="M2280" s="247" t="e">
        <f t="shared" si="247"/>
        <v>#VALUE!</v>
      </c>
      <c r="N2280" s="246" t="e">
        <f t="shared" si="248"/>
        <v>#VALUE!</v>
      </c>
      <c r="O2280" s="247" t="e">
        <f t="shared" si="249"/>
        <v>#VALUE!</v>
      </c>
      <c r="P2280" s="247">
        <f t="shared" si="250"/>
        <v>0</v>
      </c>
      <c r="Q2280" s="247" t="e">
        <f t="shared" si="251"/>
        <v>#VALUE!</v>
      </c>
    </row>
    <row r="2281" spans="1:17" ht="15" customHeight="1" x14ac:dyDescent="0.25">
      <c r="A2281" s="244"/>
      <c r="B2281" s="244"/>
      <c r="C2281" s="244"/>
      <c r="D2281" s="244"/>
      <c r="E2281" s="244"/>
      <c r="F2281" s="244"/>
      <c r="G2281" s="244"/>
      <c r="I2281" s="244"/>
      <c r="J2281" s="244"/>
      <c r="K2281" s="246" t="e">
        <f t="shared" si="245"/>
        <v>#VALUE!</v>
      </c>
      <c r="L2281" s="246" t="e">
        <f t="shared" si="246"/>
        <v>#VALUE!</v>
      </c>
      <c r="M2281" s="247" t="e">
        <f t="shared" si="247"/>
        <v>#VALUE!</v>
      </c>
      <c r="N2281" s="246" t="e">
        <f t="shared" si="248"/>
        <v>#VALUE!</v>
      </c>
      <c r="O2281" s="247" t="e">
        <f t="shared" si="249"/>
        <v>#VALUE!</v>
      </c>
      <c r="P2281" s="247">
        <f t="shared" si="250"/>
        <v>0</v>
      </c>
      <c r="Q2281" s="247" t="e">
        <f t="shared" si="251"/>
        <v>#VALUE!</v>
      </c>
    </row>
    <row r="2282" spans="1:17" ht="15" customHeight="1" x14ac:dyDescent="0.25">
      <c r="A2282" s="244"/>
      <c r="B2282" s="244"/>
      <c r="C2282" s="244"/>
      <c r="D2282" s="244"/>
      <c r="E2282" s="244"/>
      <c r="F2282" s="244"/>
      <c r="G2282" s="244"/>
      <c r="I2282" s="244"/>
      <c r="J2282" s="244"/>
      <c r="K2282" s="246" t="e">
        <f t="shared" si="245"/>
        <v>#VALUE!</v>
      </c>
      <c r="L2282" s="246" t="e">
        <f t="shared" si="246"/>
        <v>#VALUE!</v>
      </c>
      <c r="M2282" s="247" t="e">
        <f t="shared" si="247"/>
        <v>#VALUE!</v>
      </c>
      <c r="N2282" s="246" t="e">
        <f t="shared" si="248"/>
        <v>#VALUE!</v>
      </c>
      <c r="O2282" s="247" t="e">
        <f t="shared" si="249"/>
        <v>#VALUE!</v>
      </c>
      <c r="P2282" s="247">
        <f t="shared" si="250"/>
        <v>0</v>
      </c>
      <c r="Q2282" s="247" t="e">
        <f t="shared" si="251"/>
        <v>#VALUE!</v>
      </c>
    </row>
    <row r="2283" spans="1:17" ht="15" customHeight="1" x14ac:dyDescent="0.25">
      <c r="A2283" s="244"/>
      <c r="B2283" s="244"/>
      <c r="C2283" s="244"/>
      <c r="D2283" s="244"/>
      <c r="E2283" s="244"/>
      <c r="F2283" s="244"/>
      <c r="G2283" s="244"/>
      <c r="I2283" s="244"/>
      <c r="J2283" s="244"/>
      <c r="K2283" s="246" t="e">
        <f t="shared" si="245"/>
        <v>#VALUE!</v>
      </c>
      <c r="L2283" s="246" t="e">
        <f t="shared" si="246"/>
        <v>#VALUE!</v>
      </c>
      <c r="M2283" s="247" t="e">
        <f t="shared" si="247"/>
        <v>#VALUE!</v>
      </c>
      <c r="N2283" s="246" t="e">
        <f t="shared" si="248"/>
        <v>#VALUE!</v>
      </c>
      <c r="O2283" s="247" t="e">
        <f t="shared" si="249"/>
        <v>#VALUE!</v>
      </c>
      <c r="P2283" s="247">
        <f t="shared" si="250"/>
        <v>0</v>
      </c>
      <c r="Q2283" s="247" t="e">
        <f t="shared" si="251"/>
        <v>#VALUE!</v>
      </c>
    </row>
    <row r="2284" spans="1:17" ht="15" customHeight="1" x14ac:dyDescent="0.25">
      <c r="A2284" s="244"/>
      <c r="B2284" s="244"/>
      <c r="C2284" s="244"/>
      <c r="D2284" s="244"/>
      <c r="E2284" s="244"/>
      <c r="F2284" s="244"/>
      <c r="G2284" s="244"/>
      <c r="I2284" s="244"/>
      <c r="J2284" s="244"/>
      <c r="K2284" s="246" t="e">
        <f t="shared" si="245"/>
        <v>#VALUE!</v>
      </c>
      <c r="L2284" s="246" t="e">
        <f t="shared" si="246"/>
        <v>#VALUE!</v>
      </c>
      <c r="M2284" s="247" t="e">
        <f t="shared" si="247"/>
        <v>#VALUE!</v>
      </c>
      <c r="N2284" s="246" t="e">
        <f t="shared" si="248"/>
        <v>#VALUE!</v>
      </c>
      <c r="O2284" s="247" t="e">
        <f t="shared" si="249"/>
        <v>#VALUE!</v>
      </c>
      <c r="P2284" s="247">
        <f t="shared" si="250"/>
        <v>0</v>
      </c>
      <c r="Q2284" s="247" t="e">
        <f t="shared" si="251"/>
        <v>#VALUE!</v>
      </c>
    </row>
    <row r="2285" spans="1:17" ht="15" customHeight="1" x14ac:dyDescent="0.25">
      <c r="A2285" s="244"/>
      <c r="B2285" s="244"/>
      <c r="C2285" s="244"/>
      <c r="D2285" s="244"/>
      <c r="E2285" s="244"/>
      <c r="F2285" s="244"/>
      <c r="G2285" s="244"/>
      <c r="I2285" s="244"/>
      <c r="J2285" s="244"/>
      <c r="K2285" s="246" t="e">
        <f t="shared" si="245"/>
        <v>#VALUE!</v>
      </c>
      <c r="L2285" s="246" t="e">
        <f t="shared" si="246"/>
        <v>#VALUE!</v>
      </c>
      <c r="M2285" s="247" t="e">
        <f t="shared" si="247"/>
        <v>#VALUE!</v>
      </c>
      <c r="N2285" s="246" t="e">
        <f t="shared" si="248"/>
        <v>#VALUE!</v>
      </c>
      <c r="O2285" s="247" t="e">
        <f t="shared" si="249"/>
        <v>#VALUE!</v>
      </c>
      <c r="P2285" s="247">
        <f t="shared" si="250"/>
        <v>0</v>
      </c>
      <c r="Q2285" s="247" t="e">
        <f t="shared" si="251"/>
        <v>#VALUE!</v>
      </c>
    </row>
    <row r="2286" spans="1:17" ht="15" customHeight="1" x14ac:dyDescent="0.25">
      <c r="A2286" s="244"/>
      <c r="B2286" s="244"/>
      <c r="C2286" s="244"/>
      <c r="D2286" s="244"/>
      <c r="E2286" s="244"/>
      <c r="F2286" s="244"/>
      <c r="G2286" s="244"/>
      <c r="I2286" s="244"/>
      <c r="J2286" s="244"/>
      <c r="K2286" s="246" t="e">
        <f t="shared" si="245"/>
        <v>#VALUE!</v>
      </c>
      <c r="L2286" s="246" t="e">
        <f t="shared" si="246"/>
        <v>#VALUE!</v>
      </c>
      <c r="M2286" s="247" t="e">
        <f t="shared" si="247"/>
        <v>#VALUE!</v>
      </c>
      <c r="N2286" s="246" t="e">
        <f t="shared" si="248"/>
        <v>#VALUE!</v>
      </c>
      <c r="O2286" s="247" t="e">
        <f t="shared" si="249"/>
        <v>#VALUE!</v>
      </c>
      <c r="P2286" s="247">
        <f t="shared" si="250"/>
        <v>0</v>
      </c>
      <c r="Q2286" s="247" t="e">
        <f t="shared" si="251"/>
        <v>#VALUE!</v>
      </c>
    </row>
    <row r="2287" spans="1:17" ht="15" customHeight="1" x14ac:dyDescent="0.25">
      <c r="A2287" s="244"/>
      <c r="B2287" s="244"/>
      <c r="C2287" s="244"/>
      <c r="D2287" s="244"/>
      <c r="E2287" s="244"/>
      <c r="F2287" s="244"/>
      <c r="G2287" s="244"/>
      <c r="I2287" s="244"/>
      <c r="J2287" s="244"/>
      <c r="K2287" s="246" t="e">
        <f t="shared" si="245"/>
        <v>#VALUE!</v>
      </c>
      <c r="L2287" s="246" t="e">
        <f t="shared" si="246"/>
        <v>#VALUE!</v>
      </c>
      <c r="M2287" s="247" t="e">
        <f t="shared" si="247"/>
        <v>#VALUE!</v>
      </c>
      <c r="N2287" s="246" t="e">
        <f t="shared" si="248"/>
        <v>#VALUE!</v>
      </c>
      <c r="O2287" s="247" t="e">
        <f t="shared" si="249"/>
        <v>#VALUE!</v>
      </c>
      <c r="P2287" s="247">
        <f t="shared" si="250"/>
        <v>0</v>
      </c>
      <c r="Q2287" s="247" t="e">
        <f t="shared" si="251"/>
        <v>#VALUE!</v>
      </c>
    </row>
    <row r="2288" spans="1:17" ht="15" customHeight="1" x14ac:dyDescent="0.25">
      <c r="A2288" s="244"/>
      <c r="B2288" s="244"/>
      <c r="C2288" s="244"/>
      <c r="D2288" s="244"/>
      <c r="E2288" s="244"/>
      <c r="F2288" s="244"/>
      <c r="G2288" s="244"/>
      <c r="I2288" s="244"/>
      <c r="J2288" s="244"/>
      <c r="K2288" s="246" t="e">
        <f t="shared" si="245"/>
        <v>#VALUE!</v>
      </c>
      <c r="L2288" s="246" t="e">
        <f t="shared" si="246"/>
        <v>#VALUE!</v>
      </c>
      <c r="M2288" s="247" t="e">
        <f t="shared" si="247"/>
        <v>#VALUE!</v>
      </c>
      <c r="N2288" s="246" t="e">
        <f t="shared" si="248"/>
        <v>#VALUE!</v>
      </c>
      <c r="O2288" s="247" t="e">
        <f t="shared" si="249"/>
        <v>#VALUE!</v>
      </c>
      <c r="P2288" s="247">
        <f t="shared" si="250"/>
        <v>0</v>
      </c>
      <c r="Q2288" s="247" t="e">
        <f t="shared" si="251"/>
        <v>#VALUE!</v>
      </c>
    </row>
    <row r="2289" spans="1:17" ht="15" customHeight="1" x14ac:dyDescent="0.25">
      <c r="A2289" s="244"/>
      <c r="B2289" s="244"/>
      <c r="C2289" s="244"/>
      <c r="D2289" s="244"/>
      <c r="E2289" s="244"/>
      <c r="F2289" s="244"/>
      <c r="G2289" s="244"/>
      <c r="I2289" s="244"/>
      <c r="J2289" s="244"/>
      <c r="K2289" s="246" t="e">
        <f t="shared" si="245"/>
        <v>#VALUE!</v>
      </c>
      <c r="L2289" s="246" t="e">
        <f t="shared" si="246"/>
        <v>#VALUE!</v>
      </c>
      <c r="M2289" s="247" t="e">
        <f t="shared" si="247"/>
        <v>#VALUE!</v>
      </c>
      <c r="N2289" s="246" t="e">
        <f t="shared" si="248"/>
        <v>#VALUE!</v>
      </c>
      <c r="O2289" s="247" t="e">
        <f t="shared" si="249"/>
        <v>#VALUE!</v>
      </c>
      <c r="P2289" s="247">
        <f t="shared" si="250"/>
        <v>0</v>
      </c>
      <c r="Q2289" s="247" t="e">
        <f t="shared" si="251"/>
        <v>#VALUE!</v>
      </c>
    </row>
    <row r="2290" spans="1:17" ht="15" customHeight="1" x14ac:dyDescent="0.25">
      <c r="A2290" s="244"/>
      <c r="B2290" s="244"/>
      <c r="C2290" s="244"/>
      <c r="D2290" s="244"/>
      <c r="E2290" s="244"/>
      <c r="F2290" s="244"/>
      <c r="G2290" s="244"/>
      <c r="I2290" s="244"/>
      <c r="J2290" s="244"/>
      <c r="K2290" s="246" t="e">
        <f t="shared" si="245"/>
        <v>#VALUE!</v>
      </c>
      <c r="L2290" s="246" t="e">
        <f t="shared" si="246"/>
        <v>#VALUE!</v>
      </c>
      <c r="M2290" s="247" t="e">
        <f t="shared" si="247"/>
        <v>#VALUE!</v>
      </c>
      <c r="N2290" s="246" t="e">
        <f t="shared" si="248"/>
        <v>#VALUE!</v>
      </c>
      <c r="O2290" s="247" t="e">
        <f t="shared" si="249"/>
        <v>#VALUE!</v>
      </c>
      <c r="P2290" s="247">
        <f t="shared" si="250"/>
        <v>0</v>
      </c>
      <c r="Q2290" s="247" t="e">
        <f t="shared" si="251"/>
        <v>#VALUE!</v>
      </c>
    </row>
    <row r="2291" spans="1:17" ht="15" customHeight="1" x14ac:dyDescent="0.25">
      <c r="A2291" s="244"/>
      <c r="B2291" s="244"/>
      <c r="C2291" s="244"/>
      <c r="D2291" s="244"/>
      <c r="E2291" s="244"/>
      <c r="F2291" s="244"/>
      <c r="G2291" s="244"/>
      <c r="I2291" s="244"/>
      <c r="J2291" s="244"/>
      <c r="K2291" s="246" t="e">
        <f t="shared" si="245"/>
        <v>#VALUE!</v>
      </c>
      <c r="L2291" s="246" t="e">
        <f t="shared" si="246"/>
        <v>#VALUE!</v>
      </c>
      <c r="M2291" s="247" t="e">
        <f t="shared" si="247"/>
        <v>#VALUE!</v>
      </c>
      <c r="N2291" s="246" t="e">
        <f t="shared" si="248"/>
        <v>#VALUE!</v>
      </c>
      <c r="O2291" s="247" t="e">
        <f t="shared" si="249"/>
        <v>#VALUE!</v>
      </c>
      <c r="P2291" s="247">
        <f t="shared" si="250"/>
        <v>0</v>
      </c>
      <c r="Q2291" s="247" t="e">
        <f t="shared" si="251"/>
        <v>#VALUE!</v>
      </c>
    </row>
    <row r="2292" spans="1:17" ht="15" customHeight="1" x14ac:dyDescent="0.25">
      <c r="A2292" s="244"/>
      <c r="B2292" s="244"/>
      <c r="C2292" s="244"/>
      <c r="D2292" s="244"/>
      <c r="E2292" s="244"/>
      <c r="F2292" s="244"/>
      <c r="G2292" s="244"/>
      <c r="I2292" s="244"/>
      <c r="J2292" s="244"/>
      <c r="K2292" s="246" t="e">
        <f t="shared" si="245"/>
        <v>#VALUE!</v>
      </c>
      <c r="L2292" s="246" t="e">
        <f t="shared" si="246"/>
        <v>#VALUE!</v>
      </c>
      <c r="M2292" s="247" t="e">
        <f t="shared" si="247"/>
        <v>#VALUE!</v>
      </c>
      <c r="N2292" s="246" t="e">
        <f t="shared" si="248"/>
        <v>#VALUE!</v>
      </c>
      <c r="O2292" s="247" t="e">
        <f t="shared" si="249"/>
        <v>#VALUE!</v>
      </c>
      <c r="P2292" s="247">
        <f t="shared" si="250"/>
        <v>0</v>
      </c>
      <c r="Q2292" s="247" t="e">
        <f t="shared" si="251"/>
        <v>#VALUE!</v>
      </c>
    </row>
    <row r="2293" spans="1:17" ht="15" customHeight="1" x14ac:dyDescent="0.25">
      <c r="A2293" s="244"/>
      <c r="B2293" s="244"/>
      <c r="C2293" s="244"/>
      <c r="D2293" s="244"/>
      <c r="E2293" s="244"/>
      <c r="F2293" s="244"/>
      <c r="G2293" s="244"/>
      <c r="I2293" s="244"/>
      <c r="J2293" s="244"/>
      <c r="K2293" s="246" t="e">
        <f t="shared" si="245"/>
        <v>#VALUE!</v>
      </c>
      <c r="L2293" s="246" t="e">
        <f t="shared" si="246"/>
        <v>#VALUE!</v>
      </c>
      <c r="M2293" s="247" t="e">
        <f t="shared" si="247"/>
        <v>#VALUE!</v>
      </c>
      <c r="N2293" s="246" t="e">
        <f t="shared" si="248"/>
        <v>#VALUE!</v>
      </c>
      <c r="O2293" s="247" t="e">
        <f t="shared" si="249"/>
        <v>#VALUE!</v>
      </c>
      <c r="P2293" s="247">
        <f t="shared" si="250"/>
        <v>0</v>
      </c>
      <c r="Q2293" s="247" t="e">
        <f t="shared" si="251"/>
        <v>#VALUE!</v>
      </c>
    </row>
    <row r="2294" spans="1:17" ht="15" customHeight="1" x14ac:dyDescent="0.25">
      <c r="A2294" s="244"/>
      <c r="B2294" s="244"/>
      <c r="C2294" s="244"/>
      <c r="D2294" s="244"/>
      <c r="E2294" s="244"/>
      <c r="F2294" s="244"/>
      <c r="G2294" s="244"/>
      <c r="I2294" s="244"/>
      <c r="J2294" s="244"/>
      <c r="K2294" s="246" t="e">
        <f t="shared" si="245"/>
        <v>#VALUE!</v>
      </c>
      <c r="L2294" s="246" t="e">
        <f t="shared" si="246"/>
        <v>#VALUE!</v>
      </c>
      <c r="M2294" s="247" t="e">
        <f t="shared" si="247"/>
        <v>#VALUE!</v>
      </c>
      <c r="N2294" s="246" t="e">
        <f t="shared" si="248"/>
        <v>#VALUE!</v>
      </c>
      <c r="O2294" s="247" t="e">
        <f t="shared" si="249"/>
        <v>#VALUE!</v>
      </c>
      <c r="P2294" s="247">
        <f t="shared" si="250"/>
        <v>0</v>
      </c>
      <c r="Q2294" s="247" t="e">
        <f t="shared" si="251"/>
        <v>#VALUE!</v>
      </c>
    </row>
    <row r="2295" spans="1:17" ht="15" customHeight="1" x14ac:dyDescent="0.25">
      <c r="A2295" s="244"/>
      <c r="B2295" s="244"/>
      <c r="C2295" s="244"/>
      <c r="D2295" s="244"/>
      <c r="E2295" s="244"/>
      <c r="F2295" s="244"/>
      <c r="G2295" s="244"/>
      <c r="I2295" s="244"/>
      <c r="J2295" s="244"/>
      <c r="K2295" s="246" t="e">
        <f t="shared" si="245"/>
        <v>#VALUE!</v>
      </c>
      <c r="L2295" s="246" t="e">
        <f t="shared" si="246"/>
        <v>#VALUE!</v>
      </c>
      <c r="M2295" s="247" t="e">
        <f t="shared" si="247"/>
        <v>#VALUE!</v>
      </c>
      <c r="N2295" s="246" t="e">
        <f t="shared" si="248"/>
        <v>#VALUE!</v>
      </c>
      <c r="O2295" s="247" t="e">
        <f t="shared" si="249"/>
        <v>#VALUE!</v>
      </c>
      <c r="P2295" s="247">
        <f t="shared" si="250"/>
        <v>0</v>
      </c>
      <c r="Q2295" s="247" t="e">
        <f t="shared" si="251"/>
        <v>#VALUE!</v>
      </c>
    </row>
    <row r="2296" spans="1:17" ht="15" customHeight="1" x14ac:dyDescent="0.25">
      <c r="A2296" s="244"/>
      <c r="B2296" s="244"/>
      <c r="C2296" s="244"/>
      <c r="D2296" s="244"/>
      <c r="E2296" s="244"/>
      <c r="F2296" s="244"/>
      <c r="G2296" s="244"/>
      <c r="I2296" s="244"/>
      <c r="J2296" s="244"/>
      <c r="K2296" s="246" t="e">
        <f t="shared" si="245"/>
        <v>#VALUE!</v>
      </c>
      <c r="L2296" s="246" t="e">
        <f t="shared" si="246"/>
        <v>#VALUE!</v>
      </c>
      <c r="M2296" s="247" t="e">
        <f t="shared" si="247"/>
        <v>#VALUE!</v>
      </c>
      <c r="N2296" s="246" t="e">
        <f t="shared" si="248"/>
        <v>#VALUE!</v>
      </c>
      <c r="O2296" s="247" t="e">
        <f t="shared" si="249"/>
        <v>#VALUE!</v>
      </c>
      <c r="P2296" s="247">
        <f t="shared" si="250"/>
        <v>0</v>
      </c>
      <c r="Q2296" s="247" t="e">
        <f t="shared" si="251"/>
        <v>#VALUE!</v>
      </c>
    </row>
    <row r="2297" spans="1:17" ht="15" customHeight="1" x14ac:dyDescent="0.25">
      <c r="A2297" s="244"/>
      <c r="B2297" s="244"/>
      <c r="C2297" s="244"/>
      <c r="D2297" s="244"/>
      <c r="E2297" s="244"/>
      <c r="F2297" s="244"/>
      <c r="G2297" s="244"/>
      <c r="I2297" s="244"/>
      <c r="J2297" s="244"/>
      <c r="K2297" s="246" t="e">
        <f t="shared" si="245"/>
        <v>#VALUE!</v>
      </c>
      <c r="L2297" s="246" t="e">
        <f t="shared" si="246"/>
        <v>#VALUE!</v>
      </c>
      <c r="M2297" s="247" t="e">
        <f t="shared" si="247"/>
        <v>#VALUE!</v>
      </c>
      <c r="N2297" s="246" t="e">
        <f t="shared" si="248"/>
        <v>#VALUE!</v>
      </c>
      <c r="O2297" s="247" t="e">
        <f t="shared" si="249"/>
        <v>#VALUE!</v>
      </c>
      <c r="P2297" s="247">
        <f t="shared" si="250"/>
        <v>0</v>
      </c>
      <c r="Q2297" s="247" t="e">
        <f t="shared" si="251"/>
        <v>#VALUE!</v>
      </c>
    </row>
    <row r="2298" spans="1:17" ht="15" customHeight="1" x14ac:dyDescent="0.25">
      <c r="A2298" s="244"/>
      <c r="B2298" s="244"/>
      <c r="C2298" s="244"/>
      <c r="D2298" s="244"/>
      <c r="E2298" s="244"/>
      <c r="F2298" s="244"/>
      <c r="G2298" s="244"/>
      <c r="I2298" s="244"/>
      <c r="J2298" s="244"/>
      <c r="K2298" s="246" t="e">
        <f t="shared" si="245"/>
        <v>#VALUE!</v>
      </c>
      <c r="L2298" s="246" t="e">
        <f t="shared" si="246"/>
        <v>#VALUE!</v>
      </c>
      <c r="M2298" s="247" t="e">
        <f t="shared" si="247"/>
        <v>#VALUE!</v>
      </c>
      <c r="N2298" s="246" t="e">
        <f t="shared" si="248"/>
        <v>#VALUE!</v>
      </c>
      <c r="O2298" s="247" t="e">
        <f t="shared" si="249"/>
        <v>#VALUE!</v>
      </c>
      <c r="P2298" s="247">
        <f t="shared" si="250"/>
        <v>0</v>
      </c>
      <c r="Q2298" s="247" t="e">
        <f t="shared" si="251"/>
        <v>#VALUE!</v>
      </c>
    </row>
    <row r="2299" spans="1:17" ht="15" customHeight="1" x14ac:dyDescent="0.25">
      <c r="A2299" s="244"/>
      <c r="B2299" s="244"/>
      <c r="C2299" s="244"/>
      <c r="D2299" s="244"/>
      <c r="E2299" s="244"/>
      <c r="F2299" s="244"/>
      <c r="G2299" s="244"/>
      <c r="I2299" s="244"/>
      <c r="J2299" s="244"/>
      <c r="K2299" s="246" t="e">
        <f t="shared" si="245"/>
        <v>#VALUE!</v>
      </c>
      <c r="L2299" s="246" t="e">
        <f t="shared" si="246"/>
        <v>#VALUE!</v>
      </c>
      <c r="M2299" s="247" t="e">
        <f t="shared" si="247"/>
        <v>#VALUE!</v>
      </c>
      <c r="N2299" s="246" t="e">
        <f t="shared" si="248"/>
        <v>#VALUE!</v>
      </c>
      <c r="O2299" s="247" t="e">
        <f t="shared" si="249"/>
        <v>#VALUE!</v>
      </c>
      <c r="P2299" s="247">
        <f t="shared" si="250"/>
        <v>0</v>
      </c>
      <c r="Q2299" s="247" t="e">
        <f t="shared" si="251"/>
        <v>#VALUE!</v>
      </c>
    </row>
    <row r="2300" spans="1:17" ht="15" customHeight="1" x14ac:dyDescent="0.25">
      <c r="A2300" s="244"/>
      <c r="B2300" s="244"/>
      <c r="C2300" s="244"/>
      <c r="D2300" s="244"/>
      <c r="E2300" s="244"/>
      <c r="F2300" s="244"/>
      <c r="G2300" s="244"/>
      <c r="I2300" s="244"/>
      <c r="J2300" s="244"/>
      <c r="K2300" s="246" t="e">
        <f t="shared" si="245"/>
        <v>#VALUE!</v>
      </c>
      <c r="L2300" s="246" t="e">
        <f t="shared" si="246"/>
        <v>#VALUE!</v>
      </c>
      <c r="M2300" s="247" t="e">
        <f t="shared" si="247"/>
        <v>#VALUE!</v>
      </c>
      <c r="N2300" s="246" t="e">
        <f t="shared" si="248"/>
        <v>#VALUE!</v>
      </c>
      <c r="O2300" s="247" t="e">
        <f t="shared" si="249"/>
        <v>#VALUE!</v>
      </c>
      <c r="P2300" s="247">
        <f t="shared" si="250"/>
        <v>0</v>
      </c>
      <c r="Q2300" s="247" t="e">
        <f t="shared" si="251"/>
        <v>#VALUE!</v>
      </c>
    </row>
    <row r="2301" spans="1:17" ht="15" customHeight="1" x14ac:dyDescent="0.25">
      <c r="A2301" s="244"/>
      <c r="B2301" s="244"/>
      <c r="C2301" s="244"/>
      <c r="D2301" s="244"/>
      <c r="E2301" s="244"/>
      <c r="F2301" s="244"/>
      <c r="G2301" s="244"/>
      <c r="I2301" s="244"/>
      <c r="J2301" s="244"/>
      <c r="K2301" s="246" t="e">
        <f t="shared" si="245"/>
        <v>#VALUE!</v>
      </c>
      <c r="L2301" s="246" t="e">
        <f t="shared" si="246"/>
        <v>#VALUE!</v>
      </c>
      <c r="M2301" s="247" t="e">
        <f t="shared" si="247"/>
        <v>#VALUE!</v>
      </c>
      <c r="N2301" s="246" t="e">
        <f t="shared" si="248"/>
        <v>#VALUE!</v>
      </c>
      <c r="O2301" s="247" t="e">
        <f t="shared" si="249"/>
        <v>#VALUE!</v>
      </c>
      <c r="P2301" s="247">
        <f t="shared" si="250"/>
        <v>0</v>
      </c>
      <c r="Q2301" s="247" t="e">
        <f t="shared" si="251"/>
        <v>#VALUE!</v>
      </c>
    </row>
    <row r="2302" spans="1:17" ht="15" customHeight="1" x14ac:dyDescent="0.25">
      <c r="A2302" s="244"/>
      <c r="B2302" s="244"/>
      <c r="C2302" s="244"/>
      <c r="D2302" s="244"/>
      <c r="E2302" s="244"/>
      <c r="F2302" s="244"/>
      <c r="G2302" s="244"/>
      <c r="I2302" s="244"/>
      <c r="J2302" s="244"/>
      <c r="K2302" s="246" t="e">
        <f t="shared" si="245"/>
        <v>#VALUE!</v>
      </c>
      <c r="L2302" s="246" t="e">
        <f t="shared" si="246"/>
        <v>#VALUE!</v>
      </c>
      <c r="M2302" s="247" t="e">
        <f t="shared" si="247"/>
        <v>#VALUE!</v>
      </c>
      <c r="N2302" s="246" t="e">
        <f t="shared" si="248"/>
        <v>#VALUE!</v>
      </c>
      <c r="O2302" s="247" t="e">
        <f t="shared" si="249"/>
        <v>#VALUE!</v>
      </c>
      <c r="P2302" s="247">
        <f t="shared" si="250"/>
        <v>0</v>
      </c>
      <c r="Q2302" s="247" t="e">
        <f t="shared" si="251"/>
        <v>#VALUE!</v>
      </c>
    </row>
    <row r="2303" spans="1:17" ht="15" customHeight="1" x14ac:dyDescent="0.25">
      <c r="A2303" s="244"/>
      <c r="B2303" s="244"/>
      <c r="C2303" s="244"/>
      <c r="D2303" s="244"/>
      <c r="E2303" s="244"/>
      <c r="F2303" s="244"/>
      <c r="G2303" s="244"/>
      <c r="I2303" s="244"/>
      <c r="J2303" s="244"/>
      <c r="K2303" s="246" t="e">
        <f t="shared" si="245"/>
        <v>#VALUE!</v>
      </c>
      <c r="L2303" s="246" t="e">
        <f t="shared" si="246"/>
        <v>#VALUE!</v>
      </c>
      <c r="M2303" s="247" t="e">
        <f t="shared" si="247"/>
        <v>#VALUE!</v>
      </c>
      <c r="N2303" s="246" t="e">
        <f t="shared" si="248"/>
        <v>#VALUE!</v>
      </c>
      <c r="O2303" s="247" t="e">
        <f t="shared" si="249"/>
        <v>#VALUE!</v>
      </c>
      <c r="P2303" s="247">
        <f t="shared" si="250"/>
        <v>0</v>
      </c>
      <c r="Q2303" s="247" t="e">
        <f t="shared" si="251"/>
        <v>#VALUE!</v>
      </c>
    </row>
    <row r="2304" spans="1:17" ht="15" customHeight="1" x14ac:dyDescent="0.25">
      <c r="A2304" s="244"/>
      <c r="B2304" s="244"/>
      <c r="C2304" s="244"/>
      <c r="D2304" s="244"/>
      <c r="E2304" s="244"/>
      <c r="F2304" s="244"/>
      <c r="G2304" s="244"/>
      <c r="I2304" s="244"/>
      <c r="J2304" s="244"/>
      <c r="K2304" s="246" t="e">
        <f t="shared" si="245"/>
        <v>#VALUE!</v>
      </c>
      <c r="L2304" s="246" t="e">
        <f t="shared" si="246"/>
        <v>#VALUE!</v>
      </c>
      <c r="M2304" s="247" t="e">
        <f t="shared" si="247"/>
        <v>#VALUE!</v>
      </c>
      <c r="N2304" s="246" t="e">
        <f t="shared" si="248"/>
        <v>#VALUE!</v>
      </c>
      <c r="O2304" s="247" t="e">
        <f t="shared" si="249"/>
        <v>#VALUE!</v>
      </c>
      <c r="P2304" s="247">
        <f t="shared" si="250"/>
        <v>0</v>
      </c>
      <c r="Q2304" s="247" t="e">
        <f t="shared" si="251"/>
        <v>#VALUE!</v>
      </c>
    </row>
    <row r="2305" spans="1:17" ht="15" customHeight="1" x14ac:dyDescent="0.25">
      <c r="A2305" s="244"/>
      <c r="B2305" s="244"/>
      <c r="C2305" s="244"/>
      <c r="D2305" s="244"/>
      <c r="E2305" s="244"/>
      <c r="F2305" s="244"/>
      <c r="G2305" s="244"/>
      <c r="I2305" s="244"/>
      <c r="J2305" s="244"/>
      <c r="K2305" s="246" t="e">
        <f t="shared" si="245"/>
        <v>#VALUE!</v>
      </c>
      <c r="L2305" s="246" t="e">
        <f t="shared" si="246"/>
        <v>#VALUE!</v>
      </c>
      <c r="M2305" s="247" t="e">
        <f t="shared" si="247"/>
        <v>#VALUE!</v>
      </c>
      <c r="N2305" s="246" t="e">
        <f t="shared" si="248"/>
        <v>#VALUE!</v>
      </c>
      <c r="O2305" s="247" t="e">
        <f t="shared" si="249"/>
        <v>#VALUE!</v>
      </c>
      <c r="P2305" s="247">
        <f t="shared" si="250"/>
        <v>0</v>
      </c>
      <c r="Q2305" s="247" t="e">
        <f t="shared" si="251"/>
        <v>#VALUE!</v>
      </c>
    </row>
    <row r="2306" spans="1:17" ht="15" customHeight="1" x14ac:dyDescent="0.25">
      <c r="A2306" s="244"/>
      <c r="B2306" s="244"/>
      <c r="C2306" s="244"/>
      <c r="D2306" s="244"/>
      <c r="E2306" s="244"/>
      <c r="F2306" s="244"/>
      <c r="G2306" s="244"/>
      <c r="I2306" s="244"/>
      <c r="J2306" s="244"/>
      <c r="K2306" s="246" t="e">
        <f t="shared" ref="K2306:K2369" si="252">DATE(VALUE(LEFT(A2306,4)),VALUE(MID(A2306,5,2)),VALUE(RIGHT(A2306,2)))</f>
        <v>#VALUE!</v>
      </c>
      <c r="L2306" s="246" t="e">
        <f t="shared" ref="L2306:L2369" si="253">DATEVALUE(LEFT(F2306,10))</f>
        <v>#VALUE!</v>
      </c>
      <c r="M2306" s="247" t="e">
        <f t="shared" ref="M2306:M2369" si="254">TIMEVALUE(MID(F2306,12,8))</f>
        <v>#VALUE!</v>
      </c>
      <c r="N2306" s="246" t="e">
        <f t="shared" ref="N2306:N2369" si="255">DATEVALUE(LEFT(G2306,10))</f>
        <v>#VALUE!</v>
      </c>
      <c r="O2306" s="247" t="e">
        <f t="shared" ref="O2306:O2369" si="256">TIMEVALUE(MID(G2306,12,8))</f>
        <v>#VALUE!</v>
      </c>
      <c r="P2306" s="247">
        <f t="shared" ref="P2306:P2369" si="257">IFERROR(_xlfn.MINIFS($M:$M,$E:$E,$E2306,$K:$K,$K2306,$M:$M,"&gt;"&amp;$O2306),"")</f>
        <v>0</v>
      </c>
      <c r="Q2306" s="247" t="e">
        <f t="shared" ref="Q2306:Q2369" si="258">IF($P2306="","",$P2306-$O2306)</f>
        <v>#VALUE!</v>
      </c>
    </row>
    <row r="2307" spans="1:17" ht="15" customHeight="1" x14ac:dyDescent="0.25">
      <c r="A2307" s="244"/>
      <c r="B2307" s="244"/>
      <c r="C2307" s="244"/>
      <c r="D2307" s="244"/>
      <c r="E2307" s="244"/>
      <c r="F2307" s="244"/>
      <c r="G2307" s="244"/>
      <c r="I2307" s="244"/>
      <c r="J2307" s="244"/>
      <c r="K2307" s="246" t="e">
        <f t="shared" si="252"/>
        <v>#VALUE!</v>
      </c>
      <c r="L2307" s="246" t="e">
        <f t="shared" si="253"/>
        <v>#VALUE!</v>
      </c>
      <c r="M2307" s="247" t="e">
        <f t="shared" si="254"/>
        <v>#VALUE!</v>
      </c>
      <c r="N2307" s="246" t="e">
        <f t="shared" si="255"/>
        <v>#VALUE!</v>
      </c>
      <c r="O2307" s="247" t="e">
        <f t="shared" si="256"/>
        <v>#VALUE!</v>
      </c>
      <c r="P2307" s="247">
        <f t="shared" si="257"/>
        <v>0</v>
      </c>
      <c r="Q2307" s="247" t="e">
        <f t="shared" si="258"/>
        <v>#VALUE!</v>
      </c>
    </row>
    <row r="2308" spans="1:17" ht="15" customHeight="1" x14ac:dyDescent="0.25">
      <c r="A2308" s="244"/>
      <c r="B2308" s="244"/>
      <c r="C2308" s="244"/>
      <c r="D2308" s="244"/>
      <c r="E2308" s="244"/>
      <c r="F2308" s="244"/>
      <c r="G2308" s="244"/>
      <c r="I2308" s="244"/>
      <c r="J2308" s="244"/>
      <c r="K2308" s="246" t="e">
        <f t="shared" si="252"/>
        <v>#VALUE!</v>
      </c>
      <c r="L2308" s="246" t="e">
        <f t="shared" si="253"/>
        <v>#VALUE!</v>
      </c>
      <c r="M2308" s="247" t="e">
        <f t="shared" si="254"/>
        <v>#VALUE!</v>
      </c>
      <c r="N2308" s="246" t="e">
        <f t="shared" si="255"/>
        <v>#VALUE!</v>
      </c>
      <c r="O2308" s="247" t="e">
        <f t="shared" si="256"/>
        <v>#VALUE!</v>
      </c>
      <c r="P2308" s="247">
        <f t="shared" si="257"/>
        <v>0</v>
      </c>
      <c r="Q2308" s="247" t="e">
        <f t="shared" si="258"/>
        <v>#VALUE!</v>
      </c>
    </row>
    <row r="2309" spans="1:17" ht="15" customHeight="1" x14ac:dyDescent="0.25">
      <c r="A2309" s="244"/>
      <c r="B2309" s="244"/>
      <c r="C2309" s="244"/>
      <c r="D2309" s="244"/>
      <c r="E2309" s="244"/>
      <c r="F2309" s="244"/>
      <c r="G2309" s="244"/>
      <c r="I2309" s="244"/>
      <c r="J2309" s="244"/>
      <c r="K2309" s="246" t="e">
        <f t="shared" si="252"/>
        <v>#VALUE!</v>
      </c>
      <c r="L2309" s="246" t="e">
        <f t="shared" si="253"/>
        <v>#VALUE!</v>
      </c>
      <c r="M2309" s="247" t="e">
        <f t="shared" si="254"/>
        <v>#VALUE!</v>
      </c>
      <c r="N2309" s="246" t="e">
        <f t="shared" si="255"/>
        <v>#VALUE!</v>
      </c>
      <c r="O2309" s="247" t="e">
        <f t="shared" si="256"/>
        <v>#VALUE!</v>
      </c>
      <c r="P2309" s="247">
        <f t="shared" si="257"/>
        <v>0</v>
      </c>
      <c r="Q2309" s="247" t="e">
        <f t="shared" si="258"/>
        <v>#VALUE!</v>
      </c>
    </row>
    <row r="2310" spans="1:17" ht="15" customHeight="1" x14ac:dyDescent="0.25">
      <c r="A2310" s="244"/>
      <c r="B2310" s="244"/>
      <c r="C2310" s="244"/>
      <c r="D2310" s="244"/>
      <c r="E2310" s="244"/>
      <c r="F2310" s="244"/>
      <c r="G2310" s="244"/>
      <c r="I2310" s="244"/>
      <c r="J2310" s="244"/>
      <c r="K2310" s="246" t="e">
        <f t="shared" si="252"/>
        <v>#VALUE!</v>
      </c>
      <c r="L2310" s="246" t="e">
        <f t="shared" si="253"/>
        <v>#VALUE!</v>
      </c>
      <c r="M2310" s="247" t="e">
        <f t="shared" si="254"/>
        <v>#VALUE!</v>
      </c>
      <c r="N2310" s="246" t="e">
        <f t="shared" si="255"/>
        <v>#VALUE!</v>
      </c>
      <c r="O2310" s="247" t="e">
        <f t="shared" si="256"/>
        <v>#VALUE!</v>
      </c>
      <c r="P2310" s="247">
        <f t="shared" si="257"/>
        <v>0</v>
      </c>
      <c r="Q2310" s="247" t="e">
        <f t="shared" si="258"/>
        <v>#VALUE!</v>
      </c>
    </row>
    <row r="2311" spans="1:17" ht="15" customHeight="1" x14ac:dyDescent="0.25">
      <c r="A2311" s="244"/>
      <c r="B2311" s="244"/>
      <c r="C2311" s="244"/>
      <c r="D2311" s="244"/>
      <c r="E2311" s="244"/>
      <c r="F2311" s="244"/>
      <c r="G2311" s="244"/>
      <c r="I2311" s="244"/>
      <c r="J2311" s="244"/>
      <c r="K2311" s="246" t="e">
        <f t="shared" si="252"/>
        <v>#VALUE!</v>
      </c>
      <c r="L2311" s="246" t="e">
        <f t="shared" si="253"/>
        <v>#VALUE!</v>
      </c>
      <c r="M2311" s="247" t="e">
        <f t="shared" si="254"/>
        <v>#VALUE!</v>
      </c>
      <c r="N2311" s="246" t="e">
        <f t="shared" si="255"/>
        <v>#VALUE!</v>
      </c>
      <c r="O2311" s="247" t="e">
        <f t="shared" si="256"/>
        <v>#VALUE!</v>
      </c>
      <c r="P2311" s="247">
        <f t="shared" si="257"/>
        <v>0</v>
      </c>
      <c r="Q2311" s="247" t="e">
        <f t="shared" si="258"/>
        <v>#VALUE!</v>
      </c>
    </row>
    <row r="2312" spans="1:17" ht="15" customHeight="1" x14ac:dyDescent="0.25">
      <c r="A2312" s="244"/>
      <c r="B2312" s="244"/>
      <c r="C2312" s="244"/>
      <c r="D2312" s="244"/>
      <c r="E2312" s="244"/>
      <c r="F2312" s="244"/>
      <c r="G2312" s="244"/>
      <c r="I2312" s="244"/>
      <c r="J2312" s="244"/>
      <c r="K2312" s="246" t="e">
        <f t="shared" si="252"/>
        <v>#VALUE!</v>
      </c>
      <c r="L2312" s="246" t="e">
        <f t="shared" si="253"/>
        <v>#VALUE!</v>
      </c>
      <c r="M2312" s="247" t="e">
        <f t="shared" si="254"/>
        <v>#VALUE!</v>
      </c>
      <c r="N2312" s="246" t="e">
        <f t="shared" si="255"/>
        <v>#VALUE!</v>
      </c>
      <c r="O2312" s="247" t="e">
        <f t="shared" si="256"/>
        <v>#VALUE!</v>
      </c>
      <c r="P2312" s="247">
        <f t="shared" si="257"/>
        <v>0</v>
      </c>
      <c r="Q2312" s="247" t="e">
        <f t="shared" si="258"/>
        <v>#VALUE!</v>
      </c>
    </row>
    <row r="2313" spans="1:17" ht="15" customHeight="1" x14ac:dyDescent="0.25">
      <c r="A2313" s="244"/>
      <c r="B2313" s="244"/>
      <c r="C2313" s="244"/>
      <c r="D2313" s="244"/>
      <c r="E2313" s="244"/>
      <c r="F2313" s="244"/>
      <c r="G2313" s="244"/>
      <c r="I2313" s="244"/>
      <c r="J2313" s="244"/>
      <c r="K2313" s="246" t="e">
        <f t="shared" si="252"/>
        <v>#VALUE!</v>
      </c>
      <c r="L2313" s="246" t="e">
        <f t="shared" si="253"/>
        <v>#VALUE!</v>
      </c>
      <c r="M2313" s="247" t="e">
        <f t="shared" si="254"/>
        <v>#VALUE!</v>
      </c>
      <c r="N2313" s="246" t="e">
        <f t="shared" si="255"/>
        <v>#VALUE!</v>
      </c>
      <c r="O2313" s="247" t="e">
        <f t="shared" si="256"/>
        <v>#VALUE!</v>
      </c>
      <c r="P2313" s="247">
        <f t="shared" si="257"/>
        <v>0</v>
      </c>
      <c r="Q2313" s="247" t="e">
        <f t="shared" si="258"/>
        <v>#VALUE!</v>
      </c>
    </row>
    <row r="2314" spans="1:17" ht="15" customHeight="1" x14ac:dyDescent="0.25">
      <c r="A2314" s="244"/>
      <c r="B2314" s="244"/>
      <c r="C2314" s="244"/>
      <c r="D2314" s="244"/>
      <c r="E2314" s="244"/>
      <c r="F2314" s="244"/>
      <c r="G2314" s="244"/>
      <c r="I2314" s="244"/>
      <c r="J2314" s="244"/>
      <c r="K2314" s="246" t="e">
        <f t="shared" si="252"/>
        <v>#VALUE!</v>
      </c>
      <c r="L2314" s="246" t="e">
        <f t="shared" si="253"/>
        <v>#VALUE!</v>
      </c>
      <c r="M2314" s="247" t="e">
        <f t="shared" si="254"/>
        <v>#VALUE!</v>
      </c>
      <c r="N2314" s="246" t="e">
        <f t="shared" si="255"/>
        <v>#VALUE!</v>
      </c>
      <c r="O2314" s="247" t="e">
        <f t="shared" si="256"/>
        <v>#VALUE!</v>
      </c>
      <c r="P2314" s="247">
        <f t="shared" si="257"/>
        <v>0</v>
      </c>
      <c r="Q2314" s="247" t="e">
        <f t="shared" si="258"/>
        <v>#VALUE!</v>
      </c>
    </row>
    <row r="2315" spans="1:17" ht="15" customHeight="1" x14ac:dyDescent="0.25">
      <c r="A2315" s="244"/>
      <c r="B2315" s="244"/>
      <c r="C2315" s="244"/>
      <c r="D2315" s="244"/>
      <c r="E2315" s="244"/>
      <c r="F2315" s="244"/>
      <c r="G2315" s="244"/>
      <c r="I2315" s="244"/>
      <c r="J2315" s="244"/>
      <c r="K2315" s="246" t="e">
        <f t="shared" si="252"/>
        <v>#VALUE!</v>
      </c>
      <c r="L2315" s="246" t="e">
        <f t="shared" si="253"/>
        <v>#VALUE!</v>
      </c>
      <c r="M2315" s="247" t="e">
        <f t="shared" si="254"/>
        <v>#VALUE!</v>
      </c>
      <c r="N2315" s="246" t="e">
        <f t="shared" si="255"/>
        <v>#VALUE!</v>
      </c>
      <c r="O2315" s="247" t="e">
        <f t="shared" si="256"/>
        <v>#VALUE!</v>
      </c>
      <c r="P2315" s="247">
        <f t="shared" si="257"/>
        <v>0</v>
      </c>
      <c r="Q2315" s="247" t="e">
        <f t="shared" si="258"/>
        <v>#VALUE!</v>
      </c>
    </row>
    <row r="2316" spans="1:17" ht="15" customHeight="1" x14ac:dyDescent="0.25">
      <c r="A2316" s="244"/>
      <c r="B2316" s="244"/>
      <c r="C2316" s="244"/>
      <c r="D2316" s="244"/>
      <c r="E2316" s="244"/>
      <c r="F2316" s="244"/>
      <c r="G2316" s="244"/>
      <c r="I2316" s="244"/>
      <c r="J2316" s="244"/>
      <c r="K2316" s="246" t="e">
        <f t="shared" si="252"/>
        <v>#VALUE!</v>
      </c>
      <c r="L2316" s="246" t="e">
        <f t="shared" si="253"/>
        <v>#VALUE!</v>
      </c>
      <c r="M2316" s="247" t="e">
        <f t="shared" si="254"/>
        <v>#VALUE!</v>
      </c>
      <c r="N2316" s="246" t="e">
        <f t="shared" si="255"/>
        <v>#VALUE!</v>
      </c>
      <c r="O2316" s="247" t="e">
        <f t="shared" si="256"/>
        <v>#VALUE!</v>
      </c>
      <c r="P2316" s="247">
        <f t="shared" si="257"/>
        <v>0</v>
      </c>
      <c r="Q2316" s="247" t="e">
        <f t="shared" si="258"/>
        <v>#VALUE!</v>
      </c>
    </row>
    <row r="2317" spans="1:17" ht="15" customHeight="1" x14ac:dyDescent="0.25">
      <c r="A2317" s="244"/>
      <c r="B2317" s="244"/>
      <c r="C2317" s="244"/>
      <c r="D2317" s="244"/>
      <c r="E2317" s="244"/>
      <c r="F2317" s="244"/>
      <c r="G2317" s="244"/>
      <c r="I2317" s="244"/>
      <c r="J2317" s="244"/>
      <c r="K2317" s="246" t="e">
        <f t="shared" si="252"/>
        <v>#VALUE!</v>
      </c>
      <c r="L2317" s="246" t="e">
        <f t="shared" si="253"/>
        <v>#VALUE!</v>
      </c>
      <c r="M2317" s="247" t="e">
        <f t="shared" si="254"/>
        <v>#VALUE!</v>
      </c>
      <c r="N2317" s="246" t="e">
        <f t="shared" si="255"/>
        <v>#VALUE!</v>
      </c>
      <c r="O2317" s="247" t="e">
        <f t="shared" si="256"/>
        <v>#VALUE!</v>
      </c>
      <c r="P2317" s="247">
        <f t="shared" si="257"/>
        <v>0</v>
      </c>
      <c r="Q2317" s="247" t="e">
        <f t="shared" si="258"/>
        <v>#VALUE!</v>
      </c>
    </row>
    <row r="2318" spans="1:17" ht="15" customHeight="1" x14ac:dyDescent="0.25">
      <c r="A2318" s="244"/>
      <c r="B2318" s="244"/>
      <c r="C2318" s="244"/>
      <c r="D2318" s="244"/>
      <c r="E2318" s="244"/>
      <c r="F2318" s="244"/>
      <c r="G2318" s="244"/>
      <c r="I2318" s="244"/>
      <c r="J2318" s="244"/>
      <c r="K2318" s="246" t="e">
        <f t="shared" si="252"/>
        <v>#VALUE!</v>
      </c>
      <c r="L2318" s="246" t="e">
        <f t="shared" si="253"/>
        <v>#VALUE!</v>
      </c>
      <c r="M2318" s="247" t="e">
        <f t="shared" si="254"/>
        <v>#VALUE!</v>
      </c>
      <c r="N2318" s="246" t="e">
        <f t="shared" si="255"/>
        <v>#VALUE!</v>
      </c>
      <c r="O2318" s="247" t="e">
        <f t="shared" si="256"/>
        <v>#VALUE!</v>
      </c>
      <c r="P2318" s="247">
        <f t="shared" si="257"/>
        <v>0</v>
      </c>
      <c r="Q2318" s="247" t="e">
        <f t="shared" si="258"/>
        <v>#VALUE!</v>
      </c>
    </row>
    <row r="2319" spans="1:17" ht="15" customHeight="1" x14ac:dyDescent="0.25">
      <c r="A2319" s="244"/>
      <c r="B2319" s="244"/>
      <c r="C2319" s="244"/>
      <c r="D2319" s="244"/>
      <c r="E2319" s="244"/>
      <c r="F2319" s="244"/>
      <c r="G2319" s="244"/>
      <c r="I2319" s="244"/>
      <c r="J2319" s="244"/>
      <c r="K2319" s="246" t="e">
        <f t="shared" si="252"/>
        <v>#VALUE!</v>
      </c>
      <c r="L2319" s="246" t="e">
        <f t="shared" si="253"/>
        <v>#VALUE!</v>
      </c>
      <c r="M2319" s="247" t="e">
        <f t="shared" si="254"/>
        <v>#VALUE!</v>
      </c>
      <c r="N2319" s="246" t="e">
        <f t="shared" si="255"/>
        <v>#VALUE!</v>
      </c>
      <c r="O2319" s="247" t="e">
        <f t="shared" si="256"/>
        <v>#VALUE!</v>
      </c>
      <c r="P2319" s="247">
        <f t="shared" si="257"/>
        <v>0</v>
      </c>
      <c r="Q2319" s="247" t="e">
        <f t="shared" si="258"/>
        <v>#VALUE!</v>
      </c>
    </row>
    <row r="2320" spans="1:17" ht="15" customHeight="1" x14ac:dyDescent="0.25">
      <c r="A2320" s="244"/>
      <c r="B2320" s="244"/>
      <c r="C2320" s="244"/>
      <c r="D2320" s="244"/>
      <c r="E2320" s="244"/>
      <c r="F2320" s="244"/>
      <c r="G2320" s="244"/>
      <c r="I2320" s="244"/>
      <c r="J2320" s="244"/>
      <c r="K2320" s="246" t="e">
        <f t="shared" si="252"/>
        <v>#VALUE!</v>
      </c>
      <c r="L2320" s="246" t="e">
        <f t="shared" si="253"/>
        <v>#VALUE!</v>
      </c>
      <c r="M2320" s="247" t="e">
        <f t="shared" si="254"/>
        <v>#VALUE!</v>
      </c>
      <c r="N2320" s="246" t="e">
        <f t="shared" si="255"/>
        <v>#VALUE!</v>
      </c>
      <c r="O2320" s="247" t="e">
        <f t="shared" si="256"/>
        <v>#VALUE!</v>
      </c>
      <c r="P2320" s="247">
        <f t="shared" si="257"/>
        <v>0</v>
      </c>
      <c r="Q2320" s="247" t="e">
        <f t="shared" si="258"/>
        <v>#VALUE!</v>
      </c>
    </row>
    <row r="2321" spans="1:17" ht="15" customHeight="1" x14ac:dyDescent="0.25">
      <c r="A2321" s="244"/>
      <c r="B2321" s="244"/>
      <c r="C2321" s="244"/>
      <c r="D2321" s="244"/>
      <c r="E2321" s="244"/>
      <c r="F2321" s="244"/>
      <c r="G2321" s="244"/>
      <c r="I2321" s="244"/>
      <c r="J2321" s="244"/>
      <c r="K2321" s="246" t="e">
        <f t="shared" si="252"/>
        <v>#VALUE!</v>
      </c>
      <c r="L2321" s="246" t="e">
        <f t="shared" si="253"/>
        <v>#VALUE!</v>
      </c>
      <c r="M2321" s="247" t="e">
        <f t="shared" si="254"/>
        <v>#VALUE!</v>
      </c>
      <c r="N2321" s="246" t="e">
        <f t="shared" si="255"/>
        <v>#VALUE!</v>
      </c>
      <c r="O2321" s="247" t="e">
        <f t="shared" si="256"/>
        <v>#VALUE!</v>
      </c>
      <c r="P2321" s="247">
        <f t="shared" si="257"/>
        <v>0</v>
      </c>
      <c r="Q2321" s="247" t="e">
        <f t="shared" si="258"/>
        <v>#VALUE!</v>
      </c>
    </row>
    <row r="2322" spans="1:17" ht="15" customHeight="1" x14ac:dyDescent="0.25">
      <c r="A2322" s="244"/>
      <c r="B2322" s="244"/>
      <c r="C2322" s="244"/>
      <c r="D2322" s="244"/>
      <c r="E2322" s="244"/>
      <c r="F2322" s="244"/>
      <c r="G2322" s="244"/>
      <c r="I2322" s="244"/>
      <c r="J2322" s="244"/>
      <c r="K2322" s="246" t="e">
        <f t="shared" si="252"/>
        <v>#VALUE!</v>
      </c>
      <c r="L2322" s="246" t="e">
        <f t="shared" si="253"/>
        <v>#VALUE!</v>
      </c>
      <c r="M2322" s="247" t="e">
        <f t="shared" si="254"/>
        <v>#VALUE!</v>
      </c>
      <c r="N2322" s="246" t="e">
        <f t="shared" si="255"/>
        <v>#VALUE!</v>
      </c>
      <c r="O2322" s="247" t="e">
        <f t="shared" si="256"/>
        <v>#VALUE!</v>
      </c>
      <c r="P2322" s="247">
        <f t="shared" si="257"/>
        <v>0</v>
      </c>
      <c r="Q2322" s="247" t="e">
        <f t="shared" si="258"/>
        <v>#VALUE!</v>
      </c>
    </row>
    <row r="2323" spans="1:17" ht="15" customHeight="1" x14ac:dyDescent="0.25">
      <c r="A2323" s="244"/>
      <c r="B2323" s="244"/>
      <c r="C2323" s="244"/>
      <c r="D2323" s="244"/>
      <c r="E2323" s="244"/>
      <c r="F2323" s="244"/>
      <c r="G2323" s="244"/>
      <c r="I2323" s="244"/>
      <c r="J2323" s="244"/>
      <c r="K2323" s="246" t="e">
        <f t="shared" si="252"/>
        <v>#VALUE!</v>
      </c>
      <c r="L2323" s="246" t="e">
        <f t="shared" si="253"/>
        <v>#VALUE!</v>
      </c>
      <c r="M2323" s="247" t="e">
        <f t="shared" si="254"/>
        <v>#VALUE!</v>
      </c>
      <c r="N2323" s="246" t="e">
        <f t="shared" si="255"/>
        <v>#VALUE!</v>
      </c>
      <c r="O2323" s="247" t="e">
        <f t="shared" si="256"/>
        <v>#VALUE!</v>
      </c>
      <c r="P2323" s="247">
        <f t="shared" si="257"/>
        <v>0</v>
      </c>
      <c r="Q2323" s="247" t="e">
        <f t="shared" si="258"/>
        <v>#VALUE!</v>
      </c>
    </row>
    <row r="2324" spans="1:17" ht="15" customHeight="1" x14ac:dyDescent="0.25">
      <c r="A2324" s="244"/>
      <c r="B2324" s="244"/>
      <c r="C2324" s="244"/>
      <c r="D2324" s="244"/>
      <c r="E2324" s="244"/>
      <c r="F2324" s="244"/>
      <c r="G2324" s="244"/>
      <c r="I2324" s="244"/>
      <c r="J2324" s="244"/>
      <c r="K2324" s="246" t="e">
        <f t="shared" si="252"/>
        <v>#VALUE!</v>
      </c>
      <c r="L2324" s="246" t="e">
        <f t="shared" si="253"/>
        <v>#VALUE!</v>
      </c>
      <c r="M2324" s="247" t="e">
        <f t="shared" si="254"/>
        <v>#VALUE!</v>
      </c>
      <c r="N2324" s="246" t="e">
        <f t="shared" si="255"/>
        <v>#VALUE!</v>
      </c>
      <c r="O2324" s="247" t="e">
        <f t="shared" si="256"/>
        <v>#VALUE!</v>
      </c>
      <c r="P2324" s="247">
        <f t="shared" si="257"/>
        <v>0</v>
      </c>
      <c r="Q2324" s="247" t="e">
        <f t="shared" si="258"/>
        <v>#VALUE!</v>
      </c>
    </row>
    <row r="2325" spans="1:17" ht="15" customHeight="1" x14ac:dyDescent="0.25">
      <c r="A2325" s="244"/>
      <c r="B2325" s="244"/>
      <c r="C2325" s="244"/>
      <c r="D2325" s="244"/>
      <c r="E2325" s="244"/>
      <c r="F2325" s="244"/>
      <c r="G2325" s="244"/>
      <c r="I2325" s="244"/>
      <c r="J2325" s="244"/>
      <c r="K2325" s="246" t="e">
        <f t="shared" si="252"/>
        <v>#VALUE!</v>
      </c>
      <c r="L2325" s="246" t="e">
        <f t="shared" si="253"/>
        <v>#VALUE!</v>
      </c>
      <c r="M2325" s="247" t="e">
        <f t="shared" si="254"/>
        <v>#VALUE!</v>
      </c>
      <c r="N2325" s="246" t="e">
        <f t="shared" si="255"/>
        <v>#VALUE!</v>
      </c>
      <c r="O2325" s="247" t="e">
        <f t="shared" si="256"/>
        <v>#VALUE!</v>
      </c>
      <c r="P2325" s="247">
        <f t="shared" si="257"/>
        <v>0</v>
      </c>
      <c r="Q2325" s="247" t="e">
        <f t="shared" si="258"/>
        <v>#VALUE!</v>
      </c>
    </row>
    <row r="2326" spans="1:17" ht="15" customHeight="1" x14ac:dyDescent="0.25">
      <c r="A2326" s="244"/>
      <c r="B2326" s="244"/>
      <c r="C2326" s="244"/>
      <c r="D2326" s="244"/>
      <c r="E2326" s="244"/>
      <c r="F2326" s="244"/>
      <c r="G2326" s="244"/>
      <c r="I2326" s="244"/>
      <c r="J2326" s="244"/>
      <c r="K2326" s="246" t="e">
        <f t="shared" si="252"/>
        <v>#VALUE!</v>
      </c>
      <c r="L2326" s="246" t="e">
        <f t="shared" si="253"/>
        <v>#VALUE!</v>
      </c>
      <c r="M2326" s="247" t="e">
        <f t="shared" si="254"/>
        <v>#VALUE!</v>
      </c>
      <c r="N2326" s="246" t="e">
        <f t="shared" si="255"/>
        <v>#VALUE!</v>
      </c>
      <c r="O2326" s="247" t="e">
        <f t="shared" si="256"/>
        <v>#VALUE!</v>
      </c>
      <c r="P2326" s="247">
        <f t="shared" si="257"/>
        <v>0</v>
      </c>
      <c r="Q2326" s="247" t="e">
        <f t="shared" si="258"/>
        <v>#VALUE!</v>
      </c>
    </row>
    <row r="2327" spans="1:17" ht="15" customHeight="1" x14ac:dyDescent="0.25">
      <c r="A2327" s="244"/>
      <c r="B2327" s="244"/>
      <c r="C2327" s="244"/>
      <c r="D2327" s="244"/>
      <c r="E2327" s="244"/>
      <c r="F2327" s="244"/>
      <c r="G2327" s="244"/>
      <c r="I2327" s="244"/>
      <c r="J2327" s="244"/>
      <c r="K2327" s="246" t="e">
        <f t="shared" si="252"/>
        <v>#VALUE!</v>
      </c>
      <c r="L2327" s="246" t="e">
        <f t="shared" si="253"/>
        <v>#VALUE!</v>
      </c>
      <c r="M2327" s="247" t="e">
        <f t="shared" si="254"/>
        <v>#VALUE!</v>
      </c>
      <c r="N2327" s="246" t="e">
        <f t="shared" si="255"/>
        <v>#VALUE!</v>
      </c>
      <c r="O2327" s="247" t="e">
        <f t="shared" si="256"/>
        <v>#VALUE!</v>
      </c>
      <c r="P2327" s="247">
        <f t="shared" si="257"/>
        <v>0</v>
      </c>
      <c r="Q2327" s="247" t="e">
        <f t="shared" si="258"/>
        <v>#VALUE!</v>
      </c>
    </row>
    <row r="2328" spans="1:17" ht="15" customHeight="1" x14ac:dyDescent="0.25">
      <c r="A2328" s="244"/>
      <c r="B2328" s="244"/>
      <c r="C2328" s="244"/>
      <c r="D2328" s="244"/>
      <c r="E2328" s="244"/>
      <c r="F2328" s="244"/>
      <c r="G2328" s="244"/>
      <c r="I2328" s="244"/>
      <c r="J2328" s="244"/>
      <c r="K2328" s="246" t="e">
        <f t="shared" si="252"/>
        <v>#VALUE!</v>
      </c>
      <c r="L2328" s="246" t="e">
        <f t="shared" si="253"/>
        <v>#VALUE!</v>
      </c>
      <c r="M2328" s="247" t="e">
        <f t="shared" si="254"/>
        <v>#VALUE!</v>
      </c>
      <c r="N2328" s="246" t="e">
        <f t="shared" si="255"/>
        <v>#VALUE!</v>
      </c>
      <c r="O2328" s="247" t="e">
        <f t="shared" si="256"/>
        <v>#VALUE!</v>
      </c>
      <c r="P2328" s="247">
        <f t="shared" si="257"/>
        <v>0</v>
      </c>
      <c r="Q2328" s="247" t="e">
        <f t="shared" si="258"/>
        <v>#VALUE!</v>
      </c>
    </row>
    <row r="2329" spans="1:17" ht="15" customHeight="1" x14ac:dyDescent="0.25">
      <c r="A2329" s="244"/>
      <c r="B2329" s="244"/>
      <c r="C2329" s="244"/>
      <c r="D2329" s="244"/>
      <c r="E2329" s="244"/>
      <c r="F2329" s="244"/>
      <c r="G2329" s="244"/>
      <c r="I2329" s="244"/>
      <c r="J2329" s="244"/>
      <c r="K2329" s="246" t="e">
        <f t="shared" si="252"/>
        <v>#VALUE!</v>
      </c>
      <c r="L2329" s="246" t="e">
        <f t="shared" si="253"/>
        <v>#VALUE!</v>
      </c>
      <c r="M2329" s="247" t="e">
        <f t="shared" si="254"/>
        <v>#VALUE!</v>
      </c>
      <c r="N2329" s="246" t="e">
        <f t="shared" si="255"/>
        <v>#VALUE!</v>
      </c>
      <c r="O2329" s="247" t="e">
        <f t="shared" si="256"/>
        <v>#VALUE!</v>
      </c>
      <c r="P2329" s="247">
        <f t="shared" si="257"/>
        <v>0</v>
      </c>
      <c r="Q2329" s="247" t="e">
        <f t="shared" si="258"/>
        <v>#VALUE!</v>
      </c>
    </row>
    <row r="2330" spans="1:17" ht="15" customHeight="1" x14ac:dyDescent="0.25">
      <c r="A2330" s="244"/>
      <c r="B2330" s="244"/>
      <c r="C2330" s="244"/>
      <c r="D2330" s="244"/>
      <c r="E2330" s="244"/>
      <c r="F2330" s="244"/>
      <c r="G2330" s="244"/>
      <c r="I2330" s="244"/>
      <c r="J2330" s="244"/>
      <c r="K2330" s="246" t="e">
        <f t="shared" si="252"/>
        <v>#VALUE!</v>
      </c>
      <c r="L2330" s="246" t="e">
        <f t="shared" si="253"/>
        <v>#VALUE!</v>
      </c>
      <c r="M2330" s="247" t="e">
        <f t="shared" si="254"/>
        <v>#VALUE!</v>
      </c>
      <c r="N2330" s="246" t="e">
        <f t="shared" si="255"/>
        <v>#VALUE!</v>
      </c>
      <c r="O2330" s="247" t="e">
        <f t="shared" si="256"/>
        <v>#VALUE!</v>
      </c>
      <c r="P2330" s="247">
        <f t="shared" si="257"/>
        <v>0</v>
      </c>
      <c r="Q2330" s="247" t="e">
        <f t="shared" si="258"/>
        <v>#VALUE!</v>
      </c>
    </row>
    <row r="2331" spans="1:17" ht="15" customHeight="1" x14ac:dyDescent="0.25">
      <c r="A2331" s="244"/>
      <c r="B2331" s="244"/>
      <c r="C2331" s="244"/>
      <c r="D2331" s="244"/>
      <c r="E2331" s="244"/>
      <c r="F2331" s="244"/>
      <c r="G2331" s="244"/>
      <c r="I2331" s="244"/>
      <c r="J2331" s="244"/>
      <c r="K2331" s="246" t="e">
        <f t="shared" si="252"/>
        <v>#VALUE!</v>
      </c>
      <c r="L2331" s="246" t="e">
        <f t="shared" si="253"/>
        <v>#VALUE!</v>
      </c>
      <c r="M2331" s="247" t="e">
        <f t="shared" si="254"/>
        <v>#VALUE!</v>
      </c>
      <c r="N2331" s="246" t="e">
        <f t="shared" si="255"/>
        <v>#VALUE!</v>
      </c>
      <c r="O2331" s="247" t="e">
        <f t="shared" si="256"/>
        <v>#VALUE!</v>
      </c>
      <c r="P2331" s="247">
        <f t="shared" si="257"/>
        <v>0</v>
      </c>
      <c r="Q2331" s="247" t="e">
        <f t="shared" si="258"/>
        <v>#VALUE!</v>
      </c>
    </row>
    <row r="2332" spans="1:17" ht="15" customHeight="1" x14ac:dyDescent="0.25">
      <c r="A2332" s="244"/>
      <c r="B2332" s="244"/>
      <c r="C2332" s="244"/>
      <c r="D2332" s="244"/>
      <c r="E2332" s="244"/>
      <c r="F2332" s="244"/>
      <c r="G2332" s="244"/>
      <c r="I2332" s="244"/>
      <c r="J2332" s="244"/>
      <c r="K2332" s="246" t="e">
        <f t="shared" si="252"/>
        <v>#VALUE!</v>
      </c>
      <c r="L2332" s="246" t="e">
        <f t="shared" si="253"/>
        <v>#VALUE!</v>
      </c>
      <c r="M2332" s="247" t="e">
        <f t="shared" si="254"/>
        <v>#VALUE!</v>
      </c>
      <c r="N2332" s="246" t="e">
        <f t="shared" si="255"/>
        <v>#VALUE!</v>
      </c>
      <c r="O2332" s="247" t="e">
        <f t="shared" si="256"/>
        <v>#VALUE!</v>
      </c>
      <c r="P2332" s="247">
        <f t="shared" si="257"/>
        <v>0</v>
      </c>
      <c r="Q2332" s="247" t="e">
        <f t="shared" si="258"/>
        <v>#VALUE!</v>
      </c>
    </row>
    <row r="2333" spans="1:17" ht="15" customHeight="1" x14ac:dyDescent="0.25">
      <c r="A2333" s="244"/>
      <c r="B2333" s="244"/>
      <c r="C2333" s="244"/>
      <c r="D2333" s="244"/>
      <c r="E2333" s="244"/>
      <c r="F2333" s="244"/>
      <c r="G2333" s="244"/>
      <c r="I2333" s="244"/>
      <c r="J2333" s="244"/>
      <c r="K2333" s="246" t="e">
        <f t="shared" si="252"/>
        <v>#VALUE!</v>
      </c>
      <c r="L2333" s="246" t="e">
        <f t="shared" si="253"/>
        <v>#VALUE!</v>
      </c>
      <c r="M2333" s="247" t="e">
        <f t="shared" si="254"/>
        <v>#VALUE!</v>
      </c>
      <c r="N2333" s="246" t="e">
        <f t="shared" si="255"/>
        <v>#VALUE!</v>
      </c>
      <c r="O2333" s="247" t="e">
        <f t="shared" si="256"/>
        <v>#VALUE!</v>
      </c>
      <c r="P2333" s="247">
        <f t="shared" si="257"/>
        <v>0</v>
      </c>
      <c r="Q2333" s="247" t="e">
        <f t="shared" si="258"/>
        <v>#VALUE!</v>
      </c>
    </row>
    <row r="2334" spans="1:17" ht="15" customHeight="1" x14ac:dyDescent="0.25">
      <c r="A2334" s="244"/>
      <c r="B2334" s="244"/>
      <c r="C2334" s="244"/>
      <c r="D2334" s="244"/>
      <c r="E2334" s="244"/>
      <c r="F2334" s="244"/>
      <c r="G2334" s="244"/>
      <c r="I2334" s="244"/>
      <c r="J2334" s="244"/>
      <c r="K2334" s="246" t="e">
        <f t="shared" si="252"/>
        <v>#VALUE!</v>
      </c>
      <c r="L2334" s="246" t="e">
        <f t="shared" si="253"/>
        <v>#VALUE!</v>
      </c>
      <c r="M2334" s="247" t="e">
        <f t="shared" si="254"/>
        <v>#VALUE!</v>
      </c>
      <c r="N2334" s="246" t="e">
        <f t="shared" si="255"/>
        <v>#VALUE!</v>
      </c>
      <c r="O2334" s="247" t="e">
        <f t="shared" si="256"/>
        <v>#VALUE!</v>
      </c>
      <c r="P2334" s="247">
        <f t="shared" si="257"/>
        <v>0</v>
      </c>
      <c r="Q2334" s="247" t="e">
        <f t="shared" si="258"/>
        <v>#VALUE!</v>
      </c>
    </row>
    <row r="2335" spans="1:17" ht="15" customHeight="1" x14ac:dyDescent="0.25">
      <c r="A2335" s="244"/>
      <c r="B2335" s="244"/>
      <c r="C2335" s="244"/>
      <c r="D2335" s="244"/>
      <c r="E2335" s="244"/>
      <c r="F2335" s="244"/>
      <c r="G2335" s="244"/>
      <c r="I2335" s="244"/>
      <c r="J2335" s="244"/>
      <c r="K2335" s="246" t="e">
        <f t="shared" si="252"/>
        <v>#VALUE!</v>
      </c>
      <c r="L2335" s="246" t="e">
        <f t="shared" si="253"/>
        <v>#VALUE!</v>
      </c>
      <c r="M2335" s="247" t="e">
        <f t="shared" si="254"/>
        <v>#VALUE!</v>
      </c>
      <c r="N2335" s="246" t="e">
        <f t="shared" si="255"/>
        <v>#VALUE!</v>
      </c>
      <c r="O2335" s="247" t="e">
        <f t="shared" si="256"/>
        <v>#VALUE!</v>
      </c>
      <c r="P2335" s="247">
        <f t="shared" si="257"/>
        <v>0</v>
      </c>
      <c r="Q2335" s="247" t="e">
        <f t="shared" si="258"/>
        <v>#VALUE!</v>
      </c>
    </row>
    <row r="2336" spans="1:17" ht="15" customHeight="1" x14ac:dyDescent="0.25">
      <c r="A2336" s="244"/>
      <c r="B2336" s="244"/>
      <c r="C2336" s="244"/>
      <c r="D2336" s="244"/>
      <c r="E2336" s="244"/>
      <c r="F2336" s="244"/>
      <c r="G2336" s="244"/>
      <c r="I2336" s="244"/>
      <c r="J2336" s="244"/>
      <c r="K2336" s="246" t="e">
        <f t="shared" si="252"/>
        <v>#VALUE!</v>
      </c>
      <c r="L2336" s="246" t="e">
        <f t="shared" si="253"/>
        <v>#VALUE!</v>
      </c>
      <c r="M2336" s="247" t="e">
        <f t="shared" si="254"/>
        <v>#VALUE!</v>
      </c>
      <c r="N2336" s="246" t="e">
        <f t="shared" si="255"/>
        <v>#VALUE!</v>
      </c>
      <c r="O2336" s="247" t="e">
        <f t="shared" si="256"/>
        <v>#VALUE!</v>
      </c>
      <c r="P2336" s="247">
        <f t="shared" si="257"/>
        <v>0</v>
      </c>
      <c r="Q2336" s="247" t="e">
        <f t="shared" si="258"/>
        <v>#VALUE!</v>
      </c>
    </row>
    <row r="2337" spans="1:17" ht="15" customHeight="1" x14ac:dyDescent="0.25">
      <c r="A2337" s="244"/>
      <c r="B2337" s="244"/>
      <c r="C2337" s="244"/>
      <c r="D2337" s="244"/>
      <c r="E2337" s="244"/>
      <c r="F2337" s="244"/>
      <c r="G2337" s="244"/>
      <c r="I2337" s="244"/>
      <c r="J2337" s="244"/>
      <c r="K2337" s="246" t="e">
        <f t="shared" si="252"/>
        <v>#VALUE!</v>
      </c>
      <c r="L2337" s="246" t="e">
        <f t="shared" si="253"/>
        <v>#VALUE!</v>
      </c>
      <c r="M2337" s="247" t="e">
        <f t="shared" si="254"/>
        <v>#VALUE!</v>
      </c>
      <c r="N2337" s="246" t="e">
        <f t="shared" si="255"/>
        <v>#VALUE!</v>
      </c>
      <c r="O2337" s="247" t="e">
        <f t="shared" si="256"/>
        <v>#VALUE!</v>
      </c>
      <c r="P2337" s="247">
        <f t="shared" si="257"/>
        <v>0</v>
      </c>
      <c r="Q2337" s="247" t="e">
        <f t="shared" si="258"/>
        <v>#VALUE!</v>
      </c>
    </row>
    <row r="2338" spans="1:17" ht="15" customHeight="1" x14ac:dyDescent="0.25">
      <c r="A2338" s="244"/>
      <c r="B2338" s="244"/>
      <c r="C2338" s="244"/>
      <c r="D2338" s="244"/>
      <c r="E2338" s="244"/>
      <c r="F2338" s="244"/>
      <c r="G2338" s="244"/>
      <c r="I2338" s="244"/>
      <c r="J2338" s="244"/>
      <c r="K2338" s="246" t="e">
        <f t="shared" si="252"/>
        <v>#VALUE!</v>
      </c>
      <c r="L2338" s="246" t="e">
        <f t="shared" si="253"/>
        <v>#VALUE!</v>
      </c>
      <c r="M2338" s="247" t="e">
        <f t="shared" si="254"/>
        <v>#VALUE!</v>
      </c>
      <c r="N2338" s="246" t="e">
        <f t="shared" si="255"/>
        <v>#VALUE!</v>
      </c>
      <c r="O2338" s="247" t="e">
        <f t="shared" si="256"/>
        <v>#VALUE!</v>
      </c>
      <c r="P2338" s="247">
        <f t="shared" si="257"/>
        <v>0</v>
      </c>
      <c r="Q2338" s="247" t="e">
        <f t="shared" si="258"/>
        <v>#VALUE!</v>
      </c>
    </row>
    <row r="2339" spans="1:17" ht="15" customHeight="1" x14ac:dyDescent="0.25">
      <c r="A2339" s="244"/>
      <c r="B2339" s="244"/>
      <c r="C2339" s="244"/>
      <c r="D2339" s="244"/>
      <c r="E2339" s="244"/>
      <c r="F2339" s="244"/>
      <c r="G2339" s="244"/>
      <c r="I2339" s="244"/>
      <c r="J2339" s="244"/>
      <c r="K2339" s="246" t="e">
        <f t="shared" si="252"/>
        <v>#VALUE!</v>
      </c>
      <c r="L2339" s="246" t="e">
        <f t="shared" si="253"/>
        <v>#VALUE!</v>
      </c>
      <c r="M2339" s="247" t="e">
        <f t="shared" si="254"/>
        <v>#VALUE!</v>
      </c>
      <c r="N2339" s="246" t="e">
        <f t="shared" si="255"/>
        <v>#VALUE!</v>
      </c>
      <c r="O2339" s="247" t="e">
        <f t="shared" si="256"/>
        <v>#VALUE!</v>
      </c>
      <c r="P2339" s="247">
        <f t="shared" si="257"/>
        <v>0</v>
      </c>
      <c r="Q2339" s="247" t="e">
        <f t="shared" si="258"/>
        <v>#VALUE!</v>
      </c>
    </row>
    <row r="2340" spans="1:17" ht="15" customHeight="1" x14ac:dyDescent="0.25">
      <c r="A2340" s="244"/>
      <c r="B2340" s="244"/>
      <c r="C2340" s="244"/>
      <c r="D2340" s="244"/>
      <c r="E2340" s="244"/>
      <c r="F2340" s="244"/>
      <c r="G2340" s="244"/>
      <c r="I2340" s="244"/>
      <c r="J2340" s="244"/>
      <c r="K2340" s="246" t="e">
        <f t="shared" si="252"/>
        <v>#VALUE!</v>
      </c>
      <c r="L2340" s="246" t="e">
        <f t="shared" si="253"/>
        <v>#VALUE!</v>
      </c>
      <c r="M2340" s="247" t="e">
        <f t="shared" si="254"/>
        <v>#VALUE!</v>
      </c>
      <c r="N2340" s="246" t="e">
        <f t="shared" si="255"/>
        <v>#VALUE!</v>
      </c>
      <c r="O2340" s="247" t="e">
        <f t="shared" si="256"/>
        <v>#VALUE!</v>
      </c>
      <c r="P2340" s="247">
        <f t="shared" si="257"/>
        <v>0</v>
      </c>
      <c r="Q2340" s="247" t="e">
        <f t="shared" si="258"/>
        <v>#VALUE!</v>
      </c>
    </row>
    <row r="2341" spans="1:17" ht="15" customHeight="1" x14ac:dyDescent="0.25">
      <c r="A2341" s="244"/>
      <c r="B2341" s="244"/>
      <c r="C2341" s="244"/>
      <c r="D2341" s="244"/>
      <c r="E2341" s="244"/>
      <c r="F2341" s="244"/>
      <c r="G2341" s="244"/>
      <c r="I2341" s="244"/>
      <c r="J2341" s="244"/>
      <c r="K2341" s="246" t="e">
        <f t="shared" si="252"/>
        <v>#VALUE!</v>
      </c>
      <c r="L2341" s="246" t="e">
        <f t="shared" si="253"/>
        <v>#VALUE!</v>
      </c>
      <c r="M2341" s="247" t="e">
        <f t="shared" si="254"/>
        <v>#VALUE!</v>
      </c>
      <c r="N2341" s="246" t="e">
        <f t="shared" si="255"/>
        <v>#VALUE!</v>
      </c>
      <c r="O2341" s="247" t="e">
        <f t="shared" si="256"/>
        <v>#VALUE!</v>
      </c>
      <c r="P2341" s="247">
        <f t="shared" si="257"/>
        <v>0</v>
      </c>
      <c r="Q2341" s="247" t="e">
        <f t="shared" si="258"/>
        <v>#VALUE!</v>
      </c>
    </row>
    <row r="2342" spans="1:17" ht="15" customHeight="1" x14ac:dyDescent="0.25">
      <c r="A2342" s="244"/>
      <c r="B2342" s="244"/>
      <c r="C2342" s="244"/>
      <c r="D2342" s="244"/>
      <c r="E2342" s="244"/>
      <c r="F2342" s="244"/>
      <c r="G2342" s="244"/>
      <c r="I2342" s="244"/>
      <c r="J2342" s="244"/>
      <c r="K2342" s="246" t="e">
        <f t="shared" si="252"/>
        <v>#VALUE!</v>
      </c>
      <c r="L2342" s="246" t="e">
        <f t="shared" si="253"/>
        <v>#VALUE!</v>
      </c>
      <c r="M2342" s="247" t="e">
        <f t="shared" si="254"/>
        <v>#VALUE!</v>
      </c>
      <c r="N2342" s="246" t="e">
        <f t="shared" si="255"/>
        <v>#VALUE!</v>
      </c>
      <c r="O2342" s="247" t="e">
        <f t="shared" si="256"/>
        <v>#VALUE!</v>
      </c>
      <c r="P2342" s="247">
        <f t="shared" si="257"/>
        <v>0</v>
      </c>
      <c r="Q2342" s="247" t="e">
        <f t="shared" si="258"/>
        <v>#VALUE!</v>
      </c>
    </row>
    <row r="2343" spans="1:17" ht="15" customHeight="1" x14ac:dyDescent="0.25">
      <c r="A2343" s="244"/>
      <c r="B2343" s="244"/>
      <c r="C2343" s="244"/>
      <c r="D2343" s="244"/>
      <c r="E2343" s="244"/>
      <c r="F2343" s="244"/>
      <c r="G2343" s="244"/>
      <c r="I2343" s="244"/>
      <c r="J2343" s="244"/>
      <c r="K2343" s="246" t="e">
        <f t="shared" si="252"/>
        <v>#VALUE!</v>
      </c>
      <c r="L2343" s="246" t="e">
        <f t="shared" si="253"/>
        <v>#VALUE!</v>
      </c>
      <c r="M2343" s="247" t="e">
        <f t="shared" si="254"/>
        <v>#VALUE!</v>
      </c>
      <c r="N2343" s="246" t="e">
        <f t="shared" si="255"/>
        <v>#VALUE!</v>
      </c>
      <c r="O2343" s="247" t="e">
        <f t="shared" si="256"/>
        <v>#VALUE!</v>
      </c>
      <c r="P2343" s="247">
        <f t="shared" si="257"/>
        <v>0</v>
      </c>
      <c r="Q2343" s="247" t="e">
        <f t="shared" si="258"/>
        <v>#VALUE!</v>
      </c>
    </row>
    <row r="2344" spans="1:17" ht="15" customHeight="1" x14ac:dyDescent="0.25">
      <c r="A2344" s="244"/>
      <c r="B2344" s="244"/>
      <c r="C2344" s="244"/>
      <c r="D2344" s="244"/>
      <c r="E2344" s="244"/>
      <c r="F2344" s="244"/>
      <c r="G2344" s="244"/>
      <c r="I2344" s="244"/>
      <c r="J2344" s="244"/>
      <c r="K2344" s="246" t="e">
        <f t="shared" si="252"/>
        <v>#VALUE!</v>
      </c>
      <c r="L2344" s="246" t="e">
        <f t="shared" si="253"/>
        <v>#VALUE!</v>
      </c>
      <c r="M2344" s="247" t="e">
        <f t="shared" si="254"/>
        <v>#VALUE!</v>
      </c>
      <c r="N2344" s="246" t="e">
        <f t="shared" si="255"/>
        <v>#VALUE!</v>
      </c>
      <c r="O2344" s="247" t="e">
        <f t="shared" si="256"/>
        <v>#VALUE!</v>
      </c>
      <c r="P2344" s="247">
        <f t="shared" si="257"/>
        <v>0</v>
      </c>
      <c r="Q2344" s="247" t="e">
        <f t="shared" si="258"/>
        <v>#VALUE!</v>
      </c>
    </row>
    <row r="2345" spans="1:17" ht="15" customHeight="1" x14ac:dyDescent="0.25">
      <c r="A2345" s="244"/>
      <c r="B2345" s="244"/>
      <c r="C2345" s="244"/>
      <c r="D2345" s="244"/>
      <c r="E2345" s="244"/>
      <c r="F2345" s="244"/>
      <c r="G2345" s="244"/>
      <c r="I2345" s="244"/>
      <c r="J2345" s="244"/>
      <c r="K2345" s="246" t="e">
        <f t="shared" si="252"/>
        <v>#VALUE!</v>
      </c>
      <c r="L2345" s="246" t="e">
        <f t="shared" si="253"/>
        <v>#VALUE!</v>
      </c>
      <c r="M2345" s="247" t="e">
        <f t="shared" si="254"/>
        <v>#VALUE!</v>
      </c>
      <c r="N2345" s="246" t="e">
        <f t="shared" si="255"/>
        <v>#VALUE!</v>
      </c>
      <c r="O2345" s="247" t="e">
        <f t="shared" si="256"/>
        <v>#VALUE!</v>
      </c>
      <c r="P2345" s="247">
        <f t="shared" si="257"/>
        <v>0</v>
      </c>
      <c r="Q2345" s="247" t="e">
        <f t="shared" si="258"/>
        <v>#VALUE!</v>
      </c>
    </row>
    <row r="2346" spans="1:17" ht="15" customHeight="1" x14ac:dyDescent="0.25">
      <c r="A2346" s="244"/>
      <c r="B2346" s="244"/>
      <c r="C2346" s="244"/>
      <c r="D2346" s="244"/>
      <c r="E2346" s="244"/>
      <c r="F2346" s="244"/>
      <c r="G2346" s="244"/>
      <c r="I2346" s="244"/>
      <c r="J2346" s="244"/>
      <c r="K2346" s="246" t="e">
        <f t="shared" si="252"/>
        <v>#VALUE!</v>
      </c>
      <c r="L2346" s="246" t="e">
        <f t="shared" si="253"/>
        <v>#VALUE!</v>
      </c>
      <c r="M2346" s="247" t="e">
        <f t="shared" si="254"/>
        <v>#VALUE!</v>
      </c>
      <c r="N2346" s="246" t="e">
        <f t="shared" si="255"/>
        <v>#VALUE!</v>
      </c>
      <c r="O2346" s="247" t="e">
        <f t="shared" si="256"/>
        <v>#VALUE!</v>
      </c>
      <c r="P2346" s="247">
        <f t="shared" si="257"/>
        <v>0</v>
      </c>
      <c r="Q2346" s="247" t="e">
        <f t="shared" si="258"/>
        <v>#VALUE!</v>
      </c>
    </row>
    <row r="2347" spans="1:17" ht="15" customHeight="1" x14ac:dyDescent="0.25">
      <c r="A2347" s="244"/>
      <c r="B2347" s="244"/>
      <c r="C2347" s="244"/>
      <c r="D2347" s="244"/>
      <c r="E2347" s="244"/>
      <c r="F2347" s="244"/>
      <c r="G2347" s="244"/>
      <c r="I2347" s="244"/>
      <c r="J2347" s="244"/>
      <c r="K2347" s="246" t="e">
        <f t="shared" si="252"/>
        <v>#VALUE!</v>
      </c>
      <c r="L2347" s="246" t="e">
        <f t="shared" si="253"/>
        <v>#VALUE!</v>
      </c>
      <c r="M2347" s="247" t="e">
        <f t="shared" si="254"/>
        <v>#VALUE!</v>
      </c>
      <c r="N2347" s="246" t="e">
        <f t="shared" si="255"/>
        <v>#VALUE!</v>
      </c>
      <c r="O2347" s="247" t="e">
        <f t="shared" si="256"/>
        <v>#VALUE!</v>
      </c>
      <c r="P2347" s="247">
        <f t="shared" si="257"/>
        <v>0</v>
      </c>
      <c r="Q2347" s="247" t="e">
        <f t="shared" si="258"/>
        <v>#VALUE!</v>
      </c>
    </row>
    <row r="2348" spans="1:17" ht="15" customHeight="1" x14ac:dyDescent="0.25">
      <c r="A2348" s="244"/>
      <c r="B2348" s="244"/>
      <c r="C2348" s="244"/>
      <c r="D2348" s="244"/>
      <c r="E2348" s="244"/>
      <c r="F2348" s="244"/>
      <c r="G2348" s="244"/>
      <c r="I2348" s="244"/>
      <c r="J2348" s="244"/>
      <c r="K2348" s="246" t="e">
        <f t="shared" si="252"/>
        <v>#VALUE!</v>
      </c>
      <c r="L2348" s="246" t="e">
        <f t="shared" si="253"/>
        <v>#VALUE!</v>
      </c>
      <c r="M2348" s="247" t="e">
        <f t="shared" si="254"/>
        <v>#VALUE!</v>
      </c>
      <c r="N2348" s="246" t="e">
        <f t="shared" si="255"/>
        <v>#VALUE!</v>
      </c>
      <c r="O2348" s="247" t="e">
        <f t="shared" si="256"/>
        <v>#VALUE!</v>
      </c>
      <c r="P2348" s="247">
        <f t="shared" si="257"/>
        <v>0</v>
      </c>
      <c r="Q2348" s="247" t="e">
        <f t="shared" si="258"/>
        <v>#VALUE!</v>
      </c>
    </row>
    <row r="2349" spans="1:17" ht="15" customHeight="1" x14ac:dyDescent="0.25">
      <c r="A2349" s="244"/>
      <c r="B2349" s="244"/>
      <c r="C2349" s="244"/>
      <c r="D2349" s="244"/>
      <c r="E2349" s="244"/>
      <c r="F2349" s="244"/>
      <c r="G2349" s="244"/>
      <c r="I2349" s="244"/>
      <c r="J2349" s="244"/>
      <c r="K2349" s="246" t="e">
        <f t="shared" si="252"/>
        <v>#VALUE!</v>
      </c>
      <c r="L2349" s="246" t="e">
        <f t="shared" si="253"/>
        <v>#VALUE!</v>
      </c>
      <c r="M2349" s="247" t="e">
        <f t="shared" si="254"/>
        <v>#VALUE!</v>
      </c>
      <c r="N2349" s="246" t="e">
        <f t="shared" si="255"/>
        <v>#VALUE!</v>
      </c>
      <c r="O2349" s="247" t="e">
        <f t="shared" si="256"/>
        <v>#VALUE!</v>
      </c>
      <c r="P2349" s="247">
        <f t="shared" si="257"/>
        <v>0</v>
      </c>
      <c r="Q2349" s="247" t="e">
        <f t="shared" si="258"/>
        <v>#VALUE!</v>
      </c>
    </row>
    <row r="2350" spans="1:17" ht="15" customHeight="1" x14ac:dyDescent="0.25">
      <c r="A2350" s="244"/>
      <c r="B2350" s="244"/>
      <c r="C2350" s="244"/>
      <c r="D2350" s="244"/>
      <c r="E2350" s="244"/>
      <c r="F2350" s="244"/>
      <c r="G2350" s="244"/>
      <c r="I2350" s="244"/>
      <c r="J2350" s="244"/>
      <c r="K2350" s="246" t="e">
        <f t="shared" si="252"/>
        <v>#VALUE!</v>
      </c>
      <c r="L2350" s="246" t="e">
        <f t="shared" si="253"/>
        <v>#VALUE!</v>
      </c>
      <c r="M2350" s="247" t="e">
        <f t="shared" si="254"/>
        <v>#VALUE!</v>
      </c>
      <c r="N2350" s="246" t="e">
        <f t="shared" si="255"/>
        <v>#VALUE!</v>
      </c>
      <c r="O2350" s="247" t="e">
        <f t="shared" si="256"/>
        <v>#VALUE!</v>
      </c>
      <c r="P2350" s="247">
        <f t="shared" si="257"/>
        <v>0</v>
      </c>
      <c r="Q2350" s="247" t="e">
        <f t="shared" si="258"/>
        <v>#VALUE!</v>
      </c>
    </row>
    <row r="2351" spans="1:17" ht="15" customHeight="1" x14ac:dyDescent="0.25">
      <c r="A2351" s="244"/>
      <c r="B2351" s="244"/>
      <c r="C2351" s="244"/>
      <c r="D2351" s="244"/>
      <c r="E2351" s="244"/>
      <c r="F2351" s="244"/>
      <c r="G2351" s="244"/>
      <c r="I2351" s="244"/>
      <c r="J2351" s="244"/>
      <c r="K2351" s="246" t="e">
        <f t="shared" si="252"/>
        <v>#VALUE!</v>
      </c>
      <c r="L2351" s="246" t="e">
        <f t="shared" si="253"/>
        <v>#VALUE!</v>
      </c>
      <c r="M2351" s="247" t="e">
        <f t="shared" si="254"/>
        <v>#VALUE!</v>
      </c>
      <c r="N2351" s="246" t="e">
        <f t="shared" si="255"/>
        <v>#VALUE!</v>
      </c>
      <c r="O2351" s="247" t="e">
        <f t="shared" si="256"/>
        <v>#VALUE!</v>
      </c>
      <c r="P2351" s="247">
        <f t="shared" si="257"/>
        <v>0</v>
      </c>
      <c r="Q2351" s="247" t="e">
        <f t="shared" si="258"/>
        <v>#VALUE!</v>
      </c>
    </row>
    <row r="2352" spans="1:17" ht="15" customHeight="1" x14ac:dyDescent="0.25">
      <c r="A2352" s="244"/>
      <c r="B2352" s="244"/>
      <c r="C2352" s="244"/>
      <c r="D2352" s="244"/>
      <c r="E2352" s="244"/>
      <c r="F2352" s="244"/>
      <c r="G2352" s="244"/>
      <c r="I2352" s="244"/>
      <c r="J2352" s="244"/>
      <c r="K2352" s="246" t="e">
        <f t="shared" si="252"/>
        <v>#VALUE!</v>
      </c>
      <c r="L2352" s="246" t="e">
        <f t="shared" si="253"/>
        <v>#VALUE!</v>
      </c>
      <c r="M2352" s="247" t="e">
        <f t="shared" si="254"/>
        <v>#VALUE!</v>
      </c>
      <c r="N2352" s="246" t="e">
        <f t="shared" si="255"/>
        <v>#VALUE!</v>
      </c>
      <c r="O2352" s="247" t="e">
        <f t="shared" si="256"/>
        <v>#VALUE!</v>
      </c>
      <c r="P2352" s="247">
        <f t="shared" si="257"/>
        <v>0</v>
      </c>
      <c r="Q2352" s="247" t="e">
        <f t="shared" si="258"/>
        <v>#VALUE!</v>
      </c>
    </row>
    <row r="2353" spans="1:17" ht="15" customHeight="1" x14ac:dyDescent="0.25">
      <c r="A2353" s="244"/>
      <c r="B2353" s="244"/>
      <c r="C2353" s="244"/>
      <c r="D2353" s="244"/>
      <c r="E2353" s="244"/>
      <c r="F2353" s="244"/>
      <c r="G2353" s="244"/>
      <c r="I2353" s="244"/>
      <c r="J2353" s="244"/>
      <c r="K2353" s="246" t="e">
        <f t="shared" si="252"/>
        <v>#VALUE!</v>
      </c>
      <c r="L2353" s="246" t="e">
        <f t="shared" si="253"/>
        <v>#VALUE!</v>
      </c>
      <c r="M2353" s="247" t="e">
        <f t="shared" si="254"/>
        <v>#VALUE!</v>
      </c>
      <c r="N2353" s="246" t="e">
        <f t="shared" si="255"/>
        <v>#VALUE!</v>
      </c>
      <c r="O2353" s="247" t="e">
        <f t="shared" si="256"/>
        <v>#VALUE!</v>
      </c>
      <c r="P2353" s="247">
        <f t="shared" si="257"/>
        <v>0</v>
      </c>
      <c r="Q2353" s="247" t="e">
        <f t="shared" si="258"/>
        <v>#VALUE!</v>
      </c>
    </row>
    <row r="2354" spans="1:17" ht="15" customHeight="1" x14ac:dyDescent="0.25">
      <c r="A2354" s="244"/>
      <c r="B2354" s="244"/>
      <c r="C2354" s="244"/>
      <c r="D2354" s="244"/>
      <c r="E2354" s="244"/>
      <c r="F2354" s="244"/>
      <c r="G2354" s="244"/>
      <c r="I2354" s="244"/>
      <c r="J2354" s="244"/>
      <c r="K2354" s="246" t="e">
        <f t="shared" si="252"/>
        <v>#VALUE!</v>
      </c>
      <c r="L2354" s="246" t="e">
        <f t="shared" si="253"/>
        <v>#VALUE!</v>
      </c>
      <c r="M2354" s="247" t="e">
        <f t="shared" si="254"/>
        <v>#VALUE!</v>
      </c>
      <c r="N2354" s="246" t="e">
        <f t="shared" si="255"/>
        <v>#VALUE!</v>
      </c>
      <c r="O2354" s="247" t="e">
        <f t="shared" si="256"/>
        <v>#VALUE!</v>
      </c>
      <c r="P2354" s="247">
        <f t="shared" si="257"/>
        <v>0</v>
      </c>
      <c r="Q2354" s="247" t="e">
        <f t="shared" si="258"/>
        <v>#VALUE!</v>
      </c>
    </row>
    <row r="2355" spans="1:17" ht="15" customHeight="1" x14ac:dyDescent="0.25">
      <c r="A2355" s="244"/>
      <c r="B2355" s="244"/>
      <c r="C2355" s="244"/>
      <c r="D2355" s="244"/>
      <c r="E2355" s="244"/>
      <c r="F2355" s="244"/>
      <c r="G2355" s="244"/>
      <c r="I2355" s="244"/>
      <c r="J2355" s="244"/>
      <c r="K2355" s="246" t="e">
        <f t="shared" si="252"/>
        <v>#VALUE!</v>
      </c>
      <c r="L2355" s="246" t="e">
        <f t="shared" si="253"/>
        <v>#VALUE!</v>
      </c>
      <c r="M2355" s="247" t="e">
        <f t="shared" si="254"/>
        <v>#VALUE!</v>
      </c>
      <c r="N2355" s="246" t="e">
        <f t="shared" si="255"/>
        <v>#VALUE!</v>
      </c>
      <c r="O2355" s="247" t="e">
        <f t="shared" si="256"/>
        <v>#VALUE!</v>
      </c>
      <c r="P2355" s="247">
        <f t="shared" si="257"/>
        <v>0</v>
      </c>
      <c r="Q2355" s="247" t="e">
        <f t="shared" si="258"/>
        <v>#VALUE!</v>
      </c>
    </row>
    <row r="2356" spans="1:17" ht="15" customHeight="1" x14ac:dyDescent="0.25">
      <c r="A2356" s="244"/>
      <c r="B2356" s="244"/>
      <c r="C2356" s="244"/>
      <c r="D2356" s="244"/>
      <c r="E2356" s="244"/>
      <c r="F2356" s="244"/>
      <c r="G2356" s="244"/>
      <c r="I2356" s="244"/>
      <c r="J2356" s="244"/>
      <c r="K2356" s="246" t="e">
        <f t="shared" si="252"/>
        <v>#VALUE!</v>
      </c>
      <c r="L2356" s="246" t="e">
        <f t="shared" si="253"/>
        <v>#VALUE!</v>
      </c>
      <c r="M2356" s="247" t="e">
        <f t="shared" si="254"/>
        <v>#VALUE!</v>
      </c>
      <c r="N2356" s="246" t="e">
        <f t="shared" si="255"/>
        <v>#VALUE!</v>
      </c>
      <c r="O2356" s="247" t="e">
        <f t="shared" si="256"/>
        <v>#VALUE!</v>
      </c>
      <c r="P2356" s="247">
        <f t="shared" si="257"/>
        <v>0</v>
      </c>
      <c r="Q2356" s="247" t="e">
        <f t="shared" si="258"/>
        <v>#VALUE!</v>
      </c>
    </row>
    <row r="2357" spans="1:17" ht="15" customHeight="1" x14ac:dyDescent="0.25">
      <c r="A2357" s="244"/>
      <c r="B2357" s="244"/>
      <c r="C2357" s="244"/>
      <c r="D2357" s="244"/>
      <c r="E2357" s="244"/>
      <c r="F2357" s="244"/>
      <c r="G2357" s="244"/>
      <c r="I2357" s="244"/>
      <c r="J2357" s="244"/>
      <c r="K2357" s="246" t="e">
        <f t="shared" si="252"/>
        <v>#VALUE!</v>
      </c>
      <c r="L2357" s="246" t="e">
        <f t="shared" si="253"/>
        <v>#VALUE!</v>
      </c>
      <c r="M2357" s="247" t="e">
        <f t="shared" si="254"/>
        <v>#VALUE!</v>
      </c>
      <c r="N2357" s="246" t="e">
        <f t="shared" si="255"/>
        <v>#VALUE!</v>
      </c>
      <c r="O2357" s="247" t="e">
        <f t="shared" si="256"/>
        <v>#VALUE!</v>
      </c>
      <c r="P2357" s="247">
        <f t="shared" si="257"/>
        <v>0</v>
      </c>
      <c r="Q2357" s="247" t="e">
        <f t="shared" si="258"/>
        <v>#VALUE!</v>
      </c>
    </row>
    <row r="2358" spans="1:17" ht="15" customHeight="1" x14ac:dyDescent="0.25">
      <c r="A2358" s="244"/>
      <c r="B2358" s="244"/>
      <c r="C2358" s="244"/>
      <c r="D2358" s="244"/>
      <c r="E2358" s="244"/>
      <c r="F2358" s="244"/>
      <c r="G2358" s="244"/>
      <c r="I2358" s="244"/>
      <c r="J2358" s="244"/>
      <c r="K2358" s="246" t="e">
        <f t="shared" si="252"/>
        <v>#VALUE!</v>
      </c>
      <c r="L2358" s="246" t="e">
        <f t="shared" si="253"/>
        <v>#VALUE!</v>
      </c>
      <c r="M2358" s="247" t="e">
        <f t="shared" si="254"/>
        <v>#VALUE!</v>
      </c>
      <c r="N2358" s="246" t="e">
        <f t="shared" si="255"/>
        <v>#VALUE!</v>
      </c>
      <c r="O2358" s="247" t="e">
        <f t="shared" si="256"/>
        <v>#VALUE!</v>
      </c>
      <c r="P2358" s="247">
        <f t="shared" si="257"/>
        <v>0</v>
      </c>
      <c r="Q2358" s="247" t="e">
        <f t="shared" si="258"/>
        <v>#VALUE!</v>
      </c>
    </row>
    <row r="2359" spans="1:17" ht="15" customHeight="1" x14ac:dyDescent="0.25">
      <c r="A2359" s="244"/>
      <c r="B2359" s="244"/>
      <c r="C2359" s="244"/>
      <c r="D2359" s="244"/>
      <c r="E2359" s="244"/>
      <c r="F2359" s="244"/>
      <c r="G2359" s="244"/>
      <c r="I2359" s="244"/>
      <c r="J2359" s="244"/>
      <c r="K2359" s="246" t="e">
        <f t="shared" si="252"/>
        <v>#VALUE!</v>
      </c>
      <c r="L2359" s="246" t="e">
        <f t="shared" si="253"/>
        <v>#VALUE!</v>
      </c>
      <c r="M2359" s="247" t="e">
        <f t="shared" si="254"/>
        <v>#VALUE!</v>
      </c>
      <c r="N2359" s="246" t="e">
        <f t="shared" si="255"/>
        <v>#VALUE!</v>
      </c>
      <c r="O2359" s="247" t="e">
        <f t="shared" si="256"/>
        <v>#VALUE!</v>
      </c>
      <c r="P2359" s="247">
        <f t="shared" si="257"/>
        <v>0</v>
      </c>
      <c r="Q2359" s="247" t="e">
        <f t="shared" si="258"/>
        <v>#VALUE!</v>
      </c>
    </row>
    <row r="2360" spans="1:17" ht="15" customHeight="1" x14ac:dyDescent="0.25">
      <c r="A2360" s="244"/>
      <c r="B2360" s="244"/>
      <c r="C2360" s="244"/>
      <c r="D2360" s="244"/>
      <c r="E2360" s="244"/>
      <c r="F2360" s="244"/>
      <c r="G2360" s="244"/>
      <c r="I2360" s="244"/>
      <c r="J2360" s="244"/>
      <c r="K2360" s="246" t="e">
        <f t="shared" si="252"/>
        <v>#VALUE!</v>
      </c>
      <c r="L2360" s="246" t="e">
        <f t="shared" si="253"/>
        <v>#VALUE!</v>
      </c>
      <c r="M2360" s="247" t="e">
        <f t="shared" si="254"/>
        <v>#VALUE!</v>
      </c>
      <c r="N2360" s="246" t="e">
        <f t="shared" si="255"/>
        <v>#VALUE!</v>
      </c>
      <c r="O2360" s="247" t="e">
        <f t="shared" si="256"/>
        <v>#VALUE!</v>
      </c>
      <c r="P2360" s="247">
        <f t="shared" si="257"/>
        <v>0</v>
      </c>
      <c r="Q2360" s="247" t="e">
        <f t="shared" si="258"/>
        <v>#VALUE!</v>
      </c>
    </row>
    <row r="2361" spans="1:17" ht="15" customHeight="1" x14ac:dyDescent="0.25">
      <c r="A2361" s="244"/>
      <c r="B2361" s="244"/>
      <c r="C2361" s="244"/>
      <c r="D2361" s="244"/>
      <c r="E2361" s="244"/>
      <c r="F2361" s="244"/>
      <c r="G2361" s="244"/>
      <c r="I2361" s="244"/>
      <c r="J2361" s="244"/>
      <c r="K2361" s="246" t="e">
        <f t="shared" si="252"/>
        <v>#VALUE!</v>
      </c>
      <c r="L2361" s="246" t="e">
        <f t="shared" si="253"/>
        <v>#VALUE!</v>
      </c>
      <c r="M2361" s="247" t="e">
        <f t="shared" si="254"/>
        <v>#VALUE!</v>
      </c>
      <c r="N2361" s="246" t="e">
        <f t="shared" si="255"/>
        <v>#VALUE!</v>
      </c>
      <c r="O2361" s="247" t="e">
        <f t="shared" si="256"/>
        <v>#VALUE!</v>
      </c>
      <c r="P2361" s="247">
        <f t="shared" si="257"/>
        <v>0</v>
      </c>
      <c r="Q2361" s="247" t="e">
        <f t="shared" si="258"/>
        <v>#VALUE!</v>
      </c>
    </row>
    <row r="2362" spans="1:17" ht="15" customHeight="1" x14ac:dyDescent="0.25">
      <c r="A2362" s="244"/>
      <c r="B2362" s="244"/>
      <c r="C2362" s="244"/>
      <c r="D2362" s="244"/>
      <c r="E2362" s="244"/>
      <c r="F2362" s="244"/>
      <c r="G2362" s="244"/>
      <c r="I2362" s="244"/>
      <c r="J2362" s="244"/>
      <c r="K2362" s="246" t="e">
        <f t="shared" si="252"/>
        <v>#VALUE!</v>
      </c>
      <c r="L2362" s="246" t="e">
        <f t="shared" si="253"/>
        <v>#VALUE!</v>
      </c>
      <c r="M2362" s="247" t="e">
        <f t="shared" si="254"/>
        <v>#VALUE!</v>
      </c>
      <c r="N2362" s="246" t="e">
        <f t="shared" si="255"/>
        <v>#VALUE!</v>
      </c>
      <c r="O2362" s="247" t="e">
        <f t="shared" si="256"/>
        <v>#VALUE!</v>
      </c>
      <c r="P2362" s="247">
        <f t="shared" si="257"/>
        <v>0</v>
      </c>
      <c r="Q2362" s="247" t="e">
        <f t="shared" si="258"/>
        <v>#VALUE!</v>
      </c>
    </row>
    <row r="2363" spans="1:17" ht="15" customHeight="1" x14ac:dyDescent="0.25">
      <c r="A2363" s="244"/>
      <c r="B2363" s="244"/>
      <c r="C2363" s="244"/>
      <c r="D2363" s="244"/>
      <c r="E2363" s="244"/>
      <c r="F2363" s="244"/>
      <c r="G2363" s="244"/>
      <c r="I2363" s="244"/>
      <c r="J2363" s="244"/>
      <c r="K2363" s="246" t="e">
        <f t="shared" si="252"/>
        <v>#VALUE!</v>
      </c>
      <c r="L2363" s="246" t="e">
        <f t="shared" si="253"/>
        <v>#VALUE!</v>
      </c>
      <c r="M2363" s="247" t="e">
        <f t="shared" si="254"/>
        <v>#VALUE!</v>
      </c>
      <c r="N2363" s="246" t="e">
        <f t="shared" si="255"/>
        <v>#VALUE!</v>
      </c>
      <c r="O2363" s="247" t="e">
        <f t="shared" si="256"/>
        <v>#VALUE!</v>
      </c>
      <c r="P2363" s="247">
        <f t="shared" si="257"/>
        <v>0</v>
      </c>
      <c r="Q2363" s="247" t="e">
        <f t="shared" si="258"/>
        <v>#VALUE!</v>
      </c>
    </row>
    <row r="2364" spans="1:17" ht="15" customHeight="1" x14ac:dyDescent="0.25">
      <c r="A2364" s="244"/>
      <c r="B2364" s="244"/>
      <c r="C2364" s="244"/>
      <c r="D2364" s="244"/>
      <c r="E2364" s="244"/>
      <c r="F2364" s="244"/>
      <c r="G2364" s="244"/>
      <c r="I2364" s="244"/>
      <c r="J2364" s="244"/>
      <c r="K2364" s="246" t="e">
        <f t="shared" si="252"/>
        <v>#VALUE!</v>
      </c>
      <c r="L2364" s="246" t="e">
        <f t="shared" si="253"/>
        <v>#VALUE!</v>
      </c>
      <c r="M2364" s="247" t="e">
        <f t="shared" si="254"/>
        <v>#VALUE!</v>
      </c>
      <c r="N2364" s="246" t="e">
        <f t="shared" si="255"/>
        <v>#VALUE!</v>
      </c>
      <c r="O2364" s="247" t="e">
        <f t="shared" si="256"/>
        <v>#VALUE!</v>
      </c>
      <c r="P2364" s="247">
        <f t="shared" si="257"/>
        <v>0</v>
      </c>
      <c r="Q2364" s="247" t="e">
        <f t="shared" si="258"/>
        <v>#VALUE!</v>
      </c>
    </row>
    <row r="2365" spans="1:17" ht="15" customHeight="1" x14ac:dyDescent="0.25">
      <c r="A2365" s="244"/>
      <c r="B2365" s="244"/>
      <c r="C2365" s="244"/>
      <c r="D2365" s="244"/>
      <c r="E2365" s="244"/>
      <c r="F2365" s="244"/>
      <c r="G2365" s="244"/>
      <c r="I2365" s="244"/>
      <c r="J2365" s="244"/>
      <c r="K2365" s="246" t="e">
        <f t="shared" si="252"/>
        <v>#VALUE!</v>
      </c>
      <c r="L2365" s="246" t="e">
        <f t="shared" si="253"/>
        <v>#VALUE!</v>
      </c>
      <c r="M2365" s="247" t="e">
        <f t="shared" si="254"/>
        <v>#VALUE!</v>
      </c>
      <c r="N2365" s="246" t="e">
        <f t="shared" si="255"/>
        <v>#VALUE!</v>
      </c>
      <c r="O2365" s="247" t="e">
        <f t="shared" si="256"/>
        <v>#VALUE!</v>
      </c>
      <c r="P2365" s="247">
        <f t="shared" si="257"/>
        <v>0</v>
      </c>
      <c r="Q2365" s="247" t="e">
        <f t="shared" si="258"/>
        <v>#VALUE!</v>
      </c>
    </row>
    <row r="2366" spans="1:17" ht="15" customHeight="1" x14ac:dyDescent="0.25">
      <c r="A2366" s="244"/>
      <c r="B2366" s="244"/>
      <c r="C2366" s="244"/>
      <c r="D2366" s="244"/>
      <c r="E2366" s="244"/>
      <c r="F2366" s="244"/>
      <c r="G2366" s="244"/>
      <c r="I2366" s="244"/>
      <c r="J2366" s="244"/>
      <c r="K2366" s="246" t="e">
        <f t="shared" si="252"/>
        <v>#VALUE!</v>
      </c>
      <c r="L2366" s="246" t="e">
        <f t="shared" si="253"/>
        <v>#VALUE!</v>
      </c>
      <c r="M2366" s="247" t="e">
        <f t="shared" si="254"/>
        <v>#VALUE!</v>
      </c>
      <c r="N2366" s="246" t="e">
        <f t="shared" si="255"/>
        <v>#VALUE!</v>
      </c>
      <c r="O2366" s="247" t="e">
        <f t="shared" si="256"/>
        <v>#VALUE!</v>
      </c>
      <c r="P2366" s="247">
        <f t="shared" si="257"/>
        <v>0</v>
      </c>
      <c r="Q2366" s="247" t="e">
        <f t="shared" si="258"/>
        <v>#VALUE!</v>
      </c>
    </row>
    <row r="2367" spans="1:17" ht="15" customHeight="1" x14ac:dyDescent="0.25">
      <c r="A2367" s="244"/>
      <c r="B2367" s="244"/>
      <c r="C2367" s="244"/>
      <c r="D2367" s="244"/>
      <c r="E2367" s="244"/>
      <c r="F2367" s="244"/>
      <c r="G2367" s="244"/>
      <c r="I2367" s="244"/>
      <c r="J2367" s="244"/>
      <c r="K2367" s="246" t="e">
        <f t="shared" si="252"/>
        <v>#VALUE!</v>
      </c>
      <c r="L2367" s="246" t="e">
        <f t="shared" si="253"/>
        <v>#VALUE!</v>
      </c>
      <c r="M2367" s="247" t="e">
        <f t="shared" si="254"/>
        <v>#VALUE!</v>
      </c>
      <c r="N2367" s="246" t="e">
        <f t="shared" si="255"/>
        <v>#VALUE!</v>
      </c>
      <c r="O2367" s="247" t="e">
        <f t="shared" si="256"/>
        <v>#VALUE!</v>
      </c>
      <c r="P2367" s="247">
        <f t="shared" si="257"/>
        <v>0</v>
      </c>
      <c r="Q2367" s="247" t="e">
        <f t="shared" si="258"/>
        <v>#VALUE!</v>
      </c>
    </row>
    <row r="2368" spans="1:17" ht="15" customHeight="1" x14ac:dyDescent="0.25">
      <c r="A2368" s="244"/>
      <c r="B2368" s="244"/>
      <c r="C2368" s="244"/>
      <c r="D2368" s="244"/>
      <c r="E2368" s="244"/>
      <c r="F2368" s="244"/>
      <c r="G2368" s="244"/>
      <c r="I2368" s="244"/>
      <c r="J2368" s="244"/>
      <c r="K2368" s="246" t="e">
        <f t="shared" si="252"/>
        <v>#VALUE!</v>
      </c>
      <c r="L2368" s="246" t="e">
        <f t="shared" si="253"/>
        <v>#VALUE!</v>
      </c>
      <c r="M2368" s="247" t="e">
        <f t="shared" si="254"/>
        <v>#VALUE!</v>
      </c>
      <c r="N2368" s="246" t="e">
        <f t="shared" si="255"/>
        <v>#VALUE!</v>
      </c>
      <c r="O2368" s="247" t="e">
        <f t="shared" si="256"/>
        <v>#VALUE!</v>
      </c>
      <c r="P2368" s="247">
        <f t="shared" si="257"/>
        <v>0</v>
      </c>
      <c r="Q2368" s="247" t="e">
        <f t="shared" si="258"/>
        <v>#VALUE!</v>
      </c>
    </row>
    <row r="2369" spans="1:17" ht="15" customHeight="1" x14ac:dyDescent="0.25">
      <c r="A2369" s="244"/>
      <c r="B2369" s="244"/>
      <c r="C2369" s="244"/>
      <c r="D2369" s="244"/>
      <c r="E2369" s="244"/>
      <c r="F2369" s="244"/>
      <c r="G2369" s="244"/>
      <c r="I2369" s="244"/>
      <c r="J2369" s="244"/>
      <c r="K2369" s="246" t="e">
        <f t="shared" si="252"/>
        <v>#VALUE!</v>
      </c>
      <c r="L2369" s="246" t="e">
        <f t="shared" si="253"/>
        <v>#VALUE!</v>
      </c>
      <c r="M2369" s="247" t="e">
        <f t="shared" si="254"/>
        <v>#VALUE!</v>
      </c>
      <c r="N2369" s="246" t="e">
        <f t="shared" si="255"/>
        <v>#VALUE!</v>
      </c>
      <c r="O2369" s="247" t="e">
        <f t="shared" si="256"/>
        <v>#VALUE!</v>
      </c>
      <c r="P2369" s="247">
        <f t="shared" si="257"/>
        <v>0</v>
      </c>
      <c r="Q2369" s="247" t="e">
        <f t="shared" si="258"/>
        <v>#VALUE!</v>
      </c>
    </row>
    <row r="2370" spans="1:17" ht="15" customHeight="1" x14ac:dyDescent="0.25">
      <c r="A2370" s="244"/>
      <c r="B2370" s="244"/>
      <c r="C2370" s="244"/>
      <c r="D2370" s="244"/>
      <c r="E2370" s="244"/>
      <c r="F2370" s="244"/>
      <c r="G2370" s="244"/>
      <c r="I2370" s="244"/>
      <c r="J2370" s="244"/>
      <c r="K2370" s="246" t="e">
        <f t="shared" ref="K2370:K2433" si="259">DATE(VALUE(LEFT(A2370,4)),VALUE(MID(A2370,5,2)),VALUE(RIGHT(A2370,2)))</f>
        <v>#VALUE!</v>
      </c>
      <c r="L2370" s="246" t="e">
        <f t="shared" ref="L2370:L2433" si="260">DATEVALUE(LEFT(F2370,10))</f>
        <v>#VALUE!</v>
      </c>
      <c r="M2370" s="247" t="e">
        <f t="shared" ref="M2370:M2433" si="261">TIMEVALUE(MID(F2370,12,8))</f>
        <v>#VALUE!</v>
      </c>
      <c r="N2370" s="246" t="e">
        <f t="shared" ref="N2370:N2433" si="262">DATEVALUE(LEFT(G2370,10))</f>
        <v>#VALUE!</v>
      </c>
      <c r="O2370" s="247" t="e">
        <f t="shared" ref="O2370:O2433" si="263">TIMEVALUE(MID(G2370,12,8))</f>
        <v>#VALUE!</v>
      </c>
      <c r="P2370" s="247">
        <f t="shared" ref="P2370:P2433" si="264">IFERROR(_xlfn.MINIFS($M:$M,$E:$E,$E2370,$K:$K,$K2370,$M:$M,"&gt;"&amp;$O2370),"")</f>
        <v>0</v>
      </c>
      <c r="Q2370" s="247" t="e">
        <f t="shared" ref="Q2370:Q2433" si="265">IF($P2370="","",$P2370-$O2370)</f>
        <v>#VALUE!</v>
      </c>
    </row>
    <row r="2371" spans="1:17" ht="15" customHeight="1" x14ac:dyDescent="0.25">
      <c r="A2371" s="244"/>
      <c r="B2371" s="244"/>
      <c r="C2371" s="244"/>
      <c r="D2371" s="244"/>
      <c r="E2371" s="244"/>
      <c r="F2371" s="244"/>
      <c r="G2371" s="244"/>
      <c r="I2371" s="244"/>
      <c r="J2371" s="244"/>
      <c r="K2371" s="246" t="e">
        <f t="shared" si="259"/>
        <v>#VALUE!</v>
      </c>
      <c r="L2371" s="246" t="e">
        <f t="shared" si="260"/>
        <v>#VALUE!</v>
      </c>
      <c r="M2371" s="247" t="e">
        <f t="shared" si="261"/>
        <v>#VALUE!</v>
      </c>
      <c r="N2371" s="246" t="e">
        <f t="shared" si="262"/>
        <v>#VALUE!</v>
      </c>
      <c r="O2371" s="247" t="e">
        <f t="shared" si="263"/>
        <v>#VALUE!</v>
      </c>
      <c r="P2371" s="247">
        <f t="shared" si="264"/>
        <v>0</v>
      </c>
      <c r="Q2371" s="247" t="e">
        <f t="shared" si="265"/>
        <v>#VALUE!</v>
      </c>
    </row>
    <row r="2372" spans="1:17" ht="15" customHeight="1" x14ac:dyDescent="0.25">
      <c r="A2372" s="244"/>
      <c r="B2372" s="244"/>
      <c r="C2372" s="244"/>
      <c r="D2372" s="244"/>
      <c r="E2372" s="244"/>
      <c r="F2372" s="244"/>
      <c r="G2372" s="244"/>
      <c r="I2372" s="244"/>
      <c r="J2372" s="244"/>
      <c r="K2372" s="246" t="e">
        <f t="shared" si="259"/>
        <v>#VALUE!</v>
      </c>
      <c r="L2372" s="246" t="e">
        <f t="shared" si="260"/>
        <v>#VALUE!</v>
      </c>
      <c r="M2372" s="247" t="e">
        <f t="shared" si="261"/>
        <v>#VALUE!</v>
      </c>
      <c r="N2372" s="246" t="e">
        <f t="shared" si="262"/>
        <v>#VALUE!</v>
      </c>
      <c r="O2372" s="247" t="e">
        <f t="shared" si="263"/>
        <v>#VALUE!</v>
      </c>
      <c r="P2372" s="247">
        <f t="shared" si="264"/>
        <v>0</v>
      </c>
      <c r="Q2372" s="247" t="e">
        <f t="shared" si="265"/>
        <v>#VALUE!</v>
      </c>
    </row>
    <row r="2373" spans="1:17" ht="15" customHeight="1" x14ac:dyDescent="0.25">
      <c r="A2373" s="244"/>
      <c r="B2373" s="244"/>
      <c r="C2373" s="244"/>
      <c r="D2373" s="244"/>
      <c r="E2373" s="244"/>
      <c r="F2373" s="244"/>
      <c r="G2373" s="244"/>
      <c r="I2373" s="244"/>
      <c r="J2373" s="244"/>
      <c r="K2373" s="246" t="e">
        <f t="shared" si="259"/>
        <v>#VALUE!</v>
      </c>
      <c r="L2373" s="246" t="e">
        <f t="shared" si="260"/>
        <v>#VALUE!</v>
      </c>
      <c r="M2373" s="247" t="e">
        <f t="shared" si="261"/>
        <v>#VALUE!</v>
      </c>
      <c r="N2373" s="246" t="e">
        <f t="shared" si="262"/>
        <v>#VALUE!</v>
      </c>
      <c r="O2373" s="247" t="e">
        <f t="shared" si="263"/>
        <v>#VALUE!</v>
      </c>
      <c r="P2373" s="247">
        <f t="shared" si="264"/>
        <v>0</v>
      </c>
      <c r="Q2373" s="247" t="e">
        <f t="shared" si="265"/>
        <v>#VALUE!</v>
      </c>
    </row>
    <row r="2374" spans="1:17" ht="15" customHeight="1" x14ac:dyDescent="0.25">
      <c r="A2374" s="244"/>
      <c r="B2374" s="244"/>
      <c r="C2374" s="244"/>
      <c r="D2374" s="244"/>
      <c r="E2374" s="244"/>
      <c r="F2374" s="244"/>
      <c r="G2374" s="244"/>
      <c r="I2374" s="244"/>
      <c r="J2374" s="244"/>
      <c r="K2374" s="246" t="e">
        <f t="shared" si="259"/>
        <v>#VALUE!</v>
      </c>
      <c r="L2374" s="246" t="e">
        <f t="shared" si="260"/>
        <v>#VALUE!</v>
      </c>
      <c r="M2374" s="247" t="e">
        <f t="shared" si="261"/>
        <v>#VALUE!</v>
      </c>
      <c r="N2374" s="246" t="e">
        <f t="shared" si="262"/>
        <v>#VALUE!</v>
      </c>
      <c r="O2374" s="247" t="e">
        <f t="shared" si="263"/>
        <v>#VALUE!</v>
      </c>
      <c r="P2374" s="247">
        <f t="shared" si="264"/>
        <v>0</v>
      </c>
      <c r="Q2374" s="247" t="e">
        <f t="shared" si="265"/>
        <v>#VALUE!</v>
      </c>
    </row>
    <row r="2375" spans="1:17" ht="15" customHeight="1" x14ac:dyDescent="0.25">
      <c r="A2375" s="244"/>
      <c r="B2375" s="244"/>
      <c r="C2375" s="244"/>
      <c r="D2375" s="244"/>
      <c r="E2375" s="244"/>
      <c r="F2375" s="244"/>
      <c r="G2375" s="244"/>
      <c r="I2375" s="244"/>
      <c r="J2375" s="244"/>
      <c r="K2375" s="246" t="e">
        <f t="shared" si="259"/>
        <v>#VALUE!</v>
      </c>
      <c r="L2375" s="246" t="e">
        <f t="shared" si="260"/>
        <v>#VALUE!</v>
      </c>
      <c r="M2375" s="247" t="e">
        <f t="shared" si="261"/>
        <v>#VALUE!</v>
      </c>
      <c r="N2375" s="246" t="e">
        <f t="shared" si="262"/>
        <v>#VALUE!</v>
      </c>
      <c r="O2375" s="247" t="e">
        <f t="shared" si="263"/>
        <v>#VALUE!</v>
      </c>
      <c r="P2375" s="247">
        <f t="shared" si="264"/>
        <v>0</v>
      </c>
      <c r="Q2375" s="247" t="e">
        <f t="shared" si="265"/>
        <v>#VALUE!</v>
      </c>
    </row>
    <row r="2376" spans="1:17" ht="15" customHeight="1" x14ac:dyDescent="0.25">
      <c r="A2376" s="244"/>
      <c r="B2376" s="244"/>
      <c r="C2376" s="244"/>
      <c r="D2376" s="244"/>
      <c r="E2376" s="244"/>
      <c r="F2376" s="244"/>
      <c r="G2376" s="244"/>
      <c r="I2376" s="244"/>
      <c r="J2376" s="244"/>
      <c r="K2376" s="246" t="e">
        <f t="shared" si="259"/>
        <v>#VALUE!</v>
      </c>
      <c r="L2376" s="246" t="e">
        <f t="shared" si="260"/>
        <v>#VALUE!</v>
      </c>
      <c r="M2376" s="247" t="e">
        <f t="shared" si="261"/>
        <v>#VALUE!</v>
      </c>
      <c r="N2376" s="246" t="e">
        <f t="shared" si="262"/>
        <v>#VALUE!</v>
      </c>
      <c r="O2376" s="247" t="e">
        <f t="shared" si="263"/>
        <v>#VALUE!</v>
      </c>
      <c r="P2376" s="247">
        <f t="shared" si="264"/>
        <v>0</v>
      </c>
      <c r="Q2376" s="247" t="e">
        <f t="shared" si="265"/>
        <v>#VALUE!</v>
      </c>
    </row>
    <row r="2377" spans="1:17" ht="15" customHeight="1" x14ac:dyDescent="0.25">
      <c r="A2377" s="244"/>
      <c r="B2377" s="244"/>
      <c r="C2377" s="244"/>
      <c r="D2377" s="244"/>
      <c r="E2377" s="244"/>
      <c r="F2377" s="244"/>
      <c r="G2377" s="244"/>
      <c r="I2377" s="244"/>
      <c r="J2377" s="244"/>
      <c r="K2377" s="246" t="e">
        <f t="shared" si="259"/>
        <v>#VALUE!</v>
      </c>
      <c r="L2377" s="246" t="e">
        <f t="shared" si="260"/>
        <v>#VALUE!</v>
      </c>
      <c r="M2377" s="247" t="e">
        <f t="shared" si="261"/>
        <v>#VALUE!</v>
      </c>
      <c r="N2377" s="246" t="e">
        <f t="shared" si="262"/>
        <v>#VALUE!</v>
      </c>
      <c r="O2377" s="247" t="e">
        <f t="shared" si="263"/>
        <v>#VALUE!</v>
      </c>
      <c r="P2377" s="247">
        <f t="shared" si="264"/>
        <v>0</v>
      </c>
      <c r="Q2377" s="247" t="e">
        <f t="shared" si="265"/>
        <v>#VALUE!</v>
      </c>
    </row>
    <row r="2378" spans="1:17" ht="15" customHeight="1" x14ac:dyDescent="0.25">
      <c r="A2378" s="244"/>
      <c r="B2378" s="244"/>
      <c r="C2378" s="244"/>
      <c r="D2378" s="244"/>
      <c r="E2378" s="244"/>
      <c r="F2378" s="244"/>
      <c r="G2378" s="244"/>
      <c r="I2378" s="244"/>
      <c r="J2378" s="244"/>
      <c r="K2378" s="246" t="e">
        <f t="shared" si="259"/>
        <v>#VALUE!</v>
      </c>
      <c r="L2378" s="246" t="e">
        <f t="shared" si="260"/>
        <v>#VALUE!</v>
      </c>
      <c r="M2378" s="247" t="e">
        <f t="shared" si="261"/>
        <v>#VALUE!</v>
      </c>
      <c r="N2378" s="246" t="e">
        <f t="shared" si="262"/>
        <v>#VALUE!</v>
      </c>
      <c r="O2378" s="247" t="e">
        <f t="shared" si="263"/>
        <v>#VALUE!</v>
      </c>
      <c r="P2378" s="247">
        <f t="shared" si="264"/>
        <v>0</v>
      </c>
      <c r="Q2378" s="247" t="e">
        <f t="shared" si="265"/>
        <v>#VALUE!</v>
      </c>
    </row>
    <row r="2379" spans="1:17" ht="15" customHeight="1" x14ac:dyDescent="0.25">
      <c r="A2379" s="244"/>
      <c r="B2379" s="244"/>
      <c r="C2379" s="244"/>
      <c r="D2379" s="244"/>
      <c r="E2379" s="244"/>
      <c r="F2379" s="244"/>
      <c r="G2379" s="244"/>
      <c r="I2379" s="244"/>
      <c r="J2379" s="244"/>
      <c r="K2379" s="246" t="e">
        <f t="shared" si="259"/>
        <v>#VALUE!</v>
      </c>
      <c r="L2379" s="246" t="e">
        <f t="shared" si="260"/>
        <v>#VALUE!</v>
      </c>
      <c r="M2379" s="247" t="e">
        <f t="shared" si="261"/>
        <v>#VALUE!</v>
      </c>
      <c r="N2379" s="246" t="e">
        <f t="shared" si="262"/>
        <v>#VALUE!</v>
      </c>
      <c r="O2379" s="247" t="e">
        <f t="shared" si="263"/>
        <v>#VALUE!</v>
      </c>
      <c r="P2379" s="247">
        <f t="shared" si="264"/>
        <v>0</v>
      </c>
      <c r="Q2379" s="247" t="e">
        <f t="shared" si="265"/>
        <v>#VALUE!</v>
      </c>
    </row>
    <row r="2380" spans="1:17" ht="15" customHeight="1" x14ac:dyDescent="0.25">
      <c r="A2380" s="244"/>
      <c r="B2380" s="244"/>
      <c r="C2380" s="244"/>
      <c r="D2380" s="244"/>
      <c r="E2380" s="244"/>
      <c r="F2380" s="244"/>
      <c r="G2380" s="244"/>
      <c r="I2380" s="244"/>
      <c r="J2380" s="244"/>
      <c r="K2380" s="246" t="e">
        <f t="shared" si="259"/>
        <v>#VALUE!</v>
      </c>
      <c r="L2380" s="246" t="e">
        <f t="shared" si="260"/>
        <v>#VALUE!</v>
      </c>
      <c r="M2380" s="247" t="e">
        <f t="shared" si="261"/>
        <v>#VALUE!</v>
      </c>
      <c r="N2380" s="246" t="e">
        <f t="shared" si="262"/>
        <v>#VALUE!</v>
      </c>
      <c r="O2380" s="247" t="e">
        <f t="shared" si="263"/>
        <v>#VALUE!</v>
      </c>
      <c r="P2380" s="247">
        <f t="shared" si="264"/>
        <v>0</v>
      </c>
      <c r="Q2380" s="247" t="e">
        <f t="shared" si="265"/>
        <v>#VALUE!</v>
      </c>
    </row>
    <row r="2381" spans="1:17" ht="15" customHeight="1" x14ac:dyDescent="0.25">
      <c r="A2381" s="244"/>
      <c r="B2381" s="244"/>
      <c r="C2381" s="244"/>
      <c r="D2381" s="244"/>
      <c r="E2381" s="244"/>
      <c r="F2381" s="244"/>
      <c r="G2381" s="244"/>
      <c r="I2381" s="244"/>
      <c r="J2381" s="244"/>
      <c r="K2381" s="246" t="e">
        <f t="shared" si="259"/>
        <v>#VALUE!</v>
      </c>
      <c r="L2381" s="246" t="e">
        <f t="shared" si="260"/>
        <v>#VALUE!</v>
      </c>
      <c r="M2381" s="247" t="e">
        <f t="shared" si="261"/>
        <v>#VALUE!</v>
      </c>
      <c r="N2381" s="246" t="e">
        <f t="shared" si="262"/>
        <v>#VALUE!</v>
      </c>
      <c r="O2381" s="247" t="e">
        <f t="shared" si="263"/>
        <v>#VALUE!</v>
      </c>
      <c r="P2381" s="247">
        <f t="shared" si="264"/>
        <v>0</v>
      </c>
      <c r="Q2381" s="247" t="e">
        <f t="shared" si="265"/>
        <v>#VALUE!</v>
      </c>
    </row>
    <row r="2382" spans="1:17" ht="15" customHeight="1" x14ac:dyDescent="0.25">
      <c r="A2382" s="244"/>
      <c r="B2382" s="244"/>
      <c r="C2382" s="244"/>
      <c r="D2382" s="244"/>
      <c r="E2382" s="244"/>
      <c r="F2382" s="244"/>
      <c r="G2382" s="244"/>
      <c r="I2382" s="244"/>
      <c r="J2382" s="244"/>
      <c r="K2382" s="246" t="e">
        <f t="shared" si="259"/>
        <v>#VALUE!</v>
      </c>
      <c r="L2382" s="246" t="e">
        <f t="shared" si="260"/>
        <v>#VALUE!</v>
      </c>
      <c r="M2382" s="247" t="e">
        <f t="shared" si="261"/>
        <v>#VALUE!</v>
      </c>
      <c r="N2382" s="246" t="e">
        <f t="shared" si="262"/>
        <v>#VALUE!</v>
      </c>
      <c r="O2382" s="247" t="e">
        <f t="shared" si="263"/>
        <v>#VALUE!</v>
      </c>
      <c r="P2382" s="247">
        <f t="shared" si="264"/>
        <v>0</v>
      </c>
      <c r="Q2382" s="247" t="e">
        <f t="shared" si="265"/>
        <v>#VALUE!</v>
      </c>
    </row>
    <row r="2383" spans="1:17" ht="15" customHeight="1" x14ac:dyDescent="0.25">
      <c r="A2383" s="244"/>
      <c r="B2383" s="244"/>
      <c r="C2383" s="244"/>
      <c r="D2383" s="244"/>
      <c r="E2383" s="244"/>
      <c r="F2383" s="244"/>
      <c r="G2383" s="244"/>
      <c r="I2383" s="244"/>
      <c r="J2383" s="244"/>
      <c r="K2383" s="246" t="e">
        <f t="shared" si="259"/>
        <v>#VALUE!</v>
      </c>
      <c r="L2383" s="246" t="e">
        <f t="shared" si="260"/>
        <v>#VALUE!</v>
      </c>
      <c r="M2383" s="247" t="e">
        <f t="shared" si="261"/>
        <v>#VALUE!</v>
      </c>
      <c r="N2383" s="246" t="e">
        <f t="shared" si="262"/>
        <v>#VALUE!</v>
      </c>
      <c r="O2383" s="247" t="e">
        <f t="shared" si="263"/>
        <v>#VALUE!</v>
      </c>
      <c r="P2383" s="247">
        <f t="shared" si="264"/>
        <v>0</v>
      </c>
      <c r="Q2383" s="247" t="e">
        <f t="shared" si="265"/>
        <v>#VALUE!</v>
      </c>
    </row>
    <row r="2384" spans="1:17" ht="15" customHeight="1" x14ac:dyDescent="0.25">
      <c r="A2384" s="244"/>
      <c r="B2384" s="244"/>
      <c r="C2384" s="244"/>
      <c r="D2384" s="244"/>
      <c r="E2384" s="244"/>
      <c r="F2384" s="244"/>
      <c r="G2384" s="244"/>
      <c r="I2384" s="244"/>
      <c r="J2384" s="244"/>
      <c r="K2384" s="246" t="e">
        <f t="shared" si="259"/>
        <v>#VALUE!</v>
      </c>
      <c r="L2384" s="246" t="e">
        <f t="shared" si="260"/>
        <v>#VALUE!</v>
      </c>
      <c r="M2384" s="247" t="e">
        <f t="shared" si="261"/>
        <v>#VALUE!</v>
      </c>
      <c r="N2384" s="246" t="e">
        <f t="shared" si="262"/>
        <v>#VALUE!</v>
      </c>
      <c r="O2384" s="247" t="e">
        <f t="shared" si="263"/>
        <v>#VALUE!</v>
      </c>
      <c r="P2384" s="247">
        <f t="shared" si="264"/>
        <v>0</v>
      </c>
      <c r="Q2384" s="247" t="e">
        <f t="shared" si="265"/>
        <v>#VALUE!</v>
      </c>
    </row>
    <row r="2385" spans="1:17" ht="15" customHeight="1" x14ac:dyDescent="0.25">
      <c r="A2385" s="244"/>
      <c r="B2385" s="244"/>
      <c r="C2385" s="244"/>
      <c r="D2385" s="244"/>
      <c r="E2385" s="244"/>
      <c r="F2385" s="244"/>
      <c r="G2385" s="244"/>
      <c r="I2385" s="244"/>
      <c r="J2385" s="244"/>
      <c r="K2385" s="246" t="e">
        <f t="shared" si="259"/>
        <v>#VALUE!</v>
      </c>
      <c r="L2385" s="246" t="e">
        <f t="shared" si="260"/>
        <v>#VALUE!</v>
      </c>
      <c r="M2385" s="247" t="e">
        <f t="shared" si="261"/>
        <v>#VALUE!</v>
      </c>
      <c r="N2385" s="246" t="e">
        <f t="shared" si="262"/>
        <v>#VALUE!</v>
      </c>
      <c r="O2385" s="247" t="e">
        <f t="shared" si="263"/>
        <v>#VALUE!</v>
      </c>
      <c r="P2385" s="247">
        <f t="shared" si="264"/>
        <v>0</v>
      </c>
      <c r="Q2385" s="247" t="e">
        <f t="shared" si="265"/>
        <v>#VALUE!</v>
      </c>
    </row>
    <row r="2386" spans="1:17" ht="15" customHeight="1" x14ac:dyDescent="0.25">
      <c r="A2386" s="244"/>
      <c r="B2386" s="244"/>
      <c r="C2386" s="244"/>
      <c r="D2386" s="244"/>
      <c r="E2386" s="244"/>
      <c r="F2386" s="244"/>
      <c r="G2386" s="244"/>
      <c r="I2386" s="244"/>
      <c r="J2386" s="244"/>
      <c r="K2386" s="246" t="e">
        <f t="shared" si="259"/>
        <v>#VALUE!</v>
      </c>
      <c r="L2386" s="246" t="e">
        <f t="shared" si="260"/>
        <v>#VALUE!</v>
      </c>
      <c r="M2386" s="247" t="e">
        <f t="shared" si="261"/>
        <v>#VALUE!</v>
      </c>
      <c r="N2386" s="246" t="e">
        <f t="shared" si="262"/>
        <v>#VALUE!</v>
      </c>
      <c r="O2386" s="247" t="e">
        <f t="shared" si="263"/>
        <v>#VALUE!</v>
      </c>
      <c r="P2386" s="247">
        <f t="shared" si="264"/>
        <v>0</v>
      </c>
      <c r="Q2386" s="247" t="e">
        <f t="shared" si="265"/>
        <v>#VALUE!</v>
      </c>
    </row>
    <row r="2387" spans="1:17" ht="15" customHeight="1" x14ac:dyDescent="0.25">
      <c r="A2387" s="244"/>
      <c r="B2387" s="244"/>
      <c r="C2387" s="244"/>
      <c r="D2387" s="244"/>
      <c r="E2387" s="244"/>
      <c r="F2387" s="244"/>
      <c r="G2387" s="244"/>
      <c r="I2387" s="244"/>
      <c r="J2387" s="244"/>
      <c r="K2387" s="246" t="e">
        <f t="shared" si="259"/>
        <v>#VALUE!</v>
      </c>
      <c r="L2387" s="246" t="e">
        <f t="shared" si="260"/>
        <v>#VALUE!</v>
      </c>
      <c r="M2387" s="247" t="e">
        <f t="shared" si="261"/>
        <v>#VALUE!</v>
      </c>
      <c r="N2387" s="246" t="e">
        <f t="shared" si="262"/>
        <v>#VALUE!</v>
      </c>
      <c r="O2387" s="247" t="e">
        <f t="shared" si="263"/>
        <v>#VALUE!</v>
      </c>
      <c r="P2387" s="247">
        <f t="shared" si="264"/>
        <v>0</v>
      </c>
      <c r="Q2387" s="247" t="e">
        <f t="shared" si="265"/>
        <v>#VALUE!</v>
      </c>
    </row>
    <row r="2388" spans="1:17" ht="15" customHeight="1" x14ac:dyDescent="0.25">
      <c r="A2388" s="244"/>
      <c r="B2388" s="244"/>
      <c r="C2388" s="244"/>
      <c r="D2388" s="244"/>
      <c r="E2388" s="244"/>
      <c r="F2388" s="244"/>
      <c r="G2388" s="244"/>
      <c r="I2388" s="244"/>
      <c r="J2388" s="244"/>
      <c r="K2388" s="246" t="e">
        <f t="shared" si="259"/>
        <v>#VALUE!</v>
      </c>
      <c r="L2388" s="246" t="e">
        <f t="shared" si="260"/>
        <v>#VALUE!</v>
      </c>
      <c r="M2388" s="247" t="e">
        <f t="shared" si="261"/>
        <v>#VALUE!</v>
      </c>
      <c r="N2388" s="246" t="e">
        <f t="shared" si="262"/>
        <v>#VALUE!</v>
      </c>
      <c r="O2388" s="247" t="e">
        <f t="shared" si="263"/>
        <v>#VALUE!</v>
      </c>
      <c r="P2388" s="247">
        <f t="shared" si="264"/>
        <v>0</v>
      </c>
      <c r="Q2388" s="247" t="e">
        <f t="shared" si="265"/>
        <v>#VALUE!</v>
      </c>
    </row>
    <row r="2389" spans="1:17" ht="15" customHeight="1" x14ac:dyDescent="0.25">
      <c r="A2389" s="244"/>
      <c r="B2389" s="244"/>
      <c r="C2389" s="244"/>
      <c r="D2389" s="244"/>
      <c r="E2389" s="244"/>
      <c r="F2389" s="244"/>
      <c r="G2389" s="244"/>
      <c r="I2389" s="244"/>
      <c r="J2389" s="244"/>
      <c r="K2389" s="246" t="e">
        <f t="shared" si="259"/>
        <v>#VALUE!</v>
      </c>
      <c r="L2389" s="246" t="e">
        <f t="shared" si="260"/>
        <v>#VALUE!</v>
      </c>
      <c r="M2389" s="247" t="e">
        <f t="shared" si="261"/>
        <v>#VALUE!</v>
      </c>
      <c r="N2389" s="246" t="e">
        <f t="shared" si="262"/>
        <v>#VALUE!</v>
      </c>
      <c r="O2389" s="247" t="e">
        <f t="shared" si="263"/>
        <v>#VALUE!</v>
      </c>
      <c r="P2389" s="247">
        <f t="shared" si="264"/>
        <v>0</v>
      </c>
      <c r="Q2389" s="247" t="e">
        <f t="shared" si="265"/>
        <v>#VALUE!</v>
      </c>
    </row>
    <row r="2390" spans="1:17" ht="15" customHeight="1" x14ac:dyDescent="0.25">
      <c r="A2390" s="244"/>
      <c r="B2390" s="244"/>
      <c r="C2390" s="244"/>
      <c r="D2390" s="244"/>
      <c r="E2390" s="244"/>
      <c r="F2390" s="244"/>
      <c r="G2390" s="244"/>
      <c r="I2390" s="244"/>
      <c r="J2390" s="244"/>
      <c r="K2390" s="246" t="e">
        <f t="shared" si="259"/>
        <v>#VALUE!</v>
      </c>
      <c r="L2390" s="246" t="e">
        <f t="shared" si="260"/>
        <v>#VALUE!</v>
      </c>
      <c r="M2390" s="247" t="e">
        <f t="shared" si="261"/>
        <v>#VALUE!</v>
      </c>
      <c r="N2390" s="246" t="e">
        <f t="shared" si="262"/>
        <v>#VALUE!</v>
      </c>
      <c r="O2390" s="247" t="e">
        <f t="shared" si="263"/>
        <v>#VALUE!</v>
      </c>
      <c r="P2390" s="247">
        <f t="shared" si="264"/>
        <v>0</v>
      </c>
      <c r="Q2390" s="247" t="e">
        <f t="shared" si="265"/>
        <v>#VALUE!</v>
      </c>
    </row>
    <row r="2391" spans="1:17" ht="15" customHeight="1" x14ac:dyDescent="0.25">
      <c r="A2391" s="244"/>
      <c r="B2391" s="244"/>
      <c r="C2391" s="244"/>
      <c r="D2391" s="244"/>
      <c r="E2391" s="244"/>
      <c r="F2391" s="244"/>
      <c r="G2391" s="244"/>
      <c r="I2391" s="244"/>
      <c r="J2391" s="244"/>
      <c r="K2391" s="246" t="e">
        <f t="shared" si="259"/>
        <v>#VALUE!</v>
      </c>
      <c r="L2391" s="246" t="e">
        <f t="shared" si="260"/>
        <v>#VALUE!</v>
      </c>
      <c r="M2391" s="247" t="e">
        <f t="shared" si="261"/>
        <v>#VALUE!</v>
      </c>
      <c r="N2391" s="246" t="e">
        <f t="shared" si="262"/>
        <v>#VALUE!</v>
      </c>
      <c r="O2391" s="247" t="e">
        <f t="shared" si="263"/>
        <v>#VALUE!</v>
      </c>
      <c r="P2391" s="247">
        <f t="shared" si="264"/>
        <v>0</v>
      </c>
      <c r="Q2391" s="247" t="e">
        <f t="shared" si="265"/>
        <v>#VALUE!</v>
      </c>
    </row>
    <row r="2392" spans="1:17" ht="15" customHeight="1" x14ac:dyDescent="0.25">
      <c r="A2392" s="244"/>
      <c r="B2392" s="244"/>
      <c r="C2392" s="244"/>
      <c r="D2392" s="244"/>
      <c r="E2392" s="244"/>
      <c r="F2392" s="244"/>
      <c r="G2392" s="244"/>
      <c r="I2392" s="244"/>
      <c r="J2392" s="244"/>
      <c r="K2392" s="246" t="e">
        <f t="shared" si="259"/>
        <v>#VALUE!</v>
      </c>
      <c r="L2392" s="246" t="e">
        <f t="shared" si="260"/>
        <v>#VALUE!</v>
      </c>
      <c r="M2392" s="247" t="e">
        <f t="shared" si="261"/>
        <v>#VALUE!</v>
      </c>
      <c r="N2392" s="246" t="e">
        <f t="shared" si="262"/>
        <v>#VALUE!</v>
      </c>
      <c r="O2392" s="247" t="e">
        <f t="shared" si="263"/>
        <v>#VALUE!</v>
      </c>
      <c r="P2392" s="247">
        <f t="shared" si="264"/>
        <v>0</v>
      </c>
      <c r="Q2392" s="247" t="e">
        <f t="shared" si="265"/>
        <v>#VALUE!</v>
      </c>
    </row>
    <row r="2393" spans="1:17" ht="15" customHeight="1" x14ac:dyDescent="0.25">
      <c r="A2393" s="244"/>
      <c r="B2393" s="244"/>
      <c r="C2393" s="244"/>
      <c r="D2393" s="244"/>
      <c r="E2393" s="244"/>
      <c r="F2393" s="244"/>
      <c r="G2393" s="244"/>
      <c r="I2393" s="244"/>
      <c r="J2393" s="244"/>
      <c r="K2393" s="246" t="e">
        <f t="shared" si="259"/>
        <v>#VALUE!</v>
      </c>
      <c r="L2393" s="246" t="e">
        <f t="shared" si="260"/>
        <v>#VALUE!</v>
      </c>
      <c r="M2393" s="247" t="e">
        <f t="shared" si="261"/>
        <v>#VALUE!</v>
      </c>
      <c r="N2393" s="246" t="e">
        <f t="shared" si="262"/>
        <v>#VALUE!</v>
      </c>
      <c r="O2393" s="247" t="e">
        <f t="shared" si="263"/>
        <v>#VALUE!</v>
      </c>
      <c r="P2393" s="247">
        <f t="shared" si="264"/>
        <v>0</v>
      </c>
      <c r="Q2393" s="247" t="e">
        <f t="shared" si="265"/>
        <v>#VALUE!</v>
      </c>
    </row>
    <row r="2394" spans="1:17" ht="15" customHeight="1" x14ac:dyDescent="0.25">
      <c r="A2394" s="244"/>
      <c r="B2394" s="244"/>
      <c r="C2394" s="244"/>
      <c r="D2394" s="244"/>
      <c r="E2394" s="244"/>
      <c r="F2394" s="244"/>
      <c r="G2394" s="244"/>
      <c r="I2394" s="244"/>
      <c r="J2394" s="244"/>
      <c r="K2394" s="246" t="e">
        <f t="shared" si="259"/>
        <v>#VALUE!</v>
      </c>
      <c r="L2394" s="246" t="e">
        <f t="shared" si="260"/>
        <v>#VALUE!</v>
      </c>
      <c r="M2394" s="247" t="e">
        <f t="shared" si="261"/>
        <v>#VALUE!</v>
      </c>
      <c r="N2394" s="246" t="e">
        <f t="shared" si="262"/>
        <v>#VALUE!</v>
      </c>
      <c r="O2394" s="247" t="e">
        <f t="shared" si="263"/>
        <v>#VALUE!</v>
      </c>
      <c r="P2394" s="247">
        <f t="shared" si="264"/>
        <v>0</v>
      </c>
      <c r="Q2394" s="247" t="e">
        <f t="shared" si="265"/>
        <v>#VALUE!</v>
      </c>
    </row>
    <row r="2395" spans="1:17" ht="15" customHeight="1" x14ac:dyDescent="0.25">
      <c r="A2395" s="244"/>
      <c r="B2395" s="244"/>
      <c r="C2395" s="244"/>
      <c r="D2395" s="244"/>
      <c r="E2395" s="244"/>
      <c r="F2395" s="244"/>
      <c r="G2395" s="244"/>
      <c r="I2395" s="244"/>
      <c r="J2395" s="244"/>
      <c r="K2395" s="246" t="e">
        <f t="shared" si="259"/>
        <v>#VALUE!</v>
      </c>
      <c r="L2395" s="246" t="e">
        <f t="shared" si="260"/>
        <v>#VALUE!</v>
      </c>
      <c r="M2395" s="247" t="e">
        <f t="shared" si="261"/>
        <v>#VALUE!</v>
      </c>
      <c r="N2395" s="246" t="e">
        <f t="shared" si="262"/>
        <v>#VALUE!</v>
      </c>
      <c r="O2395" s="247" t="e">
        <f t="shared" si="263"/>
        <v>#VALUE!</v>
      </c>
      <c r="P2395" s="247">
        <f t="shared" si="264"/>
        <v>0</v>
      </c>
      <c r="Q2395" s="247" t="e">
        <f t="shared" si="265"/>
        <v>#VALUE!</v>
      </c>
    </row>
    <row r="2396" spans="1:17" ht="15" customHeight="1" x14ac:dyDescent="0.25">
      <c r="A2396" s="244"/>
      <c r="B2396" s="244"/>
      <c r="C2396" s="244"/>
      <c r="D2396" s="244"/>
      <c r="E2396" s="244"/>
      <c r="F2396" s="244"/>
      <c r="G2396" s="244"/>
      <c r="I2396" s="244"/>
      <c r="J2396" s="244"/>
      <c r="K2396" s="246" t="e">
        <f t="shared" si="259"/>
        <v>#VALUE!</v>
      </c>
      <c r="L2396" s="246" t="e">
        <f t="shared" si="260"/>
        <v>#VALUE!</v>
      </c>
      <c r="M2396" s="247" t="e">
        <f t="shared" si="261"/>
        <v>#VALUE!</v>
      </c>
      <c r="N2396" s="246" t="e">
        <f t="shared" si="262"/>
        <v>#VALUE!</v>
      </c>
      <c r="O2396" s="247" t="e">
        <f t="shared" si="263"/>
        <v>#VALUE!</v>
      </c>
      <c r="P2396" s="247">
        <f t="shared" si="264"/>
        <v>0</v>
      </c>
      <c r="Q2396" s="247" t="e">
        <f t="shared" si="265"/>
        <v>#VALUE!</v>
      </c>
    </row>
    <row r="2397" spans="1:17" ht="15" customHeight="1" x14ac:dyDescent="0.25">
      <c r="A2397" s="244"/>
      <c r="B2397" s="244"/>
      <c r="C2397" s="244"/>
      <c r="D2397" s="244"/>
      <c r="E2397" s="244"/>
      <c r="F2397" s="244"/>
      <c r="G2397" s="244"/>
      <c r="I2397" s="244"/>
      <c r="J2397" s="244"/>
      <c r="K2397" s="246" t="e">
        <f t="shared" si="259"/>
        <v>#VALUE!</v>
      </c>
      <c r="L2397" s="246" t="e">
        <f t="shared" si="260"/>
        <v>#VALUE!</v>
      </c>
      <c r="M2397" s="247" t="e">
        <f t="shared" si="261"/>
        <v>#VALUE!</v>
      </c>
      <c r="N2397" s="246" t="e">
        <f t="shared" si="262"/>
        <v>#VALUE!</v>
      </c>
      <c r="O2397" s="247" t="e">
        <f t="shared" si="263"/>
        <v>#VALUE!</v>
      </c>
      <c r="P2397" s="247">
        <f t="shared" si="264"/>
        <v>0</v>
      </c>
      <c r="Q2397" s="247" t="e">
        <f t="shared" si="265"/>
        <v>#VALUE!</v>
      </c>
    </row>
    <row r="2398" spans="1:17" ht="15" customHeight="1" x14ac:dyDescent="0.25">
      <c r="A2398" s="244"/>
      <c r="B2398" s="244"/>
      <c r="C2398" s="244"/>
      <c r="D2398" s="244"/>
      <c r="E2398" s="244"/>
      <c r="F2398" s="244"/>
      <c r="G2398" s="244"/>
      <c r="I2398" s="244"/>
      <c r="J2398" s="244"/>
      <c r="K2398" s="246" t="e">
        <f t="shared" si="259"/>
        <v>#VALUE!</v>
      </c>
      <c r="L2398" s="246" t="e">
        <f t="shared" si="260"/>
        <v>#VALUE!</v>
      </c>
      <c r="M2398" s="247" t="e">
        <f t="shared" si="261"/>
        <v>#VALUE!</v>
      </c>
      <c r="N2398" s="246" t="e">
        <f t="shared" si="262"/>
        <v>#VALUE!</v>
      </c>
      <c r="O2398" s="247" t="e">
        <f t="shared" si="263"/>
        <v>#VALUE!</v>
      </c>
      <c r="P2398" s="247">
        <f t="shared" si="264"/>
        <v>0</v>
      </c>
      <c r="Q2398" s="247" t="e">
        <f t="shared" si="265"/>
        <v>#VALUE!</v>
      </c>
    </row>
    <row r="2399" spans="1:17" ht="15" customHeight="1" x14ac:dyDescent="0.25">
      <c r="A2399" s="244"/>
      <c r="B2399" s="244"/>
      <c r="C2399" s="244"/>
      <c r="D2399" s="244"/>
      <c r="E2399" s="244"/>
      <c r="F2399" s="244"/>
      <c r="G2399" s="244"/>
      <c r="I2399" s="244"/>
      <c r="J2399" s="244"/>
      <c r="K2399" s="246" t="e">
        <f t="shared" si="259"/>
        <v>#VALUE!</v>
      </c>
      <c r="L2399" s="246" t="e">
        <f t="shared" si="260"/>
        <v>#VALUE!</v>
      </c>
      <c r="M2399" s="247" t="e">
        <f t="shared" si="261"/>
        <v>#VALUE!</v>
      </c>
      <c r="N2399" s="246" t="e">
        <f t="shared" si="262"/>
        <v>#VALUE!</v>
      </c>
      <c r="O2399" s="247" t="e">
        <f t="shared" si="263"/>
        <v>#VALUE!</v>
      </c>
      <c r="P2399" s="247">
        <f t="shared" si="264"/>
        <v>0</v>
      </c>
      <c r="Q2399" s="247" t="e">
        <f t="shared" si="265"/>
        <v>#VALUE!</v>
      </c>
    </row>
    <row r="2400" spans="1:17" ht="15" customHeight="1" x14ac:dyDescent="0.25">
      <c r="A2400" s="244"/>
      <c r="B2400" s="244"/>
      <c r="C2400" s="244"/>
      <c r="D2400" s="244"/>
      <c r="E2400" s="244"/>
      <c r="F2400" s="244"/>
      <c r="G2400" s="244"/>
      <c r="I2400" s="244"/>
      <c r="J2400" s="244"/>
      <c r="K2400" s="246" t="e">
        <f t="shared" si="259"/>
        <v>#VALUE!</v>
      </c>
      <c r="L2400" s="246" t="e">
        <f t="shared" si="260"/>
        <v>#VALUE!</v>
      </c>
      <c r="M2400" s="247" t="e">
        <f t="shared" si="261"/>
        <v>#VALUE!</v>
      </c>
      <c r="N2400" s="246" t="e">
        <f t="shared" si="262"/>
        <v>#VALUE!</v>
      </c>
      <c r="O2400" s="247" t="e">
        <f t="shared" si="263"/>
        <v>#VALUE!</v>
      </c>
      <c r="P2400" s="247">
        <f t="shared" si="264"/>
        <v>0</v>
      </c>
      <c r="Q2400" s="247" t="e">
        <f t="shared" si="265"/>
        <v>#VALUE!</v>
      </c>
    </row>
    <row r="2401" spans="1:17" ht="15" customHeight="1" x14ac:dyDescent="0.25">
      <c r="A2401" s="244"/>
      <c r="B2401" s="244"/>
      <c r="C2401" s="244"/>
      <c r="D2401" s="244"/>
      <c r="E2401" s="244"/>
      <c r="F2401" s="244"/>
      <c r="G2401" s="244"/>
      <c r="I2401" s="244"/>
      <c r="J2401" s="244"/>
      <c r="K2401" s="246" t="e">
        <f t="shared" si="259"/>
        <v>#VALUE!</v>
      </c>
      <c r="L2401" s="246" t="e">
        <f t="shared" si="260"/>
        <v>#VALUE!</v>
      </c>
      <c r="M2401" s="247" t="e">
        <f t="shared" si="261"/>
        <v>#VALUE!</v>
      </c>
      <c r="N2401" s="246" t="e">
        <f t="shared" si="262"/>
        <v>#VALUE!</v>
      </c>
      <c r="O2401" s="247" t="e">
        <f t="shared" si="263"/>
        <v>#VALUE!</v>
      </c>
      <c r="P2401" s="247">
        <f t="shared" si="264"/>
        <v>0</v>
      </c>
      <c r="Q2401" s="247" t="e">
        <f t="shared" si="265"/>
        <v>#VALUE!</v>
      </c>
    </row>
    <row r="2402" spans="1:17" ht="15" customHeight="1" x14ac:dyDescent="0.25">
      <c r="A2402" s="244"/>
      <c r="B2402" s="244"/>
      <c r="C2402" s="244"/>
      <c r="D2402" s="244"/>
      <c r="E2402" s="244"/>
      <c r="F2402" s="244"/>
      <c r="G2402" s="244"/>
      <c r="I2402" s="244"/>
      <c r="J2402" s="244"/>
      <c r="K2402" s="246" t="e">
        <f t="shared" si="259"/>
        <v>#VALUE!</v>
      </c>
      <c r="L2402" s="246" t="e">
        <f t="shared" si="260"/>
        <v>#VALUE!</v>
      </c>
      <c r="M2402" s="247" t="e">
        <f t="shared" si="261"/>
        <v>#VALUE!</v>
      </c>
      <c r="N2402" s="246" t="e">
        <f t="shared" si="262"/>
        <v>#VALUE!</v>
      </c>
      <c r="O2402" s="247" t="e">
        <f t="shared" si="263"/>
        <v>#VALUE!</v>
      </c>
      <c r="P2402" s="247">
        <f t="shared" si="264"/>
        <v>0</v>
      </c>
      <c r="Q2402" s="247" t="e">
        <f t="shared" si="265"/>
        <v>#VALUE!</v>
      </c>
    </row>
    <row r="2403" spans="1:17" ht="15" customHeight="1" x14ac:dyDescent="0.25">
      <c r="A2403" s="244"/>
      <c r="B2403" s="244"/>
      <c r="C2403" s="244"/>
      <c r="D2403" s="244"/>
      <c r="E2403" s="244"/>
      <c r="F2403" s="244"/>
      <c r="G2403" s="244"/>
      <c r="I2403" s="244"/>
      <c r="J2403" s="244"/>
      <c r="K2403" s="246" t="e">
        <f t="shared" si="259"/>
        <v>#VALUE!</v>
      </c>
      <c r="L2403" s="246" t="e">
        <f t="shared" si="260"/>
        <v>#VALUE!</v>
      </c>
      <c r="M2403" s="247" t="e">
        <f t="shared" si="261"/>
        <v>#VALUE!</v>
      </c>
      <c r="N2403" s="246" t="e">
        <f t="shared" si="262"/>
        <v>#VALUE!</v>
      </c>
      <c r="O2403" s="247" t="e">
        <f t="shared" si="263"/>
        <v>#VALUE!</v>
      </c>
      <c r="P2403" s="247">
        <f t="shared" si="264"/>
        <v>0</v>
      </c>
      <c r="Q2403" s="247" t="e">
        <f t="shared" si="265"/>
        <v>#VALUE!</v>
      </c>
    </row>
    <row r="2404" spans="1:17" ht="15" customHeight="1" x14ac:dyDescent="0.25">
      <c r="A2404" s="244"/>
      <c r="B2404" s="244"/>
      <c r="C2404" s="244"/>
      <c r="D2404" s="244"/>
      <c r="E2404" s="244"/>
      <c r="F2404" s="244"/>
      <c r="G2404" s="244"/>
      <c r="I2404" s="244"/>
      <c r="J2404" s="244"/>
      <c r="K2404" s="246" t="e">
        <f t="shared" si="259"/>
        <v>#VALUE!</v>
      </c>
      <c r="L2404" s="246" t="e">
        <f t="shared" si="260"/>
        <v>#VALUE!</v>
      </c>
      <c r="M2404" s="247" t="e">
        <f t="shared" si="261"/>
        <v>#VALUE!</v>
      </c>
      <c r="N2404" s="246" t="e">
        <f t="shared" si="262"/>
        <v>#VALUE!</v>
      </c>
      <c r="O2404" s="247" t="e">
        <f t="shared" si="263"/>
        <v>#VALUE!</v>
      </c>
      <c r="P2404" s="247">
        <f t="shared" si="264"/>
        <v>0</v>
      </c>
      <c r="Q2404" s="247" t="e">
        <f t="shared" si="265"/>
        <v>#VALUE!</v>
      </c>
    </row>
    <row r="2405" spans="1:17" ht="15" customHeight="1" x14ac:dyDescent="0.25">
      <c r="A2405" s="244"/>
      <c r="B2405" s="244"/>
      <c r="C2405" s="244"/>
      <c r="D2405" s="244"/>
      <c r="E2405" s="244"/>
      <c r="F2405" s="244"/>
      <c r="G2405" s="244"/>
      <c r="I2405" s="244"/>
      <c r="J2405" s="244"/>
      <c r="K2405" s="246" t="e">
        <f t="shared" si="259"/>
        <v>#VALUE!</v>
      </c>
      <c r="L2405" s="246" t="e">
        <f t="shared" si="260"/>
        <v>#VALUE!</v>
      </c>
      <c r="M2405" s="247" t="e">
        <f t="shared" si="261"/>
        <v>#VALUE!</v>
      </c>
      <c r="N2405" s="246" t="e">
        <f t="shared" si="262"/>
        <v>#VALUE!</v>
      </c>
      <c r="O2405" s="247" t="e">
        <f t="shared" si="263"/>
        <v>#VALUE!</v>
      </c>
      <c r="P2405" s="247">
        <f t="shared" si="264"/>
        <v>0</v>
      </c>
      <c r="Q2405" s="247" t="e">
        <f t="shared" si="265"/>
        <v>#VALUE!</v>
      </c>
    </row>
    <row r="2406" spans="1:17" ht="15" customHeight="1" x14ac:dyDescent="0.25">
      <c r="A2406" s="244"/>
      <c r="B2406" s="244"/>
      <c r="C2406" s="244"/>
      <c r="D2406" s="244"/>
      <c r="E2406" s="244"/>
      <c r="F2406" s="244"/>
      <c r="G2406" s="244"/>
      <c r="I2406" s="244"/>
      <c r="J2406" s="244"/>
      <c r="K2406" s="246" t="e">
        <f t="shared" si="259"/>
        <v>#VALUE!</v>
      </c>
      <c r="L2406" s="246" t="e">
        <f t="shared" si="260"/>
        <v>#VALUE!</v>
      </c>
      <c r="M2406" s="247" t="e">
        <f t="shared" si="261"/>
        <v>#VALUE!</v>
      </c>
      <c r="N2406" s="246" t="e">
        <f t="shared" si="262"/>
        <v>#VALUE!</v>
      </c>
      <c r="O2406" s="247" t="e">
        <f t="shared" si="263"/>
        <v>#VALUE!</v>
      </c>
      <c r="P2406" s="247">
        <f t="shared" si="264"/>
        <v>0</v>
      </c>
      <c r="Q2406" s="247" t="e">
        <f t="shared" si="265"/>
        <v>#VALUE!</v>
      </c>
    </row>
    <row r="2407" spans="1:17" ht="15" customHeight="1" x14ac:dyDescent="0.25">
      <c r="A2407" s="244"/>
      <c r="B2407" s="244"/>
      <c r="C2407" s="244"/>
      <c r="D2407" s="244"/>
      <c r="E2407" s="244"/>
      <c r="F2407" s="244"/>
      <c r="G2407" s="244"/>
      <c r="I2407" s="244"/>
      <c r="J2407" s="244"/>
      <c r="K2407" s="246" t="e">
        <f t="shared" si="259"/>
        <v>#VALUE!</v>
      </c>
      <c r="L2407" s="246" t="e">
        <f t="shared" si="260"/>
        <v>#VALUE!</v>
      </c>
      <c r="M2407" s="247" t="e">
        <f t="shared" si="261"/>
        <v>#VALUE!</v>
      </c>
      <c r="N2407" s="246" t="e">
        <f t="shared" si="262"/>
        <v>#VALUE!</v>
      </c>
      <c r="O2407" s="247" t="e">
        <f t="shared" si="263"/>
        <v>#VALUE!</v>
      </c>
      <c r="P2407" s="247">
        <f t="shared" si="264"/>
        <v>0</v>
      </c>
      <c r="Q2407" s="247" t="e">
        <f t="shared" si="265"/>
        <v>#VALUE!</v>
      </c>
    </row>
    <row r="2408" spans="1:17" ht="15" customHeight="1" x14ac:dyDescent="0.25">
      <c r="A2408" s="244"/>
      <c r="B2408" s="244"/>
      <c r="C2408" s="244"/>
      <c r="D2408" s="244"/>
      <c r="E2408" s="244"/>
      <c r="F2408" s="244"/>
      <c r="G2408" s="244"/>
      <c r="I2408" s="244"/>
      <c r="J2408" s="244"/>
      <c r="K2408" s="246" t="e">
        <f t="shared" si="259"/>
        <v>#VALUE!</v>
      </c>
      <c r="L2408" s="246" t="e">
        <f t="shared" si="260"/>
        <v>#VALUE!</v>
      </c>
      <c r="M2408" s="247" t="e">
        <f t="shared" si="261"/>
        <v>#VALUE!</v>
      </c>
      <c r="N2408" s="246" t="e">
        <f t="shared" si="262"/>
        <v>#VALUE!</v>
      </c>
      <c r="O2408" s="247" t="e">
        <f t="shared" si="263"/>
        <v>#VALUE!</v>
      </c>
      <c r="P2408" s="247">
        <f t="shared" si="264"/>
        <v>0</v>
      </c>
      <c r="Q2408" s="247" t="e">
        <f t="shared" si="265"/>
        <v>#VALUE!</v>
      </c>
    </row>
    <row r="2409" spans="1:17" ht="15" customHeight="1" x14ac:dyDescent="0.25">
      <c r="A2409" s="244"/>
      <c r="B2409" s="244"/>
      <c r="C2409" s="244"/>
      <c r="D2409" s="244"/>
      <c r="E2409" s="244"/>
      <c r="F2409" s="244"/>
      <c r="G2409" s="244"/>
      <c r="I2409" s="244"/>
      <c r="J2409" s="244"/>
      <c r="K2409" s="246" t="e">
        <f t="shared" si="259"/>
        <v>#VALUE!</v>
      </c>
      <c r="L2409" s="246" t="e">
        <f t="shared" si="260"/>
        <v>#VALUE!</v>
      </c>
      <c r="M2409" s="247" t="e">
        <f t="shared" si="261"/>
        <v>#VALUE!</v>
      </c>
      <c r="N2409" s="246" t="e">
        <f t="shared" si="262"/>
        <v>#VALUE!</v>
      </c>
      <c r="O2409" s="247" t="e">
        <f t="shared" si="263"/>
        <v>#VALUE!</v>
      </c>
      <c r="P2409" s="247">
        <f t="shared" si="264"/>
        <v>0</v>
      </c>
      <c r="Q2409" s="247" t="e">
        <f t="shared" si="265"/>
        <v>#VALUE!</v>
      </c>
    </row>
    <row r="2410" spans="1:17" ht="15" customHeight="1" x14ac:dyDescent="0.25">
      <c r="A2410" s="244"/>
      <c r="B2410" s="244"/>
      <c r="C2410" s="244"/>
      <c r="D2410" s="244"/>
      <c r="E2410" s="244"/>
      <c r="F2410" s="244"/>
      <c r="G2410" s="244"/>
      <c r="I2410" s="244"/>
      <c r="J2410" s="244"/>
      <c r="K2410" s="246" t="e">
        <f t="shared" si="259"/>
        <v>#VALUE!</v>
      </c>
      <c r="L2410" s="246" t="e">
        <f t="shared" si="260"/>
        <v>#VALUE!</v>
      </c>
      <c r="M2410" s="247" t="e">
        <f t="shared" si="261"/>
        <v>#VALUE!</v>
      </c>
      <c r="N2410" s="246" t="e">
        <f t="shared" si="262"/>
        <v>#VALUE!</v>
      </c>
      <c r="O2410" s="247" t="e">
        <f t="shared" si="263"/>
        <v>#VALUE!</v>
      </c>
      <c r="P2410" s="247">
        <f t="shared" si="264"/>
        <v>0</v>
      </c>
      <c r="Q2410" s="247" t="e">
        <f t="shared" si="265"/>
        <v>#VALUE!</v>
      </c>
    </row>
    <row r="2411" spans="1:17" ht="15" customHeight="1" x14ac:dyDescent="0.25">
      <c r="A2411" s="244"/>
      <c r="B2411" s="244"/>
      <c r="C2411" s="244"/>
      <c r="D2411" s="244"/>
      <c r="E2411" s="244"/>
      <c r="F2411" s="244"/>
      <c r="G2411" s="244"/>
      <c r="I2411" s="244"/>
      <c r="J2411" s="244"/>
      <c r="K2411" s="246" t="e">
        <f t="shared" si="259"/>
        <v>#VALUE!</v>
      </c>
      <c r="L2411" s="246" t="e">
        <f t="shared" si="260"/>
        <v>#VALUE!</v>
      </c>
      <c r="M2411" s="247" t="e">
        <f t="shared" si="261"/>
        <v>#VALUE!</v>
      </c>
      <c r="N2411" s="246" t="e">
        <f t="shared" si="262"/>
        <v>#VALUE!</v>
      </c>
      <c r="O2411" s="247" t="e">
        <f t="shared" si="263"/>
        <v>#VALUE!</v>
      </c>
      <c r="P2411" s="247">
        <f t="shared" si="264"/>
        <v>0</v>
      </c>
      <c r="Q2411" s="247" t="e">
        <f t="shared" si="265"/>
        <v>#VALUE!</v>
      </c>
    </row>
    <row r="2412" spans="1:17" ht="15" customHeight="1" x14ac:dyDescent="0.25">
      <c r="A2412" s="244"/>
      <c r="B2412" s="244"/>
      <c r="C2412" s="244"/>
      <c r="D2412" s="244"/>
      <c r="E2412" s="244"/>
      <c r="F2412" s="244"/>
      <c r="G2412" s="244"/>
      <c r="I2412" s="244"/>
      <c r="J2412" s="244"/>
      <c r="K2412" s="246" t="e">
        <f t="shared" si="259"/>
        <v>#VALUE!</v>
      </c>
      <c r="L2412" s="246" t="e">
        <f t="shared" si="260"/>
        <v>#VALUE!</v>
      </c>
      <c r="M2412" s="247" t="e">
        <f t="shared" si="261"/>
        <v>#VALUE!</v>
      </c>
      <c r="N2412" s="246" t="e">
        <f t="shared" si="262"/>
        <v>#VALUE!</v>
      </c>
      <c r="O2412" s="247" t="e">
        <f t="shared" si="263"/>
        <v>#VALUE!</v>
      </c>
      <c r="P2412" s="247">
        <f t="shared" si="264"/>
        <v>0</v>
      </c>
      <c r="Q2412" s="247" t="e">
        <f t="shared" si="265"/>
        <v>#VALUE!</v>
      </c>
    </row>
    <row r="2413" spans="1:17" ht="15" customHeight="1" x14ac:dyDescent="0.25">
      <c r="A2413" s="244"/>
      <c r="B2413" s="244"/>
      <c r="C2413" s="244"/>
      <c r="D2413" s="244"/>
      <c r="E2413" s="244"/>
      <c r="F2413" s="244"/>
      <c r="G2413" s="244"/>
      <c r="I2413" s="244"/>
      <c r="J2413" s="244"/>
      <c r="K2413" s="246" t="e">
        <f t="shared" si="259"/>
        <v>#VALUE!</v>
      </c>
      <c r="L2413" s="246" t="e">
        <f t="shared" si="260"/>
        <v>#VALUE!</v>
      </c>
      <c r="M2413" s="247" t="e">
        <f t="shared" si="261"/>
        <v>#VALUE!</v>
      </c>
      <c r="N2413" s="246" t="e">
        <f t="shared" si="262"/>
        <v>#VALUE!</v>
      </c>
      <c r="O2413" s="247" t="e">
        <f t="shared" si="263"/>
        <v>#VALUE!</v>
      </c>
      <c r="P2413" s="247">
        <f t="shared" si="264"/>
        <v>0</v>
      </c>
      <c r="Q2413" s="247" t="e">
        <f t="shared" si="265"/>
        <v>#VALUE!</v>
      </c>
    </row>
    <row r="2414" spans="1:17" ht="15" customHeight="1" x14ac:dyDescent="0.25">
      <c r="A2414" s="244"/>
      <c r="B2414" s="244"/>
      <c r="C2414" s="244"/>
      <c r="D2414" s="244"/>
      <c r="E2414" s="244"/>
      <c r="F2414" s="244"/>
      <c r="G2414" s="244"/>
      <c r="I2414" s="244"/>
      <c r="J2414" s="244"/>
      <c r="K2414" s="246" t="e">
        <f t="shared" si="259"/>
        <v>#VALUE!</v>
      </c>
      <c r="L2414" s="246" t="e">
        <f t="shared" si="260"/>
        <v>#VALUE!</v>
      </c>
      <c r="M2414" s="247" t="e">
        <f t="shared" si="261"/>
        <v>#VALUE!</v>
      </c>
      <c r="N2414" s="246" t="e">
        <f t="shared" si="262"/>
        <v>#VALUE!</v>
      </c>
      <c r="O2414" s="247" t="e">
        <f t="shared" si="263"/>
        <v>#VALUE!</v>
      </c>
      <c r="P2414" s="247">
        <f t="shared" si="264"/>
        <v>0</v>
      </c>
      <c r="Q2414" s="247" t="e">
        <f t="shared" si="265"/>
        <v>#VALUE!</v>
      </c>
    </row>
    <row r="2415" spans="1:17" ht="15" customHeight="1" x14ac:dyDescent="0.25">
      <c r="A2415" s="244"/>
      <c r="B2415" s="244"/>
      <c r="C2415" s="244"/>
      <c r="D2415" s="244"/>
      <c r="E2415" s="244"/>
      <c r="F2415" s="244"/>
      <c r="G2415" s="244"/>
      <c r="I2415" s="244"/>
      <c r="J2415" s="244"/>
      <c r="K2415" s="246" t="e">
        <f t="shared" si="259"/>
        <v>#VALUE!</v>
      </c>
      <c r="L2415" s="246" t="e">
        <f t="shared" si="260"/>
        <v>#VALUE!</v>
      </c>
      <c r="M2415" s="247" t="e">
        <f t="shared" si="261"/>
        <v>#VALUE!</v>
      </c>
      <c r="N2415" s="246" t="e">
        <f t="shared" si="262"/>
        <v>#VALUE!</v>
      </c>
      <c r="O2415" s="247" t="e">
        <f t="shared" si="263"/>
        <v>#VALUE!</v>
      </c>
      <c r="P2415" s="247">
        <f t="shared" si="264"/>
        <v>0</v>
      </c>
      <c r="Q2415" s="247" t="e">
        <f t="shared" si="265"/>
        <v>#VALUE!</v>
      </c>
    </row>
    <row r="2416" spans="1:17" ht="15" customHeight="1" x14ac:dyDescent="0.25">
      <c r="A2416" s="244"/>
      <c r="B2416" s="244"/>
      <c r="C2416" s="244"/>
      <c r="D2416" s="244"/>
      <c r="E2416" s="244"/>
      <c r="F2416" s="244"/>
      <c r="G2416" s="244"/>
      <c r="I2416" s="244"/>
      <c r="J2416" s="244"/>
      <c r="K2416" s="246" t="e">
        <f t="shared" si="259"/>
        <v>#VALUE!</v>
      </c>
      <c r="L2416" s="246" t="e">
        <f t="shared" si="260"/>
        <v>#VALUE!</v>
      </c>
      <c r="M2416" s="247" t="e">
        <f t="shared" si="261"/>
        <v>#VALUE!</v>
      </c>
      <c r="N2416" s="246" t="e">
        <f t="shared" si="262"/>
        <v>#VALUE!</v>
      </c>
      <c r="O2416" s="247" t="e">
        <f t="shared" si="263"/>
        <v>#VALUE!</v>
      </c>
      <c r="P2416" s="247">
        <f t="shared" si="264"/>
        <v>0</v>
      </c>
      <c r="Q2416" s="247" t="e">
        <f t="shared" si="265"/>
        <v>#VALUE!</v>
      </c>
    </row>
    <row r="2417" spans="1:17" ht="15" customHeight="1" x14ac:dyDescent="0.25">
      <c r="A2417" s="244"/>
      <c r="B2417" s="244"/>
      <c r="C2417" s="244"/>
      <c r="D2417" s="244"/>
      <c r="E2417" s="244"/>
      <c r="F2417" s="244"/>
      <c r="G2417" s="244"/>
      <c r="I2417" s="244"/>
      <c r="J2417" s="244"/>
      <c r="K2417" s="246" t="e">
        <f t="shared" si="259"/>
        <v>#VALUE!</v>
      </c>
      <c r="L2417" s="246" t="e">
        <f t="shared" si="260"/>
        <v>#VALUE!</v>
      </c>
      <c r="M2417" s="247" t="e">
        <f t="shared" si="261"/>
        <v>#VALUE!</v>
      </c>
      <c r="N2417" s="246" t="e">
        <f t="shared" si="262"/>
        <v>#VALUE!</v>
      </c>
      <c r="O2417" s="247" t="e">
        <f t="shared" si="263"/>
        <v>#VALUE!</v>
      </c>
      <c r="P2417" s="247">
        <f t="shared" si="264"/>
        <v>0</v>
      </c>
      <c r="Q2417" s="247" t="e">
        <f t="shared" si="265"/>
        <v>#VALUE!</v>
      </c>
    </row>
    <row r="2418" spans="1:17" ht="15" customHeight="1" x14ac:dyDescent="0.25">
      <c r="A2418" s="244"/>
      <c r="B2418" s="244"/>
      <c r="C2418" s="244"/>
      <c r="D2418" s="244"/>
      <c r="E2418" s="244"/>
      <c r="F2418" s="244"/>
      <c r="G2418" s="244"/>
      <c r="I2418" s="244"/>
      <c r="J2418" s="244"/>
      <c r="K2418" s="246" t="e">
        <f t="shared" si="259"/>
        <v>#VALUE!</v>
      </c>
      <c r="L2418" s="246" t="e">
        <f t="shared" si="260"/>
        <v>#VALUE!</v>
      </c>
      <c r="M2418" s="247" t="e">
        <f t="shared" si="261"/>
        <v>#VALUE!</v>
      </c>
      <c r="N2418" s="246" t="e">
        <f t="shared" si="262"/>
        <v>#VALUE!</v>
      </c>
      <c r="O2418" s="247" t="e">
        <f t="shared" si="263"/>
        <v>#VALUE!</v>
      </c>
      <c r="P2418" s="247">
        <f t="shared" si="264"/>
        <v>0</v>
      </c>
      <c r="Q2418" s="247" t="e">
        <f t="shared" si="265"/>
        <v>#VALUE!</v>
      </c>
    </row>
    <row r="2419" spans="1:17" ht="15" customHeight="1" x14ac:dyDescent="0.25">
      <c r="A2419" s="244"/>
      <c r="B2419" s="244"/>
      <c r="C2419" s="244"/>
      <c r="D2419" s="244"/>
      <c r="E2419" s="244"/>
      <c r="F2419" s="244"/>
      <c r="G2419" s="244"/>
      <c r="I2419" s="244"/>
      <c r="J2419" s="244"/>
      <c r="K2419" s="246" t="e">
        <f t="shared" si="259"/>
        <v>#VALUE!</v>
      </c>
      <c r="L2419" s="246" t="e">
        <f t="shared" si="260"/>
        <v>#VALUE!</v>
      </c>
      <c r="M2419" s="247" t="e">
        <f t="shared" si="261"/>
        <v>#VALUE!</v>
      </c>
      <c r="N2419" s="246" t="e">
        <f t="shared" si="262"/>
        <v>#VALUE!</v>
      </c>
      <c r="O2419" s="247" t="e">
        <f t="shared" si="263"/>
        <v>#VALUE!</v>
      </c>
      <c r="P2419" s="247">
        <f t="shared" si="264"/>
        <v>0</v>
      </c>
      <c r="Q2419" s="247" t="e">
        <f t="shared" si="265"/>
        <v>#VALUE!</v>
      </c>
    </row>
    <row r="2420" spans="1:17" ht="15" customHeight="1" x14ac:dyDescent="0.25">
      <c r="A2420" s="244"/>
      <c r="B2420" s="244"/>
      <c r="C2420" s="244"/>
      <c r="D2420" s="244"/>
      <c r="E2420" s="244"/>
      <c r="F2420" s="244"/>
      <c r="G2420" s="244"/>
      <c r="I2420" s="244"/>
      <c r="J2420" s="244"/>
      <c r="K2420" s="246" t="e">
        <f t="shared" si="259"/>
        <v>#VALUE!</v>
      </c>
      <c r="L2420" s="246" t="e">
        <f t="shared" si="260"/>
        <v>#VALUE!</v>
      </c>
      <c r="M2420" s="247" t="e">
        <f t="shared" si="261"/>
        <v>#VALUE!</v>
      </c>
      <c r="N2420" s="246" t="e">
        <f t="shared" si="262"/>
        <v>#VALUE!</v>
      </c>
      <c r="O2420" s="247" t="e">
        <f t="shared" si="263"/>
        <v>#VALUE!</v>
      </c>
      <c r="P2420" s="247">
        <f t="shared" si="264"/>
        <v>0</v>
      </c>
      <c r="Q2420" s="247" t="e">
        <f t="shared" si="265"/>
        <v>#VALUE!</v>
      </c>
    </row>
    <row r="2421" spans="1:17" ht="15" customHeight="1" x14ac:dyDescent="0.25">
      <c r="A2421" s="244"/>
      <c r="B2421" s="244"/>
      <c r="C2421" s="244"/>
      <c r="D2421" s="244"/>
      <c r="E2421" s="244"/>
      <c r="F2421" s="244"/>
      <c r="G2421" s="244"/>
      <c r="I2421" s="244"/>
      <c r="J2421" s="244"/>
      <c r="K2421" s="246" t="e">
        <f t="shared" si="259"/>
        <v>#VALUE!</v>
      </c>
      <c r="L2421" s="246" t="e">
        <f t="shared" si="260"/>
        <v>#VALUE!</v>
      </c>
      <c r="M2421" s="247" t="e">
        <f t="shared" si="261"/>
        <v>#VALUE!</v>
      </c>
      <c r="N2421" s="246" t="e">
        <f t="shared" si="262"/>
        <v>#VALUE!</v>
      </c>
      <c r="O2421" s="247" t="e">
        <f t="shared" si="263"/>
        <v>#VALUE!</v>
      </c>
      <c r="P2421" s="247">
        <f t="shared" si="264"/>
        <v>0</v>
      </c>
      <c r="Q2421" s="247" t="e">
        <f t="shared" si="265"/>
        <v>#VALUE!</v>
      </c>
    </row>
    <row r="2422" spans="1:17" ht="15" customHeight="1" x14ac:dyDescent="0.25">
      <c r="A2422" s="244"/>
      <c r="B2422" s="244"/>
      <c r="C2422" s="244"/>
      <c r="D2422" s="244"/>
      <c r="E2422" s="244"/>
      <c r="F2422" s="244"/>
      <c r="G2422" s="244"/>
      <c r="I2422" s="244"/>
      <c r="J2422" s="244"/>
      <c r="K2422" s="246" t="e">
        <f t="shared" si="259"/>
        <v>#VALUE!</v>
      </c>
      <c r="L2422" s="246" t="e">
        <f t="shared" si="260"/>
        <v>#VALUE!</v>
      </c>
      <c r="M2422" s="247" t="e">
        <f t="shared" si="261"/>
        <v>#VALUE!</v>
      </c>
      <c r="N2422" s="246" t="e">
        <f t="shared" si="262"/>
        <v>#VALUE!</v>
      </c>
      <c r="O2422" s="247" t="e">
        <f t="shared" si="263"/>
        <v>#VALUE!</v>
      </c>
      <c r="P2422" s="247">
        <f t="shared" si="264"/>
        <v>0</v>
      </c>
      <c r="Q2422" s="247" t="e">
        <f t="shared" si="265"/>
        <v>#VALUE!</v>
      </c>
    </row>
    <row r="2423" spans="1:17" ht="15" customHeight="1" x14ac:dyDescent="0.25">
      <c r="A2423" s="244"/>
      <c r="B2423" s="244"/>
      <c r="C2423" s="244"/>
      <c r="D2423" s="244"/>
      <c r="E2423" s="244"/>
      <c r="F2423" s="244"/>
      <c r="G2423" s="244"/>
      <c r="I2423" s="244"/>
      <c r="J2423" s="244"/>
      <c r="K2423" s="246" t="e">
        <f t="shared" si="259"/>
        <v>#VALUE!</v>
      </c>
      <c r="L2423" s="246" t="e">
        <f t="shared" si="260"/>
        <v>#VALUE!</v>
      </c>
      <c r="M2423" s="247" t="e">
        <f t="shared" si="261"/>
        <v>#VALUE!</v>
      </c>
      <c r="N2423" s="246" t="e">
        <f t="shared" si="262"/>
        <v>#VALUE!</v>
      </c>
      <c r="O2423" s="247" t="e">
        <f t="shared" si="263"/>
        <v>#VALUE!</v>
      </c>
      <c r="P2423" s="247">
        <f t="shared" si="264"/>
        <v>0</v>
      </c>
      <c r="Q2423" s="247" t="e">
        <f t="shared" si="265"/>
        <v>#VALUE!</v>
      </c>
    </row>
    <row r="2424" spans="1:17" ht="15" customHeight="1" x14ac:dyDescent="0.25">
      <c r="A2424" s="244"/>
      <c r="B2424" s="244"/>
      <c r="C2424" s="244"/>
      <c r="D2424" s="244"/>
      <c r="E2424" s="244"/>
      <c r="F2424" s="244"/>
      <c r="G2424" s="244"/>
      <c r="I2424" s="244"/>
      <c r="J2424" s="244"/>
      <c r="K2424" s="246" t="e">
        <f t="shared" si="259"/>
        <v>#VALUE!</v>
      </c>
      <c r="L2424" s="246" t="e">
        <f t="shared" si="260"/>
        <v>#VALUE!</v>
      </c>
      <c r="M2424" s="247" t="e">
        <f t="shared" si="261"/>
        <v>#VALUE!</v>
      </c>
      <c r="N2424" s="246" t="e">
        <f t="shared" si="262"/>
        <v>#VALUE!</v>
      </c>
      <c r="O2424" s="247" t="e">
        <f t="shared" si="263"/>
        <v>#VALUE!</v>
      </c>
      <c r="P2424" s="247">
        <f t="shared" si="264"/>
        <v>0</v>
      </c>
      <c r="Q2424" s="247" t="e">
        <f t="shared" si="265"/>
        <v>#VALUE!</v>
      </c>
    </row>
    <row r="2425" spans="1:17" ht="15" customHeight="1" x14ac:dyDescent="0.25">
      <c r="A2425" s="244"/>
      <c r="B2425" s="244"/>
      <c r="C2425" s="244"/>
      <c r="D2425" s="244"/>
      <c r="E2425" s="244"/>
      <c r="F2425" s="244"/>
      <c r="G2425" s="244"/>
      <c r="I2425" s="244"/>
      <c r="J2425" s="244"/>
      <c r="K2425" s="246" t="e">
        <f t="shared" si="259"/>
        <v>#VALUE!</v>
      </c>
      <c r="L2425" s="246" t="e">
        <f t="shared" si="260"/>
        <v>#VALUE!</v>
      </c>
      <c r="M2425" s="247" t="e">
        <f t="shared" si="261"/>
        <v>#VALUE!</v>
      </c>
      <c r="N2425" s="246" t="e">
        <f t="shared" si="262"/>
        <v>#VALUE!</v>
      </c>
      <c r="O2425" s="247" t="e">
        <f t="shared" si="263"/>
        <v>#VALUE!</v>
      </c>
      <c r="P2425" s="247">
        <f t="shared" si="264"/>
        <v>0</v>
      </c>
      <c r="Q2425" s="247" t="e">
        <f t="shared" si="265"/>
        <v>#VALUE!</v>
      </c>
    </row>
    <row r="2426" spans="1:17" ht="15" customHeight="1" x14ac:dyDescent="0.25">
      <c r="A2426" s="244"/>
      <c r="B2426" s="244"/>
      <c r="C2426" s="244"/>
      <c r="D2426" s="244"/>
      <c r="E2426" s="244"/>
      <c r="F2426" s="244"/>
      <c r="G2426" s="244"/>
      <c r="I2426" s="244"/>
      <c r="J2426" s="244"/>
      <c r="K2426" s="246" t="e">
        <f t="shared" si="259"/>
        <v>#VALUE!</v>
      </c>
      <c r="L2426" s="246" t="e">
        <f t="shared" si="260"/>
        <v>#VALUE!</v>
      </c>
      <c r="M2426" s="247" t="e">
        <f t="shared" si="261"/>
        <v>#VALUE!</v>
      </c>
      <c r="N2426" s="246" t="e">
        <f t="shared" si="262"/>
        <v>#VALUE!</v>
      </c>
      <c r="O2426" s="247" t="e">
        <f t="shared" si="263"/>
        <v>#VALUE!</v>
      </c>
      <c r="P2426" s="247">
        <f t="shared" si="264"/>
        <v>0</v>
      </c>
      <c r="Q2426" s="247" t="e">
        <f t="shared" si="265"/>
        <v>#VALUE!</v>
      </c>
    </row>
    <row r="2427" spans="1:17" ht="15" customHeight="1" x14ac:dyDescent="0.25">
      <c r="A2427" s="244"/>
      <c r="B2427" s="244"/>
      <c r="C2427" s="244"/>
      <c r="D2427" s="244"/>
      <c r="E2427" s="244"/>
      <c r="F2427" s="244"/>
      <c r="G2427" s="244"/>
      <c r="I2427" s="244"/>
      <c r="J2427" s="244"/>
      <c r="K2427" s="246" t="e">
        <f t="shared" si="259"/>
        <v>#VALUE!</v>
      </c>
      <c r="L2427" s="246" t="e">
        <f t="shared" si="260"/>
        <v>#VALUE!</v>
      </c>
      <c r="M2427" s="247" t="e">
        <f t="shared" si="261"/>
        <v>#VALUE!</v>
      </c>
      <c r="N2427" s="246" t="e">
        <f t="shared" si="262"/>
        <v>#VALUE!</v>
      </c>
      <c r="O2427" s="247" t="e">
        <f t="shared" si="263"/>
        <v>#VALUE!</v>
      </c>
      <c r="P2427" s="247">
        <f t="shared" si="264"/>
        <v>0</v>
      </c>
      <c r="Q2427" s="247" t="e">
        <f t="shared" si="265"/>
        <v>#VALUE!</v>
      </c>
    </row>
    <row r="2428" spans="1:17" ht="15" customHeight="1" x14ac:dyDescent="0.25">
      <c r="A2428" s="244"/>
      <c r="B2428" s="244"/>
      <c r="C2428" s="244"/>
      <c r="D2428" s="244"/>
      <c r="E2428" s="244"/>
      <c r="F2428" s="244"/>
      <c r="G2428" s="244"/>
      <c r="I2428" s="244"/>
      <c r="J2428" s="244"/>
      <c r="K2428" s="246" t="e">
        <f t="shared" si="259"/>
        <v>#VALUE!</v>
      </c>
      <c r="L2428" s="246" t="e">
        <f t="shared" si="260"/>
        <v>#VALUE!</v>
      </c>
      <c r="M2428" s="247" t="e">
        <f t="shared" si="261"/>
        <v>#VALUE!</v>
      </c>
      <c r="N2428" s="246" t="e">
        <f t="shared" si="262"/>
        <v>#VALUE!</v>
      </c>
      <c r="O2428" s="247" t="e">
        <f t="shared" si="263"/>
        <v>#VALUE!</v>
      </c>
      <c r="P2428" s="247">
        <f t="shared" si="264"/>
        <v>0</v>
      </c>
      <c r="Q2428" s="247" t="e">
        <f t="shared" si="265"/>
        <v>#VALUE!</v>
      </c>
    </row>
    <row r="2429" spans="1:17" ht="15" customHeight="1" x14ac:dyDescent="0.25">
      <c r="A2429" s="244"/>
      <c r="B2429" s="244"/>
      <c r="C2429" s="244"/>
      <c r="D2429" s="244"/>
      <c r="E2429" s="244"/>
      <c r="F2429" s="244"/>
      <c r="G2429" s="244"/>
      <c r="I2429" s="244"/>
      <c r="J2429" s="244"/>
      <c r="K2429" s="246" t="e">
        <f t="shared" si="259"/>
        <v>#VALUE!</v>
      </c>
      <c r="L2429" s="246" t="e">
        <f t="shared" si="260"/>
        <v>#VALUE!</v>
      </c>
      <c r="M2429" s="247" t="e">
        <f t="shared" si="261"/>
        <v>#VALUE!</v>
      </c>
      <c r="N2429" s="246" t="e">
        <f t="shared" si="262"/>
        <v>#VALUE!</v>
      </c>
      <c r="O2429" s="247" t="e">
        <f t="shared" si="263"/>
        <v>#VALUE!</v>
      </c>
      <c r="P2429" s="247">
        <f t="shared" si="264"/>
        <v>0</v>
      </c>
      <c r="Q2429" s="247" t="e">
        <f t="shared" si="265"/>
        <v>#VALUE!</v>
      </c>
    </row>
    <row r="2430" spans="1:17" ht="15" customHeight="1" x14ac:dyDescent="0.25">
      <c r="A2430" s="244"/>
      <c r="B2430" s="244"/>
      <c r="C2430" s="244"/>
      <c r="D2430" s="244"/>
      <c r="E2430" s="244"/>
      <c r="F2430" s="244"/>
      <c r="G2430" s="244"/>
      <c r="I2430" s="244"/>
      <c r="J2430" s="244"/>
      <c r="K2430" s="246" t="e">
        <f t="shared" si="259"/>
        <v>#VALUE!</v>
      </c>
      <c r="L2430" s="246" t="e">
        <f t="shared" si="260"/>
        <v>#VALUE!</v>
      </c>
      <c r="M2430" s="247" t="e">
        <f t="shared" si="261"/>
        <v>#VALUE!</v>
      </c>
      <c r="N2430" s="246" t="e">
        <f t="shared" si="262"/>
        <v>#VALUE!</v>
      </c>
      <c r="O2430" s="247" t="e">
        <f t="shared" si="263"/>
        <v>#VALUE!</v>
      </c>
      <c r="P2430" s="247">
        <f t="shared" si="264"/>
        <v>0</v>
      </c>
      <c r="Q2430" s="247" t="e">
        <f t="shared" si="265"/>
        <v>#VALUE!</v>
      </c>
    </row>
    <row r="2431" spans="1:17" ht="15" customHeight="1" x14ac:dyDescent="0.25">
      <c r="A2431" s="244"/>
      <c r="B2431" s="244"/>
      <c r="C2431" s="244"/>
      <c r="D2431" s="244"/>
      <c r="E2431" s="244"/>
      <c r="F2431" s="244"/>
      <c r="G2431" s="244"/>
      <c r="I2431" s="244"/>
      <c r="J2431" s="244"/>
      <c r="K2431" s="246" t="e">
        <f t="shared" si="259"/>
        <v>#VALUE!</v>
      </c>
      <c r="L2431" s="246" t="e">
        <f t="shared" si="260"/>
        <v>#VALUE!</v>
      </c>
      <c r="M2431" s="247" t="e">
        <f t="shared" si="261"/>
        <v>#VALUE!</v>
      </c>
      <c r="N2431" s="246" t="e">
        <f t="shared" si="262"/>
        <v>#VALUE!</v>
      </c>
      <c r="O2431" s="247" t="e">
        <f t="shared" si="263"/>
        <v>#VALUE!</v>
      </c>
      <c r="P2431" s="247">
        <f t="shared" si="264"/>
        <v>0</v>
      </c>
      <c r="Q2431" s="247" t="e">
        <f t="shared" si="265"/>
        <v>#VALUE!</v>
      </c>
    </row>
    <row r="2432" spans="1:17" ht="15" customHeight="1" x14ac:dyDescent="0.25">
      <c r="A2432" s="244"/>
      <c r="B2432" s="244"/>
      <c r="C2432" s="244"/>
      <c r="D2432" s="244"/>
      <c r="E2432" s="244"/>
      <c r="F2432" s="244"/>
      <c r="G2432" s="244"/>
      <c r="I2432" s="244"/>
      <c r="J2432" s="244"/>
      <c r="K2432" s="246" t="e">
        <f t="shared" si="259"/>
        <v>#VALUE!</v>
      </c>
      <c r="L2432" s="246" t="e">
        <f t="shared" si="260"/>
        <v>#VALUE!</v>
      </c>
      <c r="M2432" s="247" t="e">
        <f t="shared" si="261"/>
        <v>#VALUE!</v>
      </c>
      <c r="N2432" s="246" t="e">
        <f t="shared" si="262"/>
        <v>#VALUE!</v>
      </c>
      <c r="O2432" s="247" t="e">
        <f t="shared" si="263"/>
        <v>#VALUE!</v>
      </c>
      <c r="P2432" s="247">
        <f t="shared" si="264"/>
        <v>0</v>
      </c>
      <c r="Q2432" s="247" t="e">
        <f t="shared" si="265"/>
        <v>#VALUE!</v>
      </c>
    </row>
    <row r="2433" spans="1:17" ht="15" customHeight="1" x14ac:dyDescent="0.25">
      <c r="A2433" s="244"/>
      <c r="B2433" s="244"/>
      <c r="C2433" s="244"/>
      <c r="D2433" s="244"/>
      <c r="E2433" s="244"/>
      <c r="F2433" s="244"/>
      <c r="G2433" s="244"/>
      <c r="I2433" s="244"/>
      <c r="J2433" s="244"/>
      <c r="K2433" s="246" t="e">
        <f t="shared" si="259"/>
        <v>#VALUE!</v>
      </c>
      <c r="L2433" s="246" t="e">
        <f t="shared" si="260"/>
        <v>#VALUE!</v>
      </c>
      <c r="M2433" s="247" t="e">
        <f t="shared" si="261"/>
        <v>#VALUE!</v>
      </c>
      <c r="N2433" s="246" t="e">
        <f t="shared" si="262"/>
        <v>#VALUE!</v>
      </c>
      <c r="O2433" s="247" t="e">
        <f t="shared" si="263"/>
        <v>#VALUE!</v>
      </c>
      <c r="P2433" s="247">
        <f t="shared" si="264"/>
        <v>0</v>
      </c>
      <c r="Q2433" s="247" t="e">
        <f t="shared" si="265"/>
        <v>#VALUE!</v>
      </c>
    </row>
    <row r="2434" spans="1:17" ht="15" customHeight="1" x14ac:dyDescent="0.25">
      <c r="A2434" s="244"/>
      <c r="B2434" s="244"/>
      <c r="C2434" s="244"/>
      <c r="D2434" s="244"/>
      <c r="E2434" s="244"/>
      <c r="F2434" s="244"/>
      <c r="G2434" s="244"/>
      <c r="I2434" s="244"/>
      <c r="J2434" s="244"/>
      <c r="K2434" s="246" t="e">
        <f t="shared" ref="K2434:K2497" si="266">DATE(VALUE(LEFT(A2434,4)),VALUE(MID(A2434,5,2)),VALUE(RIGHT(A2434,2)))</f>
        <v>#VALUE!</v>
      </c>
      <c r="L2434" s="246" t="e">
        <f t="shared" ref="L2434:L2497" si="267">DATEVALUE(LEFT(F2434,10))</f>
        <v>#VALUE!</v>
      </c>
      <c r="M2434" s="247" t="e">
        <f t="shared" ref="M2434:M2497" si="268">TIMEVALUE(MID(F2434,12,8))</f>
        <v>#VALUE!</v>
      </c>
      <c r="N2434" s="246" t="e">
        <f t="shared" ref="N2434:N2497" si="269">DATEVALUE(LEFT(G2434,10))</f>
        <v>#VALUE!</v>
      </c>
      <c r="O2434" s="247" t="e">
        <f t="shared" ref="O2434:O2497" si="270">TIMEVALUE(MID(G2434,12,8))</f>
        <v>#VALUE!</v>
      </c>
      <c r="P2434" s="247">
        <f t="shared" ref="P2434:P2497" si="271">IFERROR(_xlfn.MINIFS($M:$M,$E:$E,$E2434,$K:$K,$K2434,$M:$M,"&gt;"&amp;$O2434),"")</f>
        <v>0</v>
      </c>
      <c r="Q2434" s="247" t="e">
        <f t="shared" ref="Q2434:Q2497" si="272">IF($P2434="","",$P2434-$O2434)</f>
        <v>#VALUE!</v>
      </c>
    </row>
    <row r="2435" spans="1:17" ht="15" customHeight="1" x14ac:dyDescent="0.25">
      <c r="A2435" s="244"/>
      <c r="B2435" s="244"/>
      <c r="C2435" s="244"/>
      <c r="D2435" s="244"/>
      <c r="E2435" s="244"/>
      <c r="F2435" s="244"/>
      <c r="G2435" s="244"/>
      <c r="I2435" s="244"/>
      <c r="J2435" s="244"/>
      <c r="K2435" s="246" t="e">
        <f t="shared" si="266"/>
        <v>#VALUE!</v>
      </c>
      <c r="L2435" s="246" t="e">
        <f t="shared" si="267"/>
        <v>#VALUE!</v>
      </c>
      <c r="M2435" s="247" t="e">
        <f t="shared" si="268"/>
        <v>#VALUE!</v>
      </c>
      <c r="N2435" s="246" t="e">
        <f t="shared" si="269"/>
        <v>#VALUE!</v>
      </c>
      <c r="O2435" s="247" t="e">
        <f t="shared" si="270"/>
        <v>#VALUE!</v>
      </c>
      <c r="P2435" s="247">
        <f t="shared" si="271"/>
        <v>0</v>
      </c>
      <c r="Q2435" s="247" t="e">
        <f t="shared" si="272"/>
        <v>#VALUE!</v>
      </c>
    </row>
    <row r="2436" spans="1:17" ht="15" customHeight="1" x14ac:dyDescent="0.25">
      <c r="A2436" s="244"/>
      <c r="B2436" s="244"/>
      <c r="C2436" s="244"/>
      <c r="D2436" s="244"/>
      <c r="E2436" s="244"/>
      <c r="F2436" s="244"/>
      <c r="G2436" s="244"/>
      <c r="I2436" s="244"/>
      <c r="J2436" s="244"/>
      <c r="K2436" s="246" t="e">
        <f t="shared" si="266"/>
        <v>#VALUE!</v>
      </c>
      <c r="L2436" s="246" t="e">
        <f t="shared" si="267"/>
        <v>#VALUE!</v>
      </c>
      <c r="M2436" s="247" t="e">
        <f t="shared" si="268"/>
        <v>#VALUE!</v>
      </c>
      <c r="N2436" s="246" t="e">
        <f t="shared" si="269"/>
        <v>#VALUE!</v>
      </c>
      <c r="O2436" s="247" t="e">
        <f t="shared" si="270"/>
        <v>#VALUE!</v>
      </c>
      <c r="P2436" s="247">
        <f t="shared" si="271"/>
        <v>0</v>
      </c>
      <c r="Q2436" s="247" t="e">
        <f t="shared" si="272"/>
        <v>#VALUE!</v>
      </c>
    </row>
    <row r="2437" spans="1:17" ht="15" customHeight="1" x14ac:dyDescent="0.25">
      <c r="A2437" s="244"/>
      <c r="B2437" s="244"/>
      <c r="C2437" s="244"/>
      <c r="D2437" s="244"/>
      <c r="E2437" s="244"/>
      <c r="F2437" s="244"/>
      <c r="G2437" s="244"/>
      <c r="I2437" s="244"/>
      <c r="J2437" s="244"/>
      <c r="K2437" s="246" t="e">
        <f t="shared" si="266"/>
        <v>#VALUE!</v>
      </c>
      <c r="L2437" s="246" t="e">
        <f t="shared" si="267"/>
        <v>#VALUE!</v>
      </c>
      <c r="M2437" s="247" t="e">
        <f t="shared" si="268"/>
        <v>#VALUE!</v>
      </c>
      <c r="N2437" s="246" t="e">
        <f t="shared" si="269"/>
        <v>#VALUE!</v>
      </c>
      <c r="O2437" s="247" t="e">
        <f t="shared" si="270"/>
        <v>#VALUE!</v>
      </c>
      <c r="P2437" s="247">
        <f t="shared" si="271"/>
        <v>0</v>
      </c>
      <c r="Q2437" s="247" t="e">
        <f t="shared" si="272"/>
        <v>#VALUE!</v>
      </c>
    </row>
    <row r="2438" spans="1:17" ht="15" customHeight="1" x14ac:dyDescent="0.25">
      <c r="A2438" s="244"/>
      <c r="B2438" s="244"/>
      <c r="C2438" s="244"/>
      <c r="D2438" s="244"/>
      <c r="E2438" s="244"/>
      <c r="F2438" s="244"/>
      <c r="G2438" s="244"/>
      <c r="I2438" s="244"/>
      <c r="J2438" s="244"/>
      <c r="K2438" s="246" t="e">
        <f t="shared" si="266"/>
        <v>#VALUE!</v>
      </c>
      <c r="L2438" s="246" t="e">
        <f t="shared" si="267"/>
        <v>#VALUE!</v>
      </c>
      <c r="M2438" s="247" t="e">
        <f t="shared" si="268"/>
        <v>#VALUE!</v>
      </c>
      <c r="N2438" s="246" t="e">
        <f t="shared" si="269"/>
        <v>#VALUE!</v>
      </c>
      <c r="O2438" s="247" t="e">
        <f t="shared" si="270"/>
        <v>#VALUE!</v>
      </c>
      <c r="P2438" s="247">
        <f t="shared" si="271"/>
        <v>0</v>
      </c>
      <c r="Q2438" s="247" t="e">
        <f t="shared" si="272"/>
        <v>#VALUE!</v>
      </c>
    </row>
    <row r="2439" spans="1:17" ht="15" customHeight="1" x14ac:dyDescent="0.25">
      <c r="A2439" s="244"/>
      <c r="B2439" s="244"/>
      <c r="C2439" s="244"/>
      <c r="D2439" s="244"/>
      <c r="E2439" s="244"/>
      <c r="F2439" s="244"/>
      <c r="G2439" s="244"/>
      <c r="I2439" s="244"/>
      <c r="J2439" s="244"/>
      <c r="K2439" s="246" t="e">
        <f t="shared" si="266"/>
        <v>#VALUE!</v>
      </c>
      <c r="L2439" s="246" t="e">
        <f t="shared" si="267"/>
        <v>#VALUE!</v>
      </c>
      <c r="M2439" s="247" t="e">
        <f t="shared" si="268"/>
        <v>#VALUE!</v>
      </c>
      <c r="N2439" s="246" t="e">
        <f t="shared" si="269"/>
        <v>#VALUE!</v>
      </c>
      <c r="O2439" s="247" t="e">
        <f t="shared" si="270"/>
        <v>#VALUE!</v>
      </c>
      <c r="P2439" s="247">
        <f t="shared" si="271"/>
        <v>0</v>
      </c>
      <c r="Q2439" s="247" t="e">
        <f t="shared" si="272"/>
        <v>#VALUE!</v>
      </c>
    </row>
    <row r="2440" spans="1:17" ht="15" customHeight="1" x14ac:dyDescent="0.25">
      <c r="A2440" s="244"/>
      <c r="B2440" s="244"/>
      <c r="C2440" s="244"/>
      <c r="D2440" s="244"/>
      <c r="E2440" s="244"/>
      <c r="F2440" s="244"/>
      <c r="G2440" s="244"/>
      <c r="I2440" s="244"/>
      <c r="J2440" s="244"/>
      <c r="K2440" s="246" t="e">
        <f t="shared" si="266"/>
        <v>#VALUE!</v>
      </c>
      <c r="L2440" s="246" t="e">
        <f t="shared" si="267"/>
        <v>#VALUE!</v>
      </c>
      <c r="M2440" s="247" t="e">
        <f t="shared" si="268"/>
        <v>#VALUE!</v>
      </c>
      <c r="N2440" s="246" t="e">
        <f t="shared" si="269"/>
        <v>#VALUE!</v>
      </c>
      <c r="O2440" s="247" t="e">
        <f t="shared" si="270"/>
        <v>#VALUE!</v>
      </c>
      <c r="P2440" s="247">
        <f t="shared" si="271"/>
        <v>0</v>
      </c>
      <c r="Q2440" s="247" t="e">
        <f t="shared" si="272"/>
        <v>#VALUE!</v>
      </c>
    </row>
    <row r="2441" spans="1:17" ht="15" customHeight="1" x14ac:dyDescent="0.25">
      <c r="A2441" s="244"/>
      <c r="B2441" s="244"/>
      <c r="C2441" s="244"/>
      <c r="D2441" s="244"/>
      <c r="E2441" s="244"/>
      <c r="F2441" s="244"/>
      <c r="G2441" s="244"/>
      <c r="I2441" s="244"/>
      <c r="J2441" s="244"/>
      <c r="K2441" s="246" t="e">
        <f t="shared" si="266"/>
        <v>#VALUE!</v>
      </c>
      <c r="L2441" s="246" t="e">
        <f t="shared" si="267"/>
        <v>#VALUE!</v>
      </c>
      <c r="M2441" s="247" t="e">
        <f t="shared" si="268"/>
        <v>#VALUE!</v>
      </c>
      <c r="N2441" s="246" t="e">
        <f t="shared" si="269"/>
        <v>#VALUE!</v>
      </c>
      <c r="O2441" s="247" t="e">
        <f t="shared" si="270"/>
        <v>#VALUE!</v>
      </c>
      <c r="P2441" s="247">
        <f t="shared" si="271"/>
        <v>0</v>
      </c>
      <c r="Q2441" s="247" t="e">
        <f t="shared" si="272"/>
        <v>#VALUE!</v>
      </c>
    </row>
    <row r="2442" spans="1:17" ht="15" customHeight="1" x14ac:dyDescent="0.25">
      <c r="A2442" s="244"/>
      <c r="B2442" s="244"/>
      <c r="C2442" s="244"/>
      <c r="D2442" s="244"/>
      <c r="E2442" s="244"/>
      <c r="F2442" s="244"/>
      <c r="G2442" s="244"/>
      <c r="I2442" s="244"/>
      <c r="J2442" s="244"/>
      <c r="K2442" s="246" t="e">
        <f t="shared" si="266"/>
        <v>#VALUE!</v>
      </c>
      <c r="L2442" s="246" t="e">
        <f t="shared" si="267"/>
        <v>#VALUE!</v>
      </c>
      <c r="M2442" s="247" t="e">
        <f t="shared" si="268"/>
        <v>#VALUE!</v>
      </c>
      <c r="N2442" s="246" t="e">
        <f t="shared" si="269"/>
        <v>#VALUE!</v>
      </c>
      <c r="O2442" s="247" t="e">
        <f t="shared" si="270"/>
        <v>#VALUE!</v>
      </c>
      <c r="P2442" s="247">
        <f t="shared" si="271"/>
        <v>0</v>
      </c>
      <c r="Q2442" s="247" t="e">
        <f t="shared" si="272"/>
        <v>#VALUE!</v>
      </c>
    </row>
    <row r="2443" spans="1:17" ht="15" customHeight="1" x14ac:dyDescent="0.25">
      <c r="A2443" s="244"/>
      <c r="B2443" s="244"/>
      <c r="C2443" s="244"/>
      <c r="D2443" s="244"/>
      <c r="E2443" s="244"/>
      <c r="F2443" s="244"/>
      <c r="G2443" s="244"/>
      <c r="I2443" s="244"/>
      <c r="J2443" s="244"/>
      <c r="K2443" s="246" t="e">
        <f t="shared" si="266"/>
        <v>#VALUE!</v>
      </c>
      <c r="L2443" s="246" t="e">
        <f t="shared" si="267"/>
        <v>#VALUE!</v>
      </c>
      <c r="M2443" s="247" t="e">
        <f t="shared" si="268"/>
        <v>#VALUE!</v>
      </c>
      <c r="N2443" s="246" t="e">
        <f t="shared" si="269"/>
        <v>#VALUE!</v>
      </c>
      <c r="O2443" s="247" t="e">
        <f t="shared" si="270"/>
        <v>#VALUE!</v>
      </c>
      <c r="P2443" s="247">
        <f t="shared" si="271"/>
        <v>0</v>
      </c>
      <c r="Q2443" s="247" t="e">
        <f t="shared" si="272"/>
        <v>#VALUE!</v>
      </c>
    </row>
    <row r="2444" spans="1:17" ht="15" customHeight="1" x14ac:dyDescent="0.25">
      <c r="A2444" s="244"/>
      <c r="B2444" s="244"/>
      <c r="C2444" s="244"/>
      <c r="D2444" s="244"/>
      <c r="E2444" s="244"/>
      <c r="F2444" s="244"/>
      <c r="G2444" s="244"/>
      <c r="I2444" s="244"/>
      <c r="J2444" s="244"/>
      <c r="K2444" s="246" t="e">
        <f t="shared" si="266"/>
        <v>#VALUE!</v>
      </c>
      <c r="L2444" s="246" t="e">
        <f t="shared" si="267"/>
        <v>#VALUE!</v>
      </c>
      <c r="M2444" s="247" t="e">
        <f t="shared" si="268"/>
        <v>#VALUE!</v>
      </c>
      <c r="N2444" s="246" t="e">
        <f t="shared" si="269"/>
        <v>#VALUE!</v>
      </c>
      <c r="O2444" s="247" t="e">
        <f t="shared" si="270"/>
        <v>#VALUE!</v>
      </c>
      <c r="P2444" s="247">
        <f t="shared" si="271"/>
        <v>0</v>
      </c>
      <c r="Q2444" s="247" t="e">
        <f t="shared" si="272"/>
        <v>#VALUE!</v>
      </c>
    </row>
    <row r="2445" spans="1:17" ht="15" customHeight="1" x14ac:dyDescent="0.25">
      <c r="A2445" s="244"/>
      <c r="B2445" s="244"/>
      <c r="C2445" s="244"/>
      <c r="D2445" s="244"/>
      <c r="E2445" s="244"/>
      <c r="F2445" s="244"/>
      <c r="G2445" s="244"/>
      <c r="I2445" s="244"/>
      <c r="J2445" s="244"/>
      <c r="K2445" s="246" t="e">
        <f t="shared" si="266"/>
        <v>#VALUE!</v>
      </c>
      <c r="L2445" s="246" t="e">
        <f t="shared" si="267"/>
        <v>#VALUE!</v>
      </c>
      <c r="M2445" s="247" t="e">
        <f t="shared" si="268"/>
        <v>#VALUE!</v>
      </c>
      <c r="N2445" s="246" t="e">
        <f t="shared" si="269"/>
        <v>#VALUE!</v>
      </c>
      <c r="O2445" s="247" t="e">
        <f t="shared" si="270"/>
        <v>#VALUE!</v>
      </c>
      <c r="P2445" s="247">
        <f t="shared" si="271"/>
        <v>0</v>
      </c>
      <c r="Q2445" s="247" t="e">
        <f t="shared" si="272"/>
        <v>#VALUE!</v>
      </c>
    </row>
    <row r="2446" spans="1:17" ht="15" customHeight="1" x14ac:dyDescent="0.25">
      <c r="A2446" s="244"/>
      <c r="B2446" s="244"/>
      <c r="C2446" s="244"/>
      <c r="D2446" s="244"/>
      <c r="E2446" s="244"/>
      <c r="F2446" s="244"/>
      <c r="G2446" s="244"/>
      <c r="I2446" s="244"/>
      <c r="J2446" s="244"/>
      <c r="K2446" s="246" t="e">
        <f t="shared" si="266"/>
        <v>#VALUE!</v>
      </c>
      <c r="L2446" s="246" t="e">
        <f t="shared" si="267"/>
        <v>#VALUE!</v>
      </c>
      <c r="M2446" s="247" t="e">
        <f t="shared" si="268"/>
        <v>#VALUE!</v>
      </c>
      <c r="N2446" s="246" t="e">
        <f t="shared" si="269"/>
        <v>#VALUE!</v>
      </c>
      <c r="O2446" s="247" t="e">
        <f t="shared" si="270"/>
        <v>#VALUE!</v>
      </c>
      <c r="P2446" s="247">
        <f t="shared" si="271"/>
        <v>0</v>
      </c>
      <c r="Q2446" s="247" t="e">
        <f t="shared" si="272"/>
        <v>#VALUE!</v>
      </c>
    </row>
    <row r="2447" spans="1:17" ht="15" customHeight="1" x14ac:dyDescent="0.25">
      <c r="A2447" s="244"/>
      <c r="B2447" s="244"/>
      <c r="C2447" s="244"/>
      <c r="D2447" s="244"/>
      <c r="E2447" s="244"/>
      <c r="F2447" s="244"/>
      <c r="G2447" s="244"/>
      <c r="I2447" s="244"/>
      <c r="J2447" s="244"/>
      <c r="K2447" s="246" t="e">
        <f t="shared" si="266"/>
        <v>#VALUE!</v>
      </c>
      <c r="L2447" s="246" t="e">
        <f t="shared" si="267"/>
        <v>#VALUE!</v>
      </c>
      <c r="M2447" s="247" t="e">
        <f t="shared" si="268"/>
        <v>#VALUE!</v>
      </c>
      <c r="N2447" s="246" t="e">
        <f t="shared" si="269"/>
        <v>#VALUE!</v>
      </c>
      <c r="O2447" s="247" t="e">
        <f t="shared" si="270"/>
        <v>#VALUE!</v>
      </c>
      <c r="P2447" s="247">
        <f t="shared" si="271"/>
        <v>0</v>
      </c>
      <c r="Q2447" s="247" t="e">
        <f t="shared" si="272"/>
        <v>#VALUE!</v>
      </c>
    </row>
    <row r="2448" spans="1:17" ht="15" customHeight="1" x14ac:dyDescent="0.25">
      <c r="A2448" s="244"/>
      <c r="B2448" s="244"/>
      <c r="C2448" s="244"/>
      <c r="D2448" s="244"/>
      <c r="E2448" s="244"/>
      <c r="F2448" s="244"/>
      <c r="G2448" s="244"/>
      <c r="I2448" s="244"/>
      <c r="J2448" s="244"/>
      <c r="K2448" s="246" t="e">
        <f t="shared" si="266"/>
        <v>#VALUE!</v>
      </c>
      <c r="L2448" s="246" t="e">
        <f t="shared" si="267"/>
        <v>#VALUE!</v>
      </c>
      <c r="M2448" s="247" t="e">
        <f t="shared" si="268"/>
        <v>#VALUE!</v>
      </c>
      <c r="N2448" s="246" t="e">
        <f t="shared" si="269"/>
        <v>#VALUE!</v>
      </c>
      <c r="O2448" s="247" t="e">
        <f t="shared" si="270"/>
        <v>#VALUE!</v>
      </c>
      <c r="P2448" s="247">
        <f t="shared" si="271"/>
        <v>0</v>
      </c>
      <c r="Q2448" s="247" t="e">
        <f t="shared" si="272"/>
        <v>#VALUE!</v>
      </c>
    </row>
    <row r="2449" spans="1:17" ht="15" customHeight="1" x14ac:dyDescent="0.25">
      <c r="A2449" s="244"/>
      <c r="B2449" s="244"/>
      <c r="C2449" s="244"/>
      <c r="D2449" s="244"/>
      <c r="E2449" s="244"/>
      <c r="F2449" s="244"/>
      <c r="G2449" s="244"/>
      <c r="I2449" s="244"/>
      <c r="J2449" s="244"/>
      <c r="K2449" s="246" t="e">
        <f t="shared" si="266"/>
        <v>#VALUE!</v>
      </c>
      <c r="L2449" s="246" t="e">
        <f t="shared" si="267"/>
        <v>#VALUE!</v>
      </c>
      <c r="M2449" s="247" t="e">
        <f t="shared" si="268"/>
        <v>#VALUE!</v>
      </c>
      <c r="N2449" s="246" t="e">
        <f t="shared" si="269"/>
        <v>#VALUE!</v>
      </c>
      <c r="O2449" s="247" t="e">
        <f t="shared" si="270"/>
        <v>#VALUE!</v>
      </c>
      <c r="P2449" s="247">
        <f t="shared" si="271"/>
        <v>0</v>
      </c>
      <c r="Q2449" s="247" t="e">
        <f t="shared" si="272"/>
        <v>#VALUE!</v>
      </c>
    </row>
    <row r="2450" spans="1:17" ht="15" customHeight="1" x14ac:dyDescent="0.25">
      <c r="A2450" s="244"/>
      <c r="B2450" s="244"/>
      <c r="C2450" s="244"/>
      <c r="D2450" s="244"/>
      <c r="E2450" s="244"/>
      <c r="F2450" s="244"/>
      <c r="G2450" s="244"/>
      <c r="I2450" s="244"/>
      <c r="J2450" s="244"/>
      <c r="K2450" s="246" t="e">
        <f t="shared" si="266"/>
        <v>#VALUE!</v>
      </c>
      <c r="L2450" s="246" t="e">
        <f t="shared" si="267"/>
        <v>#VALUE!</v>
      </c>
      <c r="M2450" s="247" t="e">
        <f t="shared" si="268"/>
        <v>#VALUE!</v>
      </c>
      <c r="N2450" s="246" t="e">
        <f t="shared" si="269"/>
        <v>#VALUE!</v>
      </c>
      <c r="O2450" s="247" t="e">
        <f t="shared" si="270"/>
        <v>#VALUE!</v>
      </c>
      <c r="P2450" s="247">
        <f t="shared" si="271"/>
        <v>0</v>
      </c>
      <c r="Q2450" s="247" t="e">
        <f t="shared" si="272"/>
        <v>#VALUE!</v>
      </c>
    </row>
    <row r="2451" spans="1:17" ht="15" customHeight="1" x14ac:dyDescent="0.25">
      <c r="A2451" s="244"/>
      <c r="B2451" s="244"/>
      <c r="C2451" s="244"/>
      <c r="D2451" s="244"/>
      <c r="E2451" s="244"/>
      <c r="F2451" s="244"/>
      <c r="G2451" s="244"/>
      <c r="I2451" s="244"/>
      <c r="J2451" s="244"/>
      <c r="K2451" s="246" t="e">
        <f t="shared" si="266"/>
        <v>#VALUE!</v>
      </c>
      <c r="L2451" s="246" t="e">
        <f t="shared" si="267"/>
        <v>#VALUE!</v>
      </c>
      <c r="M2451" s="247" t="e">
        <f t="shared" si="268"/>
        <v>#VALUE!</v>
      </c>
      <c r="N2451" s="246" t="e">
        <f t="shared" si="269"/>
        <v>#VALUE!</v>
      </c>
      <c r="O2451" s="247" t="e">
        <f t="shared" si="270"/>
        <v>#VALUE!</v>
      </c>
      <c r="P2451" s="247">
        <f t="shared" si="271"/>
        <v>0</v>
      </c>
      <c r="Q2451" s="247" t="e">
        <f t="shared" si="272"/>
        <v>#VALUE!</v>
      </c>
    </row>
    <row r="2452" spans="1:17" ht="15" customHeight="1" x14ac:dyDescent="0.25">
      <c r="A2452" s="244"/>
      <c r="B2452" s="244"/>
      <c r="C2452" s="244"/>
      <c r="D2452" s="244"/>
      <c r="E2452" s="244"/>
      <c r="F2452" s="244"/>
      <c r="G2452" s="244"/>
      <c r="I2452" s="244"/>
      <c r="J2452" s="244"/>
      <c r="K2452" s="246" t="e">
        <f t="shared" si="266"/>
        <v>#VALUE!</v>
      </c>
      <c r="L2452" s="246" t="e">
        <f t="shared" si="267"/>
        <v>#VALUE!</v>
      </c>
      <c r="M2452" s="247" t="e">
        <f t="shared" si="268"/>
        <v>#VALUE!</v>
      </c>
      <c r="N2452" s="246" t="e">
        <f t="shared" si="269"/>
        <v>#VALUE!</v>
      </c>
      <c r="O2452" s="247" t="e">
        <f t="shared" si="270"/>
        <v>#VALUE!</v>
      </c>
      <c r="P2452" s="247">
        <f t="shared" si="271"/>
        <v>0</v>
      </c>
      <c r="Q2452" s="247" t="e">
        <f t="shared" si="272"/>
        <v>#VALUE!</v>
      </c>
    </row>
    <row r="2453" spans="1:17" ht="15" customHeight="1" x14ac:dyDescent="0.25">
      <c r="A2453" s="244"/>
      <c r="B2453" s="244"/>
      <c r="C2453" s="244"/>
      <c r="D2453" s="244"/>
      <c r="E2453" s="244"/>
      <c r="F2453" s="244"/>
      <c r="G2453" s="244"/>
      <c r="I2453" s="244"/>
      <c r="J2453" s="244"/>
      <c r="K2453" s="246" t="e">
        <f t="shared" si="266"/>
        <v>#VALUE!</v>
      </c>
      <c r="L2453" s="246" t="e">
        <f t="shared" si="267"/>
        <v>#VALUE!</v>
      </c>
      <c r="M2453" s="247" t="e">
        <f t="shared" si="268"/>
        <v>#VALUE!</v>
      </c>
      <c r="N2453" s="246" t="e">
        <f t="shared" si="269"/>
        <v>#VALUE!</v>
      </c>
      <c r="O2453" s="247" t="e">
        <f t="shared" si="270"/>
        <v>#VALUE!</v>
      </c>
      <c r="P2453" s="247">
        <f t="shared" si="271"/>
        <v>0</v>
      </c>
      <c r="Q2453" s="247" t="e">
        <f t="shared" si="272"/>
        <v>#VALUE!</v>
      </c>
    </row>
    <row r="2454" spans="1:17" ht="15" customHeight="1" x14ac:dyDescent="0.25">
      <c r="A2454" s="244"/>
      <c r="B2454" s="244"/>
      <c r="C2454" s="244"/>
      <c r="D2454" s="244"/>
      <c r="E2454" s="244"/>
      <c r="F2454" s="244"/>
      <c r="G2454" s="244"/>
      <c r="I2454" s="244"/>
      <c r="J2454" s="244"/>
      <c r="K2454" s="246" t="e">
        <f t="shared" si="266"/>
        <v>#VALUE!</v>
      </c>
      <c r="L2454" s="246" t="e">
        <f t="shared" si="267"/>
        <v>#VALUE!</v>
      </c>
      <c r="M2454" s="247" t="e">
        <f t="shared" si="268"/>
        <v>#VALUE!</v>
      </c>
      <c r="N2454" s="246" t="e">
        <f t="shared" si="269"/>
        <v>#VALUE!</v>
      </c>
      <c r="O2454" s="247" t="e">
        <f t="shared" si="270"/>
        <v>#VALUE!</v>
      </c>
      <c r="P2454" s="247">
        <f t="shared" si="271"/>
        <v>0</v>
      </c>
      <c r="Q2454" s="247" t="e">
        <f t="shared" si="272"/>
        <v>#VALUE!</v>
      </c>
    </row>
    <row r="2455" spans="1:17" ht="15" customHeight="1" x14ac:dyDescent="0.25">
      <c r="A2455" s="244"/>
      <c r="B2455" s="244"/>
      <c r="C2455" s="244"/>
      <c r="D2455" s="244"/>
      <c r="E2455" s="244"/>
      <c r="F2455" s="244"/>
      <c r="G2455" s="244"/>
      <c r="I2455" s="244"/>
      <c r="J2455" s="244"/>
      <c r="K2455" s="246" t="e">
        <f t="shared" si="266"/>
        <v>#VALUE!</v>
      </c>
      <c r="L2455" s="246" t="e">
        <f t="shared" si="267"/>
        <v>#VALUE!</v>
      </c>
      <c r="M2455" s="247" t="e">
        <f t="shared" si="268"/>
        <v>#VALUE!</v>
      </c>
      <c r="N2455" s="246" t="e">
        <f t="shared" si="269"/>
        <v>#VALUE!</v>
      </c>
      <c r="O2455" s="247" t="e">
        <f t="shared" si="270"/>
        <v>#VALUE!</v>
      </c>
      <c r="P2455" s="247">
        <f t="shared" si="271"/>
        <v>0</v>
      </c>
      <c r="Q2455" s="247" t="e">
        <f t="shared" si="272"/>
        <v>#VALUE!</v>
      </c>
    </row>
    <row r="2456" spans="1:17" ht="15" customHeight="1" x14ac:dyDescent="0.25">
      <c r="A2456" s="244"/>
      <c r="B2456" s="244"/>
      <c r="C2456" s="244"/>
      <c r="D2456" s="244"/>
      <c r="E2456" s="244"/>
      <c r="F2456" s="244"/>
      <c r="G2456" s="244"/>
      <c r="I2456" s="244"/>
      <c r="J2456" s="244"/>
      <c r="K2456" s="246" t="e">
        <f t="shared" si="266"/>
        <v>#VALUE!</v>
      </c>
      <c r="L2456" s="246" t="e">
        <f t="shared" si="267"/>
        <v>#VALUE!</v>
      </c>
      <c r="M2456" s="247" t="e">
        <f t="shared" si="268"/>
        <v>#VALUE!</v>
      </c>
      <c r="N2456" s="246" t="e">
        <f t="shared" si="269"/>
        <v>#VALUE!</v>
      </c>
      <c r="O2456" s="247" t="e">
        <f t="shared" si="270"/>
        <v>#VALUE!</v>
      </c>
      <c r="P2456" s="247">
        <f t="shared" si="271"/>
        <v>0</v>
      </c>
      <c r="Q2456" s="247" t="e">
        <f t="shared" si="272"/>
        <v>#VALUE!</v>
      </c>
    </row>
    <row r="2457" spans="1:17" ht="15" customHeight="1" x14ac:dyDescent="0.25">
      <c r="A2457" s="244"/>
      <c r="B2457" s="244"/>
      <c r="C2457" s="244"/>
      <c r="D2457" s="244"/>
      <c r="E2457" s="244"/>
      <c r="F2457" s="244"/>
      <c r="G2457" s="244"/>
      <c r="I2457" s="244"/>
      <c r="J2457" s="244"/>
      <c r="K2457" s="246" t="e">
        <f t="shared" si="266"/>
        <v>#VALUE!</v>
      </c>
      <c r="L2457" s="246" t="e">
        <f t="shared" si="267"/>
        <v>#VALUE!</v>
      </c>
      <c r="M2457" s="247" t="e">
        <f t="shared" si="268"/>
        <v>#VALUE!</v>
      </c>
      <c r="N2457" s="246" t="e">
        <f t="shared" si="269"/>
        <v>#VALUE!</v>
      </c>
      <c r="O2457" s="247" t="e">
        <f t="shared" si="270"/>
        <v>#VALUE!</v>
      </c>
      <c r="P2457" s="247">
        <f t="shared" si="271"/>
        <v>0</v>
      </c>
      <c r="Q2457" s="247" t="e">
        <f t="shared" si="272"/>
        <v>#VALUE!</v>
      </c>
    </row>
    <row r="2458" spans="1:17" ht="15" customHeight="1" x14ac:dyDescent="0.25">
      <c r="A2458" s="244"/>
      <c r="B2458" s="244"/>
      <c r="C2458" s="244"/>
      <c r="D2458" s="244"/>
      <c r="E2458" s="244"/>
      <c r="F2458" s="244"/>
      <c r="G2458" s="244"/>
      <c r="I2458" s="244"/>
      <c r="J2458" s="244"/>
      <c r="K2458" s="246" t="e">
        <f t="shared" si="266"/>
        <v>#VALUE!</v>
      </c>
      <c r="L2458" s="246" t="e">
        <f t="shared" si="267"/>
        <v>#VALUE!</v>
      </c>
      <c r="M2458" s="247" t="e">
        <f t="shared" si="268"/>
        <v>#VALUE!</v>
      </c>
      <c r="N2458" s="246" t="e">
        <f t="shared" si="269"/>
        <v>#VALUE!</v>
      </c>
      <c r="O2458" s="247" t="e">
        <f t="shared" si="270"/>
        <v>#VALUE!</v>
      </c>
      <c r="P2458" s="247">
        <f t="shared" si="271"/>
        <v>0</v>
      </c>
      <c r="Q2458" s="247" t="e">
        <f t="shared" si="272"/>
        <v>#VALUE!</v>
      </c>
    </row>
    <row r="2459" spans="1:17" ht="15" customHeight="1" x14ac:dyDescent="0.25">
      <c r="A2459" s="244"/>
      <c r="B2459" s="244"/>
      <c r="C2459" s="244"/>
      <c r="D2459" s="244"/>
      <c r="E2459" s="244"/>
      <c r="F2459" s="244"/>
      <c r="G2459" s="244"/>
      <c r="I2459" s="244"/>
      <c r="J2459" s="244"/>
      <c r="K2459" s="246" t="e">
        <f t="shared" si="266"/>
        <v>#VALUE!</v>
      </c>
      <c r="L2459" s="246" t="e">
        <f t="shared" si="267"/>
        <v>#VALUE!</v>
      </c>
      <c r="M2459" s="247" t="e">
        <f t="shared" si="268"/>
        <v>#VALUE!</v>
      </c>
      <c r="N2459" s="246" t="e">
        <f t="shared" si="269"/>
        <v>#VALUE!</v>
      </c>
      <c r="O2459" s="247" t="e">
        <f t="shared" si="270"/>
        <v>#VALUE!</v>
      </c>
      <c r="P2459" s="247">
        <f t="shared" si="271"/>
        <v>0</v>
      </c>
      <c r="Q2459" s="247" t="e">
        <f t="shared" si="272"/>
        <v>#VALUE!</v>
      </c>
    </row>
    <row r="2460" spans="1:17" ht="15" customHeight="1" x14ac:dyDescent="0.25">
      <c r="A2460" s="244"/>
      <c r="B2460" s="244"/>
      <c r="C2460" s="244"/>
      <c r="D2460" s="244"/>
      <c r="E2460" s="244"/>
      <c r="F2460" s="244"/>
      <c r="G2460" s="244"/>
      <c r="I2460" s="244"/>
      <c r="J2460" s="244"/>
      <c r="K2460" s="246" t="e">
        <f t="shared" si="266"/>
        <v>#VALUE!</v>
      </c>
      <c r="L2460" s="246" t="e">
        <f t="shared" si="267"/>
        <v>#VALUE!</v>
      </c>
      <c r="M2460" s="247" t="e">
        <f t="shared" si="268"/>
        <v>#VALUE!</v>
      </c>
      <c r="N2460" s="246" t="e">
        <f t="shared" si="269"/>
        <v>#VALUE!</v>
      </c>
      <c r="O2460" s="247" t="e">
        <f t="shared" si="270"/>
        <v>#VALUE!</v>
      </c>
      <c r="P2460" s="247">
        <f t="shared" si="271"/>
        <v>0</v>
      </c>
      <c r="Q2460" s="247" t="e">
        <f t="shared" si="272"/>
        <v>#VALUE!</v>
      </c>
    </row>
    <row r="2461" spans="1:17" ht="15" customHeight="1" x14ac:dyDescent="0.25">
      <c r="A2461" s="244"/>
      <c r="B2461" s="244"/>
      <c r="C2461" s="244"/>
      <c r="D2461" s="244"/>
      <c r="E2461" s="244"/>
      <c r="F2461" s="244"/>
      <c r="G2461" s="244"/>
      <c r="I2461" s="244"/>
      <c r="J2461" s="244"/>
      <c r="K2461" s="246" t="e">
        <f t="shared" si="266"/>
        <v>#VALUE!</v>
      </c>
      <c r="L2461" s="246" t="e">
        <f t="shared" si="267"/>
        <v>#VALUE!</v>
      </c>
      <c r="M2461" s="247" t="e">
        <f t="shared" si="268"/>
        <v>#VALUE!</v>
      </c>
      <c r="N2461" s="246" t="e">
        <f t="shared" si="269"/>
        <v>#VALUE!</v>
      </c>
      <c r="O2461" s="247" t="e">
        <f t="shared" si="270"/>
        <v>#VALUE!</v>
      </c>
      <c r="P2461" s="247">
        <f t="shared" si="271"/>
        <v>0</v>
      </c>
      <c r="Q2461" s="247" t="e">
        <f t="shared" si="272"/>
        <v>#VALUE!</v>
      </c>
    </row>
    <row r="2462" spans="1:17" ht="15" customHeight="1" x14ac:dyDescent="0.25">
      <c r="A2462" s="244"/>
      <c r="B2462" s="244"/>
      <c r="C2462" s="244"/>
      <c r="D2462" s="244"/>
      <c r="E2462" s="244"/>
      <c r="F2462" s="244"/>
      <c r="G2462" s="244"/>
      <c r="I2462" s="244"/>
      <c r="J2462" s="244"/>
      <c r="K2462" s="246" t="e">
        <f t="shared" si="266"/>
        <v>#VALUE!</v>
      </c>
      <c r="L2462" s="246" t="e">
        <f t="shared" si="267"/>
        <v>#VALUE!</v>
      </c>
      <c r="M2462" s="247" t="e">
        <f t="shared" si="268"/>
        <v>#VALUE!</v>
      </c>
      <c r="N2462" s="246" t="e">
        <f t="shared" si="269"/>
        <v>#VALUE!</v>
      </c>
      <c r="O2462" s="247" t="e">
        <f t="shared" si="270"/>
        <v>#VALUE!</v>
      </c>
      <c r="P2462" s="247">
        <f t="shared" si="271"/>
        <v>0</v>
      </c>
      <c r="Q2462" s="247" t="e">
        <f t="shared" si="272"/>
        <v>#VALUE!</v>
      </c>
    </row>
    <row r="2463" spans="1:17" ht="15" customHeight="1" x14ac:dyDescent="0.25">
      <c r="A2463" s="244"/>
      <c r="B2463" s="244"/>
      <c r="C2463" s="244"/>
      <c r="D2463" s="244"/>
      <c r="E2463" s="244"/>
      <c r="F2463" s="244"/>
      <c r="G2463" s="244"/>
      <c r="I2463" s="244"/>
      <c r="J2463" s="244"/>
      <c r="K2463" s="246" t="e">
        <f t="shared" si="266"/>
        <v>#VALUE!</v>
      </c>
      <c r="L2463" s="246" t="e">
        <f t="shared" si="267"/>
        <v>#VALUE!</v>
      </c>
      <c r="M2463" s="247" t="e">
        <f t="shared" si="268"/>
        <v>#VALUE!</v>
      </c>
      <c r="N2463" s="246" t="e">
        <f t="shared" si="269"/>
        <v>#VALUE!</v>
      </c>
      <c r="O2463" s="247" t="e">
        <f t="shared" si="270"/>
        <v>#VALUE!</v>
      </c>
      <c r="P2463" s="247">
        <f t="shared" si="271"/>
        <v>0</v>
      </c>
      <c r="Q2463" s="247" t="e">
        <f t="shared" si="272"/>
        <v>#VALUE!</v>
      </c>
    </row>
    <row r="2464" spans="1:17" ht="15" customHeight="1" x14ac:dyDescent="0.25">
      <c r="A2464" s="244"/>
      <c r="B2464" s="244"/>
      <c r="C2464" s="244"/>
      <c r="D2464" s="244"/>
      <c r="E2464" s="244"/>
      <c r="F2464" s="244"/>
      <c r="G2464" s="244"/>
      <c r="I2464" s="244"/>
      <c r="J2464" s="244"/>
      <c r="K2464" s="246" t="e">
        <f t="shared" si="266"/>
        <v>#VALUE!</v>
      </c>
      <c r="L2464" s="246" t="e">
        <f t="shared" si="267"/>
        <v>#VALUE!</v>
      </c>
      <c r="M2464" s="247" t="e">
        <f t="shared" si="268"/>
        <v>#VALUE!</v>
      </c>
      <c r="N2464" s="246" t="e">
        <f t="shared" si="269"/>
        <v>#VALUE!</v>
      </c>
      <c r="O2464" s="247" t="e">
        <f t="shared" si="270"/>
        <v>#VALUE!</v>
      </c>
      <c r="P2464" s="247">
        <f t="shared" si="271"/>
        <v>0</v>
      </c>
      <c r="Q2464" s="247" t="e">
        <f t="shared" si="272"/>
        <v>#VALUE!</v>
      </c>
    </row>
    <row r="2465" spans="1:17" ht="15" customHeight="1" x14ac:dyDescent="0.25">
      <c r="A2465" s="244"/>
      <c r="B2465" s="244"/>
      <c r="C2465" s="244"/>
      <c r="D2465" s="244"/>
      <c r="E2465" s="244"/>
      <c r="F2465" s="244"/>
      <c r="G2465" s="244"/>
      <c r="I2465" s="244"/>
      <c r="J2465" s="244"/>
      <c r="K2465" s="246" t="e">
        <f t="shared" si="266"/>
        <v>#VALUE!</v>
      </c>
      <c r="L2465" s="246" t="e">
        <f t="shared" si="267"/>
        <v>#VALUE!</v>
      </c>
      <c r="M2465" s="247" t="e">
        <f t="shared" si="268"/>
        <v>#VALUE!</v>
      </c>
      <c r="N2465" s="246" t="e">
        <f t="shared" si="269"/>
        <v>#VALUE!</v>
      </c>
      <c r="O2465" s="247" t="e">
        <f t="shared" si="270"/>
        <v>#VALUE!</v>
      </c>
      <c r="P2465" s="247">
        <f t="shared" si="271"/>
        <v>0</v>
      </c>
      <c r="Q2465" s="247" t="e">
        <f t="shared" si="272"/>
        <v>#VALUE!</v>
      </c>
    </row>
    <row r="2466" spans="1:17" ht="15" customHeight="1" x14ac:dyDescent="0.25">
      <c r="A2466" s="244"/>
      <c r="B2466" s="244"/>
      <c r="C2466" s="244"/>
      <c r="D2466" s="244"/>
      <c r="E2466" s="244"/>
      <c r="F2466" s="244"/>
      <c r="G2466" s="244"/>
      <c r="I2466" s="244"/>
      <c r="J2466" s="244"/>
      <c r="K2466" s="246" t="e">
        <f t="shared" si="266"/>
        <v>#VALUE!</v>
      </c>
      <c r="L2466" s="246" t="e">
        <f t="shared" si="267"/>
        <v>#VALUE!</v>
      </c>
      <c r="M2466" s="247" t="e">
        <f t="shared" si="268"/>
        <v>#VALUE!</v>
      </c>
      <c r="N2466" s="246" t="e">
        <f t="shared" si="269"/>
        <v>#VALUE!</v>
      </c>
      <c r="O2466" s="247" t="e">
        <f t="shared" si="270"/>
        <v>#VALUE!</v>
      </c>
      <c r="P2466" s="247">
        <f t="shared" si="271"/>
        <v>0</v>
      </c>
      <c r="Q2466" s="247" t="e">
        <f t="shared" si="272"/>
        <v>#VALUE!</v>
      </c>
    </row>
    <row r="2467" spans="1:17" ht="15" customHeight="1" x14ac:dyDescent="0.25">
      <c r="A2467" s="244"/>
      <c r="B2467" s="244"/>
      <c r="C2467" s="244"/>
      <c r="D2467" s="244"/>
      <c r="E2467" s="244"/>
      <c r="F2467" s="244"/>
      <c r="G2467" s="244"/>
      <c r="I2467" s="244"/>
      <c r="J2467" s="244"/>
      <c r="K2467" s="246" t="e">
        <f t="shared" si="266"/>
        <v>#VALUE!</v>
      </c>
      <c r="L2467" s="246" t="e">
        <f t="shared" si="267"/>
        <v>#VALUE!</v>
      </c>
      <c r="M2467" s="247" t="e">
        <f t="shared" si="268"/>
        <v>#VALUE!</v>
      </c>
      <c r="N2467" s="246" t="e">
        <f t="shared" si="269"/>
        <v>#VALUE!</v>
      </c>
      <c r="O2467" s="247" t="e">
        <f t="shared" si="270"/>
        <v>#VALUE!</v>
      </c>
      <c r="P2467" s="247">
        <f t="shared" si="271"/>
        <v>0</v>
      </c>
      <c r="Q2467" s="247" t="e">
        <f t="shared" si="272"/>
        <v>#VALUE!</v>
      </c>
    </row>
    <row r="2468" spans="1:17" ht="15" customHeight="1" x14ac:dyDescent="0.25">
      <c r="A2468" s="244"/>
      <c r="B2468" s="244"/>
      <c r="C2468" s="244"/>
      <c r="D2468" s="244"/>
      <c r="E2468" s="244"/>
      <c r="F2468" s="244"/>
      <c r="G2468" s="244"/>
      <c r="I2468" s="244"/>
      <c r="J2468" s="244"/>
      <c r="K2468" s="246" t="e">
        <f t="shared" si="266"/>
        <v>#VALUE!</v>
      </c>
      <c r="L2468" s="246" t="e">
        <f t="shared" si="267"/>
        <v>#VALUE!</v>
      </c>
      <c r="M2468" s="247" t="e">
        <f t="shared" si="268"/>
        <v>#VALUE!</v>
      </c>
      <c r="N2468" s="246" t="e">
        <f t="shared" si="269"/>
        <v>#VALUE!</v>
      </c>
      <c r="O2468" s="247" t="e">
        <f t="shared" si="270"/>
        <v>#VALUE!</v>
      </c>
      <c r="P2468" s="247">
        <f t="shared" si="271"/>
        <v>0</v>
      </c>
      <c r="Q2468" s="247" t="e">
        <f t="shared" si="272"/>
        <v>#VALUE!</v>
      </c>
    </row>
    <row r="2469" spans="1:17" ht="15" customHeight="1" x14ac:dyDescent="0.25">
      <c r="A2469" s="244"/>
      <c r="B2469" s="244"/>
      <c r="C2469" s="244"/>
      <c r="D2469" s="244"/>
      <c r="E2469" s="244"/>
      <c r="F2469" s="244"/>
      <c r="G2469" s="244"/>
      <c r="I2469" s="244"/>
      <c r="J2469" s="244"/>
      <c r="K2469" s="246" t="e">
        <f t="shared" si="266"/>
        <v>#VALUE!</v>
      </c>
      <c r="L2469" s="246" t="e">
        <f t="shared" si="267"/>
        <v>#VALUE!</v>
      </c>
      <c r="M2469" s="247" t="e">
        <f t="shared" si="268"/>
        <v>#VALUE!</v>
      </c>
      <c r="N2469" s="246" t="e">
        <f t="shared" si="269"/>
        <v>#VALUE!</v>
      </c>
      <c r="O2469" s="247" t="e">
        <f t="shared" si="270"/>
        <v>#VALUE!</v>
      </c>
      <c r="P2469" s="247">
        <f t="shared" si="271"/>
        <v>0</v>
      </c>
      <c r="Q2469" s="247" t="e">
        <f t="shared" si="272"/>
        <v>#VALUE!</v>
      </c>
    </row>
    <row r="2470" spans="1:17" ht="15" customHeight="1" x14ac:dyDescent="0.25">
      <c r="A2470" s="244"/>
      <c r="B2470" s="244"/>
      <c r="C2470" s="244"/>
      <c r="D2470" s="244"/>
      <c r="E2470" s="244"/>
      <c r="F2470" s="244"/>
      <c r="G2470" s="244"/>
      <c r="I2470" s="244"/>
      <c r="J2470" s="244"/>
      <c r="K2470" s="246" t="e">
        <f t="shared" si="266"/>
        <v>#VALUE!</v>
      </c>
      <c r="L2470" s="246" t="e">
        <f t="shared" si="267"/>
        <v>#VALUE!</v>
      </c>
      <c r="M2470" s="247" t="e">
        <f t="shared" si="268"/>
        <v>#VALUE!</v>
      </c>
      <c r="N2470" s="246" t="e">
        <f t="shared" si="269"/>
        <v>#VALUE!</v>
      </c>
      <c r="O2470" s="247" t="e">
        <f t="shared" si="270"/>
        <v>#VALUE!</v>
      </c>
      <c r="P2470" s="247">
        <f t="shared" si="271"/>
        <v>0</v>
      </c>
      <c r="Q2470" s="247" t="e">
        <f t="shared" si="272"/>
        <v>#VALUE!</v>
      </c>
    </row>
    <row r="2471" spans="1:17" ht="15" customHeight="1" x14ac:dyDescent="0.25">
      <c r="A2471" s="244"/>
      <c r="B2471" s="244"/>
      <c r="C2471" s="244"/>
      <c r="D2471" s="244"/>
      <c r="E2471" s="244"/>
      <c r="F2471" s="244"/>
      <c r="G2471" s="244"/>
      <c r="I2471" s="244"/>
      <c r="J2471" s="244"/>
      <c r="K2471" s="246" t="e">
        <f t="shared" si="266"/>
        <v>#VALUE!</v>
      </c>
      <c r="L2471" s="246" t="e">
        <f t="shared" si="267"/>
        <v>#VALUE!</v>
      </c>
      <c r="M2471" s="247" t="e">
        <f t="shared" si="268"/>
        <v>#VALUE!</v>
      </c>
      <c r="N2471" s="246" t="e">
        <f t="shared" si="269"/>
        <v>#VALUE!</v>
      </c>
      <c r="O2471" s="247" t="e">
        <f t="shared" si="270"/>
        <v>#VALUE!</v>
      </c>
      <c r="P2471" s="247">
        <f t="shared" si="271"/>
        <v>0</v>
      </c>
      <c r="Q2471" s="247" t="e">
        <f t="shared" si="272"/>
        <v>#VALUE!</v>
      </c>
    </row>
    <row r="2472" spans="1:17" ht="15" customHeight="1" x14ac:dyDescent="0.25">
      <c r="A2472" s="244"/>
      <c r="B2472" s="244"/>
      <c r="C2472" s="244"/>
      <c r="D2472" s="244"/>
      <c r="E2472" s="244"/>
      <c r="F2472" s="244"/>
      <c r="G2472" s="244"/>
      <c r="I2472" s="244"/>
      <c r="J2472" s="244"/>
      <c r="K2472" s="246" t="e">
        <f t="shared" si="266"/>
        <v>#VALUE!</v>
      </c>
      <c r="L2472" s="246" t="e">
        <f t="shared" si="267"/>
        <v>#VALUE!</v>
      </c>
      <c r="M2472" s="247" t="e">
        <f t="shared" si="268"/>
        <v>#VALUE!</v>
      </c>
      <c r="N2472" s="246" t="e">
        <f t="shared" si="269"/>
        <v>#VALUE!</v>
      </c>
      <c r="O2472" s="247" t="e">
        <f t="shared" si="270"/>
        <v>#VALUE!</v>
      </c>
      <c r="P2472" s="247">
        <f t="shared" si="271"/>
        <v>0</v>
      </c>
      <c r="Q2472" s="247" t="e">
        <f t="shared" si="272"/>
        <v>#VALUE!</v>
      </c>
    </row>
    <row r="2473" spans="1:17" ht="15" customHeight="1" x14ac:dyDescent="0.25">
      <c r="A2473" s="244"/>
      <c r="B2473" s="244"/>
      <c r="C2473" s="244"/>
      <c r="D2473" s="244"/>
      <c r="E2473" s="244"/>
      <c r="F2473" s="244"/>
      <c r="G2473" s="244"/>
      <c r="I2473" s="244"/>
      <c r="J2473" s="244"/>
      <c r="K2473" s="246" t="e">
        <f t="shared" si="266"/>
        <v>#VALUE!</v>
      </c>
      <c r="L2473" s="246" t="e">
        <f t="shared" si="267"/>
        <v>#VALUE!</v>
      </c>
      <c r="M2473" s="247" t="e">
        <f t="shared" si="268"/>
        <v>#VALUE!</v>
      </c>
      <c r="N2473" s="246" t="e">
        <f t="shared" si="269"/>
        <v>#VALUE!</v>
      </c>
      <c r="O2473" s="247" t="e">
        <f t="shared" si="270"/>
        <v>#VALUE!</v>
      </c>
      <c r="P2473" s="247">
        <f t="shared" si="271"/>
        <v>0</v>
      </c>
      <c r="Q2473" s="247" t="e">
        <f t="shared" si="272"/>
        <v>#VALUE!</v>
      </c>
    </row>
    <row r="2474" spans="1:17" ht="15" customHeight="1" x14ac:dyDescent="0.25">
      <c r="A2474" s="244"/>
      <c r="B2474" s="244"/>
      <c r="C2474" s="244"/>
      <c r="D2474" s="244"/>
      <c r="E2474" s="244"/>
      <c r="F2474" s="244"/>
      <c r="G2474" s="244"/>
      <c r="I2474" s="244"/>
      <c r="J2474" s="244"/>
      <c r="K2474" s="246" t="e">
        <f t="shared" si="266"/>
        <v>#VALUE!</v>
      </c>
      <c r="L2474" s="246" t="e">
        <f t="shared" si="267"/>
        <v>#VALUE!</v>
      </c>
      <c r="M2474" s="247" t="e">
        <f t="shared" si="268"/>
        <v>#VALUE!</v>
      </c>
      <c r="N2474" s="246" t="e">
        <f t="shared" si="269"/>
        <v>#VALUE!</v>
      </c>
      <c r="O2474" s="247" t="e">
        <f t="shared" si="270"/>
        <v>#VALUE!</v>
      </c>
      <c r="P2474" s="247">
        <f t="shared" si="271"/>
        <v>0</v>
      </c>
      <c r="Q2474" s="247" t="e">
        <f t="shared" si="272"/>
        <v>#VALUE!</v>
      </c>
    </row>
    <row r="2475" spans="1:17" ht="15" customHeight="1" x14ac:dyDescent="0.25">
      <c r="A2475" s="244"/>
      <c r="B2475" s="244"/>
      <c r="C2475" s="244"/>
      <c r="D2475" s="244"/>
      <c r="E2475" s="244"/>
      <c r="F2475" s="244"/>
      <c r="G2475" s="244"/>
      <c r="I2475" s="244"/>
      <c r="J2475" s="244"/>
      <c r="K2475" s="246" t="e">
        <f t="shared" si="266"/>
        <v>#VALUE!</v>
      </c>
      <c r="L2475" s="246" t="e">
        <f t="shared" si="267"/>
        <v>#VALUE!</v>
      </c>
      <c r="M2475" s="247" t="e">
        <f t="shared" si="268"/>
        <v>#VALUE!</v>
      </c>
      <c r="N2475" s="246" t="e">
        <f t="shared" si="269"/>
        <v>#VALUE!</v>
      </c>
      <c r="O2475" s="247" t="e">
        <f t="shared" si="270"/>
        <v>#VALUE!</v>
      </c>
      <c r="P2475" s="247">
        <f t="shared" si="271"/>
        <v>0</v>
      </c>
      <c r="Q2475" s="247" t="e">
        <f t="shared" si="272"/>
        <v>#VALUE!</v>
      </c>
    </row>
    <row r="2476" spans="1:17" ht="15" customHeight="1" x14ac:dyDescent="0.25">
      <c r="A2476" s="244"/>
      <c r="B2476" s="244"/>
      <c r="C2476" s="244"/>
      <c r="D2476" s="244"/>
      <c r="E2476" s="244"/>
      <c r="F2476" s="244"/>
      <c r="G2476" s="244"/>
      <c r="I2476" s="244"/>
      <c r="J2476" s="244"/>
      <c r="K2476" s="246" t="e">
        <f t="shared" si="266"/>
        <v>#VALUE!</v>
      </c>
      <c r="L2476" s="246" t="e">
        <f t="shared" si="267"/>
        <v>#VALUE!</v>
      </c>
      <c r="M2476" s="247" t="e">
        <f t="shared" si="268"/>
        <v>#VALUE!</v>
      </c>
      <c r="N2476" s="246" t="e">
        <f t="shared" si="269"/>
        <v>#VALUE!</v>
      </c>
      <c r="O2476" s="247" t="e">
        <f t="shared" si="270"/>
        <v>#VALUE!</v>
      </c>
      <c r="P2476" s="247">
        <f t="shared" si="271"/>
        <v>0</v>
      </c>
      <c r="Q2476" s="247" t="e">
        <f t="shared" si="272"/>
        <v>#VALUE!</v>
      </c>
    </row>
    <row r="2477" spans="1:17" ht="15" customHeight="1" x14ac:dyDescent="0.25">
      <c r="A2477" s="244"/>
      <c r="B2477" s="244"/>
      <c r="C2477" s="244"/>
      <c r="D2477" s="244"/>
      <c r="E2477" s="244"/>
      <c r="F2477" s="244"/>
      <c r="G2477" s="244"/>
      <c r="I2477" s="244"/>
      <c r="J2477" s="244"/>
      <c r="K2477" s="246" t="e">
        <f t="shared" si="266"/>
        <v>#VALUE!</v>
      </c>
      <c r="L2477" s="246" t="e">
        <f t="shared" si="267"/>
        <v>#VALUE!</v>
      </c>
      <c r="M2477" s="247" t="e">
        <f t="shared" si="268"/>
        <v>#VALUE!</v>
      </c>
      <c r="N2477" s="246" t="e">
        <f t="shared" si="269"/>
        <v>#VALUE!</v>
      </c>
      <c r="O2477" s="247" t="e">
        <f t="shared" si="270"/>
        <v>#VALUE!</v>
      </c>
      <c r="P2477" s="247">
        <f t="shared" si="271"/>
        <v>0</v>
      </c>
      <c r="Q2477" s="247" t="e">
        <f t="shared" si="272"/>
        <v>#VALUE!</v>
      </c>
    </row>
    <row r="2478" spans="1:17" ht="15" customHeight="1" x14ac:dyDescent="0.25">
      <c r="A2478" s="244"/>
      <c r="B2478" s="244"/>
      <c r="C2478" s="244"/>
      <c r="D2478" s="244"/>
      <c r="E2478" s="244"/>
      <c r="F2478" s="244"/>
      <c r="G2478" s="244"/>
      <c r="I2478" s="244"/>
      <c r="J2478" s="244"/>
      <c r="K2478" s="246" t="e">
        <f t="shared" si="266"/>
        <v>#VALUE!</v>
      </c>
      <c r="L2478" s="246" t="e">
        <f t="shared" si="267"/>
        <v>#VALUE!</v>
      </c>
      <c r="M2478" s="247" t="e">
        <f t="shared" si="268"/>
        <v>#VALUE!</v>
      </c>
      <c r="N2478" s="246" t="e">
        <f t="shared" si="269"/>
        <v>#VALUE!</v>
      </c>
      <c r="O2478" s="247" t="e">
        <f t="shared" si="270"/>
        <v>#VALUE!</v>
      </c>
      <c r="P2478" s="247">
        <f t="shared" si="271"/>
        <v>0</v>
      </c>
      <c r="Q2478" s="247" t="e">
        <f t="shared" si="272"/>
        <v>#VALUE!</v>
      </c>
    </row>
    <row r="2479" spans="1:17" ht="15" customHeight="1" x14ac:dyDescent="0.25">
      <c r="A2479" s="244"/>
      <c r="B2479" s="244"/>
      <c r="C2479" s="244"/>
      <c r="D2479" s="244"/>
      <c r="E2479" s="244"/>
      <c r="F2479" s="244"/>
      <c r="G2479" s="244"/>
      <c r="I2479" s="244"/>
      <c r="J2479" s="244"/>
      <c r="K2479" s="246" t="e">
        <f t="shared" si="266"/>
        <v>#VALUE!</v>
      </c>
      <c r="L2479" s="246" t="e">
        <f t="shared" si="267"/>
        <v>#VALUE!</v>
      </c>
      <c r="M2479" s="247" t="e">
        <f t="shared" si="268"/>
        <v>#VALUE!</v>
      </c>
      <c r="N2479" s="246" t="e">
        <f t="shared" si="269"/>
        <v>#VALUE!</v>
      </c>
      <c r="O2479" s="247" t="e">
        <f t="shared" si="270"/>
        <v>#VALUE!</v>
      </c>
      <c r="P2479" s="247">
        <f t="shared" si="271"/>
        <v>0</v>
      </c>
      <c r="Q2479" s="247" t="e">
        <f t="shared" si="272"/>
        <v>#VALUE!</v>
      </c>
    </row>
    <row r="2480" spans="1:17" ht="15" customHeight="1" x14ac:dyDescent="0.25">
      <c r="A2480" s="244"/>
      <c r="B2480" s="244"/>
      <c r="C2480" s="244"/>
      <c r="D2480" s="244"/>
      <c r="E2480" s="244"/>
      <c r="F2480" s="244"/>
      <c r="G2480" s="244"/>
      <c r="I2480" s="244"/>
      <c r="J2480" s="244"/>
      <c r="K2480" s="246" t="e">
        <f t="shared" si="266"/>
        <v>#VALUE!</v>
      </c>
      <c r="L2480" s="246" t="e">
        <f t="shared" si="267"/>
        <v>#VALUE!</v>
      </c>
      <c r="M2480" s="247" t="e">
        <f t="shared" si="268"/>
        <v>#VALUE!</v>
      </c>
      <c r="N2480" s="246" t="e">
        <f t="shared" si="269"/>
        <v>#VALUE!</v>
      </c>
      <c r="O2480" s="247" t="e">
        <f t="shared" si="270"/>
        <v>#VALUE!</v>
      </c>
      <c r="P2480" s="247">
        <f t="shared" si="271"/>
        <v>0</v>
      </c>
      <c r="Q2480" s="247" t="e">
        <f t="shared" si="272"/>
        <v>#VALUE!</v>
      </c>
    </row>
    <row r="2481" spans="1:17" ht="15" customHeight="1" x14ac:dyDescent="0.25">
      <c r="A2481" s="244"/>
      <c r="B2481" s="244"/>
      <c r="C2481" s="244"/>
      <c r="D2481" s="244"/>
      <c r="E2481" s="244"/>
      <c r="F2481" s="244"/>
      <c r="G2481" s="244"/>
      <c r="I2481" s="244"/>
      <c r="J2481" s="244"/>
      <c r="K2481" s="246" t="e">
        <f t="shared" si="266"/>
        <v>#VALUE!</v>
      </c>
      <c r="L2481" s="246" t="e">
        <f t="shared" si="267"/>
        <v>#VALUE!</v>
      </c>
      <c r="M2481" s="247" t="e">
        <f t="shared" si="268"/>
        <v>#VALUE!</v>
      </c>
      <c r="N2481" s="246" t="e">
        <f t="shared" si="269"/>
        <v>#VALUE!</v>
      </c>
      <c r="O2481" s="247" t="e">
        <f t="shared" si="270"/>
        <v>#VALUE!</v>
      </c>
      <c r="P2481" s="247">
        <f t="shared" si="271"/>
        <v>0</v>
      </c>
      <c r="Q2481" s="247" t="e">
        <f t="shared" si="272"/>
        <v>#VALUE!</v>
      </c>
    </row>
    <row r="2482" spans="1:17" ht="15" customHeight="1" x14ac:dyDescent="0.25">
      <c r="A2482" s="244"/>
      <c r="B2482" s="244"/>
      <c r="C2482" s="244"/>
      <c r="D2482" s="244"/>
      <c r="E2482" s="244"/>
      <c r="F2482" s="244"/>
      <c r="G2482" s="244"/>
      <c r="I2482" s="244"/>
      <c r="J2482" s="244"/>
      <c r="K2482" s="246" t="e">
        <f t="shared" si="266"/>
        <v>#VALUE!</v>
      </c>
      <c r="L2482" s="246" t="e">
        <f t="shared" si="267"/>
        <v>#VALUE!</v>
      </c>
      <c r="M2482" s="247" t="e">
        <f t="shared" si="268"/>
        <v>#VALUE!</v>
      </c>
      <c r="N2482" s="246" t="e">
        <f t="shared" si="269"/>
        <v>#VALUE!</v>
      </c>
      <c r="O2482" s="247" t="e">
        <f t="shared" si="270"/>
        <v>#VALUE!</v>
      </c>
      <c r="P2482" s="247">
        <f t="shared" si="271"/>
        <v>0</v>
      </c>
      <c r="Q2482" s="247" t="e">
        <f t="shared" si="272"/>
        <v>#VALUE!</v>
      </c>
    </row>
    <row r="2483" spans="1:17" ht="15" customHeight="1" x14ac:dyDescent="0.25">
      <c r="A2483" s="244"/>
      <c r="B2483" s="244"/>
      <c r="C2483" s="244"/>
      <c r="D2483" s="244"/>
      <c r="E2483" s="244"/>
      <c r="F2483" s="244"/>
      <c r="G2483" s="244"/>
      <c r="I2483" s="244"/>
      <c r="J2483" s="244"/>
      <c r="K2483" s="246" t="e">
        <f t="shared" si="266"/>
        <v>#VALUE!</v>
      </c>
      <c r="L2483" s="246" t="e">
        <f t="shared" si="267"/>
        <v>#VALUE!</v>
      </c>
      <c r="M2483" s="247" t="e">
        <f t="shared" si="268"/>
        <v>#VALUE!</v>
      </c>
      <c r="N2483" s="246" t="e">
        <f t="shared" si="269"/>
        <v>#VALUE!</v>
      </c>
      <c r="O2483" s="247" t="e">
        <f t="shared" si="270"/>
        <v>#VALUE!</v>
      </c>
      <c r="P2483" s="247">
        <f t="shared" si="271"/>
        <v>0</v>
      </c>
      <c r="Q2483" s="247" t="e">
        <f t="shared" si="272"/>
        <v>#VALUE!</v>
      </c>
    </row>
    <row r="2484" spans="1:17" ht="15" customHeight="1" x14ac:dyDescent="0.25">
      <c r="A2484" s="244"/>
      <c r="B2484" s="244"/>
      <c r="C2484" s="244"/>
      <c r="D2484" s="244"/>
      <c r="E2484" s="244"/>
      <c r="F2484" s="244"/>
      <c r="G2484" s="244"/>
      <c r="I2484" s="244"/>
      <c r="J2484" s="244"/>
      <c r="K2484" s="246" t="e">
        <f t="shared" si="266"/>
        <v>#VALUE!</v>
      </c>
      <c r="L2484" s="246" t="e">
        <f t="shared" si="267"/>
        <v>#VALUE!</v>
      </c>
      <c r="M2484" s="247" t="e">
        <f t="shared" si="268"/>
        <v>#VALUE!</v>
      </c>
      <c r="N2484" s="246" t="e">
        <f t="shared" si="269"/>
        <v>#VALUE!</v>
      </c>
      <c r="O2484" s="247" t="e">
        <f t="shared" si="270"/>
        <v>#VALUE!</v>
      </c>
      <c r="P2484" s="247">
        <f t="shared" si="271"/>
        <v>0</v>
      </c>
      <c r="Q2484" s="247" t="e">
        <f t="shared" si="272"/>
        <v>#VALUE!</v>
      </c>
    </row>
    <row r="2485" spans="1:17" ht="15" customHeight="1" x14ac:dyDescent="0.25">
      <c r="A2485" s="244"/>
      <c r="B2485" s="244"/>
      <c r="C2485" s="244"/>
      <c r="D2485" s="244"/>
      <c r="E2485" s="244"/>
      <c r="F2485" s="244"/>
      <c r="G2485" s="244"/>
      <c r="I2485" s="244"/>
      <c r="J2485" s="244"/>
      <c r="K2485" s="246" t="e">
        <f t="shared" si="266"/>
        <v>#VALUE!</v>
      </c>
      <c r="L2485" s="246" t="e">
        <f t="shared" si="267"/>
        <v>#VALUE!</v>
      </c>
      <c r="M2485" s="247" t="e">
        <f t="shared" si="268"/>
        <v>#VALUE!</v>
      </c>
      <c r="N2485" s="246" t="e">
        <f t="shared" si="269"/>
        <v>#VALUE!</v>
      </c>
      <c r="O2485" s="247" t="e">
        <f t="shared" si="270"/>
        <v>#VALUE!</v>
      </c>
      <c r="P2485" s="247">
        <f t="shared" si="271"/>
        <v>0</v>
      </c>
      <c r="Q2485" s="247" t="e">
        <f t="shared" si="272"/>
        <v>#VALUE!</v>
      </c>
    </row>
    <row r="2486" spans="1:17" ht="15" customHeight="1" x14ac:dyDescent="0.25">
      <c r="A2486" s="244"/>
      <c r="B2486" s="244"/>
      <c r="C2486" s="244"/>
      <c r="D2486" s="244"/>
      <c r="E2486" s="244"/>
      <c r="F2486" s="244"/>
      <c r="G2486" s="244"/>
      <c r="I2486" s="244"/>
      <c r="J2486" s="244"/>
      <c r="K2486" s="246" t="e">
        <f t="shared" si="266"/>
        <v>#VALUE!</v>
      </c>
      <c r="L2486" s="246" t="e">
        <f t="shared" si="267"/>
        <v>#VALUE!</v>
      </c>
      <c r="M2486" s="247" t="e">
        <f t="shared" si="268"/>
        <v>#VALUE!</v>
      </c>
      <c r="N2486" s="246" t="e">
        <f t="shared" si="269"/>
        <v>#VALUE!</v>
      </c>
      <c r="O2486" s="247" t="e">
        <f t="shared" si="270"/>
        <v>#VALUE!</v>
      </c>
      <c r="P2486" s="247">
        <f t="shared" si="271"/>
        <v>0</v>
      </c>
      <c r="Q2486" s="247" t="e">
        <f t="shared" si="272"/>
        <v>#VALUE!</v>
      </c>
    </row>
    <row r="2487" spans="1:17" ht="15" customHeight="1" x14ac:dyDescent="0.25">
      <c r="A2487" s="244"/>
      <c r="B2487" s="244"/>
      <c r="C2487" s="244"/>
      <c r="D2487" s="244"/>
      <c r="E2487" s="244"/>
      <c r="F2487" s="244"/>
      <c r="G2487" s="244"/>
      <c r="I2487" s="244"/>
      <c r="J2487" s="244"/>
      <c r="K2487" s="246" t="e">
        <f t="shared" si="266"/>
        <v>#VALUE!</v>
      </c>
      <c r="L2487" s="246" t="e">
        <f t="shared" si="267"/>
        <v>#VALUE!</v>
      </c>
      <c r="M2487" s="247" t="e">
        <f t="shared" si="268"/>
        <v>#VALUE!</v>
      </c>
      <c r="N2487" s="246" t="e">
        <f t="shared" si="269"/>
        <v>#VALUE!</v>
      </c>
      <c r="O2487" s="247" t="e">
        <f t="shared" si="270"/>
        <v>#VALUE!</v>
      </c>
      <c r="P2487" s="247">
        <f t="shared" si="271"/>
        <v>0</v>
      </c>
      <c r="Q2487" s="247" t="e">
        <f t="shared" si="272"/>
        <v>#VALUE!</v>
      </c>
    </row>
    <row r="2488" spans="1:17" ht="15" customHeight="1" x14ac:dyDescent="0.25">
      <c r="A2488" s="244"/>
      <c r="B2488" s="244"/>
      <c r="C2488" s="244"/>
      <c r="D2488" s="244"/>
      <c r="E2488" s="244"/>
      <c r="F2488" s="244"/>
      <c r="G2488" s="244"/>
      <c r="I2488" s="244"/>
      <c r="J2488" s="244"/>
      <c r="K2488" s="246" t="e">
        <f t="shared" si="266"/>
        <v>#VALUE!</v>
      </c>
      <c r="L2488" s="246" t="e">
        <f t="shared" si="267"/>
        <v>#VALUE!</v>
      </c>
      <c r="M2488" s="247" t="e">
        <f t="shared" si="268"/>
        <v>#VALUE!</v>
      </c>
      <c r="N2488" s="246" t="e">
        <f t="shared" si="269"/>
        <v>#VALUE!</v>
      </c>
      <c r="O2488" s="247" t="e">
        <f t="shared" si="270"/>
        <v>#VALUE!</v>
      </c>
      <c r="P2488" s="247">
        <f t="shared" si="271"/>
        <v>0</v>
      </c>
      <c r="Q2488" s="247" t="e">
        <f t="shared" si="272"/>
        <v>#VALUE!</v>
      </c>
    </row>
    <row r="2489" spans="1:17" ht="15" customHeight="1" x14ac:dyDescent="0.25">
      <c r="A2489" s="244"/>
      <c r="B2489" s="244"/>
      <c r="C2489" s="244"/>
      <c r="D2489" s="244"/>
      <c r="E2489" s="244"/>
      <c r="F2489" s="244"/>
      <c r="G2489" s="244"/>
      <c r="I2489" s="244"/>
      <c r="J2489" s="244"/>
      <c r="K2489" s="246" t="e">
        <f t="shared" si="266"/>
        <v>#VALUE!</v>
      </c>
      <c r="L2489" s="246" t="e">
        <f t="shared" si="267"/>
        <v>#VALUE!</v>
      </c>
      <c r="M2489" s="247" t="e">
        <f t="shared" si="268"/>
        <v>#VALUE!</v>
      </c>
      <c r="N2489" s="246" t="e">
        <f t="shared" si="269"/>
        <v>#VALUE!</v>
      </c>
      <c r="O2489" s="247" t="e">
        <f t="shared" si="270"/>
        <v>#VALUE!</v>
      </c>
      <c r="P2489" s="247">
        <f t="shared" si="271"/>
        <v>0</v>
      </c>
      <c r="Q2489" s="247" t="e">
        <f t="shared" si="272"/>
        <v>#VALUE!</v>
      </c>
    </row>
    <row r="2490" spans="1:17" ht="15" customHeight="1" x14ac:dyDescent="0.25">
      <c r="A2490" s="244"/>
      <c r="B2490" s="244"/>
      <c r="C2490" s="244"/>
      <c r="D2490" s="244"/>
      <c r="E2490" s="244"/>
      <c r="F2490" s="244"/>
      <c r="G2490" s="244"/>
      <c r="I2490" s="244"/>
      <c r="J2490" s="244"/>
      <c r="K2490" s="246" t="e">
        <f t="shared" si="266"/>
        <v>#VALUE!</v>
      </c>
      <c r="L2490" s="246" t="e">
        <f t="shared" si="267"/>
        <v>#VALUE!</v>
      </c>
      <c r="M2490" s="247" t="e">
        <f t="shared" si="268"/>
        <v>#VALUE!</v>
      </c>
      <c r="N2490" s="246" t="e">
        <f t="shared" si="269"/>
        <v>#VALUE!</v>
      </c>
      <c r="O2490" s="247" t="e">
        <f t="shared" si="270"/>
        <v>#VALUE!</v>
      </c>
      <c r="P2490" s="247">
        <f t="shared" si="271"/>
        <v>0</v>
      </c>
      <c r="Q2490" s="247" t="e">
        <f t="shared" si="272"/>
        <v>#VALUE!</v>
      </c>
    </row>
    <row r="2491" spans="1:17" ht="15" customHeight="1" x14ac:dyDescent="0.25">
      <c r="A2491" s="244"/>
      <c r="B2491" s="244"/>
      <c r="C2491" s="244"/>
      <c r="D2491" s="244"/>
      <c r="E2491" s="244"/>
      <c r="F2491" s="244"/>
      <c r="G2491" s="244"/>
      <c r="I2491" s="244"/>
      <c r="J2491" s="244"/>
      <c r="K2491" s="246" t="e">
        <f t="shared" si="266"/>
        <v>#VALUE!</v>
      </c>
      <c r="L2491" s="246" t="e">
        <f t="shared" si="267"/>
        <v>#VALUE!</v>
      </c>
      <c r="M2491" s="247" t="e">
        <f t="shared" si="268"/>
        <v>#VALUE!</v>
      </c>
      <c r="N2491" s="246" t="e">
        <f t="shared" si="269"/>
        <v>#VALUE!</v>
      </c>
      <c r="O2491" s="247" t="e">
        <f t="shared" si="270"/>
        <v>#VALUE!</v>
      </c>
      <c r="P2491" s="247">
        <f t="shared" si="271"/>
        <v>0</v>
      </c>
      <c r="Q2491" s="247" t="e">
        <f t="shared" si="272"/>
        <v>#VALUE!</v>
      </c>
    </row>
    <row r="2492" spans="1:17" ht="15" customHeight="1" x14ac:dyDescent="0.25">
      <c r="A2492" s="244"/>
      <c r="B2492" s="244"/>
      <c r="C2492" s="244"/>
      <c r="D2492" s="244"/>
      <c r="E2492" s="244"/>
      <c r="F2492" s="244"/>
      <c r="G2492" s="244"/>
      <c r="I2492" s="244"/>
      <c r="J2492" s="244"/>
      <c r="K2492" s="246" t="e">
        <f t="shared" si="266"/>
        <v>#VALUE!</v>
      </c>
      <c r="L2492" s="246" t="e">
        <f t="shared" si="267"/>
        <v>#VALUE!</v>
      </c>
      <c r="M2492" s="247" t="e">
        <f t="shared" si="268"/>
        <v>#VALUE!</v>
      </c>
      <c r="N2492" s="246" t="e">
        <f t="shared" si="269"/>
        <v>#VALUE!</v>
      </c>
      <c r="O2492" s="247" t="e">
        <f t="shared" si="270"/>
        <v>#VALUE!</v>
      </c>
      <c r="P2492" s="247">
        <f t="shared" si="271"/>
        <v>0</v>
      </c>
      <c r="Q2492" s="247" t="e">
        <f t="shared" si="272"/>
        <v>#VALUE!</v>
      </c>
    </row>
    <row r="2493" spans="1:17" ht="15" customHeight="1" x14ac:dyDescent="0.25">
      <c r="A2493" s="244"/>
      <c r="B2493" s="244"/>
      <c r="C2493" s="244"/>
      <c r="D2493" s="244"/>
      <c r="E2493" s="244"/>
      <c r="F2493" s="244"/>
      <c r="G2493" s="244"/>
      <c r="I2493" s="244"/>
      <c r="J2493" s="244"/>
      <c r="K2493" s="246" t="e">
        <f t="shared" si="266"/>
        <v>#VALUE!</v>
      </c>
      <c r="L2493" s="246" t="e">
        <f t="shared" si="267"/>
        <v>#VALUE!</v>
      </c>
      <c r="M2493" s="247" t="e">
        <f t="shared" si="268"/>
        <v>#VALUE!</v>
      </c>
      <c r="N2493" s="246" t="e">
        <f t="shared" si="269"/>
        <v>#VALUE!</v>
      </c>
      <c r="O2493" s="247" t="e">
        <f t="shared" si="270"/>
        <v>#VALUE!</v>
      </c>
      <c r="P2493" s="247">
        <f t="shared" si="271"/>
        <v>0</v>
      </c>
      <c r="Q2493" s="247" t="e">
        <f t="shared" si="272"/>
        <v>#VALUE!</v>
      </c>
    </row>
    <row r="2494" spans="1:17" ht="15" customHeight="1" x14ac:dyDescent="0.25">
      <c r="A2494" s="244"/>
      <c r="B2494" s="244"/>
      <c r="C2494" s="244"/>
      <c r="D2494" s="244"/>
      <c r="E2494" s="244"/>
      <c r="F2494" s="244"/>
      <c r="G2494" s="244"/>
      <c r="I2494" s="244"/>
      <c r="J2494" s="244"/>
      <c r="K2494" s="246" t="e">
        <f t="shared" si="266"/>
        <v>#VALUE!</v>
      </c>
      <c r="L2494" s="246" t="e">
        <f t="shared" si="267"/>
        <v>#VALUE!</v>
      </c>
      <c r="M2494" s="247" t="e">
        <f t="shared" si="268"/>
        <v>#VALUE!</v>
      </c>
      <c r="N2494" s="246" t="e">
        <f t="shared" si="269"/>
        <v>#VALUE!</v>
      </c>
      <c r="O2494" s="247" t="e">
        <f t="shared" si="270"/>
        <v>#VALUE!</v>
      </c>
      <c r="P2494" s="247">
        <f t="shared" si="271"/>
        <v>0</v>
      </c>
      <c r="Q2494" s="247" t="e">
        <f t="shared" si="272"/>
        <v>#VALUE!</v>
      </c>
    </row>
    <row r="2495" spans="1:17" ht="15" customHeight="1" x14ac:dyDescent="0.25">
      <c r="A2495" s="244"/>
      <c r="B2495" s="244"/>
      <c r="C2495" s="244"/>
      <c r="D2495" s="244"/>
      <c r="E2495" s="244"/>
      <c r="F2495" s="244"/>
      <c r="G2495" s="244"/>
      <c r="I2495" s="244"/>
      <c r="J2495" s="244"/>
      <c r="K2495" s="246" t="e">
        <f t="shared" si="266"/>
        <v>#VALUE!</v>
      </c>
      <c r="L2495" s="246" t="e">
        <f t="shared" si="267"/>
        <v>#VALUE!</v>
      </c>
      <c r="M2495" s="247" t="e">
        <f t="shared" si="268"/>
        <v>#VALUE!</v>
      </c>
      <c r="N2495" s="246" t="e">
        <f t="shared" si="269"/>
        <v>#VALUE!</v>
      </c>
      <c r="O2495" s="247" t="e">
        <f t="shared" si="270"/>
        <v>#VALUE!</v>
      </c>
      <c r="P2495" s="247">
        <f t="shared" si="271"/>
        <v>0</v>
      </c>
      <c r="Q2495" s="247" t="e">
        <f t="shared" si="272"/>
        <v>#VALUE!</v>
      </c>
    </row>
    <row r="2496" spans="1:17" ht="15" customHeight="1" x14ac:dyDescent="0.25">
      <c r="A2496" s="244"/>
      <c r="B2496" s="244"/>
      <c r="C2496" s="244"/>
      <c r="D2496" s="244"/>
      <c r="E2496" s="244"/>
      <c r="F2496" s="244"/>
      <c r="G2496" s="244"/>
      <c r="I2496" s="244"/>
      <c r="J2496" s="244"/>
      <c r="K2496" s="246" t="e">
        <f t="shared" si="266"/>
        <v>#VALUE!</v>
      </c>
      <c r="L2496" s="246" t="e">
        <f t="shared" si="267"/>
        <v>#VALUE!</v>
      </c>
      <c r="M2496" s="247" t="e">
        <f t="shared" si="268"/>
        <v>#VALUE!</v>
      </c>
      <c r="N2496" s="246" t="e">
        <f t="shared" si="269"/>
        <v>#VALUE!</v>
      </c>
      <c r="O2496" s="247" t="e">
        <f t="shared" si="270"/>
        <v>#VALUE!</v>
      </c>
      <c r="P2496" s="247">
        <f t="shared" si="271"/>
        <v>0</v>
      </c>
      <c r="Q2496" s="247" t="e">
        <f t="shared" si="272"/>
        <v>#VALUE!</v>
      </c>
    </row>
    <row r="2497" spans="1:17" ht="15" customHeight="1" x14ac:dyDescent="0.25">
      <c r="A2497" s="244"/>
      <c r="B2497" s="244"/>
      <c r="C2497" s="244"/>
      <c r="D2497" s="244"/>
      <c r="E2497" s="244"/>
      <c r="F2497" s="244"/>
      <c r="G2497" s="244"/>
      <c r="I2497" s="244"/>
      <c r="J2497" s="244"/>
      <c r="K2497" s="246" t="e">
        <f t="shared" si="266"/>
        <v>#VALUE!</v>
      </c>
      <c r="L2497" s="246" t="e">
        <f t="shared" si="267"/>
        <v>#VALUE!</v>
      </c>
      <c r="M2497" s="247" t="e">
        <f t="shared" si="268"/>
        <v>#VALUE!</v>
      </c>
      <c r="N2497" s="246" t="e">
        <f t="shared" si="269"/>
        <v>#VALUE!</v>
      </c>
      <c r="O2497" s="247" t="e">
        <f t="shared" si="270"/>
        <v>#VALUE!</v>
      </c>
      <c r="P2497" s="247">
        <f t="shared" si="271"/>
        <v>0</v>
      </c>
      <c r="Q2497" s="247" t="e">
        <f t="shared" si="272"/>
        <v>#VALUE!</v>
      </c>
    </row>
    <row r="2498" spans="1:17" ht="15" customHeight="1" x14ac:dyDescent="0.25">
      <c r="A2498" s="244"/>
      <c r="B2498" s="244"/>
      <c r="C2498" s="244"/>
      <c r="D2498" s="244"/>
      <c r="E2498" s="244"/>
      <c r="F2498" s="244"/>
      <c r="G2498" s="244"/>
      <c r="I2498" s="244"/>
      <c r="J2498" s="244"/>
      <c r="K2498" s="246" t="e">
        <f t="shared" ref="K2498:K2561" si="273">DATE(VALUE(LEFT(A2498,4)),VALUE(MID(A2498,5,2)),VALUE(RIGHT(A2498,2)))</f>
        <v>#VALUE!</v>
      </c>
      <c r="L2498" s="246" t="e">
        <f t="shared" ref="L2498:L2561" si="274">DATEVALUE(LEFT(F2498,10))</f>
        <v>#VALUE!</v>
      </c>
      <c r="M2498" s="247" t="e">
        <f t="shared" ref="M2498:M2561" si="275">TIMEVALUE(MID(F2498,12,8))</f>
        <v>#VALUE!</v>
      </c>
      <c r="N2498" s="246" t="e">
        <f t="shared" ref="N2498:N2561" si="276">DATEVALUE(LEFT(G2498,10))</f>
        <v>#VALUE!</v>
      </c>
      <c r="O2498" s="247" t="e">
        <f t="shared" ref="O2498:O2561" si="277">TIMEVALUE(MID(G2498,12,8))</f>
        <v>#VALUE!</v>
      </c>
      <c r="P2498" s="247">
        <f t="shared" ref="P2498:P2561" si="278">IFERROR(_xlfn.MINIFS($M:$M,$E:$E,$E2498,$K:$K,$K2498,$M:$M,"&gt;"&amp;$O2498),"")</f>
        <v>0</v>
      </c>
      <c r="Q2498" s="247" t="e">
        <f t="shared" ref="Q2498:Q2561" si="279">IF($P2498="","",$P2498-$O2498)</f>
        <v>#VALUE!</v>
      </c>
    </row>
    <row r="2499" spans="1:17" ht="15" customHeight="1" x14ac:dyDescent="0.25">
      <c r="A2499" s="244"/>
      <c r="B2499" s="244"/>
      <c r="C2499" s="244"/>
      <c r="D2499" s="244"/>
      <c r="E2499" s="244"/>
      <c r="F2499" s="244"/>
      <c r="G2499" s="244"/>
      <c r="I2499" s="244"/>
      <c r="J2499" s="244"/>
      <c r="K2499" s="246" t="e">
        <f t="shared" si="273"/>
        <v>#VALUE!</v>
      </c>
      <c r="L2499" s="246" t="e">
        <f t="shared" si="274"/>
        <v>#VALUE!</v>
      </c>
      <c r="M2499" s="247" t="e">
        <f t="shared" si="275"/>
        <v>#VALUE!</v>
      </c>
      <c r="N2499" s="246" t="e">
        <f t="shared" si="276"/>
        <v>#VALUE!</v>
      </c>
      <c r="O2499" s="247" t="e">
        <f t="shared" si="277"/>
        <v>#VALUE!</v>
      </c>
      <c r="P2499" s="247">
        <f t="shared" si="278"/>
        <v>0</v>
      </c>
      <c r="Q2499" s="247" t="e">
        <f t="shared" si="279"/>
        <v>#VALUE!</v>
      </c>
    </row>
    <row r="2500" spans="1:17" ht="15" customHeight="1" x14ac:dyDescent="0.25">
      <c r="A2500" s="244"/>
      <c r="B2500" s="244"/>
      <c r="C2500" s="244"/>
      <c r="D2500" s="244"/>
      <c r="E2500" s="244"/>
      <c r="F2500" s="244"/>
      <c r="G2500" s="244"/>
      <c r="I2500" s="244"/>
      <c r="J2500" s="244"/>
      <c r="K2500" s="246" t="e">
        <f t="shared" si="273"/>
        <v>#VALUE!</v>
      </c>
      <c r="L2500" s="246" t="e">
        <f t="shared" si="274"/>
        <v>#VALUE!</v>
      </c>
      <c r="M2500" s="247" t="e">
        <f t="shared" si="275"/>
        <v>#VALUE!</v>
      </c>
      <c r="N2500" s="246" t="e">
        <f t="shared" si="276"/>
        <v>#VALUE!</v>
      </c>
      <c r="O2500" s="247" t="e">
        <f t="shared" si="277"/>
        <v>#VALUE!</v>
      </c>
      <c r="P2500" s="247">
        <f t="shared" si="278"/>
        <v>0</v>
      </c>
      <c r="Q2500" s="247" t="e">
        <f t="shared" si="279"/>
        <v>#VALUE!</v>
      </c>
    </row>
    <row r="2501" spans="1:17" ht="15" customHeight="1" x14ac:dyDescent="0.25">
      <c r="A2501" s="244"/>
      <c r="B2501" s="244"/>
      <c r="C2501" s="244"/>
      <c r="D2501" s="244"/>
      <c r="E2501" s="244"/>
      <c r="F2501" s="244"/>
      <c r="G2501" s="244"/>
      <c r="I2501" s="244"/>
      <c r="J2501" s="244"/>
      <c r="K2501" s="246" t="e">
        <f t="shared" si="273"/>
        <v>#VALUE!</v>
      </c>
      <c r="L2501" s="246" t="e">
        <f t="shared" si="274"/>
        <v>#VALUE!</v>
      </c>
      <c r="M2501" s="247" t="e">
        <f t="shared" si="275"/>
        <v>#VALUE!</v>
      </c>
      <c r="N2501" s="246" t="e">
        <f t="shared" si="276"/>
        <v>#VALUE!</v>
      </c>
      <c r="O2501" s="247" t="e">
        <f t="shared" si="277"/>
        <v>#VALUE!</v>
      </c>
      <c r="P2501" s="247">
        <f t="shared" si="278"/>
        <v>0</v>
      </c>
      <c r="Q2501" s="247" t="e">
        <f t="shared" si="279"/>
        <v>#VALUE!</v>
      </c>
    </row>
    <row r="2502" spans="1:17" ht="15" customHeight="1" x14ac:dyDescent="0.25">
      <c r="A2502" s="244"/>
      <c r="B2502" s="244"/>
      <c r="C2502" s="244"/>
      <c r="D2502" s="244"/>
      <c r="E2502" s="244"/>
      <c r="F2502" s="244"/>
      <c r="G2502" s="244"/>
      <c r="I2502" s="244"/>
      <c r="J2502" s="244"/>
      <c r="K2502" s="246" t="e">
        <f t="shared" si="273"/>
        <v>#VALUE!</v>
      </c>
      <c r="L2502" s="246" t="e">
        <f t="shared" si="274"/>
        <v>#VALUE!</v>
      </c>
      <c r="M2502" s="247" t="e">
        <f t="shared" si="275"/>
        <v>#VALUE!</v>
      </c>
      <c r="N2502" s="246" t="e">
        <f t="shared" si="276"/>
        <v>#VALUE!</v>
      </c>
      <c r="O2502" s="247" t="e">
        <f t="shared" si="277"/>
        <v>#VALUE!</v>
      </c>
      <c r="P2502" s="247">
        <f t="shared" si="278"/>
        <v>0</v>
      </c>
      <c r="Q2502" s="247" t="e">
        <f t="shared" si="279"/>
        <v>#VALUE!</v>
      </c>
    </row>
    <row r="2503" spans="1:17" ht="15" customHeight="1" x14ac:dyDescent="0.25">
      <c r="A2503" s="244"/>
      <c r="B2503" s="244"/>
      <c r="C2503" s="244"/>
      <c r="D2503" s="244"/>
      <c r="E2503" s="244"/>
      <c r="F2503" s="244"/>
      <c r="G2503" s="244"/>
      <c r="I2503" s="244"/>
      <c r="J2503" s="244"/>
      <c r="K2503" s="246" t="e">
        <f t="shared" si="273"/>
        <v>#VALUE!</v>
      </c>
      <c r="L2503" s="246" t="e">
        <f t="shared" si="274"/>
        <v>#VALUE!</v>
      </c>
      <c r="M2503" s="247" t="e">
        <f t="shared" si="275"/>
        <v>#VALUE!</v>
      </c>
      <c r="N2503" s="246" t="e">
        <f t="shared" si="276"/>
        <v>#VALUE!</v>
      </c>
      <c r="O2503" s="247" t="e">
        <f t="shared" si="277"/>
        <v>#VALUE!</v>
      </c>
      <c r="P2503" s="247">
        <f t="shared" si="278"/>
        <v>0</v>
      </c>
      <c r="Q2503" s="247" t="e">
        <f t="shared" si="279"/>
        <v>#VALUE!</v>
      </c>
    </row>
    <row r="2504" spans="1:17" ht="15" customHeight="1" x14ac:dyDescent="0.25">
      <c r="A2504" s="244"/>
      <c r="B2504" s="244"/>
      <c r="C2504" s="244"/>
      <c r="D2504" s="244"/>
      <c r="E2504" s="244"/>
      <c r="F2504" s="244"/>
      <c r="G2504" s="244"/>
      <c r="I2504" s="244"/>
      <c r="J2504" s="244"/>
      <c r="K2504" s="246" t="e">
        <f t="shared" si="273"/>
        <v>#VALUE!</v>
      </c>
      <c r="L2504" s="246" t="e">
        <f t="shared" si="274"/>
        <v>#VALUE!</v>
      </c>
      <c r="M2504" s="247" t="e">
        <f t="shared" si="275"/>
        <v>#VALUE!</v>
      </c>
      <c r="N2504" s="246" t="e">
        <f t="shared" si="276"/>
        <v>#VALUE!</v>
      </c>
      <c r="O2504" s="247" t="e">
        <f t="shared" si="277"/>
        <v>#VALUE!</v>
      </c>
      <c r="P2504" s="247">
        <f t="shared" si="278"/>
        <v>0</v>
      </c>
      <c r="Q2504" s="247" t="e">
        <f t="shared" si="279"/>
        <v>#VALUE!</v>
      </c>
    </row>
    <row r="2505" spans="1:17" ht="15" customHeight="1" x14ac:dyDescent="0.25">
      <c r="A2505" s="244"/>
      <c r="B2505" s="244"/>
      <c r="C2505" s="244"/>
      <c r="D2505" s="244"/>
      <c r="E2505" s="244"/>
      <c r="F2505" s="244"/>
      <c r="G2505" s="244"/>
      <c r="I2505" s="244"/>
      <c r="J2505" s="244"/>
      <c r="K2505" s="246" t="e">
        <f t="shared" si="273"/>
        <v>#VALUE!</v>
      </c>
      <c r="L2505" s="246" t="e">
        <f t="shared" si="274"/>
        <v>#VALUE!</v>
      </c>
      <c r="M2505" s="247" t="e">
        <f t="shared" si="275"/>
        <v>#VALUE!</v>
      </c>
      <c r="N2505" s="246" t="e">
        <f t="shared" si="276"/>
        <v>#VALUE!</v>
      </c>
      <c r="O2505" s="247" t="e">
        <f t="shared" si="277"/>
        <v>#VALUE!</v>
      </c>
      <c r="P2505" s="247">
        <f t="shared" si="278"/>
        <v>0</v>
      </c>
      <c r="Q2505" s="247" t="e">
        <f t="shared" si="279"/>
        <v>#VALUE!</v>
      </c>
    </row>
    <row r="2506" spans="1:17" ht="15" customHeight="1" x14ac:dyDescent="0.25">
      <c r="A2506" s="244"/>
      <c r="B2506" s="244"/>
      <c r="C2506" s="244"/>
      <c r="D2506" s="244"/>
      <c r="E2506" s="244"/>
      <c r="F2506" s="244"/>
      <c r="G2506" s="244"/>
      <c r="I2506" s="244"/>
      <c r="J2506" s="244"/>
      <c r="K2506" s="246" t="e">
        <f t="shared" si="273"/>
        <v>#VALUE!</v>
      </c>
      <c r="L2506" s="246" t="e">
        <f t="shared" si="274"/>
        <v>#VALUE!</v>
      </c>
      <c r="M2506" s="247" t="e">
        <f t="shared" si="275"/>
        <v>#VALUE!</v>
      </c>
      <c r="N2506" s="246" t="e">
        <f t="shared" si="276"/>
        <v>#VALUE!</v>
      </c>
      <c r="O2506" s="247" t="e">
        <f t="shared" si="277"/>
        <v>#VALUE!</v>
      </c>
      <c r="P2506" s="247">
        <f t="shared" si="278"/>
        <v>0</v>
      </c>
      <c r="Q2506" s="247" t="e">
        <f t="shared" si="279"/>
        <v>#VALUE!</v>
      </c>
    </row>
    <row r="2507" spans="1:17" ht="15" customHeight="1" x14ac:dyDescent="0.25">
      <c r="A2507" s="244"/>
      <c r="B2507" s="244"/>
      <c r="C2507" s="244"/>
      <c r="D2507" s="244"/>
      <c r="E2507" s="244"/>
      <c r="F2507" s="244"/>
      <c r="G2507" s="244"/>
      <c r="I2507" s="244"/>
      <c r="J2507" s="244"/>
      <c r="K2507" s="246" t="e">
        <f t="shared" si="273"/>
        <v>#VALUE!</v>
      </c>
      <c r="L2507" s="246" t="e">
        <f t="shared" si="274"/>
        <v>#VALUE!</v>
      </c>
      <c r="M2507" s="247" t="e">
        <f t="shared" si="275"/>
        <v>#VALUE!</v>
      </c>
      <c r="N2507" s="246" t="e">
        <f t="shared" si="276"/>
        <v>#VALUE!</v>
      </c>
      <c r="O2507" s="247" t="e">
        <f t="shared" si="277"/>
        <v>#VALUE!</v>
      </c>
      <c r="P2507" s="247">
        <f t="shared" si="278"/>
        <v>0</v>
      </c>
      <c r="Q2507" s="247" t="e">
        <f t="shared" si="279"/>
        <v>#VALUE!</v>
      </c>
    </row>
    <row r="2508" spans="1:17" ht="15" customHeight="1" x14ac:dyDescent="0.25">
      <c r="A2508" s="244"/>
      <c r="B2508" s="244"/>
      <c r="C2508" s="244"/>
      <c r="D2508" s="244"/>
      <c r="E2508" s="244"/>
      <c r="F2508" s="244"/>
      <c r="G2508" s="244"/>
      <c r="I2508" s="244"/>
      <c r="J2508" s="244"/>
      <c r="K2508" s="246" t="e">
        <f t="shared" si="273"/>
        <v>#VALUE!</v>
      </c>
      <c r="L2508" s="246" t="e">
        <f t="shared" si="274"/>
        <v>#VALUE!</v>
      </c>
      <c r="M2508" s="247" t="e">
        <f t="shared" si="275"/>
        <v>#VALUE!</v>
      </c>
      <c r="N2508" s="246" t="e">
        <f t="shared" si="276"/>
        <v>#VALUE!</v>
      </c>
      <c r="O2508" s="247" t="e">
        <f t="shared" si="277"/>
        <v>#VALUE!</v>
      </c>
      <c r="P2508" s="247">
        <f t="shared" si="278"/>
        <v>0</v>
      </c>
      <c r="Q2508" s="247" t="e">
        <f t="shared" si="279"/>
        <v>#VALUE!</v>
      </c>
    </row>
    <row r="2509" spans="1:17" ht="15" customHeight="1" x14ac:dyDescent="0.25">
      <c r="A2509" s="244"/>
      <c r="B2509" s="244"/>
      <c r="C2509" s="244"/>
      <c r="D2509" s="244"/>
      <c r="E2509" s="244"/>
      <c r="F2509" s="244"/>
      <c r="G2509" s="244"/>
      <c r="I2509" s="244"/>
      <c r="J2509" s="244"/>
      <c r="K2509" s="246" t="e">
        <f t="shared" si="273"/>
        <v>#VALUE!</v>
      </c>
      <c r="L2509" s="246" t="e">
        <f t="shared" si="274"/>
        <v>#VALUE!</v>
      </c>
      <c r="M2509" s="247" t="e">
        <f t="shared" si="275"/>
        <v>#VALUE!</v>
      </c>
      <c r="N2509" s="246" t="e">
        <f t="shared" si="276"/>
        <v>#VALUE!</v>
      </c>
      <c r="O2509" s="247" t="e">
        <f t="shared" si="277"/>
        <v>#VALUE!</v>
      </c>
      <c r="P2509" s="247">
        <f t="shared" si="278"/>
        <v>0</v>
      </c>
      <c r="Q2509" s="247" t="e">
        <f t="shared" si="279"/>
        <v>#VALUE!</v>
      </c>
    </row>
    <row r="2510" spans="1:17" ht="15" customHeight="1" x14ac:dyDescent="0.25">
      <c r="A2510" s="244"/>
      <c r="B2510" s="244"/>
      <c r="C2510" s="244"/>
      <c r="D2510" s="244"/>
      <c r="E2510" s="244"/>
      <c r="F2510" s="244"/>
      <c r="G2510" s="244"/>
      <c r="I2510" s="244"/>
      <c r="J2510" s="244"/>
      <c r="K2510" s="246" t="e">
        <f t="shared" si="273"/>
        <v>#VALUE!</v>
      </c>
      <c r="L2510" s="246" t="e">
        <f t="shared" si="274"/>
        <v>#VALUE!</v>
      </c>
      <c r="M2510" s="247" t="e">
        <f t="shared" si="275"/>
        <v>#VALUE!</v>
      </c>
      <c r="N2510" s="246" t="e">
        <f t="shared" si="276"/>
        <v>#VALUE!</v>
      </c>
      <c r="O2510" s="247" t="e">
        <f t="shared" si="277"/>
        <v>#VALUE!</v>
      </c>
      <c r="P2510" s="247">
        <f t="shared" si="278"/>
        <v>0</v>
      </c>
      <c r="Q2510" s="247" t="e">
        <f t="shared" si="279"/>
        <v>#VALUE!</v>
      </c>
    </row>
    <row r="2511" spans="1:17" ht="15" customHeight="1" x14ac:dyDescent="0.25">
      <c r="A2511" s="244"/>
      <c r="B2511" s="244"/>
      <c r="C2511" s="244"/>
      <c r="D2511" s="244"/>
      <c r="E2511" s="244"/>
      <c r="F2511" s="244"/>
      <c r="G2511" s="244"/>
      <c r="I2511" s="244"/>
      <c r="J2511" s="244"/>
      <c r="K2511" s="246" t="e">
        <f t="shared" si="273"/>
        <v>#VALUE!</v>
      </c>
      <c r="L2511" s="246" t="e">
        <f t="shared" si="274"/>
        <v>#VALUE!</v>
      </c>
      <c r="M2511" s="247" t="e">
        <f t="shared" si="275"/>
        <v>#VALUE!</v>
      </c>
      <c r="N2511" s="246" t="e">
        <f t="shared" si="276"/>
        <v>#VALUE!</v>
      </c>
      <c r="O2511" s="247" t="e">
        <f t="shared" si="277"/>
        <v>#VALUE!</v>
      </c>
      <c r="P2511" s="247">
        <f t="shared" si="278"/>
        <v>0</v>
      </c>
      <c r="Q2511" s="247" t="e">
        <f t="shared" si="279"/>
        <v>#VALUE!</v>
      </c>
    </row>
    <row r="2512" spans="1:17" ht="15" customHeight="1" x14ac:dyDescent="0.25">
      <c r="A2512" s="244"/>
      <c r="B2512" s="244"/>
      <c r="C2512" s="244"/>
      <c r="D2512" s="244"/>
      <c r="E2512" s="244"/>
      <c r="F2512" s="244"/>
      <c r="G2512" s="244"/>
      <c r="I2512" s="244"/>
      <c r="J2512" s="244"/>
      <c r="K2512" s="246" t="e">
        <f t="shared" si="273"/>
        <v>#VALUE!</v>
      </c>
      <c r="L2512" s="246" t="e">
        <f t="shared" si="274"/>
        <v>#VALUE!</v>
      </c>
      <c r="M2512" s="247" t="e">
        <f t="shared" si="275"/>
        <v>#VALUE!</v>
      </c>
      <c r="N2512" s="246" t="e">
        <f t="shared" si="276"/>
        <v>#VALUE!</v>
      </c>
      <c r="O2512" s="247" t="e">
        <f t="shared" si="277"/>
        <v>#VALUE!</v>
      </c>
      <c r="P2512" s="247">
        <f t="shared" si="278"/>
        <v>0</v>
      </c>
      <c r="Q2512" s="247" t="e">
        <f t="shared" si="279"/>
        <v>#VALUE!</v>
      </c>
    </row>
    <row r="2513" spans="1:17" ht="15" customHeight="1" x14ac:dyDescent="0.25">
      <c r="A2513" s="244"/>
      <c r="B2513" s="244"/>
      <c r="C2513" s="244"/>
      <c r="D2513" s="244"/>
      <c r="E2513" s="244"/>
      <c r="F2513" s="244"/>
      <c r="G2513" s="244"/>
      <c r="I2513" s="244"/>
      <c r="J2513" s="244"/>
      <c r="K2513" s="246" t="e">
        <f t="shared" si="273"/>
        <v>#VALUE!</v>
      </c>
      <c r="L2513" s="246" t="e">
        <f t="shared" si="274"/>
        <v>#VALUE!</v>
      </c>
      <c r="M2513" s="247" t="e">
        <f t="shared" si="275"/>
        <v>#VALUE!</v>
      </c>
      <c r="N2513" s="246" t="e">
        <f t="shared" si="276"/>
        <v>#VALUE!</v>
      </c>
      <c r="O2513" s="247" t="e">
        <f t="shared" si="277"/>
        <v>#VALUE!</v>
      </c>
      <c r="P2513" s="247">
        <f t="shared" si="278"/>
        <v>0</v>
      </c>
      <c r="Q2513" s="247" t="e">
        <f t="shared" si="279"/>
        <v>#VALUE!</v>
      </c>
    </row>
    <row r="2514" spans="1:17" ht="15" customHeight="1" x14ac:dyDescent="0.25">
      <c r="A2514" s="244"/>
      <c r="B2514" s="244"/>
      <c r="C2514" s="244"/>
      <c r="D2514" s="244"/>
      <c r="E2514" s="244"/>
      <c r="F2514" s="244"/>
      <c r="G2514" s="244"/>
      <c r="I2514" s="244"/>
      <c r="J2514" s="244"/>
      <c r="K2514" s="246" t="e">
        <f t="shared" si="273"/>
        <v>#VALUE!</v>
      </c>
      <c r="L2514" s="246" t="e">
        <f t="shared" si="274"/>
        <v>#VALUE!</v>
      </c>
      <c r="M2514" s="247" t="e">
        <f t="shared" si="275"/>
        <v>#VALUE!</v>
      </c>
      <c r="N2514" s="246" t="e">
        <f t="shared" si="276"/>
        <v>#VALUE!</v>
      </c>
      <c r="O2514" s="247" t="e">
        <f t="shared" si="277"/>
        <v>#VALUE!</v>
      </c>
      <c r="P2514" s="247">
        <f t="shared" si="278"/>
        <v>0</v>
      </c>
      <c r="Q2514" s="247" t="e">
        <f t="shared" si="279"/>
        <v>#VALUE!</v>
      </c>
    </row>
    <row r="2515" spans="1:17" ht="15" customHeight="1" x14ac:dyDescent="0.25">
      <c r="A2515" s="244"/>
      <c r="B2515" s="244"/>
      <c r="C2515" s="244"/>
      <c r="D2515" s="244"/>
      <c r="E2515" s="244"/>
      <c r="F2515" s="244"/>
      <c r="G2515" s="244"/>
      <c r="I2515" s="244"/>
      <c r="J2515" s="244"/>
      <c r="K2515" s="246" t="e">
        <f t="shared" si="273"/>
        <v>#VALUE!</v>
      </c>
      <c r="L2515" s="246" t="e">
        <f t="shared" si="274"/>
        <v>#VALUE!</v>
      </c>
      <c r="M2515" s="247" t="e">
        <f t="shared" si="275"/>
        <v>#VALUE!</v>
      </c>
      <c r="N2515" s="246" t="e">
        <f t="shared" si="276"/>
        <v>#VALUE!</v>
      </c>
      <c r="O2515" s="247" t="e">
        <f t="shared" si="277"/>
        <v>#VALUE!</v>
      </c>
      <c r="P2515" s="247">
        <f t="shared" si="278"/>
        <v>0</v>
      </c>
      <c r="Q2515" s="247" t="e">
        <f t="shared" si="279"/>
        <v>#VALUE!</v>
      </c>
    </row>
    <row r="2516" spans="1:17" ht="15" customHeight="1" x14ac:dyDescent="0.25">
      <c r="A2516" s="244"/>
      <c r="B2516" s="244"/>
      <c r="C2516" s="244"/>
      <c r="D2516" s="244"/>
      <c r="E2516" s="244"/>
      <c r="F2516" s="244"/>
      <c r="G2516" s="244"/>
      <c r="I2516" s="244"/>
      <c r="J2516" s="244"/>
      <c r="K2516" s="246" t="e">
        <f t="shared" si="273"/>
        <v>#VALUE!</v>
      </c>
      <c r="L2516" s="246" t="e">
        <f t="shared" si="274"/>
        <v>#VALUE!</v>
      </c>
      <c r="M2516" s="247" t="e">
        <f t="shared" si="275"/>
        <v>#VALUE!</v>
      </c>
      <c r="N2516" s="246" t="e">
        <f t="shared" si="276"/>
        <v>#VALUE!</v>
      </c>
      <c r="O2516" s="247" t="e">
        <f t="shared" si="277"/>
        <v>#VALUE!</v>
      </c>
      <c r="P2516" s="247">
        <f t="shared" si="278"/>
        <v>0</v>
      </c>
      <c r="Q2516" s="247" t="e">
        <f t="shared" si="279"/>
        <v>#VALUE!</v>
      </c>
    </row>
    <row r="2517" spans="1:17" ht="15" customHeight="1" x14ac:dyDescent="0.25">
      <c r="A2517" s="244"/>
      <c r="B2517" s="244"/>
      <c r="C2517" s="244"/>
      <c r="D2517" s="244"/>
      <c r="E2517" s="244"/>
      <c r="F2517" s="244"/>
      <c r="G2517" s="244"/>
      <c r="I2517" s="244"/>
      <c r="J2517" s="244"/>
      <c r="K2517" s="246" t="e">
        <f t="shared" si="273"/>
        <v>#VALUE!</v>
      </c>
      <c r="L2517" s="246" t="e">
        <f t="shared" si="274"/>
        <v>#VALUE!</v>
      </c>
      <c r="M2517" s="247" t="e">
        <f t="shared" si="275"/>
        <v>#VALUE!</v>
      </c>
      <c r="N2517" s="246" t="e">
        <f t="shared" si="276"/>
        <v>#VALUE!</v>
      </c>
      <c r="O2517" s="247" t="e">
        <f t="shared" si="277"/>
        <v>#VALUE!</v>
      </c>
      <c r="P2517" s="247">
        <f t="shared" si="278"/>
        <v>0</v>
      </c>
      <c r="Q2517" s="247" t="e">
        <f t="shared" si="279"/>
        <v>#VALUE!</v>
      </c>
    </row>
    <row r="2518" spans="1:17" ht="15" customHeight="1" x14ac:dyDescent="0.25">
      <c r="A2518" s="244"/>
      <c r="B2518" s="244"/>
      <c r="C2518" s="244"/>
      <c r="D2518" s="244"/>
      <c r="E2518" s="244"/>
      <c r="F2518" s="244"/>
      <c r="G2518" s="244"/>
      <c r="I2518" s="244"/>
      <c r="J2518" s="244"/>
      <c r="K2518" s="246" t="e">
        <f t="shared" si="273"/>
        <v>#VALUE!</v>
      </c>
      <c r="L2518" s="246" t="e">
        <f t="shared" si="274"/>
        <v>#VALUE!</v>
      </c>
      <c r="M2518" s="247" t="e">
        <f t="shared" si="275"/>
        <v>#VALUE!</v>
      </c>
      <c r="N2518" s="246" t="e">
        <f t="shared" si="276"/>
        <v>#VALUE!</v>
      </c>
      <c r="O2518" s="247" t="e">
        <f t="shared" si="277"/>
        <v>#VALUE!</v>
      </c>
      <c r="P2518" s="247">
        <f t="shared" si="278"/>
        <v>0</v>
      </c>
      <c r="Q2518" s="247" t="e">
        <f t="shared" si="279"/>
        <v>#VALUE!</v>
      </c>
    </row>
    <row r="2519" spans="1:17" ht="15" customHeight="1" x14ac:dyDescent="0.25">
      <c r="A2519" s="244"/>
      <c r="B2519" s="244"/>
      <c r="C2519" s="244"/>
      <c r="D2519" s="244"/>
      <c r="E2519" s="244"/>
      <c r="F2519" s="244"/>
      <c r="G2519" s="244"/>
      <c r="I2519" s="244"/>
      <c r="J2519" s="244"/>
      <c r="K2519" s="246" t="e">
        <f t="shared" si="273"/>
        <v>#VALUE!</v>
      </c>
      <c r="L2519" s="246" t="e">
        <f t="shared" si="274"/>
        <v>#VALUE!</v>
      </c>
      <c r="M2519" s="247" t="e">
        <f t="shared" si="275"/>
        <v>#VALUE!</v>
      </c>
      <c r="N2519" s="246" t="e">
        <f t="shared" si="276"/>
        <v>#VALUE!</v>
      </c>
      <c r="O2519" s="247" t="e">
        <f t="shared" si="277"/>
        <v>#VALUE!</v>
      </c>
      <c r="P2519" s="247">
        <f t="shared" si="278"/>
        <v>0</v>
      </c>
      <c r="Q2519" s="247" t="e">
        <f t="shared" si="279"/>
        <v>#VALUE!</v>
      </c>
    </row>
    <row r="2520" spans="1:17" ht="15" customHeight="1" x14ac:dyDescent="0.25">
      <c r="A2520" s="244"/>
      <c r="B2520" s="244"/>
      <c r="C2520" s="244"/>
      <c r="D2520" s="244"/>
      <c r="E2520" s="244"/>
      <c r="F2520" s="244"/>
      <c r="G2520" s="244"/>
      <c r="I2520" s="244"/>
      <c r="J2520" s="244"/>
      <c r="K2520" s="246" t="e">
        <f t="shared" si="273"/>
        <v>#VALUE!</v>
      </c>
      <c r="L2520" s="246" t="e">
        <f t="shared" si="274"/>
        <v>#VALUE!</v>
      </c>
      <c r="M2520" s="247" t="e">
        <f t="shared" si="275"/>
        <v>#VALUE!</v>
      </c>
      <c r="N2520" s="246" t="e">
        <f t="shared" si="276"/>
        <v>#VALUE!</v>
      </c>
      <c r="O2520" s="247" t="e">
        <f t="shared" si="277"/>
        <v>#VALUE!</v>
      </c>
      <c r="P2520" s="247">
        <f t="shared" si="278"/>
        <v>0</v>
      </c>
      <c r="Q2520" s="247" t="e">
        <f t="shared" si="279"/>
        <v>#VALUE!</v>
      </c>
    </row>
    <row r="2521" spans="1:17" ht="15" customHeight="1" x14ac:dyDescent="0.25">
      <c r="A2521" s="244"/>
      <c r="B2521" s="244"/>
      <c r="C2521" s="244"/>
      <c r="D2521" s="244"/>
      <c r="E2521" s="244"/>
      <c r="F2521" s="244"/>
      <c r="G2521" s="244"/>
      <c r="I2521" s="244"/>
      <c r="J2521" s="244"/>
      <c r="K2521" s="246" t="e">
        <f t="shared" si="273"/>
        <v>#VALUE!</v>
      </c>
      <c r="L2521" s="246" t="e">
        <f t="shared" si="274"/>
        <v>#VALUE!</v>
      </c>
      <c r="M2521" s="247" t="e">
        <f t="shared" si="275"/>
        <v>#VALUE!</v>
      </c>
      <c r="N2521" s="246" t="e">
        <f t="shared" si="276"/>
        <v>#VALUE!</v>
      </c>
      <c r="O2521" s="247" t="e">
        <f t="shared" si="277"/>
        <v>#VALUE!</v>
      </c>
      <c r="P2521" s="247">
        <f t="shared" si="278"/>
        <v>0</v>
      </c>
      <c r="Q2521" s="247" t="e">
        <f t="shared" si="279"/>
        <v>#VALUE!</v>
      </c>
    </row>
    <row r="2522" spans="1:17" ht="15" customHeight="1" x14ac:dyDescent="0.25">
      <c r="A2522" s="244"/>
      <c r="B2522" s="244"/>
      <c r="C2522" s="244"/>
      <c r="D2522" s="244"/>
      <c r="E2522" s="244"/>
      <c r="F2522" s="244"/>
      <c r="G2522" s="244"/>
      <c r="I2522" s="244"/>
      <c r="J2522" s="244"/>
      <c r="K2522" s="246" t="e">
        <f t="shared" si="273"/>
        <v>#VALUE!</v>
      </c>
      <c r="L2522" s="246" t="e">
        <f t="shared" si="274"/>
        <v>#VALUE!</v>
      </c>
      <c r="M2522" s="247" t="e">
        <f t="shared" si="275"/>
        <v>#VALUE!</v>
      </c>
      <c r="N2522" s="246" t="e">
        <f t="shared" si="276"/>
        <v>#VALUE!</v>
      </c>
      <c r="O2522" s="247" t="e">
        <f t="shared" si="277"/>
        <v>#VALUE!</v>
      </c>
      <c r="P2522" s="247">
        <f t="shared" si="278"/>
        <v>0</v>
      </c>
      <c r="Q2522" s="247" t="e">
        <f t="shared" si="279"/>
        <v>#VALUE!</v>
      </c>
    </row>
    <row r="2523" spans="1:17" ht="15" customHeight="1" x14ac:dyDescent="0.25">
      <c r="A2523" s="244"/>
      <c r="B2523" s="244"/>
      <c r="C2523" s="244"/>
      <c r="D2523" s="244"/>
      <c r="E2523" s="244"/>
      <c r="F2523" s="244"/>
      <c r="G2523" s="244"/>
      <c r="I2523" s="244"/>
      <c r="J2523" s="244"/>
      <c r="K2523" s="246" t="e">
        <f t="shared" si="273"/>
        <v>#VALUE!</v>
      </c>
      <c r="L2523" s="246" t="e">
        <f t="shared" si="274"/>
        <v>#VALUE!</v>
      </c>
      <c r="M2523" s="247" t="e">
        <f t="shared" si="275"/>
        <v>#VALUE!</v>
      </c>
      <c r="N2523" s="246" t="e">
        <f t="shared" si="276"/>
        <v>#VALUE!</v>
      </c>
      <c r="O2523" s="247" t="e">
        <f t="shared" si="277"/>
        <v>#VALUE!</v>
      </c>
      <c r="P2523" s="247">
        <f t="shared" si="278"/>
        <v>0</v>
      </c>
      <c r="Q2523" s="247" t="e">
        <f t="shared" si="279"/>
        <v>#VALUE!</v>
      </c>
    </row>
    <row r="2524" spans="1:17" ht="15" customHeight="1" x14ac:dyDescent="0.25">
      <c r="A2524" s="244"/>
      <c r="B2524" s="244"/>
      <c r="C2524" s="244"/>
      <c r="D2524" s="244"/>
      <c r="E2524" s="244"/>
      <c r="F2524" s="244"/>
      <c r="G2524" s="244"/>
      <c r="I2524" s="244"/>
      <c r="J2524" s="244"/>
      <c r="K2524" s="246" t="e">
        <f t="shared" si="273"/>
        <v>#VALUE!</v>
      </c>
      <c r="L2524" s="246" t="e">
        <f t="shared" si="274"/>
        <v>#VALUE!</v>
      </c>
      <c r="M2524" s="247" t="e">
        <f t="shared" si="275"/>
        <v>#VALUE!</v>
      </c>
      <c r="N2524" s="246" t="e">
        <f t="shared" si="276"/>
        <v>#VALUE!</v>
      </c>
      <c r="O2524" s="247" t="e">
        <f t="shared" si="277"/>
        <v>#VALUE!</v>
      </c>
      <c r="P2524" s="247">
        <f t="shared" si="278"/>
        <v>0</v>
      </c>
      <c r="Q2524" s="247" t="e">
        <f t="shared" si="279"/>
        <v>#VALUE!</v>
      </c>
    </row>
    <row r="2525" spans="1:17" ht="15" customHeight="1" x14ac:dyDescent="0.25">
      <c r="A2525" s="244"/>
      <c r="B2525" s="244"/>
      <c r="C2525" s="244"/>
      <c r="D2525" s="244"/>
      <c r="E2525" s="244"/>
      <c r="F2525" s="244"/>
      <c r="G2525" s="244"/>
      <c r="I2525" s="244"/>
      <c r="J2525" s="244"/>
      <c r="K2525" s="246" t="e">
        <f t="shared" si="273"/>
        <v>#VALUE!</v>
      </c>
      <c r="L2525" s="246" t="e">
        <f t="shared" si="274"/>
        <v>#VALUE!</v>
      </c>
      <c r="M2525" s="247" t="e">
        <f t="shared" si="275"/>
        <v>#VALUE!</v>
      </c>
      <c r="N2525" s="246" t="e">
        <f t="shared" si="276"/>
        <v>#VALUE!</v>
      </c>
      <c r="O2525" s="247" t="e">
        <f t="shared" si="277"/>
        <v>#VALUE!</v>
      </c>
      <c r="P2525" s="247">
        <f t="shared" si="278"/>
        <v>0</v>
      </c>
      <c r="Q2525" s="247" t="e">
        <f t="shared" si="279"/>
        <v>#VALUE!</v>
      </c>
    </row>
    <row r="2526" spans="1:17" ht="15" customHeight="1" x14ac:dyDescent="0.25">
      <c r="A2526" s="244"/>
      <c r="B2526" s="244"/>
      <c r="C2526" s="244"/>
      <c r="D2526" s="244"/>
      <c r="E2526" s="244"/>
      <c r="F2526" s="244"/>
      <c r="G2526" s="244"/>
      <c r="I2526" s="244"/>
      <c r="J2526" s="244"/>
      <c r="K2526" s="246" t="e">
        <f t="shared" si="273"/>
        <v>#VALUE!</v>
      </c>
      <c r="L2526" s="246" t="e">
        <f t="shared" si="274"/>
        <v>#VALUE!</v>
      </c>
      <c r="M2526" s="247" t="e">
        <f t="shared" si="275"/>
        <v>#VALUE!</v>
      </c>
      <c r="N2526" s="246" t="e">
        <f t="shared" si="276"/>
        <v>#VALUE!</v>
      </c>
      <c r="O2526" s="247" t="e">
        <f t="shared" si="277"/>
        <v>#VALUE!</v>
      </c>
      <c r="P2526" s="247">
        <f t="shared" si="278"/>
        <v>0</v>
      </c>
      <c r="Q2526" s="247" t="e">
        <f t="shared" si="279"/>
        <v>#VALUE!</v>
      </c>
    </row>
    <row r="2527" spans="1:17" ht="15" customHeight="1" x14ac:dyDescent="0.25">
      <c r="A2527" s="244"/>
      <c r="B2527" s="244"/>
      <c r="C2527" s="244"/>
      <c r="D2527" s="244"/>
      <c r="E2527" s="244"/>
      <c r="F2527" s="244"/>
      <c r="G2527" s="244"/>
      <c r="I2527" s="244"/>
      <c r="J2527" s="244"/>
      <c r="K2527" s="246" t="e">
        <f t="shared" si="273"/>
        <v>#VALUE!</v>
      </c>
      <c r="L2527" s="246" t="e">
        <f t="shared" si="274"/>
        <v>#VALUE!</v>
      </c>
      <c r="M2527" s="247" t="e">
        <f t="shared" si="275"/>
        <v>#VALUE!</v>
      </c>
      <c r="N2527" s="246" t="e">
        <f t="shared" si="276"/>
        <v>#VALUE!</v>
      </c>
      <c r="O2527" s="247" t="e">
        <f t="shared" si="277"/>
        <v>#VALUE!</v>
      </c>
      <c r="P2527" s="247">
        <f t="shared" si="278"/>
        <v>0</v>
      </c>
      <c r="Q2527" s="247" t="e">
        <f t="shared" si="279"/>
        <v>#VALUE!</v>
      </c>
    </row>
    <row r="2528" spans="1:17" ht="15" customHeight="1" x14ac:dyDescent="0.25">
      <c r="A2528" s="244"/>
      <c r="B2528" s="244"/>
      <c r="C2528" s="244"/>
      <c r="D2528" s="244"/>
      <c r="E2528" s="244"/>
      <c r="F2528" s="244"/>
      <c r="G2528" s="244"/>
      <c r="I2528" s="244"/>
      <c r="J2528" s="244"/>
      <c r="K2528" s="246" t="e">
        <f t="shared" si="273"/>
        <v>#VALUE!</v>
      </c>
      <c r="L2528" s="246" t="e">
        <f t="shared" si="274"/>
        <v>#VALUE!</v>
      </c>
      <c r="M2528" s="247" t="e">
        <f t="shared" si="275"/>
        <v>#VALUE!</v>
      </c>
      <c r="N2528" s="246" t="e">
        <f t="shared" si="276"/>
        <v>#VALUE!</v>
      </c>
      <c r="O2528" s="247" t="e">
        <f t="shared" si="277"/>
        <v>#VALUE!</v>
      </c>
      <c r="P2528" s="247">
        <f t="shared" si="278"/>
        <v>0</v>
      </c>
      <c r="Q2528" s="247" t="e">
        <f t="shared" si="279"/>
        <v>#VALUE!</v>
      </c>
    </row>
    <row r="2529" spans="1:17" ht="15" customHeight="1" x14ac:dyDescent="0.25">
      <c r="A2529" s="244"/>
      <c r="B2529" s="244"/>
      <c r="C2529" s="244"/>
      <c r="D2529" s="244"/>
      <c r="E2529" s="244"/>
      <c r="F2529" s="244"/>
      <c r="G2529" s="244"/>
      <c r="I2529" s="244"/>
      <c r="J2529" s="244"/>
      <c r="K2529" s="246" t="e">
        <f t="shared" si="273"/>
        <v>#VALUE!</v>
      </c>
      <c r="L2529" s="246" t="e">
        <f t="shared" si="274"/>
        <v>#VALUE!</v>
      </c>
      <c r="M2529" s="247" t="e">
        <f t="shared" si="275"/>
        <v>#VALUE!</v>
      </c>
      <c r="N2529" s="246" t="e">
        <f t="shared" si="276"/>
        <v>#VALUE!</v>
      </c>
      <c r="O2529" s="247" t="e">
        <f t="shared" si="277"/>
        <v>#VALUE!</v>
      </c>
      <c r="P2529" s="247">
        <f t="shared" si="278"/>
        <v>0</v>
      </c>
      <c r="Q2529" s="247" t="e">
        <f t="shared" si="279"/>
        <v>#VALUE!</v>
      </c>
    </row>
    <row r="2530" spans="1:17" ht="15" customHeight="1" x14ac:dyDescent="0.25">
      <c r="A2530" s="244"/>
      <c r="B2530" s="244"/>
      <c r="C2530" s="244"/>
      <c r="D2530" s="244"/>
      <c r="E2530" s="244"/>
      <c r="F2530" s="244"/>
      <c r="G2530" s="244"/>
      <c r="I2530" s="244"/>
      <c r="J2530" s="244"/>
      <c r="K2530" s="246" t="e">
        <f t="shared" si="273"/>
        <v>#VALUE!</v>
      </c>
      <c r="L2530" s="246" t="e">
        <f t="shared" si="274"/>
        <v>#VALUE!</v>
      </c>
      <c r="M2530" s="247" t="e">
        <f t="shared" si="275"/>
        <v>#VALUE!</v>
      </c>
      <c r="N2530" s="246" t="e">
        <f t="shared" si="276"/>
        <v>#VALUE!</v>
      </c>
      <c r="O2530" s="247" t="e">
        <f t="shared" si="277"/>
        <v>#VALUE!</v>
      </c>
      <c r="P2530" s="247">
        <f t="shared" si="278"/>
        <v>0</v>
      </c>
      <c r="Q2530" s="247" t="e">
        <f t="shared" si="279"/>
        <v>#VALUE!</v>
      </c>
    </row>
    <row r="2531" spans="1:17" ht="15" customHeight="1" x14ac:dyDescent="0.25">
      <c r="A2531" s="244"/>
      <c r="B2531" s="244"/>
      <c r="C2531" s="244"/>
      <c r="D2531" s="244"/>
      <c r="E2531" s="244"/>
      <c r="F2531" s="244"/>
      <c r="G2531" s="244"/>
      <c r="I2531" s="244"/>
      <c r="J2531" s="244"/>
      <c r="K2531" s="246" t="e">
        <f t="shared" si="273"/>
        <v>#VALUE!</v>
      </c>
      <c r="L2531" s="246" t="e">
        <f t="shared" si="274"/>
        <v>#VALUE!</v>
      </c>
      <c r="M2531" s="247" t="e">
        <f t="shared" si="275"/>
        <v>#VALUE!</v>
      </c>
      <c r="N2531" s="246" t="e">
        <f t="shared" si="276"/>
        <v>#VALUE!</v>
      </c>
      <c r="O2531" s="247" t="e">
        <f t="shared" si="277"/>
        <v>#VALUE!</v>
      </c>
      <c r="P2531" s="247">
        <f t="shared" si="278"/>
        <v>0</v>
      </c>
      <c r="Q2531" s="247" t="e">
        <f t="shared" si="279"/>
        <v>#VALUE!</v>
      </c>
    </row>
    <row r="2532" spans="1:17" ht="15" customHeight="1" x14ac:dyDescent="0.25">
      <c r="A2532" s="244"/>
      <c r="B2532" s="244"/>
      <c r="C2532" s="244"/>
      <c r="D2532" s="244"/>
      <c r="E2532" s="244"/>
      <c r="F2532" s="244"/>
      <c r="G2532" s="244"/>
      <c r="I2532" s="244"/>
      <c r="J2532" s="244"/>
      <c r="K2532" s="246" t="e">
        <f t="shared" si="273"/>
        <v>#VALUE!</v>
      </c>
      <c r="L2532" s="246" t="e">
        <f t="shared" si="274"/>
        <v>#VALUE!</v>
      </c>
      <c r="M2532" s="247" t="e">
        <f t="shared" si="275"/>
        <v>#VALUE!</v>
      </c>
      <c r="N2532" s="246" t="e">
        <f t="shared" si="276"/>
        <v>#VALUE!</v>
      </c>
      <c r="O2532" s="247" t="e">
        <f t="shared" si="277"/>
        <v>#VALUE!</v>
      </c>
      <c r="P2532" s="247">
        <f t="shared" si="278"/>
        <v>0</v>
      </c>
      <c r="Q2532" s="247" t="e">
        <f t="shared" si="279"/>
        <v>#VALUE!</v>
      </c>
    </row>
    <row r="2533" spans="1:17" ht="15" customHeight="1" x14ac:dyDescent="0.25">
      <c r="A2533" s="244"/>
      <c r="B2533" s="244"/>
      <c r="C2533" s="244"/>
      <c r="D2533" s="244"/>
      <c r="E2533" s="244"/>
      <c r="F2533" s="244"/>
      <c r="G2533" s="244"/>
      <c r="I2533" s="244"/>
      <c r="J2533" s="244"/>
      <c r="K2533" s="246" t="e">
        <f t="shared" si="273"/>
        <v>#VALUE!</v>
      </c>
      <c r="L2533" s="246" t="e">
        <f t="shared" si="274"/>
        <v>#VALUE!</v>
      </c>
      <c r="M2533" s="247" t="e">
        <f t="shared" si="275"/>
        <v>#VALUE!</v>
      </c>
      <c r="N2533" s="246" t="e">
        <f t="shared" si="276"/>
        <v>#VALUE!</v>
      </c>
      <c r="O2533" s="247" t="e">
        <f t="shared" si="277"/>
        <v>#VALUE!</v>
      </c>
      <c r="P2533" s="247">
        <f t="shared" si="278"/>
        <v>0</v>
      </c>
      <c r="Q2533" s="247" t="e">
        <f t="shared" si="279"/>
        <v>#VALUE!</v>
      </c>
    </row>
    <row r="2534" spans="1:17" ht="15" customHeight="1" x14ac:dyDescent="0.25">
      <c r="A2534" s="244"/>
      <c r="B2534" s="244"/>
      <c r="C2534" s="244"/>
      <c r="D2534" s="244"/>
      <c r="E2534" s="244"/>
      <c r="F2534" s="244"/>
      <c r="G2534" s="244"/>
      <c r="I2534" s="244"/>
      <c r="J2534" s="244"/>
      <c r="K2534" s="246" t="e">
        <f t="shared" si="273"/>
        <v>#VALUE!</v>
      </c>
      <c r="L2534" s="246" t="e">
        <f t="shared" si="274"/>
        <v>#VALUE!</v>
      </c>
      <c r="M2534" s="247" t="e">
        <f t="shared" si="275"/>
        <v>#VALUE!</v>
      </c>
      <c r="N2534" s="246" t="e">
        <f t="shared" si="276"/>
        <v>#VALUE!</v>
      </c>
      <c r="O2534" s="247" t="e">
        <f t="shared" si="277"/>
        <v>#VALUE!</v>
      </c>
      <c r="P2534" s="247">
        <f t="shared" si="278"/>
        <v>0</v>
      </c>
      <c r="Q2534" s="247" t="e">
        <f t="shared" si="279"/>
        <v>#VALUE!</v>
      </c>
    </row>
    <row r="2535" spans="1:17" ht="15" customHeight="1" x14ac:dyDescent="0.25">
      <c r="A2535" s="244"/>
      <c r="B2535" s="244"/>
      <c r="C2535" s="244"/>
      <c r="D2535" s="244"/>
      <c r="E2535" s="244"/>
      <c r="F2535" s="244"/>
      <c r="G2535" s="244"/>
      <c r="I2535" s="244"/>
      <c r="J2535" s="244"/>
      <c r="K2535" s="246" t="e">
        <f t="shared" si="273"/>
        <v>#VALUE!</v>
      </c>
      <c r="L2535" s="246" t="e">
        <f t="shared" si="274"/>
        <v>#VALUE!</v>
      </c>
      <c r="M2535" s="247" t="e">
        <f t="shared" si="275"/>
        <v>#VALUE!</v>
      </c>
      <c r="N2535" s="246" t="e">
        <f t="shared" si="276"/>
        <v>#VALUE!</v>
      </c>
      <c r="O2535" s="247" t="e">
        <f t="shared" si="277"/>
        <v>#VALUE!</v>
      </c>
      <c r="P2535" s="247">
        <f t="shared" si="278"/>
        <v>0</v>
      </c>
      <c r="Q2535" s="247" t="e">
        <f t="shared" si="279"/>
        <v>#VALUE!</v>
      </c>
    </row>
    <row r="2536" spans="1:17" ht="15" customHeight="1" x14ac:dyDescent="0.25">
      <c r="A2536" s="244"/>
      <c r="B2536" s="244"/>
      <c r="C2536" s="244"/>
      <c r="D2536" s="244"/>
      <c r="E2536" s="244"/>
      <c r="F2536" s="244"/>
      <c r="G2536" s="244"/>
      <c r="I2536" s="244"/>
      <c r="J2536" s="244"/>
      <c r="K2536" s="246" t="e">
        <f t="shared" si="273"/>
        <v>#VALUE!</v>
      </c>
      <c r="L2536" s="246" t="e">
        <f t="shared" si="274"/>
        <v>#VALUE!</v>
      </c>
      <c r="M2536" s="247" t="e">
        <f t="shared" si="275"/>
        <v>#VALUE!</v>
      </c>
      <c r="N2536" s="246" t="e">
        <f t="shared" si="276"/>
        <v>#VALUE!</v>
      </c>
      <c r="O2536" s="247" t="e">
        <f t="shared" si="277"/>
        <v>#VALUE!</v>
      </c>
      <c r="P2536" s="247">
        <f t="shared" si="278"/>
        <v>0</v>
      </c>
      <c r="Q2536" s="247" t="e">
        <f t="shared" si="279"/>
        <v>#VALUE!</v>
      </c>
    </row>
    <row r="2537" spans="1:17" ht="15" customHeight="1" x14ac:dyDescent="0.25">
      <c r="A2537" s="244"/>
      <c r="B2537" s="244"/>
      <c r="C2537" s="244"/>
      <c r="D2537" s="244"/>
      <c r="E2537" s="244"/>
      <c r="F2537" s="244"/>
      <c r="G2537" s="244"/>
      <c r="I2537" s="244"/>
      <c r="J2537" s="244"/>
      <c r="K2537" s="246" t="e">
        <f t="shared" si="273"/>
        <v>#VALUE!</v>
      </c>
      <c r="L2537" s="246" t="e">
        <f t="shared" si="274"/>
        <v>#VALUE!</v>
      </c>
      <c r="M2537" s="247" t="e">
        <f t="shared" si="275"/>
        <v>#VALUE!</v>
      </c>
      <c r="N2537" s="246" t="e">
        <f t="shared" si="276"/>
        <v>#VALUE!</v>
      </c>
      <c r="O2537" s="247" t="e">
        <f t="shared" si="277"/>
        <v>#VALUE!</v>
      </c>
      <c r="P2537" s="247">
        <f t="shared" si="278"/>
        <v>0</v>
      </c>
      <c r="Q2537" s="247" t="e">
        <f t="shared" si="279"/>
        <v>#VALUE!</v>
      </c>
    </row>
    <row r="2538" spans="1:17" ht="15" customHeight="1" x14ac:dyDescent="0.25">
      <c r="A2538" s="244"/>
      <c r="B2538" s="244"/>
      <c r="C2538" s="244"/>
      <c r="D2538" s="244"/>
      <c r="E2538" s="244"/>
      <c r="F2538" s="244"/>
      <c r="G2538" s="244"/>
      <c r="I2538" s="244"/>
      <c r="J2538" s="244"/>
      <c r="K2538" s="246" t="e">
        <f t="shared" si="273"/>
        <v>#VALUE!</v>
      </c>
      <c r="L2538" s="246" t="e">
        <f t="shared" si="274"/>
        <v>#VALUE!</v>
      </c>
      <c r="M2538" s="247" t="e">
        <f t="shared" si="275"/>
        <v>#VALUE!</v>
      </c>
      <c r="N2538" s="246" t="e">
        <f t="shared" si="276"/>
        <v>#VALUE!</v>
      </c>
      <c r="O2538" s="247" t="e">
        <f t="shared" si="277"/>
        <v>#VALUE!</v>
      </c>
      <c r="P2538" s="247">
        <f t="shared" si="278"/>
        <v>0</v>
      </c>
      <c r="Q2538" s="247" t="e">
        <f t="shared" si="279"/>
        <v>#VALUE!</v>
      </c>
    </row>
    <row r="2539" spans="1:17" ht="15" customHeight="1" x14ac:dyDescent="0.25">
      <c r="A2539" s="244"/>
      <c r="B2539" s="244"/>
      <c r="C2539" s="244"/>
      <c r="D2539" s="244"/>
      <c r="E2539" s="244"/>
      <c r="F2539" s="244"/>
      <c r="G2539" s="244"/>
      <c r="I2539" s="244"/>
      <c r="J2539" s="244"/>
      <c r="K2539" s="246" t="e">
        <f t="shared" si="273"/>
        <v>#VALUE!</v>
      </c>
      <c r="L2539" s="246" t="e">
        <f t="shared" si="274"/>
        <v>#VALUE!</v>
      </c>
      <c r="M2539" s="247" t="e">
        <f t="shared" si="275"/>
        <v>#VALUE!</v>
      </c>
      <c r="N2539" s="246" t="e">
        <f t="shared" si="276"/>
        <v>#VALUE!</v>
      </c>
      <c r="O2539" s="247" t="e">
        <f t="shared" si="277"/>
        <v>#VALUE!</v>
      </c>
      <c r="P2539" s="247">
        <f t="shared" si="278"/>
        <v>0</v>
      </c>
      <c r="Q2539" s="247" t="e">
        <f t="shared" si="279"/>
        <v>#VALUE!</v>
      </c>
    </row>
    <row r="2540" spans="1:17" ht="15" customHeight="1" x14ac:dyDescent="0.25">
      <c r="A2540" s="244"/>
      <c r="B2540" s="244"/>
      <c r="C2540" s="244"/>
      <c r="D2540" s="244"/>
      <c r="E2540" s="244"/>
      <c r="F2540" s="244"/>
      <c r="G2540" s="244"/>
      <c r="I2540" s="244"/>
      <c r="J2540" s="244"/>
      <c r="K2540" s="246" t="e">
        <f t="shared" si="273"/>
        <v>#VALUE!</v>
      </c>
      <c r="L2540" s="246" t="e">
        <f t="shared" si="274"/>
        <v>#VALUE!</v>
      </c>
      <c r="M2540" s="247" t="e">
        <f t="shared" si="275"/>
        <v>#VALUE!</v>
      </c>
      <c r="N2540" s="246" t="e">
        <f t="shared" si="276"/>
        <v>#VALUE!</v>
      </c>
      <c r="O2540" s="247" t="e">
        <f t="shared" si="277"/>
        <v>#VALUE!</v>
      </c>
      <c r="P2540" s="247">
        <f t="shared" si="278"/>
        <v>0</v>
      </c>
      <c r="Q2540" s="247" t="e">
        <f t="shared" si="279"/>
        <v>#VALUE!</v>
      </c>
    </row>
    <row r="2541" spans="1:17" ht="15" customHeight="1" x14ac:dyDescent="0.25">
      <c r="A2541" s="244"/>
      <c r="B2541" s="244"/>
      <c r="C2541" s="244"/>
      <c r="D2541" s="244"/>
      <c r="E2541" s="244"/>
      <c r="F2541" s="244"/>
      <c r="G2541" s="244"/>
      <c r="I2541" s="244"/>
      <c r="J2541" s="244"/>
      <c r="K2541" s="246" t="e">
        <f t="shared" si="273"/>
        <v>#VALUE!</v>
      </c>
      <c r="L2541" s="246" t="e">
        <f t="shared" si="274"/>
        <v>#VALUE!</v>
      </c>
      <c r="M2541" s="247" t="e">
        <f t="shared" si="275"/>
        <v>#VALUE!</v>
      </c>
      <c r="N2541" s="246" t="e">
        <f t="shared" si="276"/>
        <v>#VALUE!</v>
      </c>
      <c r="O2541" s="247" t="e">
        <f t="shared" si="277"/>
        <v>#VALUE!</v>
      </c>
      <c r="P2541" s="247">
        <f t="shared" si="278"/>
        <v>0</v>
      </c>
      <c r="Q2541" s="247" t="e">
        <f t="shared" si="279"/>
        <v>#VALUE!</v>
      </c>
    </row>
    <row r="2542" spans="1:17" ht="15" customHeight="1" x14ac:dyDescent="0.25">
      <c r="A2542" s="244"/>
      <c r="B2542" s="244"/>
      <c r="C2542" s="244"/>
      <c r="D2542" s="244"/>
      <c r="E2542" s="244"/>
      <c r="F2542" s="244"/>
      <c r="G2542" s="244"/>
      <c r="I2542" s="244"/>
      <c r="J2542" s="244"/>
      <c r="K2542" s="246" t="e">
        <f t="shared" si="273"/>
        <v>#VALUE!</v>
      </c>
      <c r="L2542" s="246" t="e">
        <f t="shared" si="274"/>
        <v>#VALUE!</v>
      </c>
      <c r="M2542" s="247" t="e">
        <f t="shared" si="275"/>
        <v>#VALUE!</v>
      </c>
      <c r="N2542" s="246" t="e">
        <f t="shared" si="276"/>
        <v>#VALUE!</v>
      </c>
      <c r="O2542" s="247" t="e">
        <f t="shared" si="277"/>
        <v>#VALUE!</v>
      </c>
      <c r="P2542" s="247">
        <f t="shared" si="278"/>
        <v>0</v>
      </c>
      <c r="Q2542" s="247" t="e">
        <f t="shared" si="279"/>
        <v>#VALUE!</v>
      </c>
    </row>
    <row r="2543" spans="1:17" ht="15" customHeight="1" x14ac:dyDescent="0.25">
      <c r="A2543" s="244"/>
      <c r="B2543" s="244"/>
      <c r="C2543" s="244"/>
      <c r="D2543" s="244"/>
      <c r="E2543" s="244"/>
      <c r="F2543" s="244"/>
      <c r="G2543" s="244"/>
      <c r="I2543" s="244"/>
      <c r="J2543" s="244"/>
      <c r="K2543" s="246" t="e">
        <f t="shared" si="273"/>
        <v>#VALUE!</v>
      </c>
      <c r="L2543" s="246" t="e">
        <f t="shared" si="274"/>
        <v>#VALUE!</v>
      </c>
      <c r="M2543" s="247" t="e">
        <f t="shared" si="275"/>
        <v>#VALUE!</v>
      </c>
      <c r="N2543" s="246" t="e">
        <f t="shared" si="276"/>
        <v>#VALUE!</v>
      </c>
      <c r="O2543" s="247" t="e">
        <f t="shared" si="277"/>
        <v>#VALUE!</v>
      </c>
      <c r="P2543" s="247">
        <f t="shared" si="278"/>
        <v>0</v>
      </c>
      <c r="Q2543" s="247" t="e">
        <f t="shared" si="279"/>
        <v>#VALUE!</v>
      </c>
    </row>
    <row r="2544" spans="1:17" ht="15" customHeight="1" x14ac:dyDescent="0.25">
      <c r="A2544" s="244"/>
      <c r="B2544" s="244"/>
      <c r="C2544" s="244"/>
      <c r="D2544" s="244"/>
      <c r="E2544" s="244"/>
      <c r="F2544" s="244"/>
      <c r="G2544" s="244"/>
      <c r="I2544" s="244"/>
      <c r="J2544" s="244"/>
      <c r="K2544" s="246" t="e">
        <f t="shared" si="273"/>
        <v>#VALUE!</v>
      </c>
      <c r="L2544" s="246" t="e">
        <f t="shared" si="274"/>
        <v>#VALUE!</v>
      </c>
      <c r="M2544" s="247" t="e">
        <f t="shared" si="275"/>
        <v>#VALUE!</v>
      </c>
      <c r="N2544" s="246" t="e">
        <f t="shared" si="276"/>
        <v>#VALUE!</v>
      </c>
      <c r="O2544" s="247" t="e">
        <f t="shared" si="277"/>
        <v>#VALUE!</v>
      </c>
      <c r="P2544" s="247">
        <f t="shared" si="278"/>
        <v>0</v>
      </c>
      <c r="Q2544" s="247" t="e">
        <f t="shared" si="279"/>
        <v>#VALUE!</v>
      </c>
    </row>
    <row r="2545" spans="1:17" ht="15" customHeight="1" x14ac:dyDescent="0.25">
      <c r="A2545" s="244"/>
      <c r="B2545" s="244"/>
      <c r="C2545" s="244"/>
      <c r="D2545" s="244"/>
      <c r="E2545" s="244"/>
      <c r="F2545" s="244"/>
      <c r="G2545" s="244"/>
      <c r="I2545" s="244"/>
      <c r="J2545" s="244"/>
      <c r="K2545" s="246" t="e">
        <f t="shared" si="273"/>
        <v>#VALUE!</v>
      </c>
      <c r="L2545" s="246" t="e">
        <f t="shared" si="274"/>
        <v>#VALUE!</v>
      </c>
      <c r="M2545" s="247" t="e">
        <f t="shared" si="275"/>
        <v>#VALUE!</v>
      </c>
      <c r="N2545" s="246" t="e">
        <f t="shared" si="276"/>
        <v>#VALUE!</v>
      </c>
      <c r="O2545" s="247" t="e">
        <f t="shared" si="277"/>
        <v>#VALUE!</v>
      </c>
      <c r="P2545" s="247">
        <f t="shared" si="278"/>
        <v>0</v>
      </c>
      <c r="Q2545" s="247" t="e">
        <f t="shared" si="279"/>
        <v>#VALUE!</v>
      </c>
    </row>
    <row r="2546" spans="1:17" ht="15" customHeight="1" x14ac:dyDescent="0.25">
      <c r="A2546" s="244"/>
      <c r="B2546" s="244"/>
      <c r="C2546" s="244"/>
      <c r="D2546" s="244"/>
      <c r="E2546" s="244"/>
      <c r="F2546" s="244"/>
      <c r="G2546" s="244"/>
      <c r="I2546" s="244"/>
      <c r="J2546" s="244"/>
      <c r="K2546" s="246" t="e">
        <f t="shared" si="273"/>
        <v>#VALUE!</v>
      </c>
      <c r="L2546" s="246" t="e">
        <f t="shared" si="274"/>
        <v>#VALUE!</v>
      </c>
      <c r="M2546" s="247" t="e">
        <f t="shared" si="275"/>
        <v>#VALUE!</v>
      </c>
      <c r="N2546" s="246" t="e">
        <f t="shared" si="276"/>
        <v>#VALUE!</v>
      </c>
      <c r="O2546" s="247" t="e">
        <f t="shared" si="277"/>
        <v>#VALUE!</v>
      </c>
      <c r="P2546" s="247">
        <f t="shared" si="278"/>
        <v>0</v>
      </c>
      <c r="Q2546" s="247" t="e">
        <f t="shared" si="279"/>
        <v>#VALUE!</v>
      </c>
    </row>
    <row r="2547" spans="1:17" ht="15" customHeight="1" x14ac:dyDescent="0.25">
      <c r="A2547" s="244"/>
      <c r="B2547" s="244"/>
      <c r="C2547" s="244"/>
      <c r="D2547" s="244"/>
      <c r="E2547" s="244"/>
      <c r="F2547" s="244"/>
      <c r="G2547" s="244"/>
      <c r="I2547" s="244"/>
      <c r="J2547" s="244"/>
      <c r="K2547" s="246" t="e">
        <f t="shared" si="273"/>
        <v>#VALUE!</v>
      </c>
      <c r="L2547" s="246" t="e">
        <f t="shared" si="274"/>
        <v>#VALUE!</v>
      </c>
      <c r="M2547" s="247" t="e">
        <f t="shared" si="275"/>
        <v>#VALUE!</v>
      </c>
      <c r="N2547" s="246" t="e">
        <f t="shared" si="276"/>
        <v>#VALUE!</v>
      </c>
      <c r="O2547" s="247" t="e">
        <f t="shared" si="277"/>
        <v>#VALUE!</v>
      </c>
      <c r="P2547" s="247">
        <f t="shared" si="278"/>
        <v>0</v>
      </c>
      <c r="Q2547" s="247" t="e">
        <f t="shared" si="279"/>
        <v>#VALUE!</v>
      </c>
    </row>
    <row r="2548" spans="1:17" ht="15" customHeight="1" x14ac:dyDescent="0.25">
      <c r="A2548" s="244"/>
      <c r="B2548" s="244"/>
      <c r="C2548" s="244"/>
      <c r="D2548" s="244"/>
      <c r="E2548" s="244"/>
      <c r="F2548" s="244"/>
      <c r="G2548" s="244"/>
      <c r="I2548" s="244"/>
      <c r="J2548" s="244"/>
      <c r="K2548" s="246" t="e">
        <f t="shared" si="273"/>
        <v>#VALUE!</v>
      </c>
      <c r="L2548" s="246" t="e">
        <f t="shared" si="274"/>
        <v>#VALUE!</v>
      </c>
      <c r="M2548" s="247" t="e">
        <f t="shared" si="275"/>
        <v>#VALUE!</v>
      </c>
      <c r="N2548" s="246" t="e">
        <f t="shared" si="276"/>
        <v>#VALUE!</v>
      </c>
      <c r="O2548" s="247" t="e">
        <f t="shared" si="277"/>
        <v>#VALUE!</v>
      </c>
      <c r="P2548" s="247">
        <f t="shared" si="278"/>
        <v>0</v>
      </c>
      <c r="Q2548" s="247" t="e">
        <f t="shared" si="279"/>
        <v>#VALUE!</v>
      </c>
    </row>
    <row r="2549" spans="1:17" ht="15" customHeight="1" x14ac:dyDescent="0.25">
      <c r="A2549" s="244"/>
      <c r="B2549" s="244"/>
      <c r="C2549" s="244"/>
      <c r="D2549" s="244"/>
      <c r="E2549" s="244"/>
      <c r="F2549" s="244"/>
      <c r="G2549" s="244"/>
      <c r="I2549" s="244"/>
      <c r="J2549" s="244"/>
      <c r="K2549" s="246" t="e">
        <f t="shared" si="273"/>
        <v>#VALUE!</v>
      </c>
      <c r="L2549" s="246" t="e">
        <f t="shared" si="274"/>
        <v>#VALUE!</v>
      </c>
      <c r="M2549" s="247" t="e">
        <f t="shared" si="275"/>
        <v>#VALUE!</v>
      </c>
      <c r="N2549" s="246" t="e">
        <f t="shared" si="276"/>
        <v>#VALUE!</v>
      </c>
      <c r="O2549" s="247" t="e">
        <f t="shared" si="277"/>
        <v>#VALUE!</v>
      </c>
      <c r="P2549" s="247">
        <f t="shared" si="278"/>
        <v>0</v>
      </c>
      <c r="Q2549" s="247" t="e">
        <f t="shared" si="279"/>
        <v>#VALUE!</v>
      </c>
    </row>
    <row r="2550" spans="1:17" ht="15" customHeight="1" x14ac:dyDescent="0.25">
      <c r="A2550" s="244"/>
      <c r="B2550" s="244"/>
      <c r="C2550" s="244"/>
      <c r="D2550" s="244"/>
      <c r="E2550" s="244"/>
      <c r="F2550" s="244"/>
      <c r="G2550" s="244"/>
      <c r="I2550" s="244"/>
      <c r="J2550" s="244"/>
      <c r="K2550" s="246" t="e">
        <f t="shared" si="273"/>
        <v>#VALUE!</v>
      </c>
      <c r="L2550" s="246" t="e">
        <f t="shared" si="274"/>
        <v>#VALUE!</v>
      </c>
      <c r="M2550" s="247" t="e">
        <f t="shared" si="275"/>
        <v>#VALUE!</v>
      </c>
      <c r="N2550" s="246" t="e">
        <f t="shared" si="276"/>
        <v>#VALUE!</v>
      </c>
      <c r="O2550" s="247" t="e">
        <f t="shared" si="277"/>
        <v>#VALUE!</v>
      </c>
      <c r="P2550" s="247">
        <f t="shared" si="278"/>
        <v>0</v>
      </c>
      <c r="Q2550" s="247" t="e">
        <f t="shared" si="279"/>
        <v>#VALUE!</v>
      </c>
    </row>
    <row r="2551" spans="1:17" ht="15" customHeight="1" x14ac:dyDescent="0.25">
      <c r="A2551" s="244"/>
      <c r="B2551" s="244"/>
      <c r="C2551" s="244"/>
      <c r="D2551" s="244"/>
      <c r="E2551" s="244"/>
      <c r="F2551" s="244"/>
      <c r="G2551" s="244"/>
      <c r="I2551" s="244"/>
      <c r="J2551" s="244"/>
      <c r="K2551" s="246" t="e">
        <f t="shared" si="273"/>
        <v>#VALUE!</v>
      </c>
      <c r="L2551" s="246" t="e">
        <f t="shared" si="274"/>
        <v>#VALUE!</v>
      </c>
      <c r="M2551" s="247" t="e">
        <f t="shared" si="275"/>
        <v>#VALUE!</v>
      </c>
      <c r="N2551" s="246" t="e">
        <f t="shared" si="276"/>
        <v>#VALUE!</v>
      </c>
      <c r="O2551" s="247" t="e">
        <f t="shared" si="277"/>
        <v>#VALUE!</v>
      </c>
      <c r="P2551" s="247">
        <f t="shared" si="278"/>
        <v>0</v>
      </c>
      <c r="Q2551" s="247" t="e">
        <f t="shared" si="279"/>
        <v>#VALUE!</v>
      </c>
    </row>
    <row r="2552" spans="1:17" ht="15" customHeight="1" x14ac:dyDescent="0.25">
      <c r="A2552" s="244"/>
      <c r="B2552" s="244"/>
      <c r="C2552" s="244"/>
      <c r="D2552" s="244"/>
      <c r="E2552" s="244"/>
      <c r="F2552" s="244"/>
      <c r="G2552" s="244"/>
      <c r="I2552" s="244"/>
      <c r="J2552" s="244"/>
      <c r="K2552" s="246" t="e">
        <f t="shared" si="273"/>
        <v>#VALUE!</v>
      </c>
      <c r="L2552" s="246" t="e">
        <f t="shared" si="274"/>
        <v>#VALUE!</v>
      </c>
      <c r="M2552" s="247" t="e">
        <f t="shared" si="275"/>
        <v>#VALUE!</v>
      </c>
      <c r="N2552" s="246" t="e">
        <f t="shared" si="276"/>
        <v>#VALUE!</v>
      </c>
      <c r="O2552" s="247" t="e">
        <f t="shared" si="277"/>
        <v>#VALUE!</v>
      </c>
      <c r="P2552" s="247">
        <f t="shared" si="278"/>
        <v>0</v>
      </c>
      <c r="Q2552" s="247" t="e">
        <f t="shared" si="279"/>
        <v>#VALUE!</v>
      </c>
    </row>
    <row r="2553" spans="1:17" ht="15" customHeight="1" x14ac:dyDescent="0.25">
      <c r="A2553" s="244"/>
      <c r="B2553" s="244"/>
      <c r="C2553" s="244"/>
      <c r="D2553" s="244"/>
      <c r="E2553" s="244"/>
      <c r="F2553" s="244"/>
      <c r="G2553" s="244"/>
      <c r="I2553" s="244"/>
      <c r="J2553" s="244"/>
      <c r="K2553" s="246" t="e">
        <f t="shared" si="273"/>
        <v>#VALUE!</v>
      </c>
      <c r="L2553" s="246" t="e">
        <f t="shared" si="274"/>
        <v>#VALUE!</v>
      </c>
      <c r="M2553" s="247" t="e">
        <f t="shared" si="275"/>
        <v>#VALUE!</v>
      </c>
      <c r="N2553" s="246" t="e">
        <f t="shared" si="276"/>
        <v>#VALUE!</v>
      </c>
      <c r="O2553" s="247" t="e">
        <f t="shared" si="277"/>
        <v>#VALUE!</v>
      </c>
      <c r="P2553" s="247">
        <f t="shared" si="278"/>
        <v>0</v>
      </c>
      <c r="Q2553" s="247" t="e">
        <f t="shared" si="279"/>
        <v>#VALUE!</v>
      </c>
    </row>
    <row r="2554" spans="1:17" ht="15" customHeight="1" x14ac:dyDescent="0.25">
      <c r="A2554" s="244"/>
      <c r="B2554" s="244"/>
      <c r="C2554" s="244"/>
      <c r="D2554" s="244"/>
      <c r="E2554" s="244"/>
      <c r="F2554" s="244"/>
      <c r="G2554" s="244"/>
      <c r="I2554" s="244"/>
      <c r="J2554" s="244"/>
      <c r="K2554" s="246" t="e">
        <f t="shared" si="273"/>
        <v>#VALUE!</v>
      </c>
      <c r="L2554" s="246" t="e">
        <f t="shared" si="274"/>
        <v>#VALUE!</v>
      </c>
      <c r="M2554" s="247" t="e">
        <f t="shared" si="275"/>
        <v>#VALUE!</v>
      </c>
      <c r="N2554" s="246" t="e">
        <f t="shared" si="276"/>
        <v>#VALUE!</v>
      </c>
      <c r="O2554" s="247" t="e">
        <f t="shared" si="277"/>
        <v>#VALUE!</v>
      </c>
      <c r="P2554" s="247">
        <f t="shared" si="278"/>
        <v>0</v>
      </c>
      <c r="Q2554" s="247" t="e">
        <f t="shared" si="279"/>
        <v>#VALUE!</v>
      </c>
    </row>
    <row r="2555" spans="1:17" ht="15" customHeight="1" x14ac:dyDescent="0.25">
      <c r="A2555" s="244"/>
      <c r="B2555" s="244"/>
      <c r="C2555" s="244"/>
      <c r="D2555" s="244"/>
      <c r="E2555" s="244"/>
      <c r="F2555" s="244"/>
      <c r="G2555" s="244"/>
      <c r="I2555" s="244"/>
      <c r="J2555" s="244"/>
      <c r="K2555" s="246" t="e">
        <f t="shared" si="273"/>
        <v>#VALUE!</v>
      </c>
      <c r="L2555" s="246" t="e">
        <f t="shared" si="274"/>
        <v>#VALUE!</v>
      </c>
      <c r="M2555" s="247" t="e">
        <f t="shared" si="275"/>
        <v>#VALUE!</v>
      </c>
      <c r="N2555" s="246" t="e">
        <f t="shared" si="276"/>
        <v>#VALUE!</v>
      </c>
      <c r="O2555" s="247" t="e">
        <f t="shared" si="277"/>
        <v>#VALUE!</v>
      </c>
      <c r="P2555" s="247">
        <f t="shared" si="278"/>
        <v>0</v>
      </c>
      <c r="Q2555" s="247" t="e">
        <f t="shared" si="279"/>
        <v>#VALUE!</v>
      </c>
    </row>
    <row r="2556" spans="1:17" ht="15" customHeight="1" x14ac:dyDescent="0.25">
      <c r="A2556" s="244"/>
      <c r="B2556" s="244"/>
      <c r="C2556" s="244"/>
      <c r="D2556" s="244"/>
      <c r="E2556" s="244"/>
      <c r="F2556" s="244"/>
      <c r="G2556" s="244"/>
      <c r="I2556" s="244"/>
      <c r="J2556" s="244"/>
      <c r="K2556" s="246" t="e">
        <f t="shared" si="273"/>
        <v>#VALUE!</v>
      </c>
      <c r="L2556" s="246" t="e">
        <f t="shared" si="274"/>
        <v>#VALUE!</v>
      </c>
      <c r="M2556" s="247" t="e">
        <f t="shared" si="275"/>
        <v>#VALUE!</v>
      </c>
      <c r="N2556" s="246" t="e">
        <f t="shared" si="276"/>
        <v>#VALUE!</v>
      </c>
      <c r="O2556" s="247" t="e">
        <f t="shared" si="277"/>
        <v>#VALUE!</v>
      </c>
      <c r="P2556" s="247">
        <f t="shared" si="278"/>
        <v>0</v>
      </c>
      <c r="Q2556" s="247" t="e">
        <f t="shared" si="279"/>
        <v>#VALUE!</v>
      </c>
    </row>
    <row r="2557" spans="1:17" ht="15" customHeight="1" x14ac:dyDescent="0.25">
      <c r="A2557" s="244"/>
      <c r="B2557" s="244"/>
      <c r="C2557" s="244"/>
      <c r="D2557" s="244"/>
      <c r="E2557" s="244"/>
      <c r="F2557" s="244"/>
      <c r="G2557" s="244"/>
      <c r="I2557" s="244"/>
      <c r="J2557" s="244"/>
      <c r="K2557" s="246" t="e">
        <f t="shared" si="273"/>
        <v>#VALUE!</v>
      </c>
      <c r="L2557" s="246" t="e">
        <f t="shared" si="274"/>
        <v>#VALUE!</v>
      </c>
      <c r="M2557" s="247" t="e">
        <f t="shared" si="275"/>
        <v>#VALUE!</v>
      </c>
      <c r="N2557" s="246" t="e">
        <f t="shared" si="276"/>
        <v>#VALUE!</v>
      </c>
      <c r="O2557" s="247" t="e">
        <f t="shared" si="277"/>
        <v>#VALUE!</v>
      </c>
      <c r="P2557" s="247">
        <f t="shared" si="278"/>
        <v>0</v>
      </c>
      <c r="Q2557" s="247" t="e">
        <f t="shared" si="279"/>
        <v>#VALUE!</v>
      </c>
    </row>
    <row r="2558" spans="1:17" ht="15" customHeight="1" x14ac:dyDescent="0.25">
      <c r="A2558" s="244"/>
      <c r="B2558" s="244"/>
      <c r="C2558" s="244"/>
      <c r="D2558" s="244"/>
      <c r="E2558" s="244"/>
      <c r="F2558" s="244"/>
      <c r="G2558" s="244"/>
      <c r="I2558" s="244"/>
      <c r="J2558" s="244"/>
      <c r="K2558" s="246" t="e">
        <f t="shared" si="273"/>
        <v>#VALUE!</v>
      </c>
      <c r="L2558" s="246" t="e">
        <f t="shared" si="274"/>
        <v>#VALUE!</v>
      </c>
      <c r="M2558" s="247" t="e">
        <f t="shared" si="275"/>
        <v>#VALUE!</v>
      </c>
      <c r="N2558" s="246" t="e">
        <f t="shared" si="276"/>
        <v>#VALUE!</v>
      </c>
      <c r="O2558" s="247" t="e">
        <f t="shared" si="277"/>
        <v>#VALUE!</v>
      </c>
      <c r="P2558" s="247">
        <f t="shared" si="278"/>
        <v>0</v>
      </c>
      <c r="Q2558" s="247" t="e">
        <f t="shared" si="279"/>
        <v>#VALUE!</v>
      </c>
    </row>
    <row r="2559" spans="1:17" ht="15" customHeight="1" x14ac:dyDescent="0.25">
      <c r="A2559" s="244"/>
      <c r="B2559" s="244"/>
      <c r="C2559" s="244"/>
      <c r="D2559" s="244"/>
      <c r="E2559" s="244"/>
      <c r="F2559" s="244"/>
      <c r="G2559" s="244"/>
      <c r="I2559" s="244"/>
      <c r="J2559" s="244"/>
      <c r="K2559" s="246" t="e">
        <f t="shared" si="273"/>
        <v>#VALUE!</v>
      </c>
      <c r="L2559" s="246" t="e">
        <f t="shared" si="274"/>
        <v>#VALUE!</v>
      </c>
      <c r="M2559" s="247" t="e">
        <f t="shared" si="275"/>
        <v>#VALUE!</v>
      </c>
      <c r="N2559" s="246" t="e">
        <f t="shared" si="276"/>
        <v>#VALUE!</v>
      </c>
      <c r="O2559" s="247" t="e">
        <f t="shared" si="277"/>
        <v>#VALUE!</v>
      </c>
      <c r="P2559" s="247">
        <f t="shared" si="278"/>
        <v>0</v>
      </c>
      <c r="Q2559" s="247" t="e">
        <f t="shared" si="279"/>
        <v>#VALUE!</v>
      </c>
    </row>
    <row r="2560" spans="1:17" ht="15" customHeight="1" x14ac:dyDescent="0.25">
      <c r="A2560" s="244"/>
      <c r="B2560" s="244"/>
      <c r="C2560" s="244"/>
      <c r="D2560" s="244"/>
      <c r="E2560" s="244"/>
      <c r="F2560" s="244"/>
      <c r="G2560" s="244"/>
      <c r="I2560" s="244"/>
      <c r="J2560" s="244"/>
      <c r="K2560" s="246" t="e">
        <f t="shared" si="273"/>
        <v>#VALUE!</v>
      </c>
      <c r="L2560" s="246" t="e">
        <f t="shared" si="274"/>
        <v>#VALUE!</v>
      </c>
      <c r="M2560" s="247" t="e">
        <f t="shared" si="275"/>
        <v>#VALUE!</v>
      </c>
      <c r="N2560" s="246" t="e">
        <f t="shared" si="276"/>
        <v>#VALUE!</v>
      </c>
      <c r="O2560" s="247" t="e">
        <f t="shared" si="277"/>
        <v>#VALUE!</v>
      </c>
      <c r="P2560" s="247">
        <f t="shared" si="278"/>
        <v>0</v>
      </c>
      <c r="Q2560" s="247" t="e">
        <f t="shared" si="279"/>
        <v>#VALUE!</v>
      </c>
    </row>
    <row r="2561" spans="1:17" ht="15" customHeight="1" x14ac:dyDescent="0.25">
      <c r="A2561" s="244"/>
      <c r="B2561" s="244"/>
      <c r="C2561" s="244"/>
      <c r="D2561" s="244"/>
      <c r="E2561" s="244"/>
      <c r="F2561" s="244"/>
      <c r="G2561" s="244"/>
      <c r="I2561" s="244"/>
      <c r="J2561" s="244"/>
      <c r="K2561" s="246" t="e">
        <f t="shared" si="273"/>
        <v>#VALUE!</v>
      </c>
      <c r="L2561" s="246" t="e">
        <f t="shared" si="274"/>
        <v>#VALUE!</v>
      </c>
      <c r="M2561" s="247" t="e">
        <f t="shared" si="275"/>
        <v>#VALUE!</v>
      </c>
      <c r="N2561" s="246" t="e">
        <f t="shared" si="276"/>
        <v>#VALUE!</v>
      </c>
      <c r="O2561" s="247" t="e">
        <f t="shared" si="277"/>
        <v>#VALUE!</v>
      </c>
      <c r="P2561" s="247">
        <f t="shared" si="278"/>
        <v>0</v>
      </c>
      <c r="Q2561" s="247" t="e">
        <f t="shared" si="279"/>
        <v>#VALUE!</v>
      </c>
    </row>
    <row r="2562" spans="1:17" ht="15" customHeight="1" x14ac:dyDescent="0.25">
      <c r="A2562" s="244"/>
      <c r="B2562" s="244"/>
      <c r="C2562" s="244"/>
      <c r="D2562" s="244"/>
      <c r="E2562" s="244"/>
      <c r="F2562" s="244"/>
      <c r="G2562" s="244"/>
      <c r="I2562" s="244"/>
      <c r="J2562" s="244"/>
      <c r="K2562" s="246" t="e">
        <f t="shared" ref="K2562:K2625" si="280">DATE(VALUE(LEFT(A2562,4)),VALUE(MID(A2562,5,2)),VALUE(RIGHT(A2562,2)))</f>
        <v>#VALUE!</v>
      </c>
      <c r="L2562" s="246" t="e">
        <f t="shared" ref="L2562:L2625" si="281">DATEVALUE(LEFT(F2562,10))</f>
        <v>#VALUE!</v>
      </c>
      <c r="M2562" s="247" t="e">
        <f t="shared" ref="M2562:M2625" si="282">TIMEVALUE(MID(F2562,12,8))</f>
        <v>#VALUE!</v>
      </c>
      <c r="N2562" s="246" t="e">
        <f t="shared" ref="N2562:N2625" si="283">DATEVALUE(LEFT(G2562,10))</f>
        <v>#VALUE!</v>
      </c>
      <c r="O2562" s="247" t="e">
        <f t="shared" ref="O2562:O2625" si="284">TIMEVALUE(MID(G2562,12,8))</f>
        <v>#VALUE!</v>
      </c>
      <c r="P2562" s="247">
        <f t="shared" ref="P2562:P2625" si="285">IFERROR(_xlfn.MINIFS($M:$M,$E:$E,$E2562,$K:$K,$K2562,$M:$M,"&gt;"&amp;$O2562),"")</f>
        <v>0</v>
      </c>
      <c r="Q2562" s="247" t="e">
        <f t="shared" ref="Q2562:Q2625" si="286">IF($P2562="","",$P2562-$O2562)</f>
        <v>#VALUE!</v>
      </c>
    </row>
    <row r="2563" spans="1:17" ht="15" customHeight="1" x14ac:dyDescent="0.25">
      <c r="A2563" s="244"/>
      <c r="B2563" s="244"/>
      <c r="C2563" s="244"/>
      <c r="D2563" s="244"/>
      <c r="E2563" s="244"/>
      <c r="F2563" s="244"/>
      <c r="G2563" s="244"/>
      <c r="I2563" s="244"/>
      <c r="J2563" s="244"/>
      <c r="K2563" s="246" t="e">
        <f t="shared" si="280"/>
        <v>#VALUE!</v>
      </c>
      <c r="L2563" s="246" t="e">
        <f t="shared" si="281"/>
        <v>#VALUE!</v>
      </c>
      <c r="M2563" s="247" t="e">
        <f t="shared" si="282"/>
        <v>#VALUE!</v>
      </c>
      <c r="N2563" s="246" t="e">
        <f t="shared" si="283"/>
        <v>#VALUE!</v>
      </c>
      <c r="O2563" s="247" t="e">
        <f t="shared" si="284"/>
        <v>#VALUE!</v>
      </c>
      <c r="P2563" s="247">
        <f t="shared" si="285"/>
        <v>0</v>
      </c>
      <c r="Q2563" s="247" t="e">
        <f t="shared" si="286"/>
        <v>#VALUE!</v>
      </c>
    </row>
    <row r="2564" spans="1:17" ht="15" customHeight="1" x14ac:dyDescent="0.25">
      <c r="A2564" s="244"/>
      <c r="B2564" s="244"/>
      <c r="C2564" s="244"/>
      <c r="D2564" s="244"/>
      <c r="E2564" s="244"/>
      <c r="F2564" s="244"/>
      <c r="G2564" s="244"/>
      <c r="I2564" s="244"/>
      <c r="J2564" s="244"/>
      <c r="K2564" s="246" t="e">
        <f t="shared" si="280"/>
        <v>#VALUE!</v>
      </c>
      <c r="L2564" s="246" t="e">
        <f t="shared" si="281"/>
        <v>#VALUE!</v>
      </c>
      <c r="M2564" s="247" t="e">
        <f t="shared" si="282"/>
        <v>#VALUE!</v>
      </c>
      <c r="N2564" s="246" t="e">
        <f t="shared" si="283"/>
        <v>#VALUE!</v>
      </c>
      <c r="O2564" s="247" t="e">
        <f t="shared" si="284"/>
        <v>#VALUE!</v>
      </c>
      <c r="P2564" s="247">
        <f t="shared" si="285"/>
        <v>0</v>
      </c>
      <c r="Q2564" s="247" t="e">
        <f t="shared" si="286"/>
        <v>#VALUE!</v>
      </c>
    </row>
    <row r="2565" spans="1:17" ht="15" customHeight="1" x14ac:dyDescent="0.25">
      <c r="A2565" s="244"/>
      <c r="B2565" s="244"/>
      <c r="C2565" s="244"/>
      <c r="D2565" s="244"/>
      <c r="E2565" s="244"/>
      <c r="F2565" s="244"/>
      <c r="G2565" s="244"/>
      <c r="I2565" s="244"/>
      <c r="J2565" s="244"/>
      <c r="K2565" s="246" t="e">
        <f t="shared" si="280"/>
        <v>#VALUE!</v>
      </c>
      <c r="L2565" s="246" t="e">
        <f t="shared" si="281"/>
        <v>#VALUE!</v>
      </c>
      <c r="M2565" s="247" t="e">
        <f t="shared" si="282"/>
        <v>#VALUE!</v>
      </c>
      <c r="N2565" s="246" t="e">
        <f t="shared" si="283"/>
        <v>#VALUE!</v>
      </c>
      <c r="O2565" s="247" t="e">
        <f t="shared" si="284"/>
        <v>#VALUE!</v>
      </c>
      <c r="P2565" s="247">
        <f t="shared" si="285"/>
        <v>0</v>
      </c>
      <c r="Q2565" s="247" t="e">
        <f t="shared" si="286"/>
        <v>#VALUE!</v>
      </c>
    </row>
    <row r="2566" spans="1:17" ht="15" customHeight="1" x14ac:dyDescent="0.25">
      <c r="A2566" s="244"/>
      <c r="B2566" s="244"/>
      <c r="C2566" s="244"/>
      <c r="D2566" s="244"/>
      <c r="E2566" s="244"/>
      <c r="F2566" s="244"/>
      <c r="G2566" s="244"/>
      <c r="I2566" s="244"/>
      <c r="J2566" s="244"/>
      <c r="K2566" s="246" t="e">
        <f t="shared" si="280"/>
        <v>#VALUE!</v>
      </c>
      <c r="L2566" s="246" t="e">
        <f t="shared" si="281"/>
        <v>#VALUE!</v>
      </c>
      <c r="M2566" s="247" t="e">
        <f t="shared" si="282"/>
        <v>#VALUE!</v>
      </c>
      <c r="N2566" s="246" t="e">
        <f t="shared" si="283"/>
        <v>#VALUE!</v>
      </c>
      <c r="O2566" s="247" t="e">
        <f t="shared" si="284"/>
        <v>#VALUE!</v>
      </c>
      <c r="P2566" s="247">
        <f t="shared" si="285"/>
        <v>0</v>
      </c>
      <c r="Q2566" s="247" t="e">
        <f t="shared" si="286"/>
        <v>#VALUE!</v>
      </c>
    </row>
    <row r="2567" spans="1:17" ht="15" customHeight="1" x14ac:dyDescent="0.25">
      <c r="A2567" s="244"/>
      <c r="B2567" s="244"/>
      <c r="C2567" s="244"/>
      <c r="D2567" s="244"/>
      <c r="E2567" s="244"/>
      <c r="F2567" s="244"/>
      <c r="G2567" s="244"/>
      <c r="I2567" s="244"/>
      <c r="J2567" s="244"/>
      <c r="K2567" s="246" t="e">
        <f t="shared" si="280"/>
        <v>#VALUE!</v>
      </c>
      <c r="L2567" s="246" t="e">
        <f t="shared" si="281"/>
        <v>#VALUE!</v>
      </c>
      <c r="M2567" s="247" t="e">
        <f t="shared" si="282"/>
        <v>#VALUE!</v>
      </c>
      <c r="N2567" s="246" t="e">
        <f t="shared" si="283"/>
        <v>#VALUE!</v>
      </c>
      <c r="O2567" s="247" t="e">
        <f t="shared" si="284"/>
        <v>#VALUE!</v>
      </c>
      <c r="P2567" s="247">
        <f t="shared" si="285"/>
        <v>0</v>
      </c>
      <c r="Q2567" s="247" t="e">
        <f t="shared" si="286"/>
        <v>#VALUE!</v>
      </c>
    </row>
    <row r="2568" spans="1:17" ht="15" customHeight="1" x14ac:dyDescent="0.25">
      <c r="A2568" s="244"/>
      <c r="B2568" s="244"/>
      <c r="C2568" s="244"/>
      <c r="D2568" s="244"/>
      <c r="E2568" s="244"/>
      <c r="F2568" s="244"/>
      <c r="G2568" s="244"/>
      <c r="I2568" s="244"/>
      <c r="J2568" s="244"/>
      <c r="K2568" s="246" t="e">
        <f t="shared" si="280"/>
        <v>#VALUE!</v>
      </c>
      <c r="L2568" s="246" t="e">
        <f t="shared" si="281"/>
        <v>#VALUE!</v>
      </c>
      <c r="M2568" s="247" t="e">
        <f t="shared" si="282"/>
        <v>#VALUE!</v>
      </c>
      <c r="N2568" s="246" t="e">
        <f t="shared" si="283"/>
        <v>#VALUE!</v>
      </c>
      <c r="O2568" s="247" t="e">
        <f t="shared" si="284"/>
        <v>#VALUE!</v>
      </c>
      <c r="P2568" s="247">
        <f t="shared" si="285"/>
        <v>0</v>
      </c>
      <c r="Q2568" s="247" t="e">
        <f t="shared" si="286"/>
        <v>#VALUE!</v>
      </c>
    </row>
    <row r="2569" spans="1:17" ht="15" customHeight="1" x14ac:dyDescent="0.25">
      <c r="A2569" s="244"/>
      <c r="B2569" s="244"/>
      <c r="C2569" s="244"/>
      <c r="D2569" s="244"/>
      <c r="E2569" s="244"/>
      <c r="F2569" s="244"/>
      <c r="G2569" s="244"/>
      <c r="I2569" s="244"/>
      <c r="J2569" s="244"/>
      <c r="K2569" s="246" t="e">
        <f t="shared" si="280"/>
        <v>#VALUE!</v>
      </c>
      <c r="L2569" s="246" t="e">
        <f t="shared" si="281"/>
        <v>#VALUE!</v>
      </c>
      <c r="M2569" s="247" t="e">
        <f t="shared" si="282"/>
        <v>#VALUE!</v>
      </c>
      <c r="N2569" s="246" t="e">
        <f t="shared" si="283"/>
        <v>#VALUE!</v>
      </c>
      <c r="O2569" s="247" t="e">
        <f t="shared" si="284"/>
        <v>#VALUE!</v>
      </c>
      <c r="P2569" s="247">
        <f t="shared" si="285"/>
        <v>0</v>
      </c>
      <c r="Q2569" s="247" t="e">
        <f t="shared" si="286"/>
        <v>#VALUE!</v>
      </c>
    </row>
    <row r="2570" spans="1:17" ht="15" customHeight="1" x14ac:dyDescent="0.25">
      <c r="A2570" s="244"/>
      <c r="B2570" s="244"/>
      <c r="C2570" s="244"/>
      <c r="D2570" s="244"/>
      <c r="E2570" s="244"/>
      <c r="F2570" s="244"/>
      <c r="G2570" s="244"/>
      <c r="I2570" s="244"/>
      <c r="J2570" s="244"/>
      <c r="K2570" s="246" t="e">
        <f t="shared" si="280"/>
        <v>#VALUE!</v>
      </c>
      <c r="L2570" s="246" t="e">
        <f t="shared" si="281"/>
        <v>#VALUE!</v>
      </c>
      <c r="M2570" s="247" t="e">
        <f t="shared" si="282"/>
        <v>#VALUE!</v>
      </c>
      <c r="N2570" s="246" t="e">
        <f t="shared" si="283"/>
        <v>#VALUE!</v>
      </c>
      <c r="O2570" s="247" t="e">
        <f t="shared" si="284"/>
        <v>#VALUE!</v>
      </c>
      <c r="P2570" s="247">
        <f t="shared" si="285"/>
        <v>0</v>
      </c>
      <c r="Q2570" s="247" t="e">
        <f t="shared" si="286"/>
        <v>#VALUE!</v>
      </c>
    </row>
    <row r="2571" spans="1:17" ht="15" customHeight="1" x14ac:dyDescent="0.25">
      <c r="A2571" s="244"/>
      <c r="B2571" s="244"/>
      <c r="C2571" s="244"/>
      <c r="D2571" s="244"/>
      <c r="E2571" s="244"/>
      <c r="F2571" s="244"/>
      <c r="G2571" s="244"/>
      <c r="I2571" s="244"/>
      <c r="J2571" s="244"/>
      <c r="K2571" s="246" t="e">
        <f t="shared" si="280"/>
        <v>#VALUE!</v>
      </c>
      <c r="L2571" s="246" t="e">
        <f t="shared" si="281"/>
        <v>#VALUE!</v>
      </c>
      <c r="M2571" s="247" t="e">
        <f t="shared" si="282"/>
        <v>#VALUE!</v>
      </c>
      <c r="N2571" s="246" t="e">
        <f t="shared" si="283"/>
        <v>#VALUE!</v>
      </c>
      <c r="O2571" s="247" t="e">
        <f t="shared" si="284"/>
        <v>#VALUE!</v>
      </c>
      <c r="P2571" s="247">
        <f t="shared" si="285"/>
        <v>0</v>
      </c>
      <c r="Q2571" s="247" t="e">
        <f t="shared" si="286"/>
        <v>#VALUE!</v>
      </c>
    </row>
    <row r="2572" spans="1:17" ht="15" customHeight="1" x14ac:dyDescent="0.25">
      <c r="A2572" s="244"/>
      <c r="B2572" s="244"/>
      <c r="C2572" s="244"/>
      <c r="D2572" s="244"/>
      <c r="E2572" s="244"/>
      <c r="F2572" s="244"/>
      <c r="G2572" s="244"/>
      <c r="I2572" s="244"/>
      <c r="J2572" s="244"/>
      <c r="K2572" s="246" t="e">
        <f t="shared" si="280"/>
        <v>#VALUE!</v>
      </c>
      <c r="L2572" s="246" t="e">
        <f t="shared" si="281"/>
        <v>#VALUE!</v>
      </c>
      <c r="M2572" s="247" t="e">
        <f t="shared" si="282"/>
        <v>#VALUE!</v>
      </c>
      <c r="N2572" s="246" t="e">
        <f t="shared" si="283"/>
        <v>#VALUE!</v>
      </c>
      <c r="O2572" s="247" t="e">
        <f t="shared" si="284"/>
        <v>#VALUE!</v>
      </c>
      <c r="P2572" s="247">
        <f t="shared" si="285"/>
        <v>0</v>
      </c>
      <c r="Q2572" s="247" t="e">
        <f t="shared" si="286"/>
        <v>#VALUE!</v>
      </c>
    </row>
    <row r="2573" spans="1:17" ht="15" customHeight="1" x14ac:dyDescent="0.25">
      <c r="A2573" s="244"/>
      <c r="B2573" s="244"/>
      <c r="C2573" s="244"/>
      <c r="D2573" s="244"/>
      <c r="E2573" s="244"/>
      <c r="F2573" s="244"/>
      <c r="G2573" s="244"/>
      <c r="I2573" s="244"/>
      <c r="J2573" s="244"/>
      <c r="K2573" s="246" t="e">
        <f t="shared" si="280"/>
        <v>#VALUE!</v>
      </c>
      <c r="L2573" s="246" t="e">
        <f t="shared" si="281"/>
        <v>#VALUE!</v>
      </c>
      <c r="M2573" s="247" t="e">
        <f t="shared" si="282"/>
        <v>#VALUE!</v>
      </c>
      <c r="N2573" s="246" t="e">
        <f t="shared" si="283"/>
        <v>#VALUE!</v>
      </c>
      <c r="O2573" s="247" t="e">
        <f t="shared" si="284"/>
        <v>#VALUE!</v>
      </c>
      <c r="P2573" s="247">
        <f t="shared" si="285"/>
        <v>0</v>
      </c>
      <c r="Q2573" s="247" t="e">
        <f t="shared" si="286"/>
        <v>#VALUE!</v>
      </c>
    </row>
    <row r="2574" spans="1:17" ht="15" customHeight="1" x14ac:dyDescent="0.25">
      <c r="A2574" s="244"/>
      <c r="B2574" s="244"/>
      <c r="C2574" s="244"/>
      <c r="D2574" s="244"/>
      <c r="E2574" s="244"/>
      <c r="F2574" s="244"/>
      <c r="G2574" s="244"/>
      <c r="I2574" s="244"/>
      <c r="J2574" s="244"/>
      <c r="K2574" s="246" t="e">
        <f t="shared" si="280"/>
        <v>#VALUE!</v>
      </c>
      <c r="L2574" s="246" t="e">
        <f t="shared" si="281"/>
        <v>#VALUE!</v>
      </c>
      <c r="M2574" s="247" t="e">
        <f t="shared" si="282"/>
        <v>#VALUE!</v>
      </c>
      <c r="N2574" s="246" t="e">
        <f t="shared" si="283"/>
        <v>#VALUE!</v>
      </c>
      <c r="O2574" s="247" t="e">
        <f t="shared" si="284"/>
        <v>#VALUE!</v>
      </c>
      <c r="P2574" s="247">
        <f t="shared" si="285"/>
        <v>0</v>
      </c>
      <c r="Q2574" s="247" t="e">
        <f t="shared" si="286"/>
        <v>#VALUE!</v>
      </c>
    </row>
    <row r="2575" spans="1:17" ht="15" customHeight="1" x14ac:dyDescent="0.25">
      <c r="A2575" s="244"/>
      <c r="B2575" s="244"/>
      <c r="C2575" s="244"/>
      <c r="D2575" s="244"/>
      <c r="E2575" s="244"/>
      <c r="F2575" s="244"/>
      <c r="G2575" s="244"/>
      <c r="I2575" s="244"/>
      <c r="J2575" s="244"/>
      <c r="K2575" s="246" t="e">
        <f t="shared" si="280"/>
        <v>#VALUE!</v>
      </c>
      <c r="L2575" s="246" t="e">
        <f t="shared" si="281"/>
        <v>#VALUE!</v>
      </c>
      <c r="M2575" s="247" t="e">
        <f t="shared" si="282"/>
        <v>#VALUE!</v>
      </c>
      <c r="N2575" s="246" t="e">
        <f t="shared" si="283"/>
        <v>#VALUE!</v>
      </c>
      <c r="O2575" s="247" t="e">
        <f t="shared" si="284"/>
        <v>#VALUE!</v>
      </c>
      <c r="P2575" s="247">
        <f t="shared" si="285"/>
        <v>0</v>
      </c>
      <c r="Q2575" s="247" t="e">
        <f t="shared" si="286"/>
        <v>#VALUE!</v>
      </c>
    </row>
    <row r="2576" spans="1:17" ht="15" customHeight="1" x14ac:dyDescent="0.25">
      <c r="A2576" s="244"/>
      <c r="B2576" s="244"/>
      <c r="C2576" s="244"/>
      <c r="D2576" s="244"/>
      <c r="E2576" s="244"/>
      <c r="F2576" s="244"/>
      <c r="G2576" s="244"/>
      <c r="I2576" s="244"/>
      <c r="J2576" s="244"/>
      <c r="K2576" s="246" t="e">
        <f t="shared" si="280"/>
        <v>#VALUE!</v>
      </c>
      <c r="L2576" s="246" t="e">
        <f t="shared" si="281"/>
        <v>#VALUE!</v>
      </c>
      <c r="M2576" s="247" t="e">
        <f t="shared" si="282"/>
        <v>#VALUE!</v>
      </c>
      <c r="N2576" s="246" t="e">
        <f t="shared" si="283"/>
        <v>#VALUE!</v>
      </c>
      <c r="O2576" s="247" t="e">
        <f t="shared" si="284"/>
        <v>#VALUE!</v>
      </c>
      <c r="P2576" s="247">
        <f t="shared" si="285"/>
        <v>0</v>
      </c>
      <c r="Q2576" s="247" t="e">
        <f t="shared" si="286"/>
        <v>#VALUE!</v>
      </c>
    </row>
    <row r="2577" spans="1:17" ht="15" customHeight="1" x14ac:dyDescent="0.25">
      <c r="A2577" s="244"/>
      <c r="B2577" s="244"/>
      <c r="C2577" s="244"/>
      <c r="D2577" s="244"/>
      <c r="E2577" s="244"/>
      <c r="F2577" s="244"/>
      <c r="G2577" s="244"/>
      <c r="I2577" s="244"/>
      <c r="J2577" s="244"/>
      <c r="K2577" s="246" t="e">
        <f t="shared" si="280"/>
        <v>#VALUE!</v>
      </c>
      <c r="L2577" s="246" t="e">
        <f t="shared" si="281"/>
        <v>#VALUE!</v>
      </c>
      <c r="M2577" s="247" t="e">
        <f t="shared" si="282"/>
        <v>#VALUE!</v>
      </c>
      <c r="N2577" s="246" t="e">
        <f t="shared" si="283"/>
        <v>#VALUE!</v>
      </c>
      <c r="O2577" s="247" t="e">
        <f t="shared" si="284"/>
        <v>#VALUE!</v>
      </c>
      <c r="P2577" s="247">
        <f t="shared" si="285"/>
        <v>0</v>
      </c>
      <c r="Q2577" s="247" t="e">
        <f t="shared" si="286"/>
        <v>#VALUE!</v>
      </c>
    </row>
    <row r="2578" spans="1:17" ht="15" customHeight="1" x14ac:dyDescent="0.25">
      <c r="A2578" s="244"/>
      <c r="B2578" s="244"/>
      <c r="C2578" s="244"/>
      <c r="D2578" s="244"/>
      <c r="E2578" s="244"/>
      <c r="F2578" s="244"/>
      <c r="G2578" s="244"/>
      <c r="I2578" s="244"/>
      <c r="J2578" s="244"/>
      <c r="K2578" s="246" t="e">
        <f t="shared" si="280"/>
        <v>#VALUE!</v>
      </c>
      <c r="L2578" s="246" t="e">
        <f t="shared" si="281"/>
        <v>#VALUE!</v>
      </c>
      <c r="M2578" s="247" t="e">
        <f t="shared" si="282"/>
        <v>#VALUE!</v>
      </c>
      <c r="N2578" s="246" t="e">
        <f t="shared" si="283"/>
        <v>#VALUE!</v>
      </c>
      <c r="O2578" s="247" t="e">
        <f t="shared" si="284"/>
        <v>#VALUE!</v>
      </c>
      <c r="P2578" s="247">
        <f t="shared" si="285"/>
        <v>0</v>
      </c>
      <c r="Q2578" s="247" t="e">
        <f t="shared" si="286"/>
        <v>#VALUE!</v>
      </c>
    </row>
    <row r="2579" spans="1:17" ht="15" customHeight="1" x14ac:dyDescent="0.25">
      <c r="A2579" s="244"/>
      <c r="B2579" s="244"/>
      <c r="C2579" s="244"/>
      <c r="D2579" s="244"/>
      <c r="E2579" s="244"/>
      <c r="F2579" s="244"/>
      <c r="G2579" s="244"/>
      <c r="I2579" s="244"/>
      <c r="J2579" s="244"/>
      <c r="K2579" s="246" t="e">
        <f t="shared" si="280"/>
        <v>#VALUE!</v>
      </c>
      <c r="L2579" s="246" t="e">
        <f t="shared" si="281"/>
        <v>#VALUE!</v>
      </c>
      <c r="M2579" s="247" t="e">
        <f t="shared" si="282"/>
        <v>#VALUE!</v>
      </c>
      <c r="N2579" s="246" t="e">
        <f t="shared" si="283"/>
        <v>#VALUE!</v>
      </c>
      <c r="O2579" s="247" t="e">
        <f t="shared" si="284"/>
        <v>#VALUE!</v>
      </c>
      <c r="P2579" s="247">
        <f t="shared" si="285"/>
        <v>0</v>
      </c>
      <c r="Q2579" s="247" t="e">
        <f t="shared" si="286"/>
        <v>#VALUE!</v>
      </c>
    </row>
    <row r="2580" spans="1:17" ht="15" customHeight="1" x14ac:dyDescent="0.25">
      <c r="A2580" s="244"/>
      <c r="B2580" s="244"/>
      <c r="C2580" s="244"/>
      <c r="D2580" s="244"/>
      <c r="E2580" s="244"/>
      <c r="F2580" s="244"/>
      <c r="G2580" s="244"/>
      <c r="I2580" s="244"/>
      <c r="J2580" s="244"/>
      <c r="K2580" s="246" t="e">
        <f t="shared" si="280"/>
        <v>#VALUE!</v>
      </c>
      <c r="L2580" s="246" t="e">
        <f t="shared" si="281"/>
        <v>#VALUE!</v>
      </c>
      <c r="M2580" s="247" t="e">
        <f t="shared" si="282"/>
        <v>#VALUE!</v>
      </c>
      <c r="N2580" s="246" t="e">
        <f t="shared" si="283"/>
        <v>#VALUE!</v>
      </c>
      <c r="O2580" s="247" t="e">
        <f t="shared" si="284"/>
        <v>#VALUE!</v>
      </c>
      <c r="P2580" s="247">
        <f t="shared" si="285"/>
        <v>0</v>
      </c>
      <c r="Q2580" s="247" t="e">
        <f t="shared" si="286"/>
        <v>#VALUE!</v>
      </c>
    </row>
    <row r="2581" spans="1:17" ht="15" customHeight="1" x14ac:dyDescent="0.25">
      <c r="A2581" s="244"/>
      <c r="B2581" s="244"/>
      <c r="C2581" s="244"/>
      <c r="D2581" s="244"/>
      <c r="E2581" s="244"/>
      <c r="F2581" s="244"/>
      <c r="G2581" s="244"/>
      <c r="I2581" s="244"/>
      <c r="J2581" s="244"/>
      <c r="K2581" s="246" t="e">
        <f t="shared" si="280"/>
        <v>#VALUE!</v>
      </c>
      <c r="L2581" s="246" t="e">
        <f t="shared" si="281"/>
        <v>#VALUE!</v>
      </c>
      <c r="M2581" s="247" t="e">
        <f t="shared" si="282"/>
        <v>#VALUE!</v>
      </c>
      <c r="N2581" s="246" t="e">
        <f t="shared" si="283"/>
        <v>#VALUE!</v>
      </c>
      <c r="O2581" s="247" t="e">
        <f t="shared" si="284"/>
        <v>#VALUE!</v>
      </c>
      <c r="P2581" s="247">
        <f t="shared" si="285"/>
        <v>0</v>
      </c>
      <c r="Q2581" s="247" t="e">
        <f t="shared" si="286"/>
        <v>#VALUE!</v>
      </c>
    </row>
    <row r="2582" spans="1:17" ht="15" customHeight="1" x14ac:dyDescent="0.25">
      <c r="A2582" s="244"/>
      <c r="B2582" s="244"/>
      <c r="C2582" s="244"/>
      <c r="D2582" s="244"/>
      <c r="E2582" s="244"/>
      <c r="F2582" s="244"/>
      <c r="G2582" s="244"/>
      <c r="I2582" s="244"/>
      <c r="J2582" s="244"/>
      <c r="K2582" s="246" t="e">
        <f t="shared" si="280"/>
        <v>#VALUE!</v>
      </c>
      <c r="L2582" s="246" t="e">
        <f t="shared" si="281"/>
        <v>#VALUE!</v>
      </c>
      <c r="M2582" s="247" t="e">
        <f t="shared" si="282"/>
        <v>#VALUE!</v>
      </c>
      <c r="N2582" s="246" t="e">
        <f t="shared" si="283"/>
        <v>#VALUE!</v>
      </c>
      <c r="O2582" s="247" t="e">
        <f t="shared" si="284"/>
        <v>#VALUE!</v>
      </c>
      <c r="P2582" s="247">
        <f t="shared" si="285"/>
        <v>0</v>
      </c>
      <c r="Q2582" s="247" t="e">
        <f t="shared" si="286"/>
        <v>#VALUE!</v>
      </c>
    </row>
    <row r="2583" spans="1:17" ht="15" customHeight="1" x14ac:dyDescent="0.25">
      <c r="A2583" s="244"/>
      <c r="B2583" s="244"/>
      <c r="C2583" s="244"/>
      <c r="D2583" s="244"/>
      <c r="E2583" s="244"/>
      <c r="F2583" s="244"/>
      <c r="G2583" s="244"/>
      <c r="I2583" s="244"/>
      <c r="J2583" s="244"/>
      <c r="K2583" s="246" t="e">
        <f t="shared" si="280"/>
        <v>#VALUE!</v>
      </c>
      <c r="L2583" s="246" t="e">
        <f t="shared" si="281"/>
        <v>#VALUE!</v>
      </c>
      <c r="M2583" s="247" t="e">
        <f t="shared" si="282"/>
        <v>#VALUE!</v>
      </c>
      <c r="N2583" s="246" t="e">
        <f t="shared" si="283"/>
        <v>#VALUE!</v>
      </c>
      <c r="O2583" s="247" t="e">
        <f t="shared" si="284"/>
        <v>#VALUE!</v>
      </c>
      <c r="P2583" s="247">
        <f t="shared" si="285"/>
        <v>0</v>
      </c>
      <c r="Q2583" s="247" t="e">
        <f t="shared" si="286"/>
        <v>#VALUE!</v>
      </c>
    </row>
    <row r="2584" spans="1:17" ht="15" customHeight="1" x14ac:dyDescent="0.25">
      <c r="A2584" s="244"/>
      <c r="B2584" s="244"/>
      <c r="C2584" s="244"/>
      <c r="D2584" s="244"/>
      <c r="E2584" s="244"/>
      <c r="F2584" s="244"/>
      <c r="G2584" s="244"/>
      <c r="I2584" s="244"/>
      <c r="J2584" s="244"/>
      <c r="K2584" s="246" t="e">
        <f t="shared" si="280"/>
        <v>#VALUE!</v>
      </c>
      <c r="L2584" s="246" t="e">
        <f t="shared" si="281"/>
        <v>#VALUE!</v>
      </c>
      <c r="M2584" s="247" t="e">
        <f t="shared" si="282"/>
        <v>#VALUE!</v>
      </c>
      <c r="N2584" s="246" t="e">
        <f t="shared" si="283"/>
        <v>#VALUE!</v>
      </c>
      <c r="O2584" s="247" t="e">
        <f t="shared" si="284"/>
        <v>#VALUE!</v>
      </c>
      <c r="P2584" s="247">
        <f t="shared" si="285"/>
        <v>0</v>
      </c>
      <c r="Q2584" s="247" t="e">
        <f t="shared" si="286"/>
        <v>#VALUE!</v>
      </c>
    </row>
    <row r="2585" spans="1:17" ht="15" customHeight="1" x14ac:dyDescent="0.25">
      <c r="A2585" s="244"/>
      <c r="B2585" s="244"/>
      <c r="C2585" s="244"/>
      <c r="D2585" s="244"/>
      <c r="E2585" s="244"/>
      <c r="F2585" s="244"/>
      <c r="G2585" s="244"/>
      <c r="I2585" s="244"/>
      <c r="J2585" s="244"/>
      <c r="K2585" s="246" t="e">
        <f t="shared" si="280"/>
        <v>#VALUE!</v>
      </c>
      <c r="L2585" s="246" t="e">
        <f t="shared" si="281"/>
        <v>#VALUE!</v>
      </c>
      <c r="M2585" s="247" t="e">
        <f t="shared" si="282"/>
        <v>#VALUE!</v>
      </c>
      <c r="N2585" s="246" t="e">
        <f t="shared" si="283"/>
        <v>#VALUE!</v>
      </c>
      <c r="O2585" s="247" t="e">
        <f t="shared" si="284"/>
        <v>#VALUE!</v>
      </c>
      <c r="P2585" s="247">
        <f t="shared" si="285"/>
        <v>0</v>
      </c>
      <c r="Q2585" s="247" t="e">
        <f t="shared" si="286"/>
        <v>#VALUE!</v>
      </c>
    </row>
    <row r="2586" spans="1:17" ht="15" customHeight="1" x14ac:dyDescent="0.25">
      <c r="A2586" s="244"/>
      <c r="B2586" s="244"/>
      <c r="C2586" s="244"/>
      <c r="D2586" s="244"/>
      <c r="E2586" s="244"/>
      <c r="F2586" s="244"/>
      <c r="G2586" s="244"/>
      <c r="I2586" s="244"/>
      <c r="J2586" s="244"/>
      <c r="K2586" s="246" t="e">
        <f t="shared" si="280"/>
        <v>#VALUE!</v>
      </c>
      <c r="L2586" s="246" t="e">
        <f t="shared" si="281"/>
        <v>#VALUE!</v>
      </c>
      <c r="M2586" s="247" t="e">
        <f t="shared" si="282"/>
        <v>#VALUE!</v>
      </c>
      <c r="N2586" s="246" t="e">
        <f t="shared" si="283"/>
        <v>#VALUE!</v>
      </c>
      <c r="O2586" s="247" t="e">
        <f t="shared" si="284"/>
        <v>#VALUE!</v>
      </c>
      <c r="P2586" s="247">
        <f t="shared" si="285"/>
        <v>0</v>
      </c>
      <c r="Q2586" s="247" t="e">
        <f t="shared" si="286"/>
        <v>#VALUE!</v>
      </c>
    </row>
    <row r="2587" spans="1:17" ht="15" customHeight="1" x14ac:dyDescent="0.25">
      <c r="A2587" s="244"/>
      <c r="B2587" s="244"/>
      <c r="C2587" s="244"/>
      <c r="D2587" s="244"/>
      <c r="E2587" s="244"/>
      <c r="F2587" s="244"/>
      <c r="G2587" s="244"/>
      <c r="I2587" s="244"/>
      <c r="J2587" s="244"/>
      <c r="K2587" s="246" t="e">
        <f t="shared" si="280"/>
        <v>#VALUE!</v>
      </c>
      <c r="L2587" s="246" t="e">
        <f t="shared" si="281"/>
        <v>#VALUE!</v>
      </c>
      <c r="M2587" s="247" t="e">
        <f t="shared" si="282"/>
        <v>#VALUE!</v>
      </c>
      <c r="N2587" s="246" t="e">
        <f t="shared" si="283"/>
        <v>#VALUE!</v>
      </c>
      <c r="O2587" s="247" t="e">
        <f t="shared" si="284"/>
        <v>#VALUE!</v>
      </c>
      <c r="P2587" s="247">
        <f t="shared" si="285"/>
        <v>0</v>
      </c>
      <c r="Q2587" s="247" t="e">
        <f t="shared" si="286"/>
        <v>#VALUE!</v>
      </c>
    </row>
    <row r="2588" spans="1:17" ht="15" customHeight="1" x14ac:dyDescent="0.25">
      <c r="A2588" s="244"/>
      <c r="B2588" s="244"/>
      <c r="C2588" s="244"/>
      <c r="D2588" s="244"/>
      <c r="E2588" s="244"/>
      <c r="F2588" s="244"/>
      <c r="G2588" s="244"/>
      <c r="I2588" s="244"/>
      <c r="J2588" s="244"/>
      <c r="K2588" s="246" t="e">
        <f t="shared" si="280"/>
        <v>#VALUE!</v>
      </c>
      <c r="L2588" s="246" t="e">
        <f t="shared" si="281"/>
        <v>#VALUE!</v>
      </c>
      <c r="M2588" s="247" t="e">
        <f t="shared" si="282"/>
        <v>#VALUE!</v>
      </c>
      <c r="N2588" s="246" t="e">
        <f t="shared" si="283"/>
        <v>#VALUE!</v>
      </c>
      <c r="O2588" s="247" t="e">
        <f t="shared" si="284"/>
        <v>#VALUE!</v>
      </c>
      <c r="P2588" s="247">
        <f t="shared" si="285"/>
        <v>0</v>
      </c>
      <c r="Q2588" s="247" t="e">
        <f t="shared" si="286"/>
        <v>#VALUE!</v>
      </c>
    </row>
    <row r="2589" spans="1:17" ht="15" customHeight="1" x14ac:dyDescent="0.25">
      <c r="A2589" s="244"/>
      <c r="B2589" s="244"/>
      <c r="C2589" s="244"/>
      <c r="D2589" s="244"/>
      <c r="E2589" s="244"/>
      <c r="F2589" s="244"/>
      <c r="G2589" s="244"/>
      <c r="I2589" s="244"/>
      <c r="J2589" s="244"/>
      <c r="K2589" s="246" t="e">
        <f t="shared" si="280"/>
        <v>#VALUE!</v>
      </c>
      <c r="L2589" s="246" t="e">
        <f t="shared" si="281"/>
        <v>#VALUE!</v>
      </c>
      <c r="M2589" s="247" t="e">
        <f t="shared" si="282"/>
        <v>#VALUE!</v>
      </c>
      <c r="N2589" s="246" t="e">
        <f t="shared" si="283"/>
        <v>#VALUE!</v>
      </c>
      <c r="O2589" s="247" t="e">
        <f t="shared" si="284"/>
        <v>#VALUE!</v>
      </c>
      <c r="P2589" s="247">
        <f t="shared" si="285"/>
        <v>0</v>
      </c>
      <c r="Q2589" s="247" t="e">
        <f t="shared" si="286"/>
        <v>#VALUE!</v>
      </c>
    </row>
    <row r="2590" spans="1:17" ht="15" customHeight="1" x14ac:dyDescent="0.25">
      <c r="A2590" s="244"/>
      <c r="B2590" s="244"/>
      <c r="C2590" s="244"/>
      <c r="D2590" s="244"/>
      <c r="E2590" s="244"/>
      <c r="F2590" s="244"/>
      <c r="G2590" s="244"/>
      <c r="I2590" s="244"/>
      <c r="J2590" s="244"/>
      <c r="K2590" s="246" t="e">
        <f t="shared" si="280"/>
        <v>#VALUE!</v>
      </c>
      <c r="L2590" s="246" t="e">
        <f t="shared" si="281"/>
        <v>#VALUE!</v>
      </c>
      <c r="M2590" s="247" t="e">
        <f t="shared" si="282"/>
        <v>#VALUE!</v>
      </c>
      <c r="N2590" s="246" t="e">
        <f t="shared" si="283"/>
        <v>#VALUE!</v>
      </c>
      <c r="O2590" s="247" t="e">
        <f t="shared" si="284"/>
        <v>#VALUE!</v>
      </c>
      <c r="P2590" s="247">
        <f t="shared" si="285"/>
        <v>0</v>
      </c>
      <c r="Q2590" s="247" t="e">
        <f t="shared" si="286"/>
        <v>#VALUE!</v>
      </c>
    </row>
    <row r="2591" spans="1:17" ht="15" customHeight="1" x14ac:dyDescent="0.25">
      <c r="A2591" s="244"/>
      <c r="B2591" s="244"/>
      <c r="C2591" s="244"/>
      <c r="D2591" s="244"/>
      <c r="E2591" s="244"/>
      <c r="F2591" s="244"/>
      <c r="G2591" s="244"/>
      <c r="I2591" s="244"/>
      <c r="J2591" s="244"/>
      <c r="K2591" s="246" t="e">
        <f t="shared" si="280"/>
        <v>#VALUE!</v>
      </c>
      <c r="L2591" s="246" t="e">
        <f t="shared" si="281"/>
        <v>#VALUE!</v>
      </c>
      <c r="M2591" s="247" t="e">
        <f t="shared" si="282"/>
        <v>#VALUE!</v>
      </c>
      <c r="N2591" s="246" t="e">
        <f t="shared" si="283"/>
        <v>#VALUE!</v>
      </c>
      <c r="O2591" s="247" t="e">
        <f t="shared" si="284"/>
        <v>#VALUE!</v>
      </c>
      <c r="P2591" s="247">
        <f t="shared" si="285"/>
        <v>0</v>
      </c>
      <c r="Q2591" s="247" t="e">
        <f t="shared" si="286"/>
        <v>#VALUE!</v>
      </c>
    </row>
    <row r="2592" spans="1:17" ht="15" customHeight="1" x14ac:dyDescent="0.25">
      <c r="A2592" s="244"/>
      <c r="B2592" s="244"/>
      <c r="C2592" s="244"/>
      <c r="D2592" s="244"/>
      <c r="E2592" s="244"/>
      <c r="F2592" s="244"/>
      <c r="G2592" s="244"/>
      <c r="I2592" s="244"/>
      <c r="J2592" s="244"/>
      <c r="K2592" s="246" t="e">
        <f t="shared" si="280"/>
        <v>#VALUE!</v>
      </c>
      <c r="L2592" s="246" t="e">
        <f t="shared" si="281"/>
        <v>#VALUE!</v>
      </c>
      <c r="M2592" s="247" t="e">
        <f t="shared" si="282"/>
        <v>#VALUE!</v>
      </c>
      <c r="N2592" s="246" t="e">
        <f t="shared" si="283"/>
        <v>#VALUE!</v>
      </c>
      <c r="O2592" s="247" t="e">
        <f t="shared" si="284"/>
        <v>#VALUE!</v>
      </c>
      <c r="P2592" s="247">
        <f t="shared" si="285"/>
        <v>0</v>
      </c>
      <c r="Q2592" s="247" t="e">
        <f t="shared" si="286"/>
        <v>#VALUE!</v>
      </c>
    </row>
    <row r="2593" spans="1:17" ht="15" customHeight="1" x14ac:dyDescent="0.25">
      <c r="A2593" s="244"/>
      <c r="B2593" s="244"/>
      <c r="C2593" s="244"/>
      <c r="D2593" s="244"/>
      <c r="E2593" s="244"/>
      <c r="F2593" s="244"/>
      <c r="G2593" s="244"/>
      <c r="I2593" s="244"/>
      <c r="J2593" s="244"/>
      <c r="K2593" s="246" t="e">
        <f t="shared" si="280"/>
        <v>#VALUE!</v>
      </c>
      <c r="L2593" s="246" t="e">
        <f t="shared" si="281"/>
        <v>#VALUE!</v>
      </c>
      <c r="M2593" s="247" t="e">
        <f t="shared" si="282"/>
        <v>#VALUE!</v>
      </c>
      <c r="N2593" s="246" t="e">
        <f t="shared" si="283"/>
        <v>#VALUE!</v>
      </c>
      <c r="O2593" s="247" t="e">
        <f t="shared" si="284"/>
        <v>#VALUE!</v>
      </c>
      <c r="P2593" s="247">
        <f t="shared" si="285"/>
        <v>0</v>
      </c>
      <c r="Q2593" s="247" t="e">
        <f t="shared" si="286"/>
        <v>#VALUE!</v>
      </c>
    </row>
    <row r="2594" spans="1:17" ht="15" customHeight="1" x14ac:dyDescent="0.25">
      <c r="A2594" s="244"/>
      <c r="B2594" s="244"/>
      <c r="C2594" s="244"/>
      <c r="D2594" s="244"/>
      <c r="E2594" s="244"/>
      <c r="F2594" s="244"/>
      <c r="G2594" s="244"/>
      <c r="I2594" s="244"/>
      <c r="J2594" s="244"/>
      <c r="K2594" s="246" t="e">
        <f t="shared" si="280"/>
        <v>#VALUE!</v>
      </c>
      <c r="L2594" s="246" t="e">
        <f t="shared" si="281"/>
        <v>#VALUE!</v>
      </c>
      <c r="M2594" s="247" t="e">
        <f t="shared" si="282"/>
        <v>#VALUE!</v>
      </c>
      <c r="N2594" s="246" t="e">
        <f t="shared" si="283"/>
        <v>#VALUE!</v>
      </c>
      <c r="O2594" s="247" t="e">
        <f t="shared" si="284"/>
        <v>#VALUE!</v>
      </c>
      <c r="P2594" s="247">
        <f t="shared" si="285"/>
        <v>0</v>
      </c>
      <c r="Q2594" s="247" t="e">
        <f t="shared" si="286"/>
        <v>#VALUE!</v>
      </c>
    </row>
    <row r="2595" spans="1:17" ht="15" customHeight="1" x14ac:dyDescent="0.25">
      <c r="A2595" s="244"/>
      <c r="B2595" s="244"/>
      <c r="C2595" s="244"/>
      <c r="D2595" s="244"/>
      <c r="E2595" s="244"/>
      <c r="F2595" s="244"/>
      <c r="G2595" s="244"/>
      <c r="I2595" s="244"/>
      <c r="J2595" s="244"/>
      <c r="K2595" s="246" t="e">
        <f t="shared" si="280"/>
        <v>#VALUE!</v>
      </c>
      <c r="L2595" s="246" t="e">
        <f t="shared" si="281"/>
        <v>#VALUE!</v>
      </c>
      <c r="M2595" s="247" t="e">
        <f t="shared" si="282"/>
        <v>#VALUE!</v>
      </c>
      <c r="N2595" s="246" t="e">
        <f t="shared" si="283"/>
        <v>#VALUE!</v>
      </c>
      <c r="O2595" s="247" t="e">
        <f t="shared" si="284"/>
        <v>#VALUE!</v>
      </c>
      <c r="P2595" s="247">
        <f t="shared" si="285"/>
        <v>0</v>
      </c>
      <c r="Q2595" s="247" t="e">
        <f t="shared" si="286"/>
        <v>#VALUE!</v>
      </c>
    </row>
    <row r="2596" spans="1:17" ht="15" customHeight="1" x14ac:dyDescent="0.25">
      <c r="A2596" s="244"/>
      <c r="B2596" s="244"/>
      <c r="C2596" s="244"/>
      <c r="D2596" s="244"/>
      <c r="E2596" s="244"/>
      <c r="F2596" s="244"/>
      <c r="G2596" s="244"/>
      <c r="I2596" s="244"/>
      <c r="J2596" s="244"/>
      <c r="K2596" s="246" t="e">
        <f t="shared" si="280"/>
        <v>#VALUE!</v>
      </c>
      <c r="L2596" s="246" t="e">
        <f t="shared" si="281"/>
        <v>#VALUE!</v>
      </c>
      <c r="M2596" s="247" t="e">
        <f t="shared" si="282"/>
        <v>#VALUE!</v>
      </c>
      <c r="N2596" s="246" t="e">
        <f t="shared" si="283"/>
        <v>#VALUE!</v>
      </c>
      <c r="O2596" s="247" t="e">
        <f t="shared" si="284"/>
        <v>#VALUE!</v>
      </c>
      <c r="P2596" s="247">
        <f t="shared" si="285"/>
        <v>0</v>
      </c>
      <c r="Q2596" s="247" t="e">
        <f t="shared" si="286"/>
        <v>#VALUE!</v>
      </c>
    </row>
    <row r="2597" spans="1:17" ht="15" customHeight="1" x14ac:dyDescent="0.25">
      <c r="A2597" s="244"/>
      <c r="B2597" s="244"/>
      <c r="C2597" s="244"/>
      <c r="D2597" s="244"/>
      <c r="E2597" s="244"/>
      <c r="F2597" s="244"/>
      <c r="G2597" s="244"/>
      <c r="I2597" s="244"/>
      <c r="J2597" s="244"/>
      <c r="K2597" s="246" t="e">
        <f t="shared" si="280"/>
        <v>#VALUE!</v>
      </c>
      <c r="L2597" s="246" t="e">
        <f t="shared" si="281"/>
        <v>#VALUE!</v>
      </c>
      <c r="M2597" s="247" t="e">
        <f t="shared" si="282"/>
        <v>#VALUE!</v>
      </c>
      <c r="N2597" s="246" t="e">
        <f t="shared" si="283"/>
        <v>#VALUE!</v>
      </c>
      <c r="O2597" s="247" t="e">
        <f t="shared" si="284"/>
        <v>#VALUE!</v>
      </c>
      <c r="P2597" s="247">
        <f t="shared" si="285"/>
        <v>0</v>
      </c>
      <c r="Q2597" s="247" t="e">
        <f t="shared" si="286"/>
        <v>#VALUE!</v>
      </c>
    </row>
    <row r="2598" spans="1:17" ht="15" customHeight="1" x14ac:dyDescent="0.25">
      <c r="A2598" s="244"/>
      <c r="B2598" s="244"/>
      <c r="C2598" s="244"/>
      <c r="D2598" s="244"/>
      <c r="E2598" s="244"/>
      <c r="F2598" s="244"/>
      <c r="G2598" s="244"/>
      <c r="I2598" s="244"/>
      <c r="J2598" s="244"/>
      <c r="K2598" s="246" t="e">
        <f t="shared" si="280"/>
        <v>#VALUE!</v>
      </c>
      <c r="L2598" s="246" t="e">
        <f t="shared" si="281"/>
        <v>#VALUE!</v>
      </c>
      <c r="M2598" s="247" t="e">
        <f t="shared" si="282"/>
        <v>#VALUE!</v>
      </c>
      <c r="N2598" s="246" t="e">
        <f t="shared" si="283"/>
        <v>#VALUE!</v>
      </c>
      <c r="O2598" s="247" t="e">
        <f t="shared" si="284"/>
        <v>#VALUE!</v>
      </c>
      <c r="P2598" s="247">
        <f t="shared" si="285"/>
        <v>0</v>
      </c>
      <c r="Q2598" s="247" t="e">
        <f t="shared" si="286"/>
        <v>#VALUE!</v>
      </c>
    </row>
    <row r="2599" spans="1:17" ht="15" customHeight="1" x14ac:dyDescent="0.25">
      <c r="A2599" s="244"/>
      <c r="B2599" s="244"/>
      <c r="C2599" s="244"/>
      <c r="D2599" s="244"/>
      <c r="E2599" s="244"/>
      <c r="F2599" s="244"/>
      <c r="G2599" s="244"/>
      <c r="I2599" s="244"/>
      <c r="J2599" s="244"/>
      <c r="K2599" s="246" t="e">
        <f t="shared" si="280"/>
        <v>#VALUE!</v>
      </c>
      <c r="L2599" s="246" t="e">
        <f t="shared" si="281"/>
        <v>#VALUE!</v>
      </c>
      <c r="M2599" s="247" t="e">
        <f t="shared" si="282"/>
        <v>#VALUE!</v>
      </c>
      <c r="N2599" s="246" t="e">
        <f t="shared" si="283"/>
        <v>#VALUE!</v>
      </c>
      <c r="O2599" s="247" t="e">
        <f t="shared" si="284"/>
        <v>#VALUE!</v>
      </c>
      <c r="P2599" s="247">
        <f t="shared" si="285"/>
        <v>0</v>
      </c>
      <c r="Q2599" s="247" t="e">
        <f t="shared" si="286"/>
        <v>#VALUE!</v>
      </c>
    </row>
    <row r="2600" spans="1:17" ht="15" customHeight="1" x14ac:dyDescent="0.25">
      <c r="A2600" s="244"/>
      <c r="B2600" s="244"/>
      <c r="C2600" s="244"/>
      <c r="D2600" s="244"/>
      <c r="E2600" s="244"/>
      <c r="F2600" s="244"/>
      <c r="G2600" s="244"/>
      <c r="I2600" s="244"/>
      <c r="J2600" s="244"/>
      <c r="K2600" s="246" t="e">
        <f t="shared" si="280"/>
        <v>#VALUE!</v>
      </c>
      <c r="L2600" s="246" t="e">
        <f t="shared" si="281"/>
        <v>#VALUE!</v>
      </c>
      <c r="M2600" s="247" t="e">
        <f t="shared" si="282"/>
        <v>#VALUE!</v>
      </c>
      <c r="N2600" s="246" t="e">
        <f t="shared" si="283"/>
        <v>#VALUE!</v>
      </c>
      <c r="O2600" s="247" t="e">
        <f t="shared" si="284"/>
        <v>#VALUE!</v>
      </c>
      <c r="P2600" s="247">
        <f t="shared" si="285"/>
        <v>0</v>
      </c>
      <c r="Q2600" s="247" t="e">
        <f t="shared" si="286"/>
        <v>#VALUE!</v>
      </c>
    </row>
    <row r="2601" spans="1:17" ht="15" customHeight="1" x14ac:dyDescent="0.25">
      <c r="A2601" s="244"/>
      <c r="B2601" s="244"/>
      <c r="C2601" s="244"/>
      <c r="D2601" s="244"/>
      <c r="E2601" s="244"/>
      <c r="F2601" s="244"/>
      <c r="G2601" s="244"/>
      <c r="I2601" s="244"/>
      <c r="J2601" s="244"/>
      <c r="K2601" s="246" t="e">
        <f t="shared" si="280"/>
        <v>#VALUE!</v>
      </c>
      <c r="L2601" s="246" t="e">
        <f t="shared" si="281"/>
        <v>#VALUE!</v>
      </c>
      <c r="M2601" s="247" t="e">
        <f t="shared" si="282"/>
        <v>#VALUE!</v>
      </c>
      <c r="N2601" s="246" t="e">
        <f t="shared" si="283"/>
        <v>#VALUE!</v>
      </c>
      <c r="O2601" s="247" t="e">
        <f t="shared" si="284"/>
        <v>#VALUE!</v>
      </c>
      <c r="P2601" s="247">
        <f t="shared" si="285"/>
        <v>0</v>
      </c>
      <c r="Q2601" s="247" t="e">
        <f t="shared" si="286"/>
        <v>#VALUE!</v>
      </c>
    </row>
    <row r="2602" spans="1:17" ht="15" customHeight="1" x14ac:dyDescent="0.25">
      <c r="A2602" s="244"/>
      <c r="B2602" s="244"/>
      <c r="C2602" s="244"/>
      <c r="D2602" s="244"/>
      <c r="E2602" s="244"/>
      <c r="F2602" s="244"/>
      <c r="G2602" s="244"/>
      <c r="I2602" s="244"/>
      <c r="J2602" s="244"/>
      <c r="K2602" s="246" t="e">
        <f t="shared" si="280"/>
        <v>#VALUE!</v>
      </c>
      <c r="L2602" s="246" t="e">
        <f t="shared" si="281"/>
        <v>#VALUE!</v>
      </c>
      <c r="M2602" s="247" t="e">
        <f t="shared" si="282"/>
        <v>#VALUE!</v>
      </c>
      <c r="N2602" s="246" t="e">
        <f t="shared" si="283"/>
        <v>#VALUE!</v>
      </c>
      <c r="O2602" s="247" t="e">
        <f t="shared" si="284"/>
        <v>#VALUE!</v>
      </c>
      <c r="P2602" s="247">
        <f t="shared" si="285"/>
        <v>0</v>
      </c>
      <c r="Q2602" s="247" t="e">
        <f t="shared" si="286"/>
        <v>#VALUE!</v>
      </c>
    </row>
    <row r="2603" spans="1:17" ht="15" customHeight="1" x14ac:dyDescent="0.25">
      <c r="A2603" s="244"/>
      <c r="B2603" s="244"/>
      <c r="C2603" s="244"/>
      <c r="D2603" s="244"/>
      <c r="E2603" s="244"/>
      <c r="F2603" s="244"/>
      <c r="G2603" s="244"/>
      <c r="I2603" s="244"/>
      <c r="J2603" s="244"/>
      <c r="K2603" s="246" t="e">
        <f t="shared" si="280"/>
        <v>#VALUE!</v>
      </c>
      <c r="L2603" s="246" t="e">
        <f t="shared" si="281"/>
        <v>#VALUE!</v>
      </c>
      <c r="M2603" s="247" t="e">
        <f t="shared" si="282"/>
        <v>#VALUE!</v>
      </c>
      <c r="N2603" s="246" t="e">
        <f t="shared" si="283"/>
        <v>#VALUE!</v>
      </c>
      <c r="O2603" s="247" t="e">
        <f t="shared" si="284"/>
        <v>#VALUE!</v>
      </c>
      <c r="P2603" s="247">
        <f t="shared" si="285"/>
        <v>0</v>
      </c>
      <c r="Q2603" s="247" t="e">
        <f t="shared" si="286"/>
        <v>#VALUE!</v>
      </c>
    </row>
    <row r="2604" spans="1:17" ht="15" customHeight="1" x14ac:dyDescent="0.25">
      <c r="A2604" s="244"/>
      <c r="B2604" s="244"/>
      <c r="C2604" s="244"/>
      <c r="D2604" s="244"/>
      <c r="E2604" s="244"/>
      <c r="F2604" s="244"/>
      <c r="G2604" s="244"/>
      <c r="I2604" s="244"/>
      <c r="J2604" s="244"/>
      <c r="K2604" s="246" t="e">
        <f t="shared" si="280"/>
        <v>#VALUE!</v>
      </c>
      <c r="L2604" s="246" t="e">
        <f t="shared" si="281"/>
        <v>#VALUE!</v>
      </c>
      <c r="M2604" s="247" t="e">
        <f t="shared" si="282"/>
        <v>#VALUE!</v>
      </c>
      <c r="N2604" s="246" t="e">
        <f t="shared" si="283"/>
        <v>#VALUE!</v>
      </c>
      <c r="O2604" s="247" t="e">
        <f t="shared" si="284"/>
        <v>#VALUE!</v>
      </c>
      <c r="P2604" s="247">
        <f t="shared" si="285"/>
        <v>0</v>
      </c>
      <c r="Q2604" s="247" t="e">
        <f t="shared" si="286"/>
        <v>#VALUE!</v>
      </c>
    </row>
    <row r="2605" spans="1:17" ht="15" customHeight="1" x14ac:dyDescent="0.25">
      <c r="A2605" s="244"/>
      <c r="B2605" s="244"/>
      <c r="C2605" s="244"/>
      <c r="D2605" s="244"/>
      <c r="E2605" s="244"/>
      <c r="F2605" s="244"/>
      <c r="G2605" s="244"/>
      <c r="I2605" s="244"/>
      <c r="J2605" s="244"/>
      <c r="K2605" s="246" t="e">
        <f t="shared" si="280"/>
        <v>#VALUE!</v>
      </c>
      <c r="L2605" s="246" t="e">
        <f t="shared" si="281"/>
        <v>#VALUE!</v>
      </c>
      <c r="M2605" s="247" t="e">
        <f t="shared" si="282"/>
        <v>#VALUE!</v>
      </c>
      <c r="N2605" s="246" t="e">
        <f t="shared" si="283"/>
        <v>#VALUE!</v>
      </c>
      <c r="O2605" s="247" t="e">
        <f t="shared" si="284"/>
        <v>#VALUE!</v>
      </c>
      <c r="P2605" s="247">
        <f t="shared" si="285"/>
        <v>0</v>
      </c>
      <c r="Q2605" s="247" t="e">
        <f t="shared" si="286"/>
        <v>#VALUE!</v>
      </c>
    </row>
    <row r="2606" spans="1:17" ht="15" customHeight="1" x14ac:dyDescent="0.25">
      <c r="A2606" s="244"/>
      <c r="B2606" s="244"/>
      <c r="C2606" s="244"/>
      <c r="D2606" s="244"/>
      <c r="E2606" s="244"/>
      <c r="F2606" s="244"/>
      <c r="G2606" s="244"/>
      <c r="I2606" s="244"/>
      <c r="J2606" s="244"/>
      <c r="K2606" s="246" t="e">
        <f t="shared" si="280"/>
        <v>#VALUE!</v>
      </c>
      <c r="L2606" s="246" t="e">
        <f t="shared" si="281"/>
        <v>#VALUE!</v>
      </c>
      <c r="M2606" s="247" t="e">
        <f t="shared" si="282"/>
        <v>#VALUE!</v>
      </c>
      <c r="N2606" s="246" t="e">
        <f t="shared" si="283"/>
        <v>#VALUE!</v>
      </c>
      <c r="O2606" s="247" t="e">
        <f t="shared" si="284"/>
        <v>#VALUE!</v>
      </c>
      <c r="P2606" s="247">
        <f t="shared" si="285"/>
        <v>0</v>
      </c>
      <c r="Q2606" s="247" t="e">
        <f t="shared" si="286"/>
        <v>#VALUE!</v>
      </c>
    </row>
    <row r="2607" spans="1:17" ht="15" customHeight="1" x14ac:dyDescent="0.25">
      <c r="A2607" s="244"/>
      <c r="B2607" s="244"/>
      <c r="C2607" s="244"/>
      <c r="D2607" s="244"/>
      <c r="E2607" s="244"/>
      <c r="F2607" s="244"/>
      <c r="G2607" s="244"/>
      <c r="I2607" s="244"/>
      <c r="J2607" s="244"/>
      <c r="K2607" s="246" t="e">
        <f t="shared" si="280"/>
        <v>#VALUE!</v>
      </c>
      <c r="L2607" s="246" t="e">
        <f t="shared" si="281"/>
        <v>#VALUE!</v>
      </c>
      <c r="M2607" s="247" t="e">
        <f t="shared" si="282"/>
        <v>#VALUE!</v>
      </c>
      <c r="N2607" s="246" t="e">
        <f t="shared" si="283"/>
        <v>#VALUE!</v>
      </c>
      <c r="O2607" s="247" t="e">
        <f t="shared" si="284"/>
        <v>#VALUE!</v>
      </c>
      <c r="P2607" s="247">
        <f t="shared" si="285"/>
        <v>0</v>
      </c>
      <c r="Q2607" s="247" t="e">
        <f t="shared" si="286"/>
        <v>#VALUE!</v>
      </c>
    </row>
    <row r="2608" spans="1:17" ht="15" customHeight="1" x14ac:dyDescent="0.25">
      <c r="A2608" s="244"/>
      <c r="B2608" s="244"/>
      <c r="C2608" s="244"/>
      <c r="D2608" s="244"/>
      <c r="E2608" s="244"/>
      <c r="F2608" s="244"/>
      <c r="G2608" s="244"/>
      <c r="I2608" s="244"/>
      <c r="J2608" s="244"/>
      <c r="K2608" s="246" t="e">
        <f t="shared" si="280"/>
        <v>#VALUE!</v>
      </c>
      <c r="L2608" s="246" t="e">
        <f t="shared" si="281"/>
        <v>#VALUE!</v>
      </c>
      <c r="M2608" s="247" t="e">
        <f t="shared" si="282"/>
        <v>#VALUE!</v>
      </c>
      <c r="N2608" s="246" t="e">
        <f t="shared" si="283"/>
        <v>#VALUE!</v>
      </c>
      <c r="O2608" s="247" t="e">
        <f t="shared" si="284"/>
        <v>#VALUE!</v>
      </c>
      <c r="P2608" s="247">
        <f t="shared" si="285"/>
        <v>0</v>
      </c>
      <c r="Q2608" s="247" t="e">
        <f t="shared" si="286"/>
        <v>#VALUE!</v>
      </c>
    </row>
    <row r="2609" spans="1:17" ht="15" customHeight="1" x14ac:dyDescent="0.25">
      <c r="A2609" s="244"/>
      <c r="B2609" s="244"/>
      <c r="C2609" s="244"/>
      <c r="D2609" s="244"/>
      <c r="E2609" s="244"/>
      <c r="F2609" s="244"/>
      <c r="G2609" s="244"/>
      <c r="I2609" s="244"/>
      <c r="J2609" s="244"/>
      <c r="K2609" s="246" t="e">
        <f t="shared" si="280"/>
        <v>#VALUE!</v>
      </c>
      <c r="L2609" s="246" t="e">
        <f t="shared" si="281"/>
        <v>#VALUE!</v>
      </c>
      <c r="M2609" s="247" t="e">
        <f t="shared" si="282"/>
        <v>#VALUE!</v>
      </c>
      <c r="N2609" s="246" t="e">
        <f t="shared" si="283"/>
        <v>#VALUE!</v>
      </c>
      <c r="O2609" s="247" t="e">
        <f t="shared" si="284"/>
        <v>#VALUE!</v>
      </c>
      <c r="P2609" s="247">
        <f t="shared" si="285"/>
        <v>0</v>
      </c>
      <c r="Q2609" s="247" t="e">
        <f t="shared" si="286"/>
        <v>#VALUE!</v>
      </c>
    </row>
    <row r="2610" spans="1:17" ht="15" customHeight="1" x14ac:dyDescent="0.25">
      <c r="A2610" s="244"/>
      <c r="B2610" s="244"/>
      <c r="C2610" s="244"/>
      <c r="D2610" s="244"/>
      <c r="E2610" s="244"/>
      <c r="F2610" s="244"/>
      <c r="G2610" s="244"/>
      <c r="I2610" s="244"/>
      <c r="J2610" s="244"/>
      <c r="K2610" s="246" t="e">
        <f t="shared" si="280"/>
        <v>#VALUE!</v>
      </c>
      <c r="L2610" s="246" t="e">
        <f t="shared" si="281"/>
        <v>#VALUE!</v>
      </c>
      <c r="M2610" s="247" t="e">
        <f t="shared" si="282"/>
        <v>#VALUE!</v>
      </c>
      <c r="N2610" s="246" t="e">
        <f t="shared" si="283"/>
        <v>#VALUE!</v>
      </c>
      <c r="O2610" s="247" t="e">
        <f t="shared" si="284"/>
        <v>#VALUE!</v>
      </c>
      <c r="P2610" s="247">
        <f t="shared" si="285"/>
        <v>0</v>
      </c>
      <c r="Q2610" s="247" t="e">
        <f t="shared" si="286"/>
        <v>#VALUE!</v>
      </c>
    </row>
    <row r="2611" spans="1:17" ht="15" customHeight="1" x14ac:dyDescent="0.25">
      <c r="A2611" s="244"/>
      <c r="B2611" s="244"/>
      <c r="C2611" s="244"/>
      <c r="D2611" s="244"/>
      <c r="E2611" s="244"/>
      <c r="F2611" s="244"/>
      <c r="G2611" s="244"/>
      <c r="I2611" s="244"/>
      <c r="J2611" s="244"/>
      <c r="K2611" s="246" t="e">
        <f t="shared" si="280"/>
        <v>#VALUE!</v>
      </c>
      <c r="L2611" s="246" t="e">
        <f t="shared" si="281"/>
        <v>#VALUE!</v>
      </c>
      <c r="M2611" s="247" t="e">
        <f t="shared" si="282"/>
        <v>#VALUE!</v>
      </c>
      <c r="N2611" s="246" t="e">
        <f t="shared" si="283"/>
        <v>#VALUE!</v>
      </c>
      <c r="O2611" s="247" t="e">
        <f t="shared" si="284"/>
        <v>#VALUE!</v>
      </c>
      <c r="P2611" s="247">
        <f t="shared" si="285"/>
        <v>0</v>
      </c>
      <c r="Q2611" s="247" t="e">
        <f t="shared" si="286"/>
        <v>#VALUE!</v>
      </c>
    </row>
    <row r="2612" spans="1:17" ht="15" customHeight="1" x14ac:dyDescent="0.25">
      <c r="A2612" s="244"/>
      <c r="B2612" s="244"/>
      <c r="C2612" s="244"/>
      <c r="D2612" s="244"/>
      <c r="E2612" s="244"/>
      <c r="F2612" s="244"/>
      <c r="G2612" s="244"/>
      <c r="I2612" s="244"/>
      <c r="J2612" s="244"/>
      <c r="K2612" s="246" t="e">
        <f t="shared" si="280"/>
        <v>#VALUE!</v>
      </c>
      <c r="L2612" s="246" t="e">
        <f t="shared" si="281"/>
        <v>#VALUE!</v>
      </c>
      <c r="M2612" s="247" t="e">
        <f t="shared" si="282"/>
        <v>#VALUE!</v>
      </c>
      <c r="N2612" s="246" t="e">
        <f t="shared" si="283"/>
        <v>#VALUE!</v>
      </c>
      <c r="O2612" s="247" t="e">
        <f t="shared" si="284"/>
        <v>#VALUE!</v>
      </c>
      <c r="P2612" s="247">
        <f t="shared" si="285"/>
        <v>0</v>
      </c>
      <c r="Q2612" s="247" t="e">
        <f t="shared" si="286"/>
        <v>#VALUE!</v>
      </c>
    </row>
    <row r="2613" spans="1:17" ht="15" customHeight="1" x14ac:dyDescent="0.25">
      <c r="A2613" s="244"/>
      <c r="B2613" s="244"/>
      <c r="C2613" s="244"/>
      <c r="D2613" s="244"/>
      <c r="E2613" s="244"/>
      <c r="F2613" s="244"/>
      <c r="G2613" s="244"/>
      <c r="I2613" s="244"/>
      <c r="J2613" s="244"/>
      <c r="K2613" s="246" t="e">
        <f t="shared" si="280"/>
        <v>#VALUE!</v>
      </c>
      <c r="L2613" s="246" t="e">
        <f t="shared" si="281"/>
        <v>#VALUE!</v>
      </c>
      <c r="M2613" s="247" t="e">
        <f t="shared" si="282"/>
        <v>#VALUE!</v>
      </c>
      <c r="N2613" s="246" t="e">
        <f t="shared" si="283"/>
        <v>#VALUE!</v>
      </c>
      <c r="O2613" s="247" t="e">
        <f t="shared" si="284"/>
        <v>#VALUE!</v>
      </c>
      <c r="P2613" s="247">
        <f t="shared" si="285"/>
        <v>0</v>
      </c>
      <c r="Q2613" s="247" t="e">
        <f t="shared" si="286"/>
        <v>#VALUE!</v>
      </c>
    </row>
    <row r="2614" spans="1:17" ht="15" customHeight="1" x14ac:dyDescent="0.25">
      <c r="A2614" s="244"/>
      <c r="B2614" s="244"/>
      <c r="C2614" s="244"/>
      <c r="D2614" s="244"/>
      <c r="E2614" s="244"/>
      <c r="F2614" s="244"/>
      <c r="G2614" s="244"/>
      <c r="I2614" s="244"/>
      <c r="J2614" s="244"/>
      <c r="K2614" s="246" t="e">
        <f t="shared" si="280"/>
        <v>#VALUE!</v>
      </c>
      <c r="L2614" s="246" t="e">
        <f t="shared" si="281"/>
        <v>#VALUE!</v>
      </c>
      <c r="M2614" s="247" t="e">
        <f t="shared" si="282"/>
        <v>#VALUE!</v>
      </c>
      <c r="N2614" s="246" t="e">
        <f t="shared" si="283"/>
        <v>#VALUE!</v>
      </c>
      <c r="O2614" s="247" t="e">
        <f t="shared" si="284"/>
        <v>#VALUE!</v>
      </c>
      <c r="P2614" s="247">
        <f t="shared" si="285"/>
        <v>0</v>
      </c>
      <c r="Q2614" s="247" t="e">
        <f t="shared" si="286"/>
        <v>#VALUE!</v>
      </c>
    </row>
    <row r="2615" spans="1:17" ht="15" customHeight="1" x14ac:dyDescent="0.25">
      <c r="A2615" s="244"/>
      <c r="B2615" s="244"/>
      <c r="C2615" s="244"/>
      <c r="D2615" s="244"/>
      <c r="E2615" s="244"/>
      <c r="F2615" s="244"/>
      <c r="G2615" s="244"/>
      <c r="I2615" s="244"/>
      <c r="J2615" s="244"/>
      <c r="K2615" s="246" t="e">
        <f t="shared" si="280"/>
        <v>#VALUE!</v>
      </c>
      <c r="L2615" s="246" t="e">
        <f t="shared" si="281"/>
        <v>#VALUE!</v>
      </c>
      <c r="M2615" s="247" t="e">
        <f t="shared" si="282"/>
        <v>#VALUE!</v>
      </c>
      <c r="N2615" s="246" t="e">
        <f t="shared" si="283"/>
        <v>#VALUE!</v>
      </c>
      <c r="O2615" s="247" t="e">
        <f t="shared" si="284"/>
        <v>#VALUE!</v>
      </c>
      <c r="P2615" s="247">
        <f t="shared" si="285"/>
        <v>0</v>
      </c>
      <c r="Q2615" s="247" t="e">
        <f t="shared" si="286"/>
        <v>#VALUE!</v>
      </c>
    </row>
    <row r="2616" spans="1:17" ht="15" customHeight="1" x14ac:dyDescent="0.25">
      <c r="A2616" s="244"/>
      <c r="B2616" s="244"/>
      <c r="C2616" s="244"/>
      <c r="D2616" s="244"/>
      <c r="E2616" s="244"/>
      <c r="F2616" s="244"/>
      <c r="G2616" s="244"/>
      <c r="I2616" s="244"/>
      <c r="J2616" s="244"/>
      <c r="K2616" s="246" t="e">
        <f t="shared" si="280"/>
        <v>#VALUE!</v>
      </c>
      <c r="L2616" s="246" t="e">
        <f t="shared" si="281"/>
        <v>#VALUE!</v>
      </c>
      <c r="M2616" s="247" t="e">
        <f t="shared" si="282"/>
        <v>#VALUE!</v>
      </c>
      <c r="N2616" s="246" t="e">
        <f t="shared" si="283"/>
        <v>#VALUE!</v>
      </c>
      <c r="O2616" s="247" t="e">
        <f t="shared" si="284"/>
        <v>#VALUE!</v>
      </c>
      <c r="P2616" s="247">
        <f t="shared" si="285"/>
        <v>0</v>
      </c>
      <c r="Q2616" s="247" t="e">
        <f t="shared" si="286"/>
        <v>#VALUE!</v>
      </c>
    </row>
    <row r="2617" spans="1:17" ht="15" customHeight="1" x14ac:dyDescent="0.25">
      <c r="A2617" s="244"/>
      <c r="B2617" s="244"/>
      <c r="C2617" s="244"/>
      <c r="D2617" s="244"/>
      <c r="E2617" s="244"/>
      <c r="F2617" s="244"/>
      <c r="G2617" s="244"/>
      <c r="I2617" s="244"/>
      <c r="J2617" s="244"/>
      <c r="K2617" s="246" t="e">
        <f t="shared" si="280"/>
        <v>#VALUE!</v>
      </c>
      <c r="L2617" s="246" t="e">
        <f t="shared" si="281"/>
        <v>#VALUE!</v>
      </c>
      <c r="M2617" s="247" t="e">
        <f t="shared" si="282"/>
        <v>#VALUE!</v>
      </c>
      <c r="N2617" s="246" t="e">
        <f t="shared" si="283"/>
        <v>#VALUE!</v>
      </c>
      <c r="O2617" s="247" t="e">
        <f t="shared" si="284"/>
        <v>#VALUE!</v>
      </c>
      <c r="P2617" s="247">
        <f t="shared" si="285"/>
        <v>0</v>
      </c>
      <c r="Q2617" s="247" t="e">
        <f t="shared" si="286"/>
        <v>#VALUE!</v>
      </c>
    </row>
    <row r="2618" spans="1:17" ht="15" customHeight="1" x14ac:dyDescent="0.25">
      <c r="A2618" s="244"/>
      <c r="B2618" s="244"/>
      <c r="C2618" s="244"/>
      <c r="D2618" s="244"/>
      <c r="E2618" s="244"/>
      <c r="F2618" s="244"/>
      <c r="G2618" s="244"/>
      <c r="I2618" s="244"/>
      <c r="J2618" s="244"/>
      <c r="K2618" s="246" t="e">
        <f t="shared" si="280"/>
        <v>#VALUE!</v>
      </c>
      <c r="L2618" s="246" t="e">
        <f t="shared" si="281"/>
        <v>#VALUE!</v>
      </c>
      <c r="M2618" s="247" t="e">
        <f t="shared" si="282"/>
        <v>#VALUE!</v>
      </c>
      <c r="N2618" s="246" t="e">
        <f t="shared" si="283"/>
        <v>#VALUE!</v>
      </c>
      <c r="O2618" s="247" t="e">
        <f t="shared" si="284"/>
        <v>#VALUE!</v>
      </c>
      <c r="P2618" s="247">
        <f t="shared" si="285"/>
        <v>0</v>
      </c>
      <c r="Q2618" s="247" t="e">
        <f t="shared" si="286"/>
        <v>#VALUE!</v>
      </c>
    </row>
    <row r="2619" spans="1:17" ht="15" customHeight="1" x14ac:dyDescent="0.25">
      <c r="A2619" s="244"/>
      <c r="B2619" s="244"/>
      <c r="C2619" s="244"/>
      <c r="D2619" s="244"/>
      <c r="E2619" s="244"/>
      <c r="F2619" s="244"/>
      <c r="G2619" s="244"/>
      <c r="I2619" s="244"/>
      <c r="J2619" s="244"/>
      <c r="K2619" s="246" t="e">
        <f t="shared" si="280"/>
        <v>#VALUE!</v>
      </c>
      <c r="L2619" s="246" t="e">
        <f t="shared" si="281"/>
        <v>#VALUE!</v>
      </c>
      <c r="M2619" s="247" t="e">
        <f t="shared" si="282"/>
        <v>#VALUE!</v>
      </c>
      <c r="N2619" s="246" t="e">
        <f t="shared" si="283"/>
        <v>#VALUE!</v>
      </c>
      <c r="O2619" s="247" t="e">
        <f t="shared" si="284"/>
        <v>#VALUE!</v>
      </c>
      <c r="P2619" s="247">
        <f t="shared" si="285"/>
        <v>0</v>
      </c>
      <c r="Q2619" s="247" t="e">
        <f t="shared" si="286"/>
        <v>#VALUE!</v>
      </c>
    </row>
    <row r="2620" spans="1:17" ht="15" customHeight="1" x14ac:dyDescent="0.25">
      <c r="A2620" s="244"/>
      <c r="B2620" s="244"/>
      <c r="C2620" s="244"/>
      <c r="D2620" s="244"/>
      <c r="E2620" s="244"/>
      <c r="F2620" s="244"/>
      <c r="G2620" s="244"/>
      <c r="I2620" s="244"/>
      <c r="J2620" s="244"/>
      <c r="K2620" s="246" t="e">
        <f t="shared" si="280"/>
        <v>#VALUE!</v>
      </c>
      <c r="L2620" s="246" t="e">
        <f t="shared" si="281"/>
        <v>#VALUE!</v>
      </c>
      <c r="M2620" s="247" t="e">
        <f t="shared" si="282"/>
        <v>#VALUE!</v>
      </c>
      <c r="N2620" s="246" t="e">
        <f t="shared" si="283"/>
        <v>#VALUE!</v>
      </c>
      <c r="O2620" s="247" t="e">
        <f t="shared" si="284"/>
        <v>#VALUE!</v>
      </c>
      <c r="P2620" s="247">
        <f t="shared" si="285"/>
        <v>0</v>
      </c>
      <c r="Q2620" s="247" t="e">
        <f t="shared" si="286"/>
        <v>#VALUE!</v>
      </c>
    </row>
    <row r="2621" spans="1:17" ht="15" customHeight="1" x14ac:dyDescent="0.25">
      <c r="A2621" s="244"/>
      <c r="B2621" s="244"/>
      <c r="C2621" s="244"/>
      <c r="D2621" s="244"/>
      <c r="E2621" s="244"/>
      <c r="F2621" s="244"/>
      <c r="G2621" s="244"/>
      <c r="I2621" s="244"/>
      <c r="J2621" s="244"/>
      <c r="K2621" s="246" t="e">
        <f t="shared" si="280"/>
        <v>#VALUE!</v>
      </c>
      <c r="L2621" s="246" t="e">
        <f t="shared" si="281"/>
        <v>#VALUE!</v>
      </c>
      <c r="M2621" s="247" t="e">
        <f t="shared" si="282"/>
        <v>#VALUE!</v>
      </c>
      <c r="N2621" s="246" t="e">
        <f t="shared" si="283"/>
        <v>#VALUE!</v>
      </c>
      <c r="O2621" s="247" t="e">
        <f t="shared" si="284"/>
        <v>#VALUE!</v>
      </c>
      <c r="P2621" s="247">
        <f t="shared" si="285"/>
        <v>0</v>
      </c>
      <c r="Q2621" s="247" t="e">
        <f t="shared" si="286"/>
        <v>#VALUE!</v>
      </c>
    </row>
    <row r="2622" spans="1:17" ht="15" customHeight="1" x14ac:dyDescent="0.25">
      <c r="A2622" s="244"/>
      <c r="B2622" s="244"/>
      <c r="C2622" s="244"/>
      <c r="D2622" s="244"/>
      <c r="E2622" s="244"/>
      <c r="F2622" s="244"/>
      <c r="G2622" s="244"/>
      <c r="I2622" s="244"/>
      <c r="J2622" s="244"/>
      <c r="K2622" s="246" t="e">
        <f t="shared" si="280"/>
        <v>#VALUE!</v>
      </c>
      <c r="L2622" s="246" t="e">
        <f t="shared" si="281"/>
        <v>#VALUE!</v>
      </c>
      <c r="M2622" s="247" t="e">
        <f t="shared" si="282"/>
        <v>#VALUE!</v>
      </c>
      <c r="N2622" s="246" t="e">
        <f t="shared" si="283"/>
        <v>#VALUE!</v>
      </c>
      <c r="O2622" s="247" t="e">
        <f t="shared" si="284"/>
        <v>#VALUE!</v>
      </c>
      <c r="P2622" s="247">
        <f t="shared" si="285"/>
        <v>0</v>
      </c>
      <c r="Q2622" s="247" t="e">
        <f t="shared" si="286"/>
        <v>#VALUE!</v>
      </c>
    </row>
    <row r="2623" spans="1:17" ht="15" customHeight="1" x14ac:dyDescent="0.25">
      <c r="A2623" s="244"/>
      <c r="B2623" s="244"/>
      <c r="C2623" s="244"/>
      <c r="D2623" s="244"/>
      <c r="E2623" s="244"/>
      <c r="F2623" s="244"/>
      <c r="G2623" s="244"/>
      <c r="I2623" s="244"/>
      <c r="J2623" s="244"/>
      <c r="K2623" s="246" t="e">
        <f t="shared" si="280"/>
        <v>#VALUE!</v>
      </c>
      <c r="L2623" s="246" t="e">
        <f t="shared" si="281"/>
        <v>#VALUE!</v>
      </c>
      <c r="M2623" s="247" t="e">
        <f t="shared" si="282"/>
        <v>#VALUE!</v>
      </c>
      <c r="N2623" s="246" t="e">
        <f t="shared" si="283"/>
        <v>#VALUE!</v>
      </c>
      <c r="O2623" s="247" t="e">
        <f t="shared" si="284"/>
        <v>#VALUE!</v>
      </c>
      <c r="P2623" s="247">
        <f t="shared" si="285"/>
        <v>0</v>
      </c>
      <c r="Q2623" s="247" t="e">
        <f t="shared" si="286"/>
        <v>#VALUE!</v>
      </c>
    </row>
    <row r="2624" spans="1:17" ht="15" customHeight="1" x14ac:dyDescent="0.25">
      <c r="A2624" s="244"/>
      <c r="B2624" s="244"/>
      <c r="C2624" s="244"/>
      <c r="D2624" s="244"/>
      <c r="E2624" s="244"/>
      <c r="F2624" s="244"/>
      <c r="G2624" s="244"/>
      <c r="I2624" s="244"/>
      <c r="J2624" s="244"/>
      <c r="K2624" s="246" t="e">
        <f t="shared" si="280"/>
        <v>#VALUE!</v>
      </c>
      <c r="L2624" s="246" t="e">
        <f t="shared" si="281"/>
        <v>#VALUE!</v>
      </c>
      <c r="M2624" s="247" t="e">
        <f t="shared" si="282"/>
        <v>#VALUE!</v>
      </c>
      <c r="N2624" s="246" t="e">
        <f t="shared" si="283"/>
        <v>#VALUE!</v>
      </c>
      <c r="O2624" s="247" t="e">
        <f t="shared" si="284"/>
        <v>#VALUE!</v>
      </c>
      <c r="P2624" s="247">
        <f t="shared" si="285"/>
        <v>0</v>
      </c>
      <c r="Q2624" s="247" t="e">
        <f t="shared" si="286"/>
        <v>#VALUE!</v>
      </c>
    </row>
    <row r="2625" spans="1:17" ht="15" customHeight="1" x14ac:dyDescent="0.25">
      <c r="A2625" s="244"/>
      <c r="B2625" s="244"/>
      <c r="C2625" s="244"/>
      <c r="D2625" s="244"/>
      <c r="E2625" s="244"/>
      <c r="F2625" s="244"/>
      <c r="G2625" s="244"/>
      <c r="I2625" s="244"/>
      <c r="J2625" s="244"/>
      <c r="K2625" s="246" t="e">
        <f t="shared" si="280"/>
        <v>#VALUE!</v>
      </c>
      <c r="L2625" s="246" t="e">
        <f t="shared" si="281"/>
        <v>#VALUE!</v>
      </c>
      <c r="M2625" s="247" t="e">
        <f t="shared" si="282"/>
        <v>#VALUE!</v>
      </c>
      <c r="N2625" s="246" t="e">
        <f t="shared" si="283"/>
        <v>#VALUE!</v>
      </c>
      <c r="O2625" s="247" t="e">
        <f t="shared" si="284"/>
        <v>#VALUE!</v>
      </c>
      <c r="P2625" s="247">
        <f t="shared" si="285"/>
        <v>0</v>
      </c>
      <c r="Q2625" s="247" t="e">
        <f t="shared" si="286"/>
        <v>#VALUE!</v>
      </c>
    </row>
    <row r="2626" spans="1:17" ht="15" customHeight="1" x14ac:dyDescent="0.25">
      <c r="A2626" s="244"/>
      <c r="B2626" s="244"/>
      <c r="C2626" s="244"/>
      <c r="D2626" s="244"/>
      <c r="E2626" s="244"/>
      <c r="F2626" s="244"/>
      <c r="G2626" s="244"/>
      <c r="I2626" s="244"/>
      <c r="J2626" s="244"/>
      <c r="K2626" s="246" t="e">
        <f t="shared" ref="K2626:K2689" si="287">DATE(VALUE(LEFT(A2626,4)),VALUE(MID(A2626,5,2)),VALUE(RIGHT(A2626,2)))</f>
        <v>#VALUE!</v>
      </c>
      <c r="L2626" s="246" t="e">
        <f t="shared" ref="L2626:L2689" si="288">DATEVALUE(LEFT(F2626,10))</f>
        <v>#VALUE!</v>
      </c>
      <c r="M2626" s="247" t="e">
        <f t="shared" ref="M2626:M2689" si="289">TIMEVALUE(MID(F2626,12,8))</f>
        <v>#VALUE!</v>
      </c>
      <c r="N2626" s="246" t="e">
        <f t="shared" ref="N2626:N2689" si="290">DATEVALUE(LEFT(G2626,10))</f>
        <v>#VALUE!</v>
      </c>
      <c r="O2626" s="247" t="e">
        <f t="shared" ref="O2626:O2689" si="291">TIMEVALUE(MID(G2626,12,8))</f>
        <v>#VALUE!</v>
      </c>
      <c r="P2626" s="247">
        <f t="shared" ref="P2626:P2689" si="292">IFERROR(_xlfn.MINIFS($M:$M,$E:$E,$E2626,$K:$K,$K2626,$M:$M,"&gt;"&amp;$O2626),"")</f>
        <v>0</v>
      </c>
      <c r="Q2626" s="247" t="e">
        <f t="shared" ref="Q2626:Q2689" si="293">IF($P2626="","",$P2626-$O2626)</f>
        <v>#VALUE!</v>
      </c>
    </row>
    <row r="2627" spans="1:17" ht="15" customHeight="1" x14ac:dyDescent="0.25">
      <c r="A2627" s="244"/>
      <c r="B2627" s="244"/>
      <c r="C2627" s="244"/>
      <c r="D2627" s="244"/>
      <c r="E2627" s="244"/>
      <c r="F2627" s="244"/>
      <c r="G2627" s="244"/>
      <c r="I2627" s="244"/>
      <c r="J2627" s="244"/>
      <c r="K2627" s="246" t="e">
        <f t="shared" si="287"/>
        <v>#VALUE!</v>
      </c>
      <c r="L2627" s="246" t="e">
        <f t="shared" si="288"/>
        <v>#VALUE!</v>
      </c>
      <c r="M2627" s="247" t="e">
        <f t="shared" si="289"/>
        <v>#VALUE!</v>
      </c>
      <c r="N2627" s="246" t="e">
        <f t="shared" si="290"/>
        <v>#VALUE!</v>
      </c>
      <c r="O2627" s="247" t="e">
        <f t="shared" si="291"/>
        <v>#VALUE!</v>
      </c>
      <c r="P2627" s="247">
        <f t="shared" si="292"/>
        <v>0</v>
      </c>
      <c r="Q2627" s="247" t="e">
        <f t="shared" si="293"/>
        <v>#VALUE!</v>
      </c>
    </row>
    <row r="2628" spans="1:17" ht="15" customHeight="1" x14ac:dyDescent="0.25">
      <c r="A2628" s="244"/>
      <c r="B2628" s="244"/>
      <c r="C2628" s="244"/>
      <c r="D2628" s="244"/>
      <c r="E2628" s="244"/>
      <c r="F2628" s="244"/>
      <c r="G2628" s="244"/>
      <c r="I2628" s="244"/>
      <c r="J2628" s="244"/>
      <c r="K2628" s="246" t="e">
        <f t="shared" si="287"/>
        <v>#VALUE!</v>
      </c>
      <c r="L2628" s="246" t="e">
        <f t="shared" si="288"/>
        <v>#VALUE!</v>
      </c>
      <c r="M2628" s="247" t="e">
        <f t="shared" si="289"/>
        <v>#VALUE!</v>
      </c>
      <c r="N2628" s="246" t="e">
        <f t="shared" si="290"/>
        <v>#VALUE!</v>
      </c>
      <c r="O2628" s="247" t="e">
        <f t="shared" si="291"/>
        <v>#VALUE!</v>
      </c>
      <c r="P2628" s="247">
        <f t="shared" si="292"/>
        <v>0</v>
      </c>
      <c r="Q2628" s="247" t="e">
        <f t="shared" si="293"/>
        <v>#VALUE!</v>
      </c>
    </row>
    <row r="2629" spans="1:17" ht="15" customHeight="1" x14ac:dyDescent="0.25">
      <c r="A2629" s="244"/>
      <c r="B2629" s="244"/>
      <c r="C2629" s="244"/>
      <c r="D2629" s="244"/>
      <c r="E2629" s="244"/>
      <c r="F2629" s="244"/>
      <c r="G2629" s="244"/>
      <c r="I2629" s="244"/>
      <c r="J2629" s="244"/>
      <c r="K2629" s="246" t="e">
        <f t="shared" si="287"/>
        <v>#VALUE!</v>
      </c>
      <c r="L2629" s="246" t="e">
        <f t="shared" si="288"/>
        <v>#VALUE!</v>
      </c>
      <c r="M2629" s="247" t="e">
        <f t="shared" si="289"/>
        <v>#VALUE!</v>
      </c>
      <c r="N2629" s="246" t="e">
        <f t="shared" si="290"/>
        <v>#VALUE!</v>
      </c>
      <c r="O2629" s="247" t="e">
        <f t="shared" si="291"/>
        <v>#VALUE!</v>
      </c>
      <c r="P2629" s="247">
        <f t="shared" si="292"/>
        <v>0</v>
      </c>
      <c r="Q2629" s="247" t="e">
        <f t="shared" si="293"/>
        <v>#VALUE!</v>
      </c>
    </row>
    <row r="2630" spans="1:17" ht="15" customHeight="1" x14ac:dyDescent="0.25">
      <c r="A2630" s="244"/>
      <c r="B2630" s="244"/>
      <c r="C2630" s="244"/>
      <c r="D2630" s="244"/>
      <c r="E2630" s="244"/>
      <c r="F2630" s="244"/>
      <c r="G2630" s="244"/>
      <c r="I2630" s="244"/>
      <c r="J2630" s="244"/>
      <c r="K2630" s="246" t="e">
        <f t="shared" si="287"/>
        <v>#VALUE!</v>
      </c>
      <c r="L2630" s="246" t="e">
        <f t="shared" si="288"/>
        <v>#VALUE!</v>
      </c>
      <c r="M2630" s="247" t="e">
        <f t="shared" si="289"/>
        <v>#VALUE!</v>
      </c>
      <c r="N2630" s="246" t="e">
        <f t="shared" si="290"/>
        <v>#VALUE!</v>
      </c>
      <c r="O2630" s="247" t="e">
        <f t="shared" si="291"/>
        <v>#VALUE!</v>
      </c>
      <c r="P2630" s="247">
        <f t="shared" si="292"/>
        <v>0</v>
      </c>
      <c r="Q2630" s="247" t="e">
        <f t="shared" si="293"/>
        <v>#VALUE!</v>
      </c>
    </row>
    <row r="2631" spans="1:17" ht="15" customHeight="1" x14ac:dyDescent="0.25">
      <c r="A2631" s="244"/>
      <c r="B2631" s="244"/>
      <c r="C2631" s="244"/>
      <c r="D2631" s="244"/>
      <c r="E2631" s="244"/>
      <c r="F2631" s="244"/>
      <c r="G2631" s="244"/>
      <c r="I2631" s="244"/>
      <c r="J2631" s="244"/>
      <c r="K2631" s="246" t="e">
        <f t="shared" si="287"/>
        <v>#VALUE!</v>
      </c>
      <c r="L2631" s="246" t="e">
        <f t="shared" si="288"/>
        <v>#VALUE!</v>
      </c>
      <c r="M2631" s="247" t="e">
        <f t="shared" si="289"/>
        <v>#VALUE!</v>
      </c>
      <c r="N2631" s="246" t="e">
        <f t="shared" si="290"/>
        <v>#VALUE!</v>
      </c>
      <c r="O2631" s="247" t="e">
        <f t="shared" si="291"/>
        <v>#VALUE!</v>
      </c>
      <c r="P2631" s="247">
        <f t="shared" si="292"/>
        <v>0</v>
      </c>
      <c r="Q2631" s="247" t="e">
        <f t="shared" si="293"/>
        <v>#VALUE!</v>
      </c>
    </row>
    <row r="2632" spans="1:17" ht="15" customHeight="1" x14ac:dyDescent="0.25">
      <c r="A2632" s="244"/>
      <c r="B2632" s="244"/>
      <c r="C2632" s="244"/>
      <c r="D2632" s="244"/>
      <c r="E2632" s="244"/>
      <c r="F2632" s="244"/>
      <c r="G2632" s="244"/>
      <c r="I2632" s="244"/>
      <c r="J2632" s="244"/>
      <c r="K2632" s="246" t="e">
        <f t="shared" si="287"/>
        <v>#VALUE!</v>
      </c>
      <c r="L2632" s="246" t="e">
        <f t="shared" si="288"/>
        <v>#VALUE!</v>
      </c>
      <c r="M2632" s="247" t="e">
        <f t="shared" si="289"/>
        <v>#VALUE!</v>
      </c>
      <c r="N2632" s="246" t="e">
        <f t="shared" si="290"/>
        <v>#VALUE!</v>
      </c>
      <c r="O2632" s="247" t="e">
        <f t="shared" si="291"/>
        <v>#VALUE!</v>
      </c>
      <c r="P2632" s="247">
        <f t="shared" si="292"/>
        <v>0</v>
      </c>
      <c r="Q2632" s="247" t="e">
        <f t="shared" si="293"/>
        <v>#VALUE!</v>
      </c>
    </row>
    <row r="2633" spans="1:17" ht="15" customHeight="1" x14ac:dyDescent="0.25">
      <c r="A2633" s="244"/>
      <c r="B2633" s="244"/>
      <c r="C2633" s="244"/>
      <c r="D2633" s="244"/>
      <c r="E2633" s="244"/>
      <c r="F2633" s="244"/>
      <c r="G2633" s="244"/>
      <c r="I2633" s="244"/>
      <c r="J2633" s="244"/>
      <c r="K2633" s="246" t="e">
        <f t="shared" si="287"/>
        <v>#VALUE!</v>
      </c>
      <c r="L2633" s="246" t="e">
        <f t="shared" si="288"/>
        <v>#VALUE!</v>
      </c>
      <c r="M2633" s="247" t="e">
        <f t="shared" si="289"/>
        <v>#VALUE!</v>
      </c>
      <c r="N2633" s="246" t="e">
        <f t="shared" si="290"/>
        <v>#VALUE!</v>
      </c>
      <c r="O2633" s="247" t="e">
        <f t="shared" si="291"/>
        <v>#VALUE!</v>
      </c>
      <c r="P2633" s="247">
        <f t="shared" si="292"/>
        <v>0</v>
      </c>
      <c r="Q2633" s="247" t="e">
        <f t="shared" si="293"/>
        <v>#VALUE!</v>
      </c>
    </row>
    <row r="2634" spans="1:17" ht="15" customHeight="1" x14ac:dyDescent="0.25">
      <c r="A2634" s="244"/>
      <c r="B2634" s="244"/>
      <c r="C2634" s="244"/>
      <c r="D2634" s="244"/>
      <c r="E2634" s="244"/>
      <c r="F2634" s="244"/>
      <c r="G2634" s="244"/>
      <c r="I2634" s="244"/>
      <c r="J2634" s="244"/>
      <c r="K2634" s="246" t="e">
        <f t="shared" si="287"/>
        <v>#VALUE!</v>
      </c>
      <c r="L2634" s="246" t="e">
        <f t="shared" si="288"/>
        <v>#VALUE!</v>
      </c>
      <c r="M2634" s="247" t="e">
        <f t="shared" si="289"/>
        <v>#VALUE!</v>
      </c>
      <c r="N2634" s="246" t="e">
        <f t="shared" si="290"/>
        <v>#VALUE!</v>
      </c>
      <c r="O2634" s="247" t="e">
        <f t="shared" si="291"/>
        <v>#VALUE!</v>
      </c>
      <c r="P2634" s="247">
        <f t="shared" si="292"/>
        <v>0</v>
      </c>
      <c r="Q2634" s="247" t="e">
        <f t="shared" si="293"/>
        <v>#VALUE!</v>
      </c>
    </row>
    <row r="2635" spans="1:17" ht="15" customHeight="1" x14ac:dyDescent="0.25">
      <c r="A2635" s="244"/>
      <c r="B2635" s="244"/>
      <c r="C2635" s="244"/>
      <c r="D2635" s="244"/>
      <c r="E2635" s="244"/>
      <c r="F2635" s="244"/>
      <c r="G2635" s="244"/>
      <c r="I2635" s="244"/>
      <c r="J2635" s="244"/>
      <c r="K2635" s="246" t="e">
        <f t="shared" si="287"/>
        <v>#VALUE!</v>
      </c>
      <c r="L2635" s="246" t="e">
        <f t="shared" si="288"/>
        <v>#VALUE!</v>
      </c>
      <c r="M2635" s="247" t="e">
        <f t="shared" si="289"/>
        <v>#VALUE!</v>
      </c>
      <c r="N2635" s="246" t="e">
        <f t="shared" si="290"/>
        <v>#VALUE!</v>
      </c>
      <c r="O2635" s="247" t="e">
        <f t="shared" si="291"/>
        <v>#VALUE!</v>
      </c>
      <c r="P2635" s="247">
        <f t="shared" si="292"/>
        <v>0</v>
      </c>
      <c r="Q2635" s="247" t="e">
        <f t="shared" si="293"/>
        <v>#VALUE!</v>
      </c>
    </row>
    <row r="2636" spans="1:17" ht="15" customHeight="1" x14ac:dyDescent="0.25">
      <c r="A2636" s="244"/>
      <c r="B2636" s="244"/>
      <c r="C2636" s="244"/>
      <c r="D2636" s="244"/>
      <c r="E2636" s="244"/>
      <c r="F2636" s="244"/>
      <c r="G2636" s="244"/>
      <c r="I2636" s="244"/>
      <c r="J2636" s="244"/>
      <c r="K2636" s="246" t="e">
        <f t="shared" si="287"/>
        <v>#VALUE!</v>
      </c>
      <c r="L2636" s="246" t="e">
        <f t="shared" si="288"/>
        <v>#VALUE!</v>
      </c>
      <c r="M2636" s="247" t="e">
        <f t="shared" si="289"/>
        <v>#VALUE!</v>
      </c>
      <c r="N2636" s="246" t="e">
        <f t="shared" si="290"/>
        <v>#VALUE!</v>
      </c>
      <c r="O2636" s="247" t="e">
        <f t="shared" si="291"/>
        <v>#VALUE!</v>
      </c>
      <c r="P2636" s="247">
        <f t="shared" si="292"/>
        <v>0</v>
      </c>
      <c r="Q2636" s="247" t="e">
        <f t="shared" si="293"/>
        <v>#VALUE!</v>
      </c>
    </row>
    <row r="2637" spans="1:17" ht="15" customHeight="1" x14ac:dyDescent="0.25">
      <c r="A2637" s="244"/>
      <c r="B2637" s="244"/>
      <c r="C2637" s="244"/>
      <c r="D2637" s="244"/>
      <c r="E2637" s="244"/>
      <c r="F2637" s="244"/>
      <c r="G2637" s="244"/>
      <c r="I2637" s="244"/>
      <c r="J2637" s="244"/>
      <c r="K2637" s="246" t="e">
        <f t="shared" si="287"/>
        <v>#VALUE!</v>
      </c>
      <c r="L2637" s="246" t="e">
        <f t="shared" si="288"/>
        <v>#VALUE!</v>
      </c>
      <c r="M2637" s="247" t="e">
        <f t="shared" si="289"/>
        <v>#VALUE!</v>
      </c>
      <c r="N2637" s="246" t="e">
        <f t="shared" si="290"/>
        <v>#VALUE!</v>
      </c>
      <c r="O2637" s="247" t="e">
        <f t="shared" si="291"/>
        <v>#VALUE!</v>
      </c>
      <c r="P2637" s="247">
        <f t="shared" si="292"/>
        <v>0</v>
      </c>
      <c r="Q2637" s="247" t="e">
        <f t="shared" si="293"/>
        <v>#VALUE!</v>
      </c>
    </row>
    <row r="2638" spans="1:17" ht="15" customHeight="1" x14ac:dyDescent="0.25">
      <c r="A2638" s="244"/>
      <c r="B2638" s="244"/>
      <c r="C2638" s="244"/>
      <c r="D2638" s="244"/>
      <c r="E2638" s="244"/>
      <c r="F2638" s="244"/>
      <c r="G2638" s="244"/>
      <c r="I2638" s="244"/>
      <c r="J2638" s="244"/>
      <c r="K2638" s="246" t="e">
        <f t="shared" si="287"/>
        <v>#VALUE!</v>
      </c>
      <c r="L2638" s="246" t="e">
        <f t="shared" si="288"/>
        <v>#VALUE!</v>
      </c>
      <c r="M2638" s="247" t="e">
        <f t="shared" si="289"/>
        <v>#VALUE!</v>
      </c>
      <c r="N2638" s="246" t="e">
        <f t="shared" si="290"/>
        <v>#VALUE!</v>
      </c>
      <c r="O2638" s="247" t="e">
        <f t="shared" si="291"/>
        <v>#VALUE!</v>
      </c>
      <c r="P2638" s="247">
        <f t="shared" si="292"/>
        <v>0</v>
      </c>
      <c r="Q2638" s="247" t="e">
        <f t="shared" si="293"/>
        <v>#VALUE!</v>
      </c>
    </row>
    <row r="2639" spans="1:17" ht="15" customHeight="1" x14ac:dyDescent="0.25">
      <c r="A2639" s="244"/>
      <c r="B2639" s="244"/>
      <c r="C2639" s="244"/>
      <c r="D2639" s="244"/>
      <c r="E2639" s="244"/>
      <c r="F2639" s="244"/>
      <c r="G2639" s="244"/>
      <c r="I2639" s="244"/>
      <c r="J2639" s="244"/>
      <c r="K2639" s="246" t="e">
        <f t="shared" si="287"/>
        <v>#VALUE!</v>
      </c>
      <c r="L2639" s="246" t="e">
        <f t="shared" si="288"/>
        <v>#VALUE!</v>
      </c>
      <c r="M2639" s="247" t="e">
        <f t="shared" si="289"/>
        <v>#VALUE!</v>
      </c>
      <c r="N2639" s="246" t="e">
        <f t="shared" si="290"/>
        <v>#VALUE!</v>
      </c>
      <c r="O2639" s="247" t="e">
        <f t="shared" si="291"/>
        <v>#VALUE!</v>
      </c>
      <c r="P2639" s="247">
        <f t="shared" si="292"/>
        <v>0</v>
      </c>
      <c r="Q2639" s="247" t="e">
        <f t="shared" si="293"/>
        <v>#VALUE!</v>
      </c>
    </row>
    <row r="2640" spans="1:17" ht="15" customHeight="1" x14ac:dyDescent="0.25">
      <c r="A2640" s="244"/>
      <c r="B2640" s="244"/>
      <c r="C2640" s="244"/>
      <c r="D2640" s="244"/>
      <c r="E2640" s="244"/>
      <c r="F2640" s="244"/>
      <c r="G2640" s="244"/>
      <c r="I2640" s="244"/>
      <c r="J2640" s="244"/>
      <c r="K2640" s="246" t="e">
        <f t="shared" si="287"/>
        <v>#VALUE!</v>
      </c>
      <c r="L2640" s="246" t="e">
        <f t="shared" si="288"/>
        <v>#VALUE!</v>
      </c>
      <c r="M2640" s="247" t="e">
        <f t="shared" si="289"/>
        <v>#VALUE!</v>
      </c>
      <c r="N2640" s="246" t="e">
        <f t="shared" si="290"/>
        <v>#VALUE!</v>
      </c>
      <c r="O2640" s="247" t="e">
        <f t="shared" si="291"/>
        <v>#VALUE!</v>
      </c>
      <c r="P2640" s="247">
        <f t="shared" si="292"/>
        <v>0</v>
      </c>
      <c r="Q2640" s="247" t="e">
        <f t="shared" si="293"/>
        <v>#VALUE!</v>
      </c>
    </row>
    <row r="2641" spans="1:17" ht="15" customHeight="1" x14ac:dyDescent="0.25">
      <c r="A2641" s="244"/>
      <c r="B2641" s="244"/>
      <c r="C2641" s="244"/>
      <c r="D2641" s="244"/>
      <c r="E2641" s="244"/>
      <c r="F2641" s="244"/>
      <c r="G2641" s="244"/>
      <c r="I2641" s="244"/>
      <c r="J2641" s="244"/>
      <c r="K2641" s="246" t="e">
        <f t="shared" si="287"/>
        <v>#VALUE!</v>
      </c>
      <c r="L2641" s="246" t="e">
        <f t="shared" si="288"/>
        <v>#VALUE!</v>
      </c>
      <c r="M2641" s="247" t="e">
        <f t="shared" si="289"/>
        <v>#VALUE!</v>
      </c>
      <c r="N2641" s="246" t="e">
        <f t="shared" si="290"/>
        <v>#VALUE!</v>
      </c>
      <c r="O2641" s="247" t="e">
        <f t="shared" si="291"/>
        <v>#VALUE!</v>
      </c>
      <c r="P2641" s="247">
        <f t="shared" si="292"/>
        <v>0</v>
      </c>
      <c r="Q2641" s="247" t="e">
        <f t="shared" si="293"/>
        <v>#VALUE!</v>
      </c>
    </row>
    <row r="2642" spans="1:17" ht="15" customHeight="1" x14ac:dyDescent="0.25">
      <c r="A2642" s="244"/>
      <c r="B2642" s="244"/>
      <c r="C2642" s="244"/>
      <c r="D2642" s="244"/>
      <c r="E2642" s="244"/>
      <c r="F2642" s="244"/>
      <c r="G2642" s="244"/>
      <c r="I2642" s="244"/>
      <c r="J2642" s="244"/>
      <c r="K2642" s="246" t="e">
        <f t="shared" si="287"/>
        <v>#VALUE!</v>
      </c>
      <c r="L2642" s="246" t="e">
        <f t="shared" si="288"/>
        <v>#VALUE!</v>
      </c>
      <c r="M2642" s="247" t="e">
        <f t="shared" si="289"/>
        <v>#VALUE!</v>
      </c>
      <c r="N2642" s="246" t="e">
        <f t="shared" si="290"/>
        <v>#VALUE!</v>
      </c>
      <c r="O2642" s="247" t="e">
        <f t="shared" si="291"/>
        <v>#VALUE!</v>
      </c>
      <c r="P2642" s="247">
        <f t="shared" si="292"/>
        <v>0</v>
      </c>
      <c r="Q2642" s="247" t="e">
        <f t="shared" si="293"/>
        <v>#VALUE!</v>
      </c>
    </row>
    <row r="2643" spans="1:17" ht="15" customHeight="1" x14ac:dyDescent="0.25">
      <c r="A2643" s="244"/>
      <c r="B2643" s="244"/>
      <c r="C2643" s="244"/>
      <c r="D2643" s="244"/>
      <c r="E2643" s="244"/>
      <c r="F2643" s="244"/>
      <c r="G2643" s="244"/>
      <c r="I2643" s="244"/>
      <c r="J2643" s="244"/>
      <c r="K2643" s="246" t="e">
        <f t="shared" si="287"/>
        <v>#VALUE!</v>
      </c>
      <c r="L2643" s="246" t="e">
        <f t="shared" si="288"/>
        <v>#VALUE!</v>
      </c>
      <c r="M2643" s="247" t="e">
        <f t="shared" si="289"/>
        <v>#VALUE!</v>
      </c>
      <c r="N2643" s="246" t="e">
        <f t="shared" si="290"/>
        <v>#VALUE!</v>
      </c>
      <c r="O2643" s="247" t="e">
        <f t="shared" si="291"/>
        <v>#VALUE!</v>
      </c>
      <c r="P2643" s="247">
        <f t="shared" si="292"/>
        <v>0</v>
      </c>
      <c r="Q2643" s="247" t="e">
        <f t="shared" si="293"/>
        <v>#VALUE!</v>
      </c>
    </row>
    <row r="2644" spans="1:17" ht="15" customHeight="1" x14ac:dyDescent="0.25">
      <c r="A2644" s="244"/>
      <c r="B2644" s="244"/>
      <c r="C2644" s="244"/>
      <c r="D2644" s="244"/>
      <c r="E2644" s="244"/>
      <c r="F2644" s="244"/>
      <c r="G2644" s="244"/>
      <c r="I2644" s="244"/>
      <c r="J2644" s="244"/>
      <c r="K2644" s="246" t="e">
        <f t="shared" si="287"/>
        <v>#VALUE!</v>
      </c>
      <c r="L2644" s="246" t="e">
        <f t="shared" si="288"/>
        <v>#VALUE!</v>
      </c>
      <c r="M2644" s="247" t="e">
        <f t="shared" si="289"/>
        <v>#VALUE!</v>
      </c>
      <c r="N2644" s="246" t="e">
        <f t="shared" si="290"/>
        <v>#VALUE!</v>
      </c>
      <c r="O2644" s="247" t="e">
        <f t="shared" si="291"/>
        <v>#VALUE!</v>
      </c>
      <c r="P2644" s="247">
        <f t="shared" si="292"/>
        <v>0</v>
      </c>
      <c r="Q2644" s="247" t="e">
        <f t="shared" si="293"/>
        <v>#VALUE!</v>
      </c>
    </row>
    <row r="2645" spans="1:17" ht="15" customHeight="1" x14ac:dyDescent="0.25">
      <c r="A2645" s="244"/>
      <c r="B2645" s="244"/>
      <c r="C2645" s="244"/>
      <c r="D2645" s="244"/>
      <c r="E2645" s="244"/>
      <c r="F2645" s="244"/>
      <c r="G2645" s="244"/>
      <c r="I2645" s="244"/>
      <c r="J2645" s="244"/>
      <c r="K2645" s="246" t="e">
        <f t="shared" si="287"/>
        <v>#VALUE!</v>
      </c>
      <c r="L2645" s="246" t="e">
        <f t="shared" si="288"/>
        <v>#VALUE!</v>
      </c>
      <c r="M2645" s="247" t="e">
        <f t="shared" si="289"/>
        <v>#VALUE!</v>
      </c>
      <c r="N2645" s="246" t="e">
        <f t="shared" si="290"/>
        <v>#VALUE!</v>
      </c>
      <c r="O2645" s="247" t="e">
        <f t="shared" si="291"/>
        <v>#VALUE!</v>
      </c>
      <c r="P2645" s="247">
        <f t="shared" si="292"/>
        <v>0</v>
      </c>
      <c r="Q2645" s="247" t="e">
        <f t="shared" si="293"/>
        <v>#VALUE!</v>
      </c>
    </row>
    <row r="2646" spans="1:17" ht="15" customHeight="1" x14ac:dyDescent="0.25">
      <c r="A2646" s="244"/>
      <c r="B2646" s="244"/>
      <c r="C2646" s="244"/>
      <c r="D2646" s="244"/>
      <c r="E2646" s="244"/>
      <c r="F2646" s="244"/>
      <c r="G2646" s="244"/>
      <c r="I2646" s="244"/>
      <c r="J2646" s="244"/>
      <c r="K2646" s="246" t="e">
        <f t="shared" si="287"/>
        <v>#VALUE!</v>
      </c>
      <c r="L2646" s="246" t="e">
        <f t="shared" si="288"/>
        <v>#VALUE!</v>
      </c>
      <c r="M2646" s="247" t="e">
        <f t="shared" si="289"/>
        <v>#VALUE!</v>
      </c>
      <c r="N2646" s="246" t="e">
        <f t="shared" si="290"/>
        <v>#VALUE!</v>
      </c>
      <c r="O2646" s="247" t="e">
        <f t="shared" si="291"/>
        <v>#VALUE!</v>
      </c>
      <c r="P2646" s="247">
        <f t="shared" si="292"/>
        <v>0</v>
      </c>
      <c r="Q2646" s="247" t="e">
        <f t="shared" si="293"/>
        <v>#VALUE!</v>
      </c>
    </row>
    <row r="2647" spans="1:17" ht="15" customHeight="1" x14ac:dyDescent="0.25">
      <c r="A2647" s="244"/>
      <c r="B2647" s="244"/>
      <c r="C2647" s="244"/>
      <c r="D2647" s="244"/>
      <c r="E2647" s="244"/>
      <c r="F2647" s="244"/>
      <c r="G2647" s="244"/>
      <c r="I2647" s="244"/>
      <c r="J2647" s="244"/>
      <c r="K2647" s="246" t="e">
        <f t="shared" si="287"/>
        <v>#VALUE!</v>
      </c>
      <c r="L2647" s="246" t="e">
        <f t="shared" si="288"/>
        <v>#VALUE!</v>
      </c>
      <c r="M2647" s="247" t="e">
        <f t="shared" si="289"/>
        <v>#VALUE!</v>
      </c>
      <c r="N2647" s="246" t="e">
        <f t="shared" si="290"/>
        <v>#VALUE!</v>
      </c>
      <c r="O2647" s="247" t="e">
        <f t="shared" si="291"/>
        <v>#VALUE!</v>
      </c>
      <c r="P2647" s="247">
        <f t="shared" si="292"/>
        <v>0</v>
      </c>
      <c r="Q2647" s="247" t="e">
        <f t="shared" si="293"/>
        <v>#VALUE!</v>
      </c>
    </row>
    <row r="2648" spans="1:17" ht="15" customHeight="1" x14ac:dyDescent="0.25">
      <c r="A2648" s="244"/>
      <c r="B2648" s="244"/>
      <c r="C2648" s="244"/>
      <c r="D2648" s="244"/>
      <c r="E2648" s="244"/>
      <c r="F2648" s="244"/>
      <c r="G2648" s="244"/>
      <c r="I2648" s="244"/>
      <c r="J2648" s="244"/>
      <c r="K2648" s="246" t="e">
        <f t="shared" si="287"/>
        <v>#VALUE!</v>
      </c>
      <c r="L2648" s="246" t="e">
        <f t="shared" si="288"/>
        <v>#VALUE!</v>
      </c>
      <c r="M2648" s="247" t="e">
        <f t="shared" si="289"/>
        <v>#VALUE!</v>
      </c>
      <c r="N2648" s="246" t="e">
        <f t="shared" si="290"/>
        <v>#VALUE!</v>
      </c>
      <c r="O2648" s="247" t="e">
        <f t="shared" si="291"/>
        <v>#VALUE!</v>
      </c>
      <c r="P2648" s="247">
        <f t="shared" si="292"/>
        <v>0</v>
      </c>
      <c r="Q2648" s="247" t="e">
        <f t="shared" si="293"/>
        <v>#VALUE!</v>
      </c>
    </row>
    <row r="2649" spans="1:17" ht="15" customHeight="1" x14ac:dyDescent="0.25">
      <c r="A2649" s="244"/>
      <c r="B2649" s="244"/>
      <c r="C2649" s="244"/>
      <c r="D2649" s="244"/>
      <c r="E2649" s="244"/>
      <c r="F2649" s="244"/>
      <c r="G2649" s="244"/>
      <c r="I2649" s="244"/>
      <c r="J2649" s="244"/>
      <c r="K2649" s="246" t="e">
        <f t="shared" si="287"/>
        <v>#VALUE!</v>
      </c>
      <c r="L2649" s="246" t="e">
        <f t="shared" si="288"/>
        <v>#VALUE!</v>
      </c>
      <c r="M2649" s="247" t="e">
        <f t="shared" si="289"/>
        <v>#VALUE!</v>
      </c>
      <c r="N2649" s="246" t="e">
        <f t="shared" si="290"/>
        <v>#VALUE!</v>
      </c>
      <c r="O2649" s="247" t="e">
        <f t="shared" si="291"/>
        <v>#VALUE!</v>
      </c>
      <c r="P2649" s="247">
        <f t="shared" si="292"/>
        <v>0</v>
      </c>
      <c r="Q2649" s="247" t="e">
        <f t="shared" si="293"/>
        <v>#VALUE!</v>
      </c>
    </row>
    <row r="2650" spans="1:17" ht="15" customHeight="1" x14ac:dyDescent="0.25">
      <c r="A2650" s="244"/>
      <c r="B2650" s="244"/>
      <c r="C2650" s="244"/>
      <c r="D2650" s="244"/>
      <c r="E2650" s="244"/>
      <c r="F2650" s="244"/>
      <c r="G2650" s="244"/>
      <c r="I2650" s="244"/>
      <c r="J2650" s="244"/>
      <c r="K2650" s="246" t="e">
        <f t="shared" si="287"/>
        <v>#VALUE!</v>
      </c>
      <c r="L2650" s="246" t="e">
        <f t="shared" si="288"/>
        <v>#VALUE!</v>
      </c>
      <c r="M2650" s="247" t="e">
        <f t="shared" si="289"/>
        <v>#VALUE!</v>
      </c>
      <c r="N2650" s="246" t="e">
        <f t="shared" si="290"/>
        <v>#VALUE!</v>
      </c>
      <c r="O2650" s="247" t="e">
        <f t="shared" si="291"/>
        <v>#VALUE!</v>
      </c>
      <c r="P2650" s="247">
        <f t="shared" si="292"/>
        <v>0</v>
      </c>
      <c r="Q2650" s="247" t="e">
        <f t="shared" si="293"/>
        <v>#VALUE!</v>
      </c>
    </row>
    <row r="2651" spans="1:17" ht="15" customHeight="1" x14ac:dyDescent="0.25">
      <c r="A2651" s="244"/>
      <c r="B2651" s="244"/>
      <c r="C2651" s="244"/>
      <c r="D2651" s="244"/>
      <c r="E2651" s="244"/>
      <c r="F2651" s="244"/>
      <c r="G2651" s="244"/>
      <c r="I2651" s="244"/>
      <c r="J2651" s="244"/>
      <c r="K2651" s="246" t="e">
        <f t="shared" si="287"/>
        <v>#VALUE!</v>
      </c>
      <c r="L2651" s="246" t="e">
        <f t="shared" si="288"/>
        <v>#VALUE!</v>
      </c>
      <c r="M2651" s="247" t="e">
        <f t="shared" si="289"/>
        <v>#VALUE!</v>
      </c>
      <c r="N2651" s="246" t="e">
        <f t="shared" si="290"/>
        <v>#VALUE!</v>
      </c>
      <c r="O2651" s="247" t="e">
        <f t="shared" si="291"/>
        <v>#VALUE!</v>
      </c>
      <c r="P2651" s="247">
        <f t="shared" si="292"/>
        <v>0</v>
      </c>
      <c r="Q2651" s="247" t="e">
        <f t="shared" si="293"/>
        <v>#VALUE!</v>
      </c>
    </row>
    <row r="2652" spans="1:17" ht="15" customHeight="1" x14ac:dyDescent="0.25">
      <c r="A2652" s="244"/>
      <c r="B2652" s="244"/>
      <c r="C2652" s="244"/>
      <c r="D2652" s="244"/>
      <c r="E2652" s="244"/>
      <c r="F2652" s="244"/>
      <c r="G2652" s="244"/>
      <c r="I2652" s="244"/>
      <c r="J2652" s="244"/>
      <c r="K2652" s="246" t="e">
        <f t="shared" si="287"/>
        <v>#VALUE!</v>
      </c>
      <c r="L2652" s="246" t="e">
        <f t="shared" si="288"/>
        <v>#VALUE!</v>
      </c>
      <c r="M2652" s="247" t="e">
        <f t="shared" si="289"/>
        <v>#VALUE!</v>
      </c>
      <c r="N2652" s="246" t="e">
        <f t="shared" si="290"/>
        <v>#VALUE!</v>
      </c>
      <c r="O2652" s="247" t="e">
        <f t="shared" si="291"/>
        <v>#VALUE!</v>
      </c>
      <c r="P2652" s="247">
        <f t="shared" si="292"/>
        <v>0</v>
      </c>
      <c r="Q2652" s="247" t="e">
        <f t="shared" si="293"/>
        <v>#VALUE!</v>
      </c>
    </row>
    <row r="2653" spans="1:17" ht="15" customHeight="1" x14ac:dyDescent="0.25">
      <c r="A2653" s="244"/>
      <c r="B2653" s="244"/>
      <c r="C2653" s="244"/>
      <c r="D2653" s="244"/>
      <c r="E2653" s="244"/>
      <c r="F2653" s="244"/>
      <c r="G2653" s="244"/>
      <c r="I2653" s="244"/>
      <c r="J2653" s="244"/>
      <c r="K2653" s="246" t="e">
        <f t="shared" si="287"/>
        <v>#VALUE!</v>
      </c>
      <c r="L2653" s="246" t="e">
        <f t="shared" si="288"/>
        <v>#VALUE!</v>
      </c>
      <c r="M2653" s="247" t="e">
        <f t="shared" si="289"/>
        <v>#VALUE!</v>
      </c>
      <c r="N2653" s="246" t="e">
        <f t="shared" si="290"/>
        <v>#VALUE!</v>
      </c>
      <c r="O2653" s="247" t="e">
        <f t="shared" si="291"/>
        <v>#VALUE!</v>
      </c>
      <c r="P2653" s="247">
        <f t="shared" si="292"/>
        <v>0</v>
      </c>
      <c r="Q2653" s="247" t="e">
        <f t="shared" si="293"/>
        <v>#VALUE!</v>
      </c>
    </row>
    <row r="2654" spans="1:17" ht="15" customHeight="1" x14ac:dyDescent="0.25">
      <c r="A2654" s="244"/>
      <c r="B2654" s="244"/>
      <c r="C2654" s="244"/>
      <c r="D2654" s="244"/>
      <c r="E2654" s="244"/>
      <c r="F2654" s="244"/>
      <c r="G2654" s="244"/>
      <c r="I2654" s="244"/>
      <c r="J2654" s="244"/>
      <c r="K2654" s="246" t="e">
        <f t="shared" si="287"/>
        <v>#VALUE!</v>
      </c>
      <c r="L2654" s="246" t="e">
        <f t="shared" si="288"/>
        <v>#VALUE!</v>
      </c>
      <c r="M2654" s="247" t="e">
        <f t="shared" si="289"/>
        <v>#VALUE!</v>
      </c>
      <c r="N2654" s="246" t="e">
        <f t="shared" si="290"/>
        <v>#VALUE!</v>
      </c>
      <c r="O2654" s="247" t="e">
        <f t="shared" si="291"/>
        <v>#VALUE!</v>
      </c>
      <c r="P2654" s="247">
        <f t="shared" si="292"/>
        <v>0</v>
      </c>
      <c r="Q2654" s="247" t="e">
        <f t="shared" si="293"/>
        <v>#VALUE!</v>
      </c>
    </row>
    <row r="2655" spans="1:17" ht="15" customHeight="1" x14ac:dyDescent="0.25">
      <c r="A2655" s="244"/>
      <c r="B2655" s="244"/>
      <c r="C2655" s="244"/>
      <c r="D2655" s="244"/>
      <c r="E2655" s="244"/>
      <c r="F2655" s="244"/>
      <c r="G2655" s="244"/>
      <c r="I2655" s="244"/>
      <c r="J2655" s="244"/>
      <c r="K2655" s="246" t="e">
        <f t="shared" si="287"/>
        <v>#VALUE!</v>
      </c>
      <c r="L2655" s="246" t="e">
        <f t="shared" si="288"/>
        <v>#VALUE!</v>
      </c>
      <c r="M2655" s="247" t="e">
        <f t="shared" si="289"/>
        <v>#VALUE!</v>
      </c>
      <c r="N2655" s="246" t="e">
        <f t="shared" si="290"/>
        <v>#VALUE!</v>
      </c>
      <c r="O2655" s="247" t="e">
        <f t="shared" si="291"/>
        <v>#VALUE!</v>
      </c>
      <c r="P2655" s="247">
        <f t="shared" si="292"/>
        <v>0</v>
      </c>
      <c r="Q2655" s="247" t="e">
        <f t="shared" si="293"/>
        <v>#VALUE!</v>
      </c>
    </row>
    <row r="2656" spans="1:17" ht="15" customHeight="1" x14ac:dyDescent="0.25">
      <c r="A2656" s="244"/>
      <c r="B2656" s="244"/>
      <c r="C2656" s="244"/>
      <c r="D2656" s="244"/>
      <c r="E2656" s="244"/>
      <c r="F2656" s="244"/>
      <c r="G2656" s="244"/>
      <c r="I2656" s="244"/>
      <c r="J2656" s="244"/>
      <c r="K2656" s="246" t="e">
        <f t="shared" si="287"/>
        <v>#VALUE!</v>
      </c>
      <c r="L2656" s="246" t="e">
        <f t="shared" si="288"/>
        <v>#VALUE!</v>
      </c>
      <c r="M2656" s="247" t="e">
        <f t="shared" si="289"/>
        <v>#VALUE!</v>
      </c>
      <c r="N2656" s="246" t="e">
        <f t="shared" si="290"/>
        <v>#VALUE!</v>
      </c>
      <c r="O2656" s="247" t="e">
        <f t="shared" si="291"/>
        <v>#VALUE!</v>
      </c>
      <c r="P2656" s="247">
        <f t="shared" si="292"/>
        <v>0</v>
      </c>
      <c r="Q2656" s="247" t="e">
        <f t="shared" si="293"/>
        <v>#VALUE!</v>
      </c>
    </row>
    <row r="2657" spans="1:17" ht="15" customHeight="1" x14ac:dyDescent="0.25">
      <c r="A2657" s="244"/>
      <c r="B2657" s="244"/>
      <c r="C2657" s="244"/>
      <c r="D2657" s="244"/>
      <c r="E2657" s="244"/>
      <c r="F2657" s="244"/>
      <c r="G2657" s="244"/>
      <c r="I2657" s="244"/>
      <c r="J2657" s="244"/>
      <c r="K2657" s="246" t="e">
        <f t="shared" si="287"/>
        <v>#VALUE!</v>
      </c>
      <c r="L2657" s="246" t="e">
        <f t="shared" si="288"/>
        <v>#VALUE!</v>
      </c>
      <c r="M2657" s="247" t="e">
        <f t="shared" si="289"/>
        <v>#VALUE!</v>
      </c>
      <c r="N2657" s="246" t="e">
        <f t="shared" si="290"/>
        <v>#VALUE!</v>
      </c>
      <c r="O2657" s="247" t="e">
        <f t="shared" si="291"/>
        <v>#VALUE!</v>
      </c>
      <c r="P2657" s="247">
        <f t="shared" si="292"/>
        <v>0</v>
      </c>
      <c r="Q2657" s="247" t="e">
        <f t="shared" si="293"/>
        <v>#VALUE!</v>
      </c>
    </row>
    <row r="2658" spans="1:17" ht="15" customHeight="1" x14ac:dyDescent="0.25">
      <c r="A2658" s="244"/>
      <c r="B2658" s="244"/>
      <c r="C2658" s="244"/>
      <c r="D2658" s="244"/>
      <c r="E2658" s="244"/>
      <c r="F2658" s="244"/>
      <c r="G2658" s="244"/>
      <c r="I2658" s="244"/>
      <c r="J2658" s="244"/>
      <c r="K2658" s="246" t="e">
        <f t="shared" si="287"/>
        <v>#VALUE!</v>
      </c>
      <c r="L2658" s="246" t="e">
        <f t="shared" si="288"/>
        <v>#VALUE!</v>
      </c>
      <c r="M2658" s="247" t="e">
        <f t="shared" si="289"/>
        <v>#VALUE!</v>
      </c>
      <c r="N2658" s="246" t="e">
        <f t="shared" si="290"/>
        <v>#VALUE!</v>
      </c>
      <c r="O2658" s="247" t="e">
        <f t="shared" si="291"/>
        <v>#VALUE!</v>
      </c>
      <c r="P2658" s="247">
        <f t="shared" si="292"/>
        <v>0</v>
      </c>
      <c r="Q2658" s="247" t="e">
        <f t="shared" si="293"/>
        <v>#VALUE!</v>
      </c>
    </row>
    <row r="2659" spans="1:17" ht="15" customHeight="1" x14ac:dyDescent="0.25">
      <c r="A2659" s="244"/>
      <c r="B2659" s="244"/>
      <c r="C2659" s="244"/>
      <c r="D2659" s="244"/>
      <c r="E2659" s="244"/>
      <c r="F2659" s="244"/>
      <c r="G2659" s="244"/>
      <c r="I2659" s="244"/>
      <c r="J2659" s="244"/>
      <c r="K2659" s="246" t="e">
        <f t="shared" si="287"/>
        <v>#VALUE!</v>
      </c>
      <c r="L2659" s="246" t="e">
        <f t="shared" si="288"/>
        <v>#VALUE!</v>
      </c>
      <c r="M2659" s="247" t="e">
        <f t="shared" si="289"/>
        <v>#VALUE!</v>
      </c>
      <c r="N2659" s="246" t="e">
        <f t="shared" si="290"/>
        <v>#VALUE!</v>
      </c>
      <c r="O2659" s="247" t="e">
        <f t="shared" si="291"/>
        <v>#VALUE!</v>
      </c>
      <c r="P2659" s="247">
        <f t="shared" si="292"/>
        <v>0</v>
      </c>
      <c r="Q2659" s="247" t="e">
        <f t="shared" si="293"/>
        <v>#VALUE!</v>
      </c>
    </row>
    <row r="2660" spans="1:17" ht="15" customHeight="1" x14ac:dyDescent="0.25">
      <c r="A2660" s="244"/>
      <c r="B2660" s="244"/>
      <c r="C2660" s="244"/>
      <c r="D2660" s="244"/>
      <c r="E2660" s="244"/>
      <c r="F2660" s="244"/>
      <c r="G2660" s="244"/>
      <c r="I2660" s="244"/>
      <c r="J2660" s="244"/>
      <c r="K2660" s="246" t="e">
        <f t="shared" si="287"/>
        <v>#VALUE!</v>
      </c>
      <c r="L2660" s="246" t="e">
        <f t="shared" si="288"/>
        <v>#VALUE!</v>
      </c>
      <c r="M2660" s="247" t="e">
        <f t="shared" si="289"/>
        <v>#VALUE!</v>
      </c>
      <c r="N2660" s="246" t="e">
        <f t="shared" si="290"/>
        <v>#VALUE!</v>
      </c>
      <c r="O2660" s="247" t="e">
        <f t="shared" si="291"/>
        <v>#VALUE!</v>
      </c>
      <c r="P2660" s="247">
        <f t="shared" si="292"/>
        <v>0</v>
      </c>
      <c r="Q2660" s="247" t="e">
        <f t="shared" si="293"/>
        <v>#VALUE!</v>
      </c>
    </row>
    <row r="2661" spans="1:17" ht="15" customHeight="1" x14ac:dyDescent="0.25">
      <c r="A2661" s="244"/>
      <c r="B2661" s="244"/>
      <c r="C2661" s="244"/>
      <c r="D2661" s="244"/>
      <c r="E2661" s="244"/>
      <c r="F2661" s="244"/>
      <c r="G2661" s="244"/>
      <c r="I2661" s="244"/>
      <c r="J2661" s="244"/>
      <c r="K2661" s="246" t="e">
        <f t="shared" si="287"/>
        <v>#VALUE!</v>
      </c>
      <c r="L2661" s="246" t="e">
        <f t="shared" si="288"/>
        <v>#VALUE!</v>
      </c>
      <c r="M2661" s="247" t="e">
        <f t="shared" si="289"/>
        <v>#VALUE!</v>
      </c>
      <c r="N2661" s="246" t="e">
        <f t="shared" si="290"/>
        <v>#VALUE!</v>
      </c>
      <c r="O2661" s="247" t="e">
        <f t="shared" si="291"/>
        <v>#VALUE!</v>
      </c>
      <c r="P2661" s="247">
        <f t="shared" si="292"/>
        <v>0</v>
      </c>
      <c r="Q2661" s="247" t="e">
        <f t="shared" si="293"/>
        <v>#VALUE!</v>
      </c>
    </row>
    <row r="2662" spans="1:17" ht="15" customHeight="1" x14ac:dyDescent="0.25">
      <c r="A2662" s="244"/>
      <c r="B2662" s="244"/>
      <c r="C2662" s="244"/>
      <c r="D2662" s="244"/>
      <c r="E2662" s="244"/>
      <c r="F2662" s="244"/>
      <c r="G2662" s="244"/>
      <c r="I2662" s="244"/>
      <c r="J2662" s="244"/>
      <c r="K2662" s="246" t="e">
        <f t="shared" si="287"/>
        <v>#VALUE!</v>
      </c>
      <c r="L2662" s="246" t="e">
        <f t="shared" si="288"/>
        <v>#VALUE!</v>
      </c>
      <c r="M2662" s="247" t="e">
        <f t="shared" si="289"/>
        <v>#VALUE!</v>
      </c>
      <c r="N2662" s="246" t="e">
        <f t="shared" si="290"/>
        <v>#VALUE!</v>
      </c>
      <c r="O2662" s="247" t="e">
        <f t="shared" si="291"/>
        <v>#VALUE!</v>
      </c>
      <c r="P2662" s="247">
        <f t="shared" si="292"/>
        <v>0</v>
      </c>
      <c r="Q2662" s="247" t="e">
        <f t="shared" si="293"/>
        <v>#VALUE!</v>
      </c>
    </row>
    <row r="2663" spans="1:17" ht="15" customHeight="1" x14ac:dyDescent="0.25">
      <c r="A2663" s="244"/>
      <c r="B2663" s="244"/>
      <c r="C2663" s="244"/>
      <c r="D2663" s="244"/>
      <c r="E2663" s="244"/>
      <c r="F2663" s="244"/>
      <c r="G2663" s="244"/>
      <c r="I2663" s="244"/>
      <c r="J2663" s="244"/>
      <c r="K2663" s="246" t="e">
        <f t="shared" si="287"/>
        <v>#VALUE!</v>
      </c>
      <c r="L2663" s="246" t="e">
        <f t="shared" si="288"/>
        <v>#VALUE!</v>
      </c>
      <c r="M2663" s="247" t="e">
        <f t="shared" si="289"/>
        <v>#VALUE!</v>
      </c>
      <c r="N2663" s="246" t="e">
        <f t="shared" si="290"/>
        <v>#VALUE!</v>
      </c>
      <c r="O2663" s="247" t="e">
        <f t="shared" si="291"/>
        <v>#VALUE!</v>
      </c>
      <c r="P2663" s="247">
        <f t="shared" si="292"/>
        <v>0</v>
      </c>
      <c r="Q2663" s="247" t="e">
        <f t="shared" si="293"/>
        <v>#VALUE!</v>
      </c>
    </row>
    <row r="2664" spans="1:17" ht="15" customHeight="1" x14ac:dyDescent="0.25">
      <c r="A2664" s="244"/>
      <c r="B2664" s="244"/>
      <c r="C2664" s="244"/>
      <c r="D2664" s="244"/>
      <c r="E2664" s="244"/>
      <c r="F2664" s="244"/>
      <c r="G2664" s="244"/>
      <c r="I2664" s="244"/>
      <c r="J2664" s="244"/>
      <c r="K2664" s="246" t="e">
        <f t="shared" si="287"/>
        <v>#VALUE!</v>
      </c>
      <c r="L2664" s="246" t="e">
        <f t="shared" si="288"/>
        <v>#VALUE!</v>
      </c>
      <c r="M2664" s="247" t="e">
        <f t="shared" si="289"/>
        <v>#VALUE!</v>
      </c>
      <c r="N2664" s="246" t="e">
        <f t="shared" si="290"/>
        <v>#VALUE!</v>
      </c>
      <c r="O2664" s="247" t="e">
        <f t="shared" si="291"/>
        <v>#VALUE!</v>
      </c>
      <c r="P2664" s="247">
        <f t="shared" si="292"/>
        <v>0</v>
      </c>
      <c r="Q2664" s="247" t="e">
        <f t="shared" si="293"/>
        <v>#VALUE!</v>
      </c>
    </row>
    <row r="2665" spans="1:17" ht="15" customHeight="1" x14ac:dyDescent="0.25">
      <c r="A2665" s="244"/>
      <c r="B2665" s="244"/>
      <c r="C2665" s="244"/>
      <c r="D2665" s="244"/>
      <c r="E2665" s="244"/>
      <c r="F2665" s="244"/>
      <c r="G2665" s="244"/>
      <c r="I2665" s="244"/>
      <c r="J2665" s="244"/>
      <c r="K2665" s="246" t="e">
        <f t="shared" si="287"/>
        <v>#VALUE!</v>
      </c>
      <c r="L2665" s="246" t="e">
        <f t="shared" si="288"/>
        <v>#VALUE!</v>
      </c>
      <c r="M2665" s="247" t="e">
        <f t="shared" si="289"/>
        <v>#VALUE!</v>
      </c>
      <c r="N2665" s="246" t="e">
        <f t="shared" si="290"/>
        <v>#VALUE!</v>
      </c>
      <c r="O2665" s="247" t="e">
        <f t="shared" si="291"/>
        <v>#VALUE!</v>
      </c>
      <c r="P2665" s="247">
        <f t="shared" si="292"/>
        <v>0</v>
      </c>
      <c r="Q2665" s="247" t="e">
        <f t="shared" si="293"/>
        <v>#VALUE!</v>
      </c>
    </row>
    <row r="2666" spans="1:17" ht="15" customHeight="1" x14ac:dyDescent="0.25">
      <c r="A2666" s="244"/>
      <c r="B2666" s="244"/>
      <c r="C2666" s="244"/>
      <c r="D2666" s="244"/>
      <c r="E2666" s="244"/>
      <c r="F2666" s="244"/>
      <c r="G2666" s="244"/>
      <c r="I2666" s="244"/>
      <c r="J2666" s="244"/>
      <c r="K2666" s="246" t="e">
        <f t="shared" si="287"/>
        <v>#VALUE!</v>
      </c>
      <c r="L2666" s="246" t="e">
        <f t="shared" si="288"/>
        <v>#VALUE!</v>
      </c>
      <c r="M2666" s="247" t="e">
        <f t="shared" si="289"/>
        <v>#VALUE!</v>
      </c>
      <c r="N2666" s="246" t="e">
        <f t="shared" si="290"/>
        <v>#VALUE!</v>
      </c>
      <c r="O2666" s="247" t="e">
        <f t="shared" si="291"/>
        <v>#VALUE!</v>
      </c>
      <c r="P2666" s="247">
        <f t="shared" si="292"/>
        <v>0</v>
      </c>
      <c r="Q2666" s="247" t="e">
        <f t="shared" si="293"/>
        <v>#VALUE!</v>
      </c>
    </row>
    <row r="2667" spans="1:17" ht="15" customHeight="1" x14ac:dyDescent="0.25">
      <c r="A2667" s="244"/>
      <c r="B2667" s="244"/>
      <c r="C2667" s="244"/>
      <c r="D2667" s="244"/>
      <c r="E2667" s="244"/>
      <c r="F2667" s="244"/>
      <c r="G2667" s="244"/>
      <c r="I2667" s="244"/>
      <c r="J2667" s="244"/>
      <c r="K2667" s="246" t="e">
        <f t="shared" si="287"/>
        <v>#VALUE!</v>
      </c>
      <c r="L2667" s="246" t="e">
        <f t="shared" si="288"/>
        <v>#VALUE!</v>
      </c>
      <c r="M2667" s="247" t="e">
        <f t="shared" si="289"/>
        <v>#VALUE!</v>
      </c>
      <c r="N2667" s="246" t="e">
        <f t="shared" si="290"/>
        <v>#VALUE!</v>
      </c>
      <c r="O2667" s="247" t="e">
        <f t="shared" si="291"/>
        <v>#VALUE!</v>
      </c>
      <c r="P2667" s="247">
        <f t="shared" si="292"/>
        <v>0</v>
      </c>
      <c r="Q2667" s="247" t="e">
        <f t="shared" si="293"/>
        <v>#VALUE!</v>
      </c>
    </row>
    <row r="2668" spans="1:17" ht="15" customHeight="1" x14ac:dyDescent="0.25">
      <c r="A2668" s="244"/>
      <c r="B2668" s="244"/>
      <c r="C2668" s="244"/>
      <c r="D2668" s="244"/>
      <c r="E2668" s="244"/>
      <c r="F2668" s="244"/>
      <c r="G2668" s="244"/>
      <c r="I2668" s="244"/>
      <c r="J2668" s="244"/>
      <c r="K2668" s="246" t="e">
        <f t="shared" si="287"/>
        <v>#VALUE!</v>
      </c>
      <c r="L2668" s="246" t="e">
        <f t="shared" si="288"/>
        <v>#VALUE!</v>
      </c>
      <c r="M2668" s="247" t="e">
        <f t="shared" si="289"/>
        <v>#VALUE!</v>
      </c>
      <c r="N2668" s="246" t="e">
        <f t="shared" si="290"/>
        <v>#VALUE!</v>
      </c>
      <c r="O2668" s="247" t="e">
        <f t="shared" si="291"/>
        <v>#VALUE!</v>
      </c>
      <c r="P2668" s="247">
        <f t="shared" si="292"/>
        <v>0</v>
      </c>
      <c r="Q2668" s="247" t="e">
        <f t="shared" si="293"/>
        <v>#VALUE!</v>
      </c>
    </row>
    <row r="2669" spans="1:17" ht="15" customHeight="1" x14ac:dyDescent="0.25">
      <c r="A2669" s="244"/>
      <c r="B2669" s="244"/>
      <c r="C2669" s="244"/>
      <c r="D2669" s="244"/>
      <c r="E2669" s="244"/>
      <c r="F2669" s="244"/>
      <c r="G2669" s="244"/>
      <c r="I2669" s="244"/>
      <c r="J2669" s="244"/>
      <c r="K2669" s="246" t="e">
        <f t="shared" si="287"/>
        <v>#VALUE!</v>
      </c>
      <c r="L2669" s="246" t="e">
        <f t="shared" si="288"/>
        <v>#VALUE!</v>
      </c>
      <c r="M2669" s="247" t="e">
        <f t="shared" si="289"/>
        <v>#VALUE!</v>
      </c>
      <c r="N2669" s="246" t="e">
        <f t="shared" si="290"/>
        <v>#VALUE!</v>
      </c>
      <c r="O2669" s="247" t="e">
        <f t="shared" si="291"/>
        <v>#VALUE!</v>
      </c>
      <c r="P2669" s="247">
        <f t="shared" si="292"/>
        <v>0</v>
      </c>
      <c r="Q2669" s="247" t="e">
        <f t="shared" si="293"/>
        <v>#VALUE!</v>
      </c>
    </row>
    <row r="2670" spans="1:17" ht="15" customHeight="1" x14ac:dyDescent="0.25">
      <c r="A2670" s="244"/>
      <c r="B2670" s="244"/>
      <c r="C2670" s="244"/>
      <c r="D2670" s="244"/>
      <c r="E2670" s="244"/>
      <c r="F2670" s="244"/>
      <c r="G2670" s="244"/>
      <c r="I2670" s="244"/>
      <c r="J2670" s="244"/>
      <c r="K2670" s="246" t="e">
        <f t="shared" si="287"/>
        <v>#VALUE!</v>
      </c>
      <c r="L2670" s="246" t="e">
        <f t="shared" si="288"/>
        <v>#VALUE!</v>
      </c>
      <c r="M2670" s="247" t="e">
        <f t="shared" si="289"/>
        <v>#VALUE!</v>
      </c>
      <c r="N2670" s="246" t="e">
        <f t="shared" si="290"/>
        <v>#VALUE!</v>
      </c>
      <c r="O2670" s="247" t="e">
        <f t="shared" si="291"/>
        <v>#VALUE!</v>
      </c>
      <c r="P2670" s="247">
        <f t="shared" si="292"/>
        <v>0</v>
      </c>
      <c r="Q2670" s="247" t="e">
        <f t="shared" si="293"/>
        <v>#VALUE!</v>
      </c>
    </row>
    <row r="2671" spans="1:17" ht="15" customHeight="1" x14ac:dyDescent="0.25">
      <c r="A2671" s="244"/>
      <c r="B2671" s="244"/>
      <c r="C2671" s="244"/>
      <c r="D2671" s="244"/>
      <c r="E2671" s="244"/>
      <c r="F2671" s="244"/>
      <c r="G2671" s="244"/>
      <c r="I2671" s="244"/>
      <c r="J2671" s="244"/>
      <c r="K2671" s="246" t="e">
        <f t="shared" si="287"/>
        <v>#VALUE!</v>
      </c>
      <c r="L2671" s="246" t="e">
        <f t="shared" si="288"/>
        <v>#VALUE!</v>
      </c>
      <c r="M2671" s="247" t="e">
        <f t="shared" si="289"/>
        <v>#VALUE!</v>
      </c>
      <c r="N2671" s="246" t="e">
        <f t="shared" si="290"/>
        <v>#VALUE!</v>
      </c>
      <c r="O2671" s="247" t="e">
        <f t="shared" si="291"/>
        <v>#VALUE!</v>
      </c>
      <c r="P2671" s="247">
        <f t="shared" si="292"/>
        <v>0</v>
      </c>
      <c r="Q2671" s="247" t="e">
        <f t="shared" si="293"/>
        <v>#VALUE!</v>
      </c>
    </row>
    <row r="2672" spans="1:17" ht="15" customHeight="1" x14ac:dyDescent="0.25">
      <c r="A2672" s="244"/>
      <c r="B2672" s="244"/>
      <c r="C2672" s="244"/>
      <c r="D2672" s="244"/>
      <c r="E2672" s="244"/>
      <c r="F2672" s="244"/>
      <c r="G2672" s="244"/>
      <c r="I2672" s="244"/>
      <c r="J2672" s="244"/>
      <c r="K2672" s="246" t="e">
        <f t="shared" si="287"/>
        <v>#VALUE!</v>
      </c>
      <c r="L2672" s="246" t="e">
        <f t="shared" si="288"/>
        <v>#VALUE!</v>
      </c>
      <c r="M2672" s="247" t="e">
        <f t="shared" si="289"/>
        <v>#VALUE!</v>
      </c>
      <c r="N2672" s="246" t="e">
        <f t="shared" si="290"/>
        <v>#VALUE!</v>
      </c>
      <c r="O2672" s="247" t="e">
        <f t="shared" si="291"/>
        <v>#VALUE!</v>
      </c>
      <c r="P2672" s="247">
        <f t="shared" si="292"/>
        <v>0</v>
      </c>
      <c r="Q2672" s="247" t="e">
        <f t="shared" si="293"/>
        <v>#VALUE!</v>
      </c>
    </row>
    <row r="2673" spans="1:17" ht="15" customHeight="1" x14ac:dyDescent="0.25">
      <c r="A2673" s="244"/>
      <c r="B2673" s="244"/>
      <c r="C2673" s="244"/>
      <c r="D2673" s="244"/>
      <c r="E2673" s="244"/>
      <c r="F2673" s="244"/>
      <c r="G2673" s="244"/>
      <c r="I2673" s="244"/>
      <c r="J2673" s="244"/>
      <c r="K2673" s="246" t="e">
        <f t="shared" si="287"/>
        <v>#VALUE!</v>
      </c>
      <c r="L2673" s="246" t="e">
        <f t="shared" si="288"/>
        <v>#VALUE!</v>
      </c>
      <c r="M2673" s="247" t="e">
        <f t="shared" si="289"/>
        <v>#VALUE!</v>
      </c>
      <c r="N2673" s="246" t="e">
        <f t="shared" si="290"/>
        <v>#VALUE!</v>
      </c>
      <c r="O2673" s="247" t="e">
        <f t="shared" si="291"/>
        <v>#VALUE!</v>
      </c>
      <c r="P2673" s="247">
        <f t="shared" si="292"/>
        <v>0</v>
      </c>
      <c r="Q2673" s="247" t="e">
        <f t="shared" si="293"/>
        <v>#VALUE!</v>
      </c>
    </row>
    <row r="2674" spans="1:17" ht="15" customHeight="1" x14ac:dyDescent="0.25">
      <c r="A2674" s="244"/>
      <c r="B2674" s="244"/>
      <c r="C2674" s="244"/>
      <c r="D2674" s="244"/>
      <c r="E2674" s="244"/>
      <c r="F2674" s="244"/>
      <c r="G2674" s="244"/>
      <c r="I2674" s="244"/>
      <c r="J2674" s="244"/>
      <c r="K2674" s="246" t="e">
        <f t="shared" si="287"/>
        <v>#VALUE!</v>
      </c>
      <c r="L2674" s="246" t="e">
        <f t="shared" si="288"/>
        <v>#VALUE!</v>
      </c>
      <c r="M2674" s="247" t="e">
        <f t="shared" si="289"/>
        <v>#VALUE!</v>
      </c>
      <c r="N2674" s="246" t="e">
        <f t="shared" si="290"/>
        <v>#VALUE!</v>
      </c>
      <c r="O2674" s="247" t="e">
        <f t="shared" si="291"/>
        <v>#VALUE!</v>
      </c>
      <c r="P2674" s="247">
        <f t="shared" si="292"/>
        <v>0</v>
      </c>
      <c r="Q2674" s="247" t="e">
        <f t="shared" si="293"/>
        <v>#VALUE!</v>
      </c>
    </row>
    <row r="2675" spans="1:17" ht="15" customHeight="1" x14ac:dyDescent="0.25">
      <c r="A2675" s="244"/>
      <c r="B2675" s="244"/>
      <c r="C2675" s="244"/>
      <c r="D2675" s="244"/>
      <c r="E2675" s="244"/>
      <c r="F2675" s="244"/>
      <c r="G2675" s="244"/>
      <c r="I2675" s="244"/>
      <c r="J2675" s="244"/>
      <c r="K2675" s="246" t="e">
        <f t="shared" si="287"/>
        <v>#VALUE!</v>
      </c>
      <c r="L2675" s="246" t="e">
        <f t="shared" si="288"/>
        <v>#VALUE!</v>
      </c>
      <c r="M2675" s="247" t="e">
        <f t="shared" si="289"/>
        <v>#VALUE!</v>
      </c>
      <c r="N2675" s="246" t="e">
        <f t="shared" si="290"/>
        <v>#VALUE!</v>
      </c>
      <c r="O2675" s="247" t="e">
        <f t="shared" si="291"/>
        <v>#VALUE!</v>
      </c>
      <c r="P2675" s="247">
        <f t="shared" si="292"/>
        <v>0</v>
      </c>
      <c r="Q2675" s="247" t="e">
        <f t="shared" si="293"/>
        <v>#VALUE!</v>
      </c>
    </row>
    <row r="2676" spans="1:17" ht="15" customHeight="1" x14ac:dyDescent="0.25">
      <c r="A2676" s="244"/>
      <c r="B2676" s="244"/>
      <c r="C2676" s="244"/>
      <c r="D2676" s="244"/>
      <c r="E2676" s="244"/>
      <c r="F2676" s="244"/>
      <c r="G2676" s="244"/>
      <c r="I2676" s="244"/>
      <c r="J2676" s="244"/>
      <c r="K2676" s="246" t="e">
        <f t="shared" si="287"/>
        <v>#VALUE!</v>
      </c>
      <c r="L2676" s="246" t="e">
        <f t="shared" si="288"/>
        <v>#VALUE!</v>
      </c>
      <c r="M2676" s="247" t="e">
        <f t="shared" si="289"/>
        <v>#VALUE!</v>
      </c>
      <c r="N2676" s="246" t="e">
        <f t="shared" si="290"/>
        <v>#VALUE!</v>
      </c>
      <c r="O2676" s="247" t="e">
        <f t="shared" si="291"/>
        <v>#VALUE!</v>
      </c>
      <c r="P2676" s="247">
        <f t="shared" si="292"/>
        <v>0</v>
      </c>
      <c r="Q2676" s="247" t="e">
        <f t="shared" si="293"/>
        <v>#VALUE!</v>
      </c>
    </row>
    <row r="2677" spans="1:17" ht="15" customHeight="1" x14ac:dyDescent="0.25">
      <c r="A2677" s="244"/>
      <c r="B2677" s="244"/>
      <c r="C2677" s="244"/>
      <c r="D2677" s="244"/>
      <c r="E2677" s="244"/>
      <c r="F2677" s="244"/>
      <c r="G2677" s="244"/>
      <c r="I2677" s="244"/>
      <c r="J2677" s="244"/>
      <c r="K2677" s="246" t="e">
        <f t="shared" si="287"/>
        <v>#VALUE!</v>
      </c>
      <c r="L2677" s="246" t="e">
        <f t="shared" si="288"/>
        <v>#VALUE!</v>
      </c>
      <c r="M2677" s="247" t="e">
        <f t="shared" si="289"/>
        <v>#VALUE!</v>
      </c>
      <c r="N2677" s="246" t="e">
        <f t="shared" si="290"/>
        <v>#VALUE!</v>
      </c>
      <c r="O2677" s="247" t="e">
        <f t="shared" si="291"/>
        <v>#VALUE!</v>
      </c>
      <c r="P2677" s="247">
        <f t="shared" si="292"/>
        <v>0</v>
      </c>
      <c r="Q2677" s="247" t="e">
        <f t="shared" si="293"/>
        <v>#VALUE!</v>
      </c>
    </row>
    <row r="2678" spans="1:17" ht="15" customHeight="1" x14ac:dyDescent="0.25">
      <c r="A2678" s="244"/>
      <c r="B2678" s="244"/>
      <c r="C2678" s="244"/>
      <c r="D2678" s="244"/>
      <c r="E2678" s="244"/>
      <c r="F2678" s="244"/>
      <c r="G2678" s="244"/>
      <c r="I2678" s="244"/>
      <c r="J2678" s="244"/>
      <c r="K2678" s="246" t="e">
        <f t="shared" si="287"/>
        <v>#VALUE!</v>
      </c>
      <c r="L2678" s="246" t="e">
        <f t="shared" si="288"/>
        <v>#VALUE!</v>
      </c>
      <c r="M2678" s="247" t="e">
        <f t="shared" si="289"/>
        <v>#VALUE!</v>
      </c>
      <c r="N2678" s="246" t="e">
        <f t="shared" si="290"/>
        <v>#VALUE!</v>
      </c>
      <c r="O2678" s="247" t="e">
        <f t="shared" si="291"/>
        <v>#VALUE!</v>
      </c>
      <c r="P2678" s="247">
        <f t="shared" si="292"/>
        <v>0</v>
      </c>
      <c r="Q2678" s="247" t="e">
        <f t="shared" si="293"/>
        <v>#VALUE!</v>
      </c>
    </row>
    <row r="2679" spans="1:17" ht="15" customHeight="1" x14ac:dyDescent="0.25">
      <c r="A2679" s="244"/>
      <c r="B2679" s="244"/>
      <c r="C2679" s="244"/>
      <c r="D2679" s="244"/>
      <c r="E2679" s="244"/>
      <c r="F2679" s="244"/>
      <c r="G2679" s="244"/>
      <c r="I2679" s="244"/>
      <c r="J2679" s="244"/>
      <c r="K2679" s="246" t="e">
        <f t="shared" si="287"/>
        <v>#VALUE!</v>
      </c>
      <c r="L2679" s="246" t="e">
        <f t="shared" si="288"/>
        <v>#VALUE!</v>
      </c>
      <c r="M2679" s="247" t="e">
        <f t="shared" si="289"/>
        <v>#VALUE!</v>
      </c>
      <c r="N2679" s="246" t="e">
        <f t="shared" si="290"/>
        <v>#VALUE!</v>
      </c>
      <c r="O2679" s="247" t="e">
        <f t="shared" si="291"/>
        <v>#VALUE!</v>
      </c>
      <c r="P2679" s="247">
        <f t="shared" si="292"/>
        <v>0</v>
      </c>
      <c r="Q2679" s="247" t="e">
        <f t="shared" si="293"/>
        <v>#VALUE!</v>
      </c>
    </row>
    <row r="2680" spans="1:17" ht="15" customHeight="1" x14ac:dyDescent="0.25">
      <c r="A2680" s="244"/>
      <c r="B2680" s="244"/>
      <c r="C2680" s="244"/>
      <c r="D2680" s="244"/>
      <c r="E2680" s="244"/>
      <c r="F2680" s="244"/>
      <c r="G2680" s="244"/>
      <c r="I2680" s="244"/>
      <c r="J2680" s="244"/>
      <c r="K2680" s="246" t="e">
        <f t="shared" si="287"/>
        <v>#VALUE!</v>
      </c>
      <c r="L2680" s="246" t="e">
        <f t="shared" si="288"/>
        <v>#VALUE!</v>
      </c>
      <c r="M2680" s="247" t="e">
        <f t="shared" si="289"/>
        <v>#VALUE!</v>
      </c>
      <c r="N2680" s="246" t="e">
        <f t="shared" si="290"/>
        <v>#VALUE!</v>
      </c>
      <c r="O2680" s="247" t="e">
        <f t="shared" si="291"/>
        <v>#VALUE!</v>
      </c>
      <c r="P2680" s="247">
        <f t="shared" si="292"/>
        <v>0</v>
      </c>
      <c r="Q2680" s="247" t="e">
        <f t="shared" si="293"/>
        <v>#VALUE!</v>
      </c>
    </row>
    <row r="2681" spans="1:17" ht="15" customHeight="1" x14ac:dyDescent="0.25">
      <c r="A2681" s="244"/>
      <c r="B2681" s="244"/>
      <c r="C2681" s="244"/>
      <c r="D2681" s="244"/>
      <c r="E2681" s="244"/>
      <c r="F2681" s="244"/>
      <c r="G2681" s="244"/>
      <c r="I2681" s="244"/>
      <c r="J2681" s="244"/>
      <c r="K2681" s="246" t="e">
        <f t="shared" si="287"/>
        <v>#VALUE!</v>
      </c>
      <c r="L2681" s="246" t="e">
        <f t="shared" si="288"/>
        <v>#VALUE!</v>
      </c>
      <c r="M2681" s="247" t="e">
        <f t="shared" si="289"/>
        <v>#VALUE!</v>
      </c>
      <c r="N2681" s="246" t="e">
        <f t="shared" si="290"/>
        <v>#VALUE!</v>
      </c>
      <c r="O2681" s="247" t="e">
        <f t="shared" si="291"/>
        <v>#VALUE!</v>
      </c>
      <c r="P2681" s="247">
        <f t="shared" si="292"/>
        <v>0</v>
      </c>
      <c r="Q2681" s="247" t="e">
        <f t="shared" si="293"/>
        <v>#VALUE!</v>
      </c>
    </row>
    <row r="2682" spans="1:17" ht="15" customHeight="1" x14ac:dyDescent="0.25">
      <c r="A2682" s="244"/>
      <c r="B2682" s="244"/>
      <c r="C2682" s="244"/>
      <c r="D2682" s="244"/>
      <c r="E2682" s="244"/>
      <c r="F2682" s="244"/>
      <c r="G2682" s="244"/>
      <c r="I2682" s="244"/>
      <c r="J2682" s="244"/>
      <c r="K2682" s="246" t="e">
        <f t="shared" si="287"/>
        <v>#VALUE!</v>
      </c>
      <c r="L2682" s="246" t="e">
        <f t="shared" si="288"/>
        <v>#VALUE!</v>
      </c>
      <c r="M2682" s="247" t="e">
        <f t="shared" si="289"/>
        <v>#VALUE!</v>
      </c>
      <c r="N2682" s="246" t="e">
        <f t="shared" si="290"/>
        <v>#VALUE!</v>
      </c>
      <c r="O2682" s="247" t="e">
        <f t="shared" si="291"/>
        <v>#VALUE!</v>
      </c>
      <c r="P2682" s="247">
        <f t="shared" si="292"/>
        <v>0</v>
      </c>
      <c r="Q2682" s="247" t="e">
        <f t="shared" si="293"/>
        <v>#VALUE!</v>
      </c>
    </row>
    <row r="2683" spans="1:17" ht="15" customHeight="1" x14ac:dyDescent="0.25">
      <c r="A2683" s="244"/>
      <c r="B2683" s="244"/>
      <c r="C2683" s="244"/>
      <c r="D2683" s="244"/>
      <c r="E2683" s="244"/>
      <c r="F2683" s="244"/>
      <c r="G2683" s="244"/>
      <c r="I2683" s="244"/>
      <c r="J2683" s="244"/>
      <c r="K2683" s="246" t="e">
        <f t="shared" si="287"/>
        <v>#VALUE!</v>
      </c>
      <c r="L2683" s="246" t="e">
        <f t="shared" si="288"/>
        <v>#VALUE!</v>
      </c>
      <c r="M2683" s="247" t="e">
        <f t="shared" si="289"/>
        <v>#VALUE!</v>
      </c>
      <c r="N2683" s="246" t="e">
        <f t="shared" si="290"/>
        <v>#VALUE!</v>
      </c>
      <c r="O2683" s="247" t="e">
        <f t="shared" si="291"/>
        <v>#VALUE!</v>
      </c>
      <c r="P2683" s="247">
        <f t="shared" si="292"/>
        <v>0</v>
      </c>
      <c r="Q2683" s="247" t="e">
        <f t="shared" si="293"/>
        <v>#VALUE!</v>
      </c>
    </row>
    <row r="2684" spans="1:17" ht="15" customHeight="1" x14ac:dyDescent="0.25">
      <c r="A2684" s="244"/>
      <c r="B2684" s="244"/>
      <c r="C2684" s="244"/>
      <c r="D2684" s="244"/>
      <c r="E2684" s="244"/>
      <c r="F2684" s="244"/>
      <c r="G2684" s="244"/>
      <c r="I2684" s="244"/>
      <c r="J2684" s="244"/>
      <c r="K2684" s="246" t="e">
        <f t="shared" si="287"/>
        <v>#VALUE!</v>
      </c>
      <c r="L2684" s="246" t="e">
        <f t="shared" si="288"/>
        <v>#VALUE!</v>
      </c>
      <c r="M2684" s="247" t="e">
        <f t="shared" si="289"/>
        <v>#VALUE!</v>
      </c>
      <c r="N2684" s="246" t="e">
        <f t="shared" si="290"/>
        <v>#VALUE!</v>
      </c>
      <c r="O2684" s="247" t="e">
        <f t="shared" si="291"/>
        <v>#VALUE!</v>
      </c>
      <c r="P2684" s="247">
        <f t="shared" si="292"/>
        <v>0</v>
      </c>
      <c r="Q2684" s="247" t="e">
        <f t="shared" si="293"/>
        <v>#VALUE!</v>
      </c>
    </row>
    <row r="2685" spans="1:17" ht="15" customHeight="1" x14ac:dyDescent="0.25">
      <c r="A2685" s="244"/>
      <c r="B2685" s="244"/>
      <c r="C2685" s="244"/>
      <c r="D2685" s="244"/>
      <c r="E2685" s="244"/>
      <c r="F2685" s="244"/>
      <c r="G2685" s="244"/>
      <c r="I2685" s="244"/>
      <c r="J2685" s="244"/>
      <c r="K2685" s="246" t="e">
        <f t="shared" si="287"/>
        <v>#VALUE!</v>
      </c>
      <c r="L2685" s="246" t="e">
        <f t="shared" si="288"/>
        <v>#VALUE!</v>
      </c>
      <c r="M2685" s="247" t="e">
        <f t="shared" si="289"/>
        <v>#VALUE!</v>
      </c>
      <c r="N2685" s="246" t="e">
        <f t="shared" si="290"/>
        <v>#VALUE!</v>
      </c>
      <c r="O2685" s="247" t="e">
        <f t="shared" si="291"/>
        <v>#VALUE!</v>
      </c>
      <c r="P2685" s="247">
        <f t="shared" si="292"/>
        <v>0</v>
      </c>
      <c r="Q2685" s="247" t="e">
        <f t="shared" si="293"/>
        <v>#VALUE!</v>
      </c>
    </row>
    <row r="2686" spans="1:17" ht="15" customHeight="1" x14ac:dyDescent="0.25">
      <c r="A2686" s="244"/>
      <c r="B2686" s="244"/>
      <c r="C2686" s="244"/>
      <c r="D2686" s="244"/>
      <c r="E2686" s="244"/>
      <c r="F2686" s="244"/>
      <c r="G2686" s="244"/>
      <c r="I2686" s="244"/>
      <c r="J2686" s="244"/>
      <c r="K2686" s="246" t="e">
        <f t="shared" si="287"/>
        <v>#VALUE!</v>
      </c>
      <c r="L2686" s="246" t="e">
        <f t="shared" si="288"/>
        <v>#VALUE!</v>
      </c>
      <c r="M2686" s="247" t="e">
        <f t="shared" si="289"/>
        <v>#VALUE!</v>
      </c>
      <c r="N2686" s="246" t="e">
        <f t="shared" si="290"/>
        <v>#VALUE!</v>
      </c>
      <c r="O2686" s="247" t="e">
        <f t="shared" si="291"/>
        <v>#VALUE!</v>
      </c>
      <c r="P2686" s="247">
        <f t="shared" si="292"/>
        <v>0</v>
      </c>
      <c r="Q2686" s="247" t="e">
        <f t="shared" si="293"/>
        <v>#VALUE!</v>
      </c>
    </row>
    <row r="2687" spans="1:17" ht="15" customHeight="1" x14ac:dyDescent="0.25">
      <c r="A2687" s="244"/>
      <c r="B2687" s="244"/>
      <c r="C2687" s="244"/>
      <c r="D2687" s="244"/>
      <c r="E2687" s="244"/>
      <c r="F2687" s="244"/>
      <c r="G2687" s="244"/>
      <c r="I2687" s="244"/>
      <c r="J2687" s="244"/>
      <c r="K2687" s="246" t="e">
        <f t="shared" si="287"/>
        <v>#VALUE!</v>
      </c>
      <c r="L2687" s="246" t="e">
        <f t="shared" si="288"/>
        <v>#VALUE!</v>
      </c>
      <c r="M2687" s="247" t="e">
        <f t="shared" si="289"/>
        <v>#VALUE!</v>
      </c>
      <c r="N2687" s="246" t="e">
        <f t="shared" si="290"/>
        <v>#VALUE!</v>
      </c>
      <c r="O2687" s="247" t="e">
        <f t="shared" si="291"/>
        <v>#VALUE!</v>
      </c>
      <c r="P2687" s="247">
        <f t="shared" si="292"/>
        <v>0</v>
      </c>
      <c r="Q2687" s="247" t="e">
        <f t="shared" si="293"/>
        <v>#VALUE!</v>
      </c>
    </row>
    <row r="2688" spans="1:17" ht="15" customHeight="1" x14ac:dyDescent="0.25">
      <c r="A2688" s="244"/>
      <c r="B2688" s="244"/>
      <c r="C2688" s="244"/>
      <c r="D2688" s="244"/>
      <c r="E2688" s="244"/>
      <c r="F2688" s="244"/>
      <c r="G2688" s="244"/>
      <c r="I2688" s="244"/>
      <c r="J2688" s="244"/>
      <c r="K2688" s="246" t="e">
        <f t="shared" si="287"/>
        <v>#VALUE!</v>
      </c>
      <c r="L2688" s="246" t="e">
        <f t="shared" si="288"/>
        <v>#VALUE!</v>
      </c>
      <c r="M2688" s="247" t="e">
        <f t="shared" si="289"/>
        <v>#VALUE!</v>
      </c>
      <c r="N2688" s="246" t="e">
        <f t="shared" si="290"/>
        <v>#VALUE!</v>
      </c>
      <c r="O2688" s="247" t="e">
        <f t="shared" si="291"/>
        <v>#VALUE!</v>
      </c>
      <c r="P2688" s="247">
        <f t="shared" si="292"/>
        <v>0</v>
      </c>
      <c r="Q2688" s="247" t="e">
        <f t="shared" si="293"/>
        <v>#VALUE!</v>
      </c>
    </row>
    <row r="2689" spans="1:17" ht="15" customHeight="1" x14ac:dyDescent="0.25">
      <c r="A2689" s="244"/>
      <c r="B2689" s="244"/>
      <c r="C2689" s="244"/>
      <c r="D2689" s="244"/>
      <c r="E2689" s="244"/>
      <c r="F2689" s="244"/>
      <c r="G2689" s="244"/>
      <c r="I2689" s="244"/>
      <c r="J2689" s="244"/>
      <c r="K2689" s="246" t="e">
        <f t="shared" si="287"/>
        <v>#VALUE!</v>
      </c>
      <c r="L2689" s="246" t="e">
        <f t="shared" si="288"/>
        <v>#VALUE!</v>
      </c>
      <c r="M2689" s="247" t="e">
        <f t="shared" si="289"/>
        <v>#VALUE!</v>
      </c>
      <c r="N2689" s="246" t="e">
        <f t="shared" si="290"/>
        <v>#VALUE!</v>
      </c>
      <c r="O2689" s="247" t="e">
        <f t="shared" si="291"/>
        <v>#VALUE!</v>
      </c>
      <c r="P2689" s="247">
        <f t="shared" si="292"/>
        <v>0</v>
      </c>
      <c r="Q2689" s="247" t="e">
        <f t="shared" si="293"/>
        <v>#VALUE!</v>
      </c>
    </row>
    <row r="2690" spans="1:17" ht="15" customHeight="1" x14ac:dyDescent="0.25">
      <c r="A2690" s="244"/>
      <c r="B2690" s="244"/>
      <c r="C2690" s="244"/>
      <c r="D2690" s="244"/>
      <c r="E2690" s="244"/>
      <c r="F2690" s="244"/>
      <c r="G2690" s="244"/>
      <c r="I2690" s="244"/>
      <c r="J2690" s="244"/>
      <c r="K2690" s="246" t="e">
        <f t="shared" ref="K2690:K2753" si="294">DATE(VALUE(LEFT(A2690,4)),VALUE(MID(A2690,5,2)),VALUE(RIGHT(A2690,2)))</f>
        <v>#VALUE!</v>
      </c>
      <c r="L2690" s="246" t="e">
        <f t="shared" ref="L2690:L2753" si="295">DATEVALUE(LEFT(F2690,10))</f>
        <v>#VALUE!</v>
      </c>
      <c r="M2690" s="247" t="e">
        <f t="shared" ref="M2690:M2753" si="296">TIMEVALUE(MID(F2690,12,8))</f>
        <v>#VALUE!</v>
      </c>
      <c r="N2690" s="246" t="e">
        <f t="shared" ref="N2690:N2753" si="297">DATEVALUE(LEFT(G2690,10))</f>
        <v>#VALUE!</v>
      </c>
      <c r="O2690" s="247" t="e">
        <f t="shared" ref="O2690:O2753" si="298">TIMEVALUE(MID(G2690,12,8))</f>
        <v>#VALUE!</v>
      </c>
      <c r="P2690" s="247">
        <f t="shared" ref="P2690:P2753" si="299">IFERROR(_xlfn.MINIFS($M:$M,$E:$E,$E2690,$K:$K,$K2690,$M:$M,"&gt;"&amp;$O2690),"")</f>
        <v>0</v>
      </c>
      <c r="Q2690" s="247" t="e">
        <f t="shared" ref="Q2690:Q2753" si="300">IF($P2690="","",$P2690-$O2690)</f>
        <v>#VALUE!</v>
      </c>
    </row>
    <row r="2691" spans="1:17" ht="15" customHeight="1" x14ac:dyDescent="0.25">
      <c r="A2691" s="244"/>
      <c r="B2691" s="244"/>
      <c r="C2691" s="244"/>
      <c r="D2691" s="244"/>
      <c r="E2691" s="244"/>
      <c r="F2691" s="244"/>
      <c r="G2691" s="244"/>
      <c r="I2691" s="244"/>
      <c r="J2691" s="244"/>
      <c r="K2691" s="246" t="e">
        <f t="shared" si="294"/>
        <v>#VALUE!</v>
      </c>
      <c r="L2691" s="246" t="e">
        <f t="shared" si="295"/>
        <v>#VALUE!</v>
      </c>
      <c r="M2691" s="247" t="e">
        <f t="shared" si="296"/>
        <v>#VALUE!</v>
      </c>
      <c r="N2691" s="246" t="e">
        <f t="shared" si="297"/>
        <v>#VALUE!</v>
      </c>
      <c r="O2691" s="247" t="e">
        <f t="shared" si="298"/>
        <v>#VALUE!</v>
      </c>
      <c r="P2691" s="247">
        <f t="shared" si="299"/>
        <v>0</v>
      </c>
      <c r="Q2691" s="247" t="e">
        <f t="shared" si="300"/>
        <v>#VALUE!</v>
      </c>
    </row>
    <row r="2692" spans="1:17" ht="15" customHeight="1" x14ac:dyDescent="0.25">
      <c r="A2692" s="244"/>
      <c r="B2692" s="244"/>
      <c r="C2692" s="244"/>
      <c r="D2692" s="244"/>
      <c r="E2692" s="244"/>
      <c r="F2692" s="244"/>
      <c r="G2692" s="244"/>
      <c r="I2692" s="244"/>
      <c r="J2692" s="244"/>
      <c r="K2692" s="246" t="e">
        <f t="shared" si="294"/>
        <v>#VALUE!</v>
      </c>
      <c r="L2692" s="246" t="e">
        <f t="shared" si="295"/>
        <v>#VALUE!</v>
      </c>
      <c r="M2692" s="247" t="e">
        <f t="shared" si="296"/>
        <v>#VALUE!</v>
      </c>
      <c r="N2692" s="246" t="e">
        <f t="shared" si="297"/>
        <v>#VALUE!</v>
      </c>
      <c r="O2692" s="247" t="e">
        <f t="shared" si="298"/>
        <v>#VALUE!</v>
      </c>
      <c r="P2692" s="247">
        <f t="shared" si="299"/>
        <v>0</v>
      </c>
      <c r="Q2692" s="247" t="e">
        <f t="shared" si="300"/>
        <v>#VALUE!</v>
      </c>
    </row>
    <row r="2693" spans="1:17" ht="15" customHeight="1" x14ac:dyDescent="0.25">
      <c r="A2693" s="244"/>
      <c r="B2693" s="244"/>
      <c r="C2693" s="244"/>
      <c r="D2693" s="244"/>
      <c r="E2693" s="244"/>
      <c r="F2693" s="244"/>
      <c r="G2693" s="244"/>
      <c r="I2693" s="244"/>
      <c r="J2693" s="244"/>
      <c r="K2693" s="246" t="e">
        <f t="shared" si="294"/>
        <v>#VALUE!</v>
      </c>
      <c r="L2693" s="246" t="e">
        <f t="shared" si="295"/>
        <v>#VALUE!</v>
      </c>
      <c r="M2693" s="247" t="e">
        <f t="shared" si="296"/>
        <v>#VALUE!</v>
      </c>
      <c r="N2693" s="246" t="e">
        <f t="shared" si="297"/>
        <v>#VALUE!</v>
      </c>
      <c r="O2693" s="247" t="e">
        <f t="shared" si="298"/>
        <v>#VALUE!</v>
      </c>
      <c r="P2693" s="247">
        <f t="shared" si="299"/>
        <v>0</v>
      </c>
      <c r="Q2693" s="247" t="e">
        <f t="shared" si="300"/>
        <v>#VALUE!</v>
      </c>
    </row>
    <row r="2694" spans="1:17" ht="15" customHeight="1" x14ac:dyDescent="0.25">
      <c r="A2694" s="244"/>
      <c r="B2694" s="244"/>
      <c r="C2694" s="244"/>
      <c r="D2694" s="244"/>
      <c r="E2694" s="244"/>
      <c r="F2694" s="244"/>
      <c r="G2694" s="244"/>
      <c r="I2694" s="244"/>
      <c r="J2694" s="244"/>
      <c r="K2694" s="246" t="e">
        <f t="shared" si="294"/>
        <v>#VALUE!</v>
      </c>
      <c r="L2694" s="246" t="e">
        <f t="shared" si="295"/>
        <v>#VALUE!</v>
      </c>
      <c r="M2694" s="247" t="e">
        <f t="shared" si="296"/>
        <v>#VALUE!</v>
      </c>
      <c r="N2694" s="246" t="e">
        <f t="shared" si="297"/>
        <v>#VALUE!</v>
      </c>
      <c r="O2694" s="247" t="e">
        <f t="shared" si="298"/>
        <v>#VALUE!</v>
      </c>
      <c r="P2694" s="247">
        <f t="shared" si="299"/>
        <v>0</v>
      </c>
      <c r="Q2694" s="247" t="e">
        <f t="shared" si="300"/>
        <v>#VALUE!</v>
      </c>
    </row>
    <row r="2695" spans="1:17" ht="15" customHeight="1" x14ac:dyDescent="0.25">
      <c r="A2695" s="244"/>
      <c r="B2695" s="244"/>
      <c r="C2695" s="244"/>
      <c r="D2695" s="244"/>
      <c r="E2695" s="244"/>
      <c r="F2695" s="244"/>
      <c r="G2695" s="244"/>
      <c r="I2695" s="244"/>
      <c r="J2695" s="244"/>
      <c r="K2695" s="246" t="e">
        <f t="shared" si="294"/>
        <v>#VALUE!</v>
      </c>
      <c r="L2695" s="246" t="e">
        <f t="shared" si="295"/>
        <v>#VALUE!</v>
      </c>
      <c r="M2695" s="247" t="e">
        <f t="shared" si="296"/>
        <v>#VALUE!</v>
      </c>
      <c r="N2695" s="246" t="e">
        <f t="shared" si="297"/>
        <v>#VALUE!</v>
      </c>
      <c r="O2695" s="247" t="e">
        <f t="shared" si="298"/>
        <v>#VALUE!</v>
      </c>
      <c r="P2695" s="247">
        <f t="shared" si="299"/>
        <v>0</v>
      </c>
      <c r="Q2695" s="247" t="e">
        <f t="shared" si="300"/>
        <v>#VALUE!</v>
      </c>
    </row>
    <row r="2696" spans="1:17" ht="15" customHeight="1" x14ac:dyDescent="0.25">
      <c r="A2696" s="244"/>
      <c r="B2696" s="244"/>
      <c r="C2696" s="244"/>
      <c r="D2696" s="244"/>
      <c r="E2696" s="244"/>
      <c r="F2696" s="244"/>
      <c r="G2696" s="244"/>
      <c r="I2696" s="244"/>
      <c r="J2696" s="244"/>
      <c r="K2696" s="246" t="e">
        <f t="shared" si="294"/>
        <v>#VALUE!</v>
      </c>
      <c r="L2696" s="246" t="e">
        <f t="shared" si="295"/>
        <v>#VALUE!</v>
      </c>
      <c r="M2696" s="247" t="e">
        <f t="shared" si="296"/>
        <v>#VALUE!</v>
      </c>
      <c r="N2696" s="246" t="e">
        <f t="shared" si="297"/>
        <v>#VALUE!</v>
      </c>
      <c r="O2696" s="247" t="e">
        <f t="shared" si="298"/>
        <v>#VALUE!</v>
      </c>
      <c r="P2696" s="247">
        <f t="shared" si="299"/>
        <v>0</v>
      </c>
      <c r="Q2696" s="247" t="e">
        <f t="shared" si="300"/>
        <v>#VALUE!</v>
      </c>
    </row>
    <row r="2697" spans="1:17" ht="15" customHeight="1" x14ac:dyDescent="0.25">
      <c r="A2697" s="244"/>
      <c r="B2697" s="244"/>
      <c r="C2697" s="244"/>
      <c r="D2697" s="244"/>
      <c r="E2697" s="244"/>
      <c r="F2697" s="244"/>
      <c r="G2697" s="244"/>
      <c r="I2697" s="244"/>
      <c r="J2697" s="244"/>
      <c r="K2697" s="246" t="e">
        <f t="shared" si="294"/>
        <v>#VALUE!</v>
      </c>
      <c r="L2697" s="246" t="e">
        <f t="shared" si="295"/>
        <v>#VALUE!</v>
      </c>
      <c r="M2697" s="247" t="e">
        <f t="shared" si="296"/>
        <v>#VALUE!</v>
      </c>
      <c r="N2697" s="246" t="e">
        <f t="shared" si="297"/>
        <v>#VALUE!</v>
      </c>
      <c r="O2697" s="247" t="e">
        <f t="shared" si="298"/>
        <v>#VALUE!</v>
      </c>
      <c r="P2697" s="247">
        <f t="shared" si="299"/>
        <v>0</v>
      </c>
      <c r="Q2697" s="247" t="e">
        <f t="shared" si="300"/>
        <v>#VALUE!</v>
      </c>
    </row>
    <row r="2698" spans="1:17" ht="15" customHeight="1" x14ac:dyDescent="0.25">
      <c r="A2698" s="244"/>
      <c r="B2698" s="244"/>
      <c r="C2698" s="244"/>
      <c r="D2698" s="244"/>
      <c r="E2698" s="244"/>
      <c r="F2698" s="244"/>
      <c r="G2698" s="244"/>
      <c r="I2698" s="244"/>
      <c r="J2698" s="244"/>
      <c r="K2698" s="246" t="e">
        <f t="shared" si="294"/>
        <v>#VALUE!</v>
      </c>
      <c r="L2698" s="246" t="e">
        <f t="shared" si="295"/>
        <v>#VALUE!</v>
      </c>
      <c r="M2698" s="247" t="e">
        <f t="shared" si="296"/>
        <v>#VALUE!</v>
      </c>
      <c r="N2698" s="246" t="e">
        <f t="shared" si="297"/>
        <v>#VALUE!</v>
      </c>
      <c r="O2698" s="247" t="e">
        <f t="shared" si="298"/>
        <v>#VALUE!</v>
      </c>
      <c r="P2698" s="247">
        <f t="shared" si="299"/>
        <v>0</v>
      </c>
      <c r="Q2698" s="247" t="e">
        <f t="shared" si="300"/>
        <v>#VALUE!</v>
      </c>
    </row>
    <row r="2699" spans="1:17" ht="15" customHeight="1" x14ac:dyDescent="0.25">
      <c r="A2699" s="244"/>
      <c r="B2699" s="244"/>
      <c r="C2699" s="244"/>
      <c r="D2699" s="244"/>
      <c r="E2699" s="244"/>
      <c r="F2699" s="244"/>
      <c r="G2699" s="244"/>
      <c r="I2699" s="244"/>
      <c r="J2699" s="244"/>
      <c r="K2699" s="246" t="e">
        <f t="shared" si="294"/>
        <v>#VALUE!</v>
      </c>
      <c r="L2699" s="246" t="e">
        <f t="shared" si="295"/>
        <v>#VALUE!</v>
      </c>
      <c r="M2699" s="247" t="e">
        <f t="shared" si="296"/>
        <v>#VALUE!</v>
      </c>
      <c r="N2699" s="246" t="e">
        <f t="shared" si="297"/>
        <v>#VALUE!</v>
      </c>
      <c r="O2699" s="247" t="e">
        <f t="shared" si="298"/>
        <v>#VALUE!</v>
      </c>
      <c r="P2699" s="247">
        <f t="shared" si="299"/>
        <v>0</v>
      </c>
      <c r="Q2699" s="247" t="e">
        <f t="shared" si="300"/>
        <v>#VALUE!</v>
      </c>
    </row>
    <row r="2700" spans="1:17" ht="15" customHeight="1" x14ac:dyDescent="0.25">
      <c r="A2700" s="244"/>
      <c r="B2700" s="244"/>
      <c r="C2700" s="244"/>
      <c r="D2700" s="244"/>
      <c r="E2700" s="244"/>
      <c r="F2700" s="244"/>
      <c r="G2700" s="244"/>
      <c r="I2700" s="244"/>
      <c r="J2700" s="244"/>
      <c r="K2700" s="246" t="e">
        <f t="shared" si="294"/>
        <v>#VALUE!</v>
      </c>
      <c r="L2700" s="246" t="e">
        <f t="shared" si="295"/>
        <v>#VALUE!</v>
      </c>
      <c r="M2700" s="247" t="e">
        <f t="shared" si="296"/>
        <v>#VALUE!</v>
      </c>
      <c r="N2700" s="246" t="e">
        <f t="shared" si="297"/>
        <v>#VALUE!</v>
      </c>
      <c r="O2700" s="247" t="e">
        <f t="shared" si="298"/>
        <v>#VALUE!</v>
      </c>
      <c r="P2700" s="247">
        <f t="shared" si="299"/>
        <v>0</v>
      </c>
      <c r="Q2700" s="247" t="e">
        <f t="shared" si="300"/>
        <v>#VALUE!</v>
      </c>
    </row>
    <row r="2701" spans="1:17" ht="15" customHeight="1" x14ac:dyDescent="0.25">
      <c r="A2701" s="244"/>
      <c r="B2701" s="244"/>
      <c r="C2701" s="244"/>
      <c r="D2701" s="244"/>
      <c r="E2701" s="244"/>
      <c r="F2701" s="244"/>
      <c r="G2701" s="244"/>
      <c r="I2701" s="244"/>
      <c r="J2701" s="244"/>
      <c r="K2701" s="246" t="e">
        <f t="shared" si="294"/>
        <v>#VALUE!</v>
      </c>
      <c r="L2701" s="246" t="e">
        <f t="shared" si="295"/>
        <v>#VALUE!</v>
      </c>
      <c r="M2701" s="247" t="e">
        <f t="shared" si="296"/>
        <v>#VALUE!</v>
      </c>
      <c r="N2701" s="246" t="e">
        <f t="shared" si="297"/>
        <v>#VALUE!</v>
      </c>
      <c r="O2701" s="247" t="e">
        <f t="shared" si="298"/>
        <v>#VALUE!</v>
      </c>
      <c r="P2701" s="247">
        <f t="shared" si="299"/>
        <v>0</v>
      </c>
      <c r="Q2701" s="247" t="e">
        <f t="shared" si="300"/>
        <v>#VALUE!</v>
      </c>
    </row>
    <row r="2702" spans="1:17" ht="15" customHeight="1" x14ac:dyDescent="0.25">
      <c r="A2702" s="244"/>
      <c r="B2702" s="244"/>
      <c r="C2702" s="244"/>
      <c r="D2702" s="244"/>
      <c r="E2702" s="244"/>
      <c r="F2702" s="244"/>
      <c r="G2702" s="244"/>
      <c r="I2702" s="244"/>
      <c r="J2702" s="244"/>
      <c r="K2702" s="246" t="e">
        <f t="shared" si="294"/>
        <v>#VALUE!</v>
      </c>
      <c r="L2702" s="246" t="e">
        <f t="shared" si="295"/>
        <v>#VALUE!</v>
      </c>
      <c r="M2702" s="247" t="e">
        <f t="shared" si="296"/>
        <v>#VALUE!</v>
      </c>
      <c r="N2702" s="246" t="e">
        <f t="shared" si="297"/>
        <v>#VALUE!</v>
      </c>
      <c r="O2702" s="247" t="e">
        <f t="shared" si="298"/>
        <v>#VALUE!</v>
      </c>
      <c r="P2702" s="247">
        <f t="shared" si="299"/>
        <v>0</v>
      </c>
      <c r="Q2702" s="247" t="e">
        <f t="shared" si="300"/>
        <v>#VALUE!</v>
      </c>
    </row>
    <row r="2703" spans="1:17" ht="15" customHeight="1" x14ac:dyDescent="0.25">
      <c r="A2703" s="244"/>
      <c r="B2703" s="244"/>
      <c r="C2703" s="244"/>
      <c r="D2703" s="244"/>
      <c r="E2703" s="244"/>
      <c r="F2703" s="244"/>
      <c r="G2703" s="244"/>
      <c r="I2703" s="244"/>
      <c r="J2703" s="244"/>
      <c r="K2703" s="246" t="e">
        <f t="shared" si="294"/>
        <v>#VALUE!</v>
      </c>
      <c r="L2703" s="246" t="e">
        <f t="shared" si="295"/>
        <v>#VALUE!</v>
      </c>
      <c r="M2703" s="247" t="e">
        <f t="shared" si="296"/>
        <v>#VALUE!</v>
      </c>
      <c r="N2703" s="246" t="e">
        <f t="shared" si="297"/>
        <v>#VALUE!</v>
      </c>
      <c r="O2703" s="247" t="e">
        <f t="shared" si="298"/>
        <v>#VALUE!</v>
      </c>
      <c r="P2703" s="247">
        <f t="shared" si="299"/>
        <v>0</v>
      </c>
      <c r="Q2703" s="247" t="e">
        <f t="shared" si="300"/>
        <v>#VALUE!</v>
      </c>
    </row>
    <row r="2704" spans="1:17" ht="15" customHeight="1" x14ac:dyDescent="0.25">
      <c r="A2704" s="244"/>
      <c r="B2704" s="244"/>
      <c r="C2704" s="244"/>
      <c r="D2704" s="244"/>
      <c r="E2704" s="244"/>
      <c r="F2704" s="244"/>
      <c r="G2704" s="244"/>
      <c r="I2704" s="244"/>
      <c r="J2704" s="244"/>
      <c r="K2704" s="246" t="e">
        <f t="shared" si="294"/>
        <v>#VALUE!</v>
      </c>
      <c r="L2704" s="246" t="e">
        <f t="shared" si="295"/>
        <v>#VALUE!</v>
      </c>
      <c r="M2704" s="247" t="e">
        <f t="shared" si="296"/>
        <v>#VALUE!</v>
      </c>
      <c r="N2704" s="246" t="e">
        <f t="shared" si="297"/>
        <v>#VALUE!</v>
      </c>
      <c r="O2704" s="247" t="e">
        <f t="shared" si="298"/>
        <v>#VALUE!</v>
      </c>
      <c r="P2704" s="247">
        <f t="shared" si="299"/>
        <v>0</v>
      </c>
      <c r="Q2704" s="247" t="e">
        <f t="shared" si="300"/>
        <v>#VALUE!</v>
      </c>
    </row>
    <row r="2705" spans="1:17" ht="15" customHeight="1" x14ac:dyDescent="0.25">
      <c r="A2705" s="244"/>
      <c r="B2705" s="244"/>
      <c r="C2705" s="244"/>
      <c r="D2705" s="244"/>
      <c r="E2705" s="244"/>
      <c r="F2705" s="244"/>
      <c r="G2705" s="244"/>
      <c r="I2705" s="244"/>
      <c r="J2705" s="244"/>
      <c r="K2705" s="246" t="e">
        <f t="shared" si="294"/>
        <v>#VALUE!</v>
      </c>
      <c r="L2705" s="246" t="e">
        <f t="shared" si="295"/>
        <v>#VALUE!</v>
      </c>
      <c r="M2705" s="247" t="e">
        <f t="shared" si="296"/>
        <v>#VALUE!</v>
      </c>
      <c r="N2705" s="246" t="e">
        <f t="shared" si="297"/>
        <v>#VALUE!</v>
      </c>
      <c r="O2705" s="247" t="e">
        <f t="shared" si="298"/>
        <v>#VALUE!</v>
      </c>
      <c r="P2705" s="247">
        <f t="shared" si="299"/>
        <v>0</v>
      </c>
      <c r="Q2705" s="247" t="e">
        <f t="shared" si="300"/>
        <v>#VALUE!</v>
      </c>
    </row>
    <row r="2706" spans="1:17" ht="15" customHeight="1" x14ac:dyDescent="0.25">
      <c r="A2706" s="244"/>
      <c r="B2706" s="244"/>
      <c r="C2706" s="244"/>
      <c r="D2706" s="244"/>
      <c r="E2706" s="244"/>
      <c r="F2706" s="244"/>
      <c r="G2706" s="244"/>
      <c r="I2706" s="244"/>
      <c r="J2706" s="244"/>
      <c r="K2706" s="246" t="e">
        <f t="shared" si="294"/>
        <v>#VALUE!</v>
      </c>
      <c r="L2706" s="246" t="e">
        <f t="shared" si="295"/>
        <v>#VALUE!</v>
      </c>
      <c r="M2706" s="247" t="e">
        <f t="shared" si="296"/>
        <v>#VALUE!</v>
      </c>
      <c r="N2706" s="246" t="e">
        <f t="shared" si="297"/>
        <v>#VALUE!</v>
      </c>
      <c r="O2706" s="247" t="e">
        <f t="shared" si="298"/>
        <v>#VALUE!</v>
      </c>
      <c r="P2706" s="247">
        <f t="shared" si="299"/>
        <v>0</v>
      </c>
      <c r="Q2706" s="247" t="e">
        <f t="shared" si="300"/>
        <v>#VALUE!</v>
      </c>
    </row>
    <row r="2707" spans="1:17" ht="15" customHeight="1" x14ac:dyDescent="0.25">
      <c r="A2707" s="244"/>
      <c r="B2707" s="244"/>
      <c r="C2707" s="244"/>
      <c r="D2707" s="244"/>
      <c r="E2707" s="244"/>
      <c r="F2707" s="244"/>
      <c r="G2707" s="244"/>
      <c r="I2707" s="244"/>
      <c r="J2707" s="244"/>
      <c r="K2707" s="246" t="e">
        <f t="shared" si="294"/>
        <v>#VALUE!</v>
      </c>
      <c r="L2707" s="246" t="e">
        <f t="shared" si="295"/>
        <v>#VALUE!</v>
      </c>
      <c r="M2707" s="247" t="e">
        <f t="shared" si="296"/>
        <v>#VALUE!</v>
      </c>
      <c r="N2707" s="246" t="e">
        <f t="shared" si="297"/>
        <v>#VALUE!</v>
      </c>
      <c r="O2707" s="247" t="e">
        <f t="shared" si="298"/>
        <v>#VALUE!</v>
      </c>
      <c r="P2707" s="247">
        <f t="shared" si="299"/>
        <v>0</v>
      </c>
      <c r="Q2707" s="247" t="e">
        <f t="shared" si="300"/>
        <v>#VALUE!</v>
      </c>
    </row>
    <row r="2708" spans="1:17" ht="15" customHeight="1" x14ac:dyDescent="0.25">
      <c r="A2708" s="244"/>
      <c r="B2708" s="244"/>
      <c r="C2708" s="244"/>
      <c r="D2708" s="244"/>
      <c r="E2708" s="244"/>
      <c r="F2708" s="244"/>
      <c r="G2708" s="244"/>
      <c r="I2708" s="244"/>
      <c r="J2708" s="244"/>
      <c r="K2708" s="246" t="e">
        <f t="shared" si="294"/>
        <v>#VALUE!</v>
      </c>
      <c r="L2708" s="246" t="e">
        <f t="shared" si="295"/>
        <v>#VALUE!</v>
      </c>
      <c r="M2708" s="247" t="e">
        <f t="shared" si="296"/>
        <v>#VALUE!</v>
      </c>
      <c r="N2708" s="246" t="e">
        <f t="shared" si="297"/>
        <v>#VALUE!</v>
      </c>
      <c r="O2708" s="247" t="e">
        <f t="shared" si="298"/>
        <v>#VALUE!</v>
      </c>
      <c r="P2708" s="247">
        <f t="shared" si="299"/>
        <v>0</v>
      </c>
      <c r="Q2708" s="247" t="e">
        <f t="shared" si="300"/>
        <v>#VALUE!</v>
      </c>
    </row>
    <row r="2709" spans="1:17" ht="15" customHeight="1" x14ac:dyDescent="0.25">
      <c r="A2709" s="244"/>
      <c r="B2709" s="244"/>
      <c r="C2709" s="244"/>
      <c r="D2709" s="244"/>
      <c r="E2709" s="244"/>
      <c r="F2709" s="244"/>
      <c r="G2709" s="244"/>
      <c r="I2709" s="244"/>
      <c r="J2709" s="244"/>
      <c r="K2709" s="246" t="e">
        <f t="shared" si="294"/>
        <v>#VALUE!</v>
      </c>
      <c r="L2709" s="246" t="e">
        <f t="shared" si="295"/>
        <v>#VALUE!</v>
      </c>
      <c r="M2709" s="247" t="e">
        <f t="shared" si="296"/>
        <v>#VALUE!</v>
      </c>
      <c r="N2709" s="246" t="e">
        <f t="shared" si="297"/>
        <v>#VALUE!</v>
      </c>
      <c r="O2709" s="247" t="e">
        <f t="shared" si="298"/>
        <v>#VALUE!</v>
      </c>
      <c r="P2709" s="247">
        <f t="shared" si="299"/>
        <v>0</v>
      </c>
      <c r="Q2709" s="247" t="e">
        <f t="shared" si="300"/>
        <v>#VALUE!</v>
      </c>
    </row>
    <row r="2710" spans="1:17" ht="15" customHeight="1" x14ac:dyDescent="0.25">
      <c r="A2710" s="244"/>
      <c r="B2710" s="244"/>
      <c r="C2710" s="244"/>
      <c r="D2710" s="244"/>
      <c r="E2710" s="244"/>
      <c r="F2710" s="244"/>
      <c r="G2710" s="244"/>
      <c r="I2710" s="244"/>
      <c r="J2710" s="244"/>
      <c r="K2710" s="246" t="e">
        <f t="shared" si="294"/>
        <v>#VALUE!</v>
      </c>
      <c r="L2710" s="246" t="e">
        <f t="shared" si="295"/>
        <v>#VALUE!</v>
      </c>
      <c r="M2710" s="247" t="e">
        <f t="shared" si="296"/>
        <v>#VALUE!</v>
      </c>
      <c r="N2710" s="246" t="e">
        <f t="shared" si="297"/>
        <v>#VALUE!</v>
      </c>
      <c r="O2710" s="247" t="e">
        <f t="shared" si="298"/>
        <v>#VALUE!</v>
      </c>
      <c r="P2710" s="247">
        <f t="shared" si="299"/>
        <v>0</v>
      </c>
      <c r="Q2710" s="247" t="e">
        <f t="shared" si="300"/>
        <v>#VALUE!</v>
      </c>
    </row>
    <row r="2711" spans="1:17" ht="15" customHeight="1" x14ac:dyDescent="0.25">
      <c r="A2711" s="244"/>
      <c r="B2711" s="244"/>
      <c r="C2711" s="244"/>
      <c r="D2711" s="244"/>
      <c r="E2711" s="244"/>
      <c r="F2711" s="244"/>
      <c r="G2711" s="244"/>
      <c r="I2711" s="244"/>
      <c r="J2711" s="244"/>
      <c r="K2711" s="246" t="e">
        <f t="shared" si="294"/>
        <v>#VALUE!</v>
      </c>
      <c r="L2711" s="246" t="e">
        <f t="shared" si="295"/>
        <v>#VALUE!</v>
      </c>
      <c r="M2711" s="247" t="e">
        <f t="shared" si="296"/>
        <v>#VALUE!</v>
      </c>
      <c r="N2711" s="246" t="e">
        <f t="shared" si="297"/>
        <v>#VALUE!</v>
      </c>
      <c r="O2711" s="247" t="e">
        <f t="shared" si="298"/>
        <v>#VALUE!</v>
      </c>
      <c r="P2711" s="247">
        <f t="shared" si="299"/>
        <v>0</v>
      </c>
      <c r="Q2711" s="247" t="e">
        <f t="shared" si="300"/>
        <v>#VALUE!</v>
      </c>
    </row>
    <row r="2712" spans="1:17" ht="15" customHeight="1" x14ac:dyDescent="0.25">
      <c r="A2712" s="244"/>
      <c r="B2712" s="244"/>
      <c r="C2712" s="244"/>
      <c r="D2712" s="244"/>
      <c r="E2712" s="244"/>
      <c r="F2712" s="244"/>
      <c r="G2712" s="244"/>
      <c r="I2712" s="244"/>
      <c r="J2712" s="244"/>
      <c r="K2712" s="246" t="e">
        <f t="shared" si="294"/>
        <v>#VALUE!</v>
      </c>
      <c r="L2712" s="246" t="e">
        <f t="shared" si="295"/>
        <v>#VALUE!</v>
      </c>
      <c r="M2712" s="247" t="e">
        <f t="shared" si="296"/>
        <v>#VALUE!</v>
      </c>
      <c r="N2712" s="246" t="e">
        <f t="shared" si="297"/>
        <v>#VALUE!</v>
      </c>
      <c r="O2712" s="247" t="e">
        <f t="shared" si="298"/>
        <v>#VALUE!</v>
      </c>
      <c r="P2712" s="247">
        <f t="shared" si="299"/>
        <v>0</v>
      </c>
      <c r="Q2712" s="247" t="e">
        <f t="shared" si="300"/>
        <v>#VALUE!</v>
      </c>
    </row>
    <row r="2713" spans="1:17" ht="15" customHeight="1" x14ac:dyDescent="0.25">
      <c r="A2713" s="244"/>
      <c r="B2713" s="244"/>
      <c r="C2713" s="244"/>
      <c r="D2713" s="244"/>
      <c r="E2713" s="244"/>
      <c r="F2713" s="244"/>
      <c r="G2713" s="244"/>
      <c r="I2713" s="244"/>
      <c r="J2713" s="244"/>
      <c r="K2713" s="246" t="e">
        <f t="shared" si="294"/>
        <v>#VALUE!</v>
      </c>
      <c r="L2713" s="246" t="e">
        <f t="shared" si="295"/>
        <v>#VALUE!</v>
      </c>
      <c r="M2713" s="247" t="e">
        <f t="shared" si="296"/>
        <v>#VALUE!</v>
      </c>
      <c r="N2713" s="246" t="e">
        <f t="shared" si="297"/>
        <v>#VALUE!</v>
      </c>
      <c r="O2713" s="247" t="e">
        <f t="shared" si="298"/>
        <v>#VALUE!</v>
      </c>
      <c r="P2713" s="247">
        <f t="shared" si="299"/>
        <v>0</v>
      </c>
      <c r="Q2713" s="247" t="e">
        <f t="shared" si="300"/>
        <v>#VALUE!</v>
      </c>
    </row>
    <row r="2714" spans="1:17" ht="15" customHeight="1" x14ac:dyDescent="0.25">
      <c r="A2714" s="244"/>
      <c r="B2714" s="244"/>
      <c r="C2714" s="244"/>
      <c r="D2714" s="244"/>
      <c r="E2714" s="244"/>
      <c r="F2714" s="244"/>
      <c r="G2714" s="244"/>
      <c r="I2714" s="244"/>
      <c r="J2714" s="244"/>
      <c r="K2714" s="246" t="e">
        <f t="shared" si="294"/>
        <v>#VALUE!</v>
      </c>
      <c r="L2714" s="246" t="e">
        <f t="shared" si="295"/>
        <v>#VALUE!</v>
      </c>
      <c r="M2714" s="247" t="e">
        <f t="shared" si="296"/>
        <v>#VALUE!</v>
      </c>
      <c r="N2714" s="246" t="e">
        <f t="shared" si="297"/>
        <v>#VALUE!</v>
      </c>
      <c r="O2714" s="247" t="e">
        <f t="shared" si="298"/>
        <v>#VALUE!</v>
      </c>
      <c r="P2714" s="247">
        <f t="shared" si="299"/>
        <v>0</v>
      </c>
      <c r="Q2714" s="247" t="e">
        <f t="shared" si="300"/>
        <v>#VALUE!</v>
      </c>
    </row>
    <row r="2715" spans="1:17" ht="15" customHeight="1" x14ac:dyDescent="0.25">
      <c r="A2715" s="244"/>
      <c r="B2715" s="244"/>
      <c r="C2715" s="244"/>
      <c r="D2715" s="244"/>
      <c r="E2715" s="244"/>
      <c r="F2715" s="244"/>
      <c r="G2715" s="244"/>
      <c r="I2715" s="244"/>
      <c r="J2715" s="244"/>
      <c r="K2715" s="246" t="e">
        <f t="shared" si="294"/>
        <v>#VALUE!</v>
      </c>
      <c r="L2715" s="246" t="e">
        <f t="shared" si="295"/>
        <v>#VALUE!</v>
      </c>
      <c r="M2715" s="247" t="e">
        <f t="shared" si="296"/>
        <v>#VALUE!</v>
      </c>
      <c r="N2715" s="246" t="e">
        <f t="shared" si="297"/>
        <v>#VALUE!</v>
      </c>
      <c r="O2715" s="247" t="e">
        <f t="shared" si="298"/>
        <v>#VALUE!</v>
      </c>
      <c r="P2715" s="247">
        <f t="shared" si="299"/>
        <v>0</v>
      </c>
      <c r="Q2715" s="247" t="e">
        <f t="shared" si="300"/>
        <v>#VALUE!</v>
      </c>
    </row>
    <row r="2716" spans="1:17" ht="15" customHeight="1" x14ac:dyDescent="0.25">
      <c r="A2716" s="244"/>
      <c r="B2716" s="244"/>
      <c r="C2716" s="244"/>
      <c r="D2716" s="244"/>
      <c r="E2716" s="244"/>
      <c r="F2716" s="244"/>
      <c r="G2716" s="244"/>
      <c r="I2716" s="244"/>
      <c r="J2716" s="244"/>
      <c r="K2716" s="246" t="e">
        <f t="shared" si="294"/>
        <v>#VALUE!</v>
      </c>
      <c r="L2716" s="246" t="e">
        <f t="shared" si="295"/>
        <v>#VALUE!</v>
      </c>
      <c r="M2716" s="247" t="e">
        <f t="shared" si="296"/>
        <v>#VALUE!</v>
      </c>
      <c r="N2716" s="246" t="e">
        <f t="shared" si="297"/>
        <v>#VALUE!</v>
      </c>
      <c r="O2716" s="247" t="e">
        <f t="shared" si="298"/>
        <v>#VALUE!</v>
      </c>
      <c r="P2716" s="247">
        <f t="shared" si="299"/>
        <v>0</v>
      </c>
      <c r="Q2716" s="247" t="e">
        <f t="shared" si="300"/>
        <v>#VALUE!</v>
      </c>
    </row>
    <row r="2717" spans="1:17" ht="15" customHeight="1" x14ac:dyDescent="0.25">
      <c r="A2717" s="244"/>
      <c r="B2717" s="244"/>
      <c r="C2717" s="244"/>
      <c r="D2717" s="244"/>
      <c r="E2717" s="244"/>
      <c r="F2717" s="244"/>
      <c r="G2717" s="244"/>
      <c r="I2717" s="244"/>
      <c r="J2717" s="244"/>
      <c r="K2717" s="246" t="e">
        <f t="shared" si="294"/>
        <v>#VALUE!</v>
      </c>
      <c r="L2717" s="246" t="e">
        <f t="shared" si="295"/>
        <v>#VALUE!</v>
      </c>
      <c r="M2717" s="247" t="e">
        <f t="shared" si="296"/>
        <v>#VALUE!</v>
      </c>
      <c r="N2717" s="246" t="e">
        <f t="shared" si="297"/>
        <v>#VALUE!</v>
      </c>
      <c r="O2717" s="247" t="e">
        <f t="shared" si="298"/>
        <v>#VALUE!</v>
      </c>
      <c r="P2717" s="247">
        <f t="shared" si="299"/>
        <v>0</v>
      </c>
      <c r="Q2717" s="247" t="e">
        <f t="shared" si="300"/>
        <v>#VALUE!</v>
      </c>
    </row>
    <row r="2718" spans="1:17" ht="15" customHeight="1" x14ac:dyDescent="0.25">
      <c r="A2718" s="244"/>
      <c r="B2718" s="244"/>
      <c r="C2718" s="244"/>
      <c r="D2718" s="244"/>
      <c r="E2718" s="244"/>
      <c r="F2718" s="244"/>
      <c r="G2718" s="244"/>
      <c r="I2718" s="244"/>
      <c r="J2718" s="244"/>
      <c r="K2718" s="246" t="e">
        <f t="shared" si="294"/>
        <v>#VALUE!</v>
      </c>
      <c r="L2718" s="246" t="e">
        <f t="shared" si="295"/>
        <v>#VALUE!</v>
      </c>
      <c r="M2718" s="247" t="e">
        <f t="shared" si="296"/>
        <v>#VALUE!</v>
      </c>
      <c r="N2718" s="246" t="e">
        <f t="shared" si="297"/>
        <v>#VALUE!</v>
      </c>
      <c r="O2718" s="247" t="e">
        <f t="shared" si="298"/>
        <v>#VALUE!</v>
      </c>
      <c r="P2718" s="247">
        <f t="shared" si="299"/>
        <v>0</v>
      </c>
      <c r="Q2718" s="247" t="e">
        <f t="shared" si="300"/>
        <v>#VALUE!</v>
      </c>
    </row>
    <row r="2719" spans="1:17" ht="15" customHeight="1" x14ac:dyDescent="0.25">
      <c r="A2719" s="244"/>
      <c r="B2719" s="244"/>
      <c r="C2719" s="244"/>
      <c r="D2719" s="244"/>
      <c r="E2719" s="244"/>
      <c r="F2719" s="244"/>
      <c r="G2719" s="244"/>
      <c r="I2719" s="244"/>
      <c r="J2719" s="244"/>
      <c r="K2719" s="246" t="e">
        <f t="shared" si="294"/>
        <v>#VALUE!</v>
      </c>
      <c r="L2719" s="246" t="e">
        <f t="shared" si="295"/>
        <v>#VALUE!</v>
      </c>
      <c r="M2719" s="247" t="e">
        <f t="shared" si="296"/>
        <v>#VALUE!</v>
      </c>
      <c r="N2719" s="246" t="e">
        <f t="shared" si="297"/>
        <v>#VALUE!</v>
      </c>
      <c r="O2719" s="247" t="e">
        <f t="shared" si="298"/>
        <v>#VALUE!</v>
      </c>
      <c r="P2719" s="247">
        <f t="shared" si="299"/>
        <v>0</v>
      </c>
      <c r="Q2719" s="247" t="e">
        <f t="shared" si="300"/>
        <v>#VALUE!</v>
      </c>
    </row>
    <row r="2720" spans="1:17" ht="15" customHeight="1" x14ac:dyDescent="0.25">
      <c r="A2720" s="244"/>
      <c r="B2720" s="244"/>
      <c r="C2720" s="244"/>
      <c r="D2720" s="244"/>
      <c r="E2720" s="244"/>
      <c r="F2720" s="244"/>
      <c r="G2720" s="244"/>
      <c r="I2720" s="244"/>
      <c r="J2720" s="244"/>
      <c r="K2720" s="246" t="e">
        <f t="shared" si="294"/>
        <v>#VALUE!</v>
      </c>
      <c r="L2720" s="246" t="e">
        <f t="shared" si="295"/>
        <v>#VALUE!</v>
      </c>
      <c r="M2720" s="247" t="e">
        <f t="shared" si="296"/>
        <v>#VALUE!</v>
      </c>
      <c r="N2720" s="246" t="e">
        <f t="shared" si="297"/>
        <v>#VALUE!</v>
      </c>
      <c r="O2720" s="247" t="e">
        <f t="shared" si="298"/>
        <v>#VALUE!</v>
      </c>
      <c r="P2720" s="247">
        <f t="shared" si="299"/>
        <v>0</v>
      </c>
      <c r="Q2720" s="247" t="e">
        <f t="shared" si="300"/>
        <v>#VALUE!</v>
      </c>
    </row>
    <row r="2721" spans="1:17" ht="15" customHeight="1" x14ac:dyDescent="0.25">
      <c r="A2721" s="244"/>
      <c r="B2721" s="244"/>
      <c r="C2721" s="244"/>
      <c r="D2721" s="244"/>
      <c r="E2721" s="244"/>
      <c r="F2721" s="244"/>
      <c r="G2721" s="244"/>
      <c r="I2721" s="244"/>
      <c r="J2721" s="244"/>
      <c r="K2721" s="246" t="e">
        <f t="shared" si="294"/>
        <v>#VALUE!</v>
      </c>
      <c r="L2721" s="246" t="e">
        <f t="shared" si="295"/>
        <v>#VALUE!</v>
      </c>
      <c r="M2721" s="247" t="e">
        <f t="shared" si="296"/>
        <v>#VALUE!</v>
      </c>
      <c r="N2721" s="246" t="e">
        <f t="shared" si="297"/>
        <v>#VALUE!</v>
      </c>
      <c r="O2721" s="247" t="e">
        <f t="shared" si="298"/>
        <v>#VALUE!</v>
      </c>
      <c r="P2721" s="247">
        <f t="shared" si="299"/>
        <v>0</v>
      </c>
      <c r="Q2721" s="247" t="e">
        <f t="shared" si="300"/>
        <v>#VALUE!</v>
      </c>
    </row>
    <row r="2722" spans="1:17" ht="15" customHeight="1" x14ac:dyDescent="0.25">
      <c r="A2722" s="244"/>
      <c r="B2722" s="244"/>
      <c r="C2722" s="244"/>
      <c r="D2722" s="244"/>
      <c r="E2722" s="244"/>
      <c r="F2722" s="244"/>
      <c r="G2722" s="244"/>
      <c r="I2722" s="244"/>
      <c r="J2722" s="244"/>
      <c r="K2722" s="246" t="e">
        <f t="shared" si="294"/>
        <v>#VALUE!</v>
      </c>
      <c r="L2722" s="246" t="e">
        <f t="shared" si="295"/>
        <v>#VALUE!</v>
      </c>
      <c r="M2722" s="247" t="e">
        <f t="shared" si="296"/>
        <v>#VALUE!</v>
      </c>
      <c r="N2722" s="246" t="e">
        <f t="shared" si="297"/>
        <v>#VALUE!</v>
      </c>
      <c r="O2722" s="247" t="e">
        <f t="shared" si="298"/>
        <v>#VALUE!</v>
      </c>
      <c r="P2722" s="247">
        <f t="shared" si="299"/>
        <v>0</v>
      </c>
      <c r="Q2722" s="247" t="e">
        <f t="shared" si="300"/>
        <v>#VALUE!</v>
      </c>
    </row>
    <row r="2723" spans="1:17" ht="15" customHeight="1" x14ac:dyDescent="0.25">
      <c r="A2723" s="244"/>
      <c r="B2723" s="244"/>
      <c r="C2723" s="244"/>
      <c r="D2723" s="244"/>
      <c r="E2723" s="244"/>
      <c r="F2723" s="244"/>
      <c r="G2723" s="244"/>
      <c r="I2723" s="244"/>
      <c r="J2723" s="244"/>
      <c r="K2723" s="246" t="e">
        <f t="shared" si="294"/>
        <v>#VALUE!</v>
      </c>
      <c r="L2723" s="246" t="e">
        <f t="shared" si="295"/>
        <v>#VALUE!</v>
      </c>
      <c r="M2723" s="247" t="e">
        <f t="shared" si="296"/>
        <v>#VALUE!</v>
      </c>
      <c r="N2723" s="246" t="e">
        <f t="shared" si="297"/>
        <v>#VALUE!</v>
      </c>
      <c r="O2723" s="247" t="e">
        <f t="shared" si="298"/>
        <v>#VALUE!</v>
      </c>
      <c r="P2723" s="247">
        <f t="shared" si="299"/>
        <v>0</v>
      </c>
      <c r="Q2723" s="247" t="e">
        <f t="shared" si="300"/>
        <v>#VALUE!</v>
      </c>
    </row>
    <row r="2724" spans="1:17" ht="15" customHeight="1" x14ac:dyDescent="0.25">
      <c r="A2724" s="244"/>
      <c r="B2724" s="244"/>
      <c r="C2724" s="244"/>
      <c r="D2724" s="244"/>
      <c r="E2724" s="244"/>
      <c r="F2724" s="244"/>
      <c r="G2724" s="244"/>
      <c r="I2724" s="244"/>
      <c r="J2724" s="244"/>
      <c r="K2724" s="246" t="e">
        <f t="shared" si="294"/>
        <v>#VALUE!</v>
      </c>
      <c r="L2724" s="246" t="e">
        <f t="shared" si="295"/>
        <v>#VALUE!</v>
      </c>
      <c r="M2724" s="247" t="e">
        <f t="shared" si="296"/>
        <v>#VALUE!</v>
      </c>
      <c r="N2724" s="246" t="e">
        <f t="shared" si="297"/>
        <v>#VALUE!</v>
      </c>
      <c r="O2724" s="247" t="e">
        <f t="shared" si="298"/>
        <v>#VALUE!</v>
      </c>
      <c r="P2724" s="247">
        <f t="shared" si="299"/>
        <v>0</v>
      </c>
      <c r="Q2724" s="247" t="e">
        <f t="shared" si="300"/>
        <v>#VALUE!</v>
      </c>
    </row>
    <row r="2725" spans="1:17" ht="15" customHeight="1" x14ac:dyDescent="0.25">
      <c r="A2725" s="244"/>
      <c r="B2725" s="244"/>
      <c r="C2725" s="244"/>
      <c r="D2725" s="244"/>
      <c r="E2725" s="244"/>
      <c r="F2725" s="244"/>
      <c r="G2725" s="244"/>
      <c r="I2725" s="244"/>
      <c r="J2725" s="244"/>
      <c r="K2725" s="246" t="e">
        <f t="shared" si="294"/>
        <v>#VALUE!</v>
      </c>
      <c r="L2725" s="246" t="e">
        <f t="shared" si="295"/>
        <v>#VALUE!</v>
      </c>
      <c r="M2725" s="247" t="e">
        <f t="shared" si="296"/>
        <v>#VALUE!</v>
      </c>
      <c r="N2725" s="246" t="e">
        <f t="shared" si="297"/>
        <v>#VALUE!</v>
      </c>
      <c r="O2725" s="247" t="e">
        <f t="shared" si="298"/>
        <v>#VALUE!</v>
      </c>
      <c r="P2725" s="247">
        <f t="shared" si="299"/>
        <v>0</v>
      </c>
      <c r="Q2725" s="247" t="e">
        <f t="shared" si="300"/>
        <v>#VALUE!</v>
      </c>
    </row>
    <row r="2726" spans="1:17" ht="15" customHeight="1" x14ac:dyDescent="0.25">
      <c r="A2726" s="244"/>
      <c r="B2726" s="244"/>
      <c r="C2726" s="244"/>
      <c r="D2726" s="244"/>
      <c r="E2726" s="244"/>
      <c r="F2726" s="244"/>
      <c r="G2726" s="244"/>
      <c r="I2726" s="244"/>
      <c r="J2726" s="244"/>
      <c r="K2726" s="246" t="e">
        <f t="shared" si="294"/>
        <v>#VALUE!</v>
      </c>
      <c r="L2726" s="246" t="e">
        <f t="shared" si="295"/>
        <v>#VALUE!</v>
      </c>
      <c r="M2726" s="247" t="e">
        <f t="shared" si="296"/>
        <v>#VALUE!</v>
      </c>
      <c r="N2726" s="246" t="e">
        <f t="shared" si="297"/>
        <v>#VALUE!</v>
      </c>
      <c r="O2726" s="247" t="e">
        <f t="shared" si="298"/>
        <v>#VALUE!</v>
      </c>
      <c r="P2726" s="247">
        <f t="shared" si="299"/>
        <v>0</v>
      </c>
      <c r="Q2726" s="247" t="e">
        <f t="shared" si="300"/>
        <v>#VALUE!</v>
      </c>
    </row>
    <row r="2727" spans="1:17" ht="15" customHeight="1" x14ac:dyDescent="0.25">
      <c r="A2727" s="244"/>
      <c r="B2727" s="244"/>
      <c r="C2727" s="244"/>
      <c r="D2727" s="244"/>
      <c r="E2727" s="244"/>
      <c r="F2727" s="244"/>
      <c r="G2727" s="244"/>
      <c r="I2727" s="244"/>
      <c r="J2727" s="244"/>
      <c r="K2727" s="246" t="e">
        <f t="shared" si="294"/>
        <v>#VALUE!</v>
      </c>
      <c r="L2727" s="246" t="e">
        <f t="shared" si="295"/>
        <v>#VALUE!</v>
      </c>
      <c r="M2727" s="247" t="e">
        <f t="shared" si="296"/>
        <v>#VALUE!</v>
      </c>
      <c r="N2727" s="246" t="e">
        <f t="shared" si="297"/>
        <v>#VALUE!</v>
      </c>
      <c r="O2727" s="247" t="e">
        <f t="shared" si="298"/>
        <v>#VALUE!</v>
      </c>
      <c r="P2727" s="247">
        <f t="shared" si="299"/>
        <v>0</v>
      </c>
      <c r="Q2727" s="247" t="e">
        <f t="shared" si="300"/>
        <v>#VALUE!</v>
      </c>
    </row>
    <row r="2728" spans="1:17" ht="15" customHeight="1" x14ac:dyDescent="0.25">
      <c r="A2728" s="244"/>
      <c r="B2728" s="244"/>
      <c r="C2728" s="244"/>
      <c r="D2728" s="244"/>
      <c r="E2728" s="244"/>
      <c r="F2728" s="244"/>
      <c r="G2728" s="244"/>
      <c r="I2728" s="244"/>
      <c r="J2728" s="244"/>
      <c r="K2728" s="246" t="e">
        <f t="shared" si="294"/>
        <v>#VALUE!</v>
      </c>
      <c r="L2728" s="246" t="e">
        <f t="shared" si="295"/>
        <v>#VALUE!</v>
      </c>
      <c r="M2728" s="247" t="e">
        <f t="shared" si="296"/>
        <v>#VALUE!</v>
      </c>
      <c r="N2728" s="246" t="e">
        <f t="shared" si="297"/>
        <v>#VALUE!</v>
      </c>
      <c r="O2728" s="247" t="e">
        <f t="shared" si="298"/>
        <v>#VALUE!</v>
      </c>
      <c r="P2728" s="247">
        <f t="shared" si="299"/>
        <v>0</v>
      </c>
      <c r="Q2728" s="247" t="e">
        <f t="shared" si="300"/>
        <v>#VALUE!</v>
      </c>
    </row>
    <row r="2729" spans="1:17" ht="15" customHeight="1" x14ac:dyDescent="0.25">
      <c r="A2729" s="244"/>
      <c r="B2729" s="244"/>
      <c r="C2729" s="244"/>
      <c r="D2729" s="244"/>
      <c r="E2729" s="244"/>
      <c r="F2729" s="244"/>
      <c r="G2729" s="244"/>
      <c r="I2729" s="244"/>
      <c r="J2729" s="244"/>
      <c r="K2729" s="246" t="e">
        <f t="shared" si="294"/>
        <v>#VALUE!</v>
      </c>
      <c r="L2729" s="246" t="e">
        <f t="shared" si="295"/>
        <v>#VALUE!</v>
      </c>
      <c r="M2729" s="247" t="e">
        <f t="shared" si="296"/>
        <v>#VALUE!</v>
      </c>
      <c r="N2729" s="246" t="e">
        <f t="shared" si="297"/>
        <v>#VALUE!</v>
      </c>
      <c r="O2729" s="247" t="e">
        <f t="shared" si="298"/>
        <v>#VALUE!</v>
      </c>
      <c r="P2729" s="247">
        <f t="shared" si="299"/>
        <v>0</v>
      </c>
      <c r="Q2729" s="247" t="e">
        <f t="shared" si="300"/>
        <v>#VALUE!</v>
      </c>
    </row>
    <row r="2730" spans="1:17" ht="15" customHeight="1" x14ac:dyDescent="0.25">
      <c r="A2730" s="244"/>
      <c r="B2730" s="244"/>
      <c r="C2730" s="244"/>
      <c r="D2730" s="244"/>
      <c r="E2730" s="244"/>
      <c r="F2730" s="244"/>
      <c r="G2730" s="244"/>
      <c r="I2730" s="244"/>
      <c r="J2730" s="244"/>
      <c r="K2730" s="246" t="e">
        <f t="shared" si="294"/>
        <v>#VALUE!</v>
      </c>
      <c r="L2730" s="246" t="e">
        <f t="shared" si="295"/>
        <v>#VALUE!</v>
      </c>
      <c r="M2730" s="247" t="e">
        <f t="shared" si="296"/>
        <v>#VALUE!</v>
      </c>
      <c r="N2730" s="246" t="e">
        <f t="shared" si="297"/>
        <v>#VALUE!</v>
      </c>
      <c r="O2730" s="247" t="e">
        <f t="shared" si="298"/>
        <v>#VALUE!</v>
      </c>
      <c r="P2730" s="247">
        <f t="shared" si="299"/>
        <v>0</v>
      </c>
      <c r="Q2730" s="247" t="e">
        <f t="shared" si="300"/>
        <v>#VALUE!</v>
      </c>
    </row>
    <row r="2731" spans="1:17" ht="15" customHeight="1" x14ac:dyDescent="0.25">
      <c r="A2731" s="244"/>
      <c r="B2731" s="244"/>
      <c r="C2731" s="244"/>
      <c r="D2731" s="244"/>
      <c r="E2731" s="244"/>
      <c r="F2731" s="244"/>
      <c r="G2731" s="244"/>
      <c r="I2731" s="244"/>
      <c r="J2731" s="244"/>
      <c r="K2731" s="246" t="e">
        <f t="shared" si="294"/>
        <v>#VALUE!</v>
      </c>
      <c r="L2731" s="246" t="e">
        <f t="shared" si="295"/>
        <v>#VALUE!</v>
      </c>
      <c r="M2731" s="247" t="e">
        <f t="shared" si="296"/>
        <v>#VALUE!</v>
      </c>
      <c r="N2731" s="246" t="e">
        <f t="shared" si="297"/>
        <v>#VALUE!</v>
      </c>
      <c r="O2731" s="247" t="e">
        <f t="shared" si="298"/>
        <v>#VALUE!</v>
      </c>
      <c r="P2731" s="247">
        <f t="shared" si="299"/>
        <v>0</v>
      </c>
      <c r="Q2731" s="247" t="e">
        <f t="shared" si="300"/>
        <v>#VALUE!</v>
      </c>
    </row>
    <row r="2732" spans="1:17" ht="15" customHeight="1" x14ac:dyDescent="0.25">
      <c r="A2732" s="244"/>
      <c r="B2732" s="244"/>
      <c r="C2732" s="244"/>
      <c r="D2732" s="244"/>
      <c r="E2732" s="244"/>
      <c r="F2732" s="244"/>
      <c r="G2732" s="244"/>
      <c r="I2732" s="244"/>
      <c r="J2732" s="244"/>
      <c r="K2732" s="246" t="e">
        <f t="shared" si="294"/>
        <v>#VALUE!</v>
      </c>
      <c r="L2732" s="246" t="e">
        <f t="shared" si="295"/>
        <v>#VALUE!</v>
      </c>
      <c r="M2732" s="247" t="e">
        <f t="shared" si="296"/>
        <v>#VALUE!</v>
      </c>
      <c r="N2732" s="246" t="e">
        <f t="shared" si="297"/>
        <v>#VALUE!</v>
      </c>
      <c r="O2732" s="247" t="e">
        <f t="shared" si="298"/>
        <v>#VALUE!</v>
      </c>
      <c r="P2732" s="247">
        <f t="shared" si="299"/>
        <v>0</v>
      </c>
      <c r="Q2732" s="247" t="e">
        <f t="shared" si="300"/>
        <v>#VALUE!</v>
      </c>
    </row>
    <row r="2733" spans="1:17" ht="15" customHeight="1" x14ac:dyDescent="0.25">
      <c r="A2733" s="244"/>
      <c r="B2733" s="244"/>
      <c r="C2733" s="244"/>
      <c r="D2733" s="244"/>
      <c r="E2733" s="244"/>
      <c r="F2733" s="244"/>
      <c r="G2733" s="244"/>
      <c r="I2733" s="244"/>
      <c r="J2733" s="244"/>
      <c r="K2733" s="246" t="e">
        <f t="shared" si="294"/>
        <v>#VALUE!</v>
      </c>
      <c r="L2733" s="246" t="e">
        <f t="shared" si="295"/>
        <v>#VALUE!</v>
      </c>
      <c r="M2733" s="247" t="e">
        <f t="shared" si="296"/>
        <v>#VALUE!</v>
      </c>
      <c r="N2733" s="246" t="e">
        <f t="shared" si="297"/>
        <v>#VALUE!</v>
      </c>
      <c r="O2733" s="247" t="e">
        <f t="shared" si="298"/>
        <v>#VALUE!</v>
      </c>
      <c r="P2733" s="247">
        <f t="shared" si="299"/>
        <v>0</v>
      </c>
      <c r="Q2733" s="247" t="e">
        <f t="shared" si="300"/>
        <v>#VALUE!</v>
      </c>
    </row>
    <row r="2734" spans="1:17" ht="15" customHeight="1" x14ac:dyDescent="0.25">
      <c r="A2734" s="244"/>
      <c r="B2734" s="244"/>
      <c r="C2734" s="244"/>
      <c r="D2734" s="244"/>
      <c r="E2734" s="244"/>
      <c r="F2734" s="244"/>
      <c r="G2734" s="244"/>
      <c r="I2734" s="244"/>
      <c r="J2734" s="244"/>
      <c r="K2734" s="246" t="e">
        <f t="shared" si="294"/>
        <v>#VALUE!</v>
      </c>
      <c r="L2734" s="246" t="e">
        <f t="shared" si="295"/>
        <v>#VALUE!</v>
      </c>
      <c r="M2734" s="247" t="e">
        <f t="shared" si="296"/>
        <v>#VALUE!</v>
      </c>
      <c r="N2734" s="246" t="e">
        <f t="shared" si="297"/>
        <v>#VALUE!</v>
      </c>
      <c r="O2734" s="247" t="e">
        <f t="shared" si="298"/>
        <v>#VALUE!</v>
      </c>
      <c r="P2734" s="247">
        <f t="shared" si="299"/>
        <v>0</v>
      </c>
      <c r="Q2734" s="247" t="e">
        <f t="shared" si="300"/>
        <v>#VALUE!</v>
      </c>
    </row>
    <row r="2735" spans="1:17" ht="15" customHeight="1" x14ac:dyDescent="0.25">
      <c r="A2735" s="244"/>
      <c r="B2735" s="244"/>
      <c r="C2735" s="244"/>
      <c r="D2735" s="244"/>
      <c r="E2735" s="244"/>
      <c r="F2735" s="244"/>
      <c r="G2735" s="244"/>
      <c r="I2735" s="244"/>
      <c r="J2735" s="244"/>
      <c r="K2735" s="246" t="e">
        <f t="shared" si="294"/>
        <v>#VALUE!</v>
      </c>
      <c r="L2735" s="246" t="e">
        <f t="shared" si="295"/>
        <v>#VALUE!</v>
      </c>
      <c r="M2735" s="247" t="e">
        <f t="shared" si="296"/>
        <v>#VALUE!</v>
      </c>
      <c r="N2735" s="246" t="e">
        <f t="shared" si="297"/>
        <v>#VALUE!</v>
      </c>
      <c r="O2735" s="247" t="e">
        <f t="shared" si="298"/>
        <v>#VALUE!</v>
      </c>
      <c r="P2735" s="247">
        <f t="shared" si="299"/>
        <v>0</v>
      </c>
      <c r="Q2735" s="247" t="e">
        <f t="shared" si="300"/>
        <v>#VALUE!</v>
      </c>
    </row>
    <row r="2736" spans="1:17" ht="15" customHeight="1" x14ac:dyDescent="0.25">
      <c r="A2736" s="244"/>
      <c r="B2736" s="244"/>
      <c r="C2736" s="244"/>
      <c r="D2736" s="244"/>
      <c r="E2736" s="244"/>
      <c r="F2736" s="244"/>
      <c r="G2736" s="244"/>
      <c r="I2736" s="244"/>
      <c r="J2736" s="244"/>
      <c r="K2736" s="246" t="e">
        <f t="shared" si="294"/>
        <v>#VALUE!</v>
      </c>
      <c r="L2736" s="246" t="e">
        <f t="shared" si="295"/>
        <v>#VALUE!</v>
      </c>
      <c r="M2736" s="247" t="e">
        <f t="shared" si="296"/>
        <v>#VALUE!</v>
      </c>
      <c r="N2736" s="246" t="e">
        <f t="shared" si="297"/>
        <v>#VALUE!</v>
      </c>
      <c r="O2736" s="247" t="e">
        <f t="shared" si="298"/>
        <v>#VALUE!</v>
      </c>
      <c r="P2736" s="247">
        <f t="shared" si="299"/>
        <v>0</v>
      </c>
      <c r="Q2736" s="247" t="e">
        <f t="shared" si="300"/>
        <v>#VALUE!</v>
      </c>
    </row>
    <row r="2737" spans="1:17" ht="15" customHeight="1" x14ac:dyDescent="0.25">
      <c r="A2737" s="244"/>
      <c r="B2737" s="244"/>
      <c r="C2737" s="244"/>
      <c r="D2737" s="244"/>
      <c r="E2737" s="244"/>
      <c r="F2737" s="244"/>
      <c r="G2737" s="244"/>
      <c r="I2737" s="244"/>
      <c r="J2737" s="244"/>
      <c r="K2737" s="246" t="e">
        <f t="shared" si="294"/>
        <v>#VALUE!</v>
      </c>
      <c r="L2737" s="246" t="e">
        <f t="shared" si="295"/>
        <v>#VALUE!</v>
      </c>
      <c r="M2737" s="247" t="e">
        <f t="shared" si="296"/>
        <v>#VALUE!</v>
      </c>
      <c r="N2737" s="246" t="e">
        <f t="shared" si="297"/>
        <v>#VALUE!</v>
      </c>
      <c r="O2737" s="247" t="e">
        <f t="shared" si="298"/>
        <v>#VALUE!</v>
      </c>
      <c r="P2737" s="247">
        <f t="shared" si="299"/>
        <v>0</v>
      </c>
      <c r="Q2737" s="247" t="e">
        <f t="shared" si="300"/>
        <v>#VALUE!</v>
      </c>
    </row>
    <row r="2738" spans="1:17" ht="15" customHeight="1" x14ac:dyDescent="0.25">
      <c r="A2738" s="244"/>
      <c r="B2738" s="244"/>
      <c r="C2738" s="244"/>
      <c r="D2738" s="244"/>
      <c r="E2738" s="244"/>
      <c r="F2738" s="244"/>
      <c r="G2738" s="244"/>
      <c r="I2738" s="244"/>
      <c r="J2738" s="244"/>
      <c r="K2738" s="246" t="e">
        <f t="shared" si="294"/>
        <v>#VALUE!</v>
      </c>
      <c r="L2738" s="246" t="e">
        <f t="shared" si="295"/>
        <v>#VALUE!</v>
      </c>
      <c r="M2738" s="247" t="e">
        <f t="shared" si="296"/>
        <v>#VALUE!</v>
      </c>
      <c r="N2738" s="246" t="e">
        <f t="shared" si="297"/>
        <v>#VALUE!</v>
      </c>
      <c r="O2738" s="247" t="e">
        <f t="shared" si="298"/>
        <v>#VALUE!</v>
      </c>
      <c r="P2738" s="247">
        <f t="shared" si="299"/>
        <v>0</v>
      </c>
      <c r="Q2738" s="247" t="e">
        <f t="shared" si="300"/>
        <v>#VALUE!</v>
      </c>
    </row>
    <row r="2739" spans="1:17" ht="15" customHeight="1" x14ac:dyDescent="0.25">
      <c r="A2739" s="244"/>
      <c r="B2739" s="244"/>
      <c r="C2739" s="244"/>
      <c r="D2739" s="244"/>
      <c r="E2739" s="244"/>
      <c r="F2739" s="244"/>
      <c r="G2739" s="244"/>
      <c r="I2739" s="244"/>
      <c r="J2739" s="244"/>
      <c r="K2739" s="246" t="e">
        <f t="shared" si="294"/>
        <v>#VALUE!</v>
      </c>
      <c r="L2739" s="246" t="e">
        <f t="shared" si="295"/>
        <v>#VALUE!</v>
      </c>
      <c r="M2739" s="247" t="e">
        <f t="shared" si="296"/>
        <v>#VALUE!</v>
      </c>
      <c r="N2739" s="246" t="e">
        <f t="shared" si="297"/>
        <v>#VALUE!</v>
      </c>
      <c r="O2739" s="247" t="e">
        <f t="shared" si="298"/>
        <v>#VALUE!</v>
      </c>
      <c r="P2739" s="247">
        <f t="shared" si="299"/>
        <v>0</v>
      </c>
      <c r="Q2739" s="247" t="e">
        <f t="shared" si="300"/>
        <v>#VALUE!</v>
      </c>
    </row>
    <row r="2740" spans="1:17" ht="15" customHeight="1" x14ac:dyDescent="0.25">
      <c r="A2740" s="244"/>
      <c r="B2740" s="244"/>
      <c r="C2740" s="244"/>
      <c r="D2740" s="244"/>
      <c r="E2740" s="244"/>
      <c r="F2740" s="244"/>
      <c r="G2740" s="244"/>
      <c r="I2740" s="244"/>
      <c r="J2740" s="244"/>
      <c r="K2740" s="246" t="e">
        <f t="shared" si="294"/>
        <v>#VALUE!</v>
      </c>
      <c r="L2740" s="246" t="e">
        <f t="shared" si="295"/>
        <v>#VALUE!</v>
      </c>
      <c r="M2740" s="247" t="e">
        <f t="shared" si="296"/>
        <v>#VALUE!</v>
      </c>
      <c r="N2740" s="246" t="e">
        <f t="shared" si="297"/>
        <v>#VALUE!</v>
      </c>
      <c r="O2740" s="247" t="e">
        <f t="shared" si="298"/>
        <v>#VALUE!</v>
      </c>
      <c r="P2740" s="247">
        <f t="shared" si="299"/>
        <v>0</v>
      </c>
      <c r="Q2740" s="247" t="e">
        <f t="shared" si="300"/>
        <v>#VALUE!</v>
      </c>
    </row>
    <row r="2741" spans="1:17" ht="15" customHeight="1" x14ac:dyDescent="0.25">
      <c r="A2741" s="244"/>
      <c r="B2741" s="244"/>
      <c r="C2741" s="244"/>
      <c r="D2741" s="244"/>
      <c r="E2741" s="244"/>
      <c r="F2741" s="244"/>
      <c r="G2741" s="244"/>
      <c r="I2741" s="244"/>
      <c r="J2741" s="244"/>
      <c r="K2741" s="246" t="e">
        <f t="shared" si="294"/>
        <v>#VALUE!</v>
      </c>
      <c r="L2741" s="246" t="e">
        <f t="shared" si="295"/>
        <v>#VALUE!</v>
      </c>
      <c r="M2741" s="247" t="e">
        <f t="shared" si="296"/>
        <v>#VALUE!</v>
      </c>
      <c r="N2741" s="246" t="e">
        <f t="shared" si="297"/>
        <v>#VALUE!</v>
      </c>
      <c r="O2741" s="247" t="e">
        <f t="shared" si="298"/>
        <v>#VALUE!</v>
      </c>
      <c r="P2741" s="247">
        <f t="shared" si="299"/>
        <v>0</v>
      </c>
      <c r="Q2741" s="247" t="e">
        <f t="shared" si="300"/>
        <v>#VALUE!</v>
      </c>
    </row>
    <row r="2742" spans="1:17" ht="15" customHeight="1" x14ac:dyDescent="0.25">
      <c r="A2742" s="244"/>
      <c r="B2742" s="244"/>
      <c r="C2742" s="244"/>
      <c r="D2742" s="244"/>
      <c r="E2742" s="244"/>
      <c r="F2742" s="244"/>
      <c r="G2742" s="244"/>
      <c r="I2742" s="244"/>
      <c r="J2742" s="244"/>
      <c r="K2742" s="246" t="e">
        <f t="shared" si="294"/>
        <v>#VALUE!</v>
      </c>
      <c r="L2742" s="246" t="e">
        <f t="shared" si="295"/>
        <v>#VALUE!</v>
      </c>
      <c r="M2742" s="247" t="e">
        <f t="shared" si="296"/>
        <v>#VALUE!</v>
      </c>
      <c r="N2742" s="246" t="e">
        <f t="shared" si="297"/>
        <v>#VALUE!</v>
      </c>
      <c r="O2742" s="247" t="e">
        <f t="shared" si="298"/>
        <v>#VALUE!</v>
      </c>
      <c r="P2742" s="247">
        <f t="shared" si="299"/>
        <v>0</v>
      </c>
      <c r="Q2742" s="247" t="e">
        <f t="shared" si="300"/>
        <v>#VALUE!</v>
      </c>
    </row>
    <row r="2743" spans="1:17" ht="15" customHeight="1" x14ac:dyDescent="0.25">
      <c r="A2743" s="244"/>
      <c r="B2743" s="244"/>
      <c r="C2743" s="244"/>
      <c r="D2743" s="244"/>
      <c r="E2743" s="244"/>
      <c r="F2743" s="244"/>
      <c r="G2743" s="244"/>
      <c r="I2743" s="244"/>
      <c r="J2743" s="244"/>
      <c r="K2743" s="246" t="e">
        <f t="shared" si="294"/>
        <v>#VALUE!</v>
      </c>
      <c r="L2743" s="246" t="e">
        <f t="shared" si="295"/>
        <v>#VALUE!</v>
      </c>
      <c r="M2743" s="247" t="e">
        <f t="shared" si="296"/>
        <v>#VALUE!</v>
      </c>
      <c r="N2743" s="246" t="e">
        <f t="shared" si="297"/>
        <v>#VALUE!</v>
      </c>
      <c r="O2743" s="247" t="e">
        <f t="shared" si="298"/>
        <v>#VALUE!</v>
      </c>
      <c r="P2743" s="247">
        <f t="shared" si="299"/>
        <v>0</v>
      </c>
      <c r="Q2743" s="247" t="e">
        <f t="shared" si="300"/>
        <v>#VALUE!</v>
      </c>
    </row>
    <row r="2744" spans="1:17" ht="15" customHeight="1" x14ac:dyDescent="0.25">
      <c r="A2744" s="244"/>
      <c r="B2744" s="244"/>
      <c r="C2744" s="244"/>
      <c r="D2744" s="244"/>
      <c r="E2744" s="244"/>
      <c r="F2744" s="244"/>
      <c r="G2744" s="244"/>
      <c r="I2744" s="244"/>
      <c r="J2744" s="244"/>
      <c r="K2744" s="246" t="e">
        <f t="shared" si="294"/>
        <v>#VALUE!</v>
      </c>
      <c r="L2744" s="246" t="e">
        <f t="shared" si="295"/>
        <v>#VALUE!</v>
      </c>
      <c r="M2744" s="247" t="e">
        <f t="shared" si="296"/>
        <v>#VALUE!</v>
      </c>
      <c r="N2744" s="246" t="e">
        <f t="shared" si="297"/>
        <v>#VALUE!</v>
      </c>
      <c r="O2744" s="247" t="e">
        <f t="shared" si="298"/>
        <v>#VALUE!</v>
      </c>
      <c r="P2744" s="247">
        <f t="shared" si="299"/>
        <v>0</v>
      </c>
      <c r="Q2744" s="247" t="e">
        <f t="shared" si="300"/>
        <v>#VALUE!</v>
      </c>
    </row>
    <row r="2745" spans="1:17" ht="15" customHeight="1" x14ac:dyDescent="0.25">
      <c r="A2745" s="244"/>
      <c r="B2745" s="244"/>
      <c r="C2745" s="244"/>
      <c r="D2745" s="244"/>
      <c r="E2745" s="244"/>
      <c r="F2745" s="244"/>
      <c r="G2745" s="244"/>
      <c r="I2745" s="244"/>
      <c r="J2745" s="244"/>
      <c r="K2745" s="246" t="e">
        <f t="shared" si="294"/>
        <v>#VALUE!</v>
      </c>
      <c r="L2745" s="246" t="e">
        <f t="shared" si="295"/>
        <v>#VALUE!</v>
      </c>
      <c r="M2745" s="247" t="e">
        <f t="shared" si="296"/>
        <v>#VALUE!</v>
      </c>
      <c r="N2745" s="246" t="e">
        <f t="shared" si="297"/>
        <v>#VALUE!</v>
      </c>
      <c r="O2745" s="247" t="e">
        <f t="shared" si="298"/>
        <v>#VALUE!</v>
      </c>
      <c r="P2745" s="247">
        <f t="shared" si="299"/>
        <v>0</v>
      </c>
      <c r="Q2745" s="247" t="e">
        <f t="shared" si="300"/>
        <v>#VALUE!</v>
      </c>
    </row>
    <row r="2746" spans="1:17" ht="15" customHeight="1" x14ac:dyDescent="0.25">
      <c r="A2746" s="244"/>
      <c r="B2746" s="244"/>
      <c r="C2746" s="244"/>
      <c r="D2746" s="244"/>
      <c r="E2746" s="244"/>
      <c r="F2746" s="244"/>
      <c r="G2746" s="244"/>
      <c r="I2746" s="244"/>
      <c r="J2746" s="244"/>
      <c r="K2746" s="246" t="e">
        <f t="shared" si="294"/>
        <v>#VALUE!</v>
      </c>
      <c r="L2746" s="246" t="e">
        <f t="shared" si="295"/>
        <v>#VALUE!</v>
      </c>
      <c r="M2746" s="247" t="e">
        <f t="shared" si="296"/>
        <v>#VALUE!</v>
      </c>
      <c r="N2746" s="246" t="e">
        <f t="shared" si="297"/>
        <v>#VALUE!</v>
      </c>
      <c r="O2746" s="247" t="e">
        <f t="shared" si="298"/>
        <v>#VALUE!</v>
      </c>
      <c r="P2746" s="247">
        <f t="shared" si="299"/>
        <v>0</v>
      </c>
      <c r="Q2746" s="247" t="e">
        <f t="shared" si="300"/>
        <v>#VALUE!</v>
      </c>
    </row>
    <row r="2747" spans="1:17" ht="15" customHeight="1" x14ac:dyDescent="0.25">
      <c r="A2747" s="244"/>
      <c r="B2747" s="244"/>
      <c r="C2747" s="244"/>
      <c r="D2747" s="244"/>
      <c r="E2747" s="244"/>
      <c r="F2747" s="244"/>
      <c r="G2747" s="244"/>
      <c r="I2747" s="244"/>
      <c r="J2747" s="244"/>
      <c r="K2747" s="246" t="e">
        <f t="shared" si="294"/>
        <v>#VALUE!</v>
      </c>
      <c r="L2747" s="246" t="e">
        <f t="shared" si="295"/>
        <v>#VALUE!</v>
      </c>
      <c r="M2747" s="247" t="e">
        <f t="shared" si="296"/>
        <v>#VALUE!</v>
      </c>
      <c r="N2747" s="246" t="e">
        <f t="shared" si="297"/>
        <v>#VALUE!</v>
      </c>
      <c r="O2747" s="247" t="e">
        <f t="shared" si="298"/>
        <v>#VALUE!</v>
      </c>
      <c r="P2747" s="247">
        <f t="shared" si="299"/>
        <v>0</v>
      </c>
      <c r="Q2747" s="247" t="e">
        <f t="shared" si="300"/>
        <v>#VALUE!</v>
      </c>
    </row>
    <row r="2748" spans="1:17" ht="15" customHeight="1" x14ac:dyDescent="0.25">
      <c r="A2748" s="244"/>
      <c r="B2748" s="244"/>
      <c r="C2748" s="244"/>
      <c r="D2748" s="244"/>
      <c r="E2748" s="244"/>
      <c r="F2748" s="244"/>
      <c r="G2748" s="244"/>
      <c r="I2748" s="244"/>
      <c r="J2748" s="244"/>
      <c r="K2748" s="246" t="e">
        <f t="shared" si="294"/>
        <v>#VALUE!</v>
      </c>
      <c r="L2748" s="246" t="e">
        <f t="shared" si="295"/>
        <v>#VALUE!</v>
      </c>
      <c r="M2748" s="247" t="e">
        <f t="shared" si="296"/>
        <v>#VALUE!</v>
      </c>
      <c r="N2748" s="246" t="e">
        <f t="shared" si="297"/>
        <v>#VALUE!</v>
      </c>
      <c r="O2748" s="247" t="e">
        <f t="shared" si="298"/>
        <v>#VALUE!</v>
      </c>
      <c r="P2748" s="247">
        <f t="shared" si="299"/>
        <v>0</v>
      </c>
      <c r="Q2748" s="247" t="e">
        <f t="shared" si="300"/>
        <v>#VALUE!</v>
      </c>
    </row>
    <row r="2749" spans="1:17" ht="15" customHeight="1" x14ac:dyDescent="0.25">
      <c r="A2749" s="244"/>
      <c r="B2749" s="244"/>
      <c r="C2749" s="244"/>
      <c r="D2749" s="244"/>
      <c r="E2749" s="244"/>
      <c r="F2749" s="244"/>
      <c r="G2749" s="244"/>
      <c r="I2749" s="244"/>
      <c r="J2749" s="244"/>
      <c r="K2749" s="246" t="e">
        <f t="shared" si="294"/>
        <v>#VALUE!</v>
      </c>
      <c r="L2749" s="246" t="e">
        <f t="shared" si="295"/>
        <v>#VALUE!</v>
      </c>
      <c r="M2749" s="247" t="e">
        <f t="shared" si="296"/>
        <v>#VALUE!</v>
      </c>
      <c r="N2749" s="246" t="e">
        <f t="shared" si="297"/>
        <v>#VALUE!</v>
      </c>
      <c r="O2749" s="247" t="e">
        <f t="shared" si="298"/>
        <v>#VALUE!</v>
      </c>
      <c r="P2749" s="247">
        <f t="shared" si="299"/>
        <v>0</v>
      </c>
      <c r="Q2749" s="247" t="e">
        <f t="shared" si="300"/>
        <v>#VALUE!</v>
      </c>
    </row>
    <row r="2750" spans="1:17" ht="15" customHeight="1" x14ac:dyDescent="0.25">
      <c r="A2750" s="244"/>
      <c r="B2750" s="244"/>
      <c r="C2750" s="244"/>
      <c r="D2750" s="244"/>
      <c r="E2750" s="244"/>
      <c r="F2750" s="244"/>
      <c r="G2750" s="244"/>
      <c r="I2750" s="244"/>
      <c r="J2750" s="244"/>
      <c r="K2750" s="246" t="e">
        <f t="shared" si="294"/>
        <v>#VALUE!</v>
      </c>
      <c r="L2750" s="246" t="e">
        <f t="shared" si="295"/>
        <v>#VALUE!</v>
      </c>
      <c r="M2750" s="247" t="e">
        <f t="shared" si="296"/>
        <v>#VALUE!</v>
      </c>
      <c r="N2750" s="246" t="e">
        <f t="shared" si="297"/>
        <v>#VALUE!</v>
      </c>
      <c r="O2750" s="247" t="e">
        <f t="shared" si="298"/>
        <v>#VALUE!</v>
      </c>
      <c r="P2750" s="247">
        <f t="shared" si="299"/>
        <v>0</v>
      </c>
      <c r="Q2750" s="247" t="e">
        <f t="shared" si="300"/>
        <v>#VALUE!</v>
      </c>
    </row>
    <row r="2751" spans="1:17" ht="15" customHeight="1" x14ac:dyDescent="0.25">
      <c r="A2751" s="244"/>
      <c r="B2751" s="244"/>
      <c r="C2751" s="244"/>
      <c r="D2751" s="244"/>
      <c r="E2751" s="244"/>
      <c r="F2751" s="244"/>
      <c r="G2751" s="244"/>
      <c r="I2751" s="244"/>
      <c r="J2751" s="244"/>
      <c r="K2751" s="246" t="e">
        <f t="shared" si="294"/>
        <v>#VALUE!</v>
      </c>
      <c r="L2751" s="246" t="e">
        <f t="shared" si="295"/>
        <v>#VALUE!</v>
      </c>
      <c r="M2751" s="247" t="e">
        <f t="shared" si="296"/>
        <v>#VALUE!</v>
      </c>
      <c r="N2751" s="246" t="e">
        <f t="shared" si="297"/>
        <v>#VALUE!</v>
      </c>
      <c r="O2751" s="247" t="e">
        <f t="shared" si="298"/>
        <v>#VALUE!</v>
      </c>
      <c r="P2751" s="247">
        <f t="shared" si="299"/>
        <v>0</v>
      </c>
      <c r="Q2751" s="247" t="e">
        <f t="shared" si="300"/>
        <v>#VALUE!</v>
      </c>
    </row>
    <row r="2752" spans="1:17" ht="15" customHeight="1" x14ac:dyDescent="0.25">
      <c r="A2752" s="244"/>
      <c r="B2752" s="244"/>
      <c r="C2752" s="244"/>
      <c r="D2752" s="244"/>
      <c r="E2752" s="244"/>
      <c r="F2752" s="244"/>
      <c r="G2752" s="244"/>
      <c r="I2752" s="244"/>
      <c r="J2752" s="244"/>
      <c r="K2752" s="246" t="e">
        <f t="shared" si="294"/>
        <v>#VALUE!</v>
      </c>
      <c r="L2752" s="246" t="e">
        <f t="shared" si="295"/>
        <v>#VALUE!</v>
      </c>
      <c r="M2752" s="247" t="e">
        <f t="shared" si="296"/>
        <v>#VALUE!</v>
      </c>
      <c r="N2752" s="246" t="e">
        <f t="shared" si="297"/>
        <v>#VALUE!</v>
      </c>
      <c r="O2752" s="247" t="e">
        <f t="shared" si="298"/>
        <v>#VALUE!</v>
      </c>
      <c r="P2752" s="247">
        <f t="shared" si="299"/>
        <v>0</v>
      </c>
      <c r="Q2752" s="247" t="e">
        <f t="shared" si="300"/>
        <v>#VALUE!</v>
      </c>
    </row>
    <row r="2753" spans="1:17" ht="15" customHeight="1" x14ac:dyDescent="0.25">
      <c r="A2753" s="244"/>
      <c r="B2753" s="244"/>
      <c r="C2753" s="244"/>
      <c r="D2753" s="244"/>
      <c r="E2753" s="244"/>
      <c r="F2753" s="244"/>
      <c r="G2753" s="244"/>
      <c r="I2753" s="244"/>
      <c r="J2753" s="244"/>
      <c r="K2753" s="246" t="e">
        <f t="shared" si="294"/>
        <v>#VALUE!</v>
      </c>
      <c r="L2753" s="246" t="e">
        <f t="shared" si="295"/>
        <v>#VALUE!</v>
      </c>
      <c r="M2753" s="247" t="e">
        <f t="shared" si="296"/>
        <v>#VALUE!</v>
      </c>
      <c r="N2753" s="246" t="e">
        <f t="shared" si="297"/>
        <v>#VALUE!</v>
      </c>
      <c r="O2753" s="247" t="e">
        <f t="shared" si="298"/>
        <v>#VALUE!</v>
      </c>
      <c r="P2753" s="247">
        <f t="shared" si="299"/>
        <v>0</v>
      </c>
      <c r="Q2753" s="247" t="e">
        <f t="shared" si="300"/>
        <v>#VALUE!</v>
      </c>
    </row>
    <row r="2754" spans="1:17" ht="15" customHeight="1" x14ac:dyDescent="0.25">
      <c r="A2754" s="244"/>
      <c r="B2754" s="244"/>
      <c r="C2754" s="244"/>
      <c r="D2754" s="244"/>
      <c r="E2754" s="244"/>
      <c r="F2754" s="244"/>
      <c r="G2754" s="244"/>
      <c r="I2754" s="244"/>
      <c r="J2754" s="244"/>
      <c r="K2754" s="246" t="e">
        <f t="shared" ref="K2754:K2817" si="301">DATE(VALUE(LEFT(A2754,4)),VALUE(MID(A2754,5,2)),VALUE(RIGHT(A2754,2)))</f>
        <v>#VALUE!</v>
      </c>
      <c r="L2754" s="246" t="e">
        <f t="shared" ref="L2754:L2817" si="302">DATEVALUE(LEFT(F2754,10))</f>
        <v>#VALUE!</v>
      </c>
      <c r="M2754" s="247" t="e">
        <f t="shared" ref="M2754:M2817" si="303">TIMEVALUE(MID(F2754,12,8))</f>
        <v>#VALUE!</v>
      </c>
      <c r="N2754" s="246" t="e">
        <f t="shared" ref="N2754:N2817" si="304">DATEVALUE(LEFT(G2754,10))</f>
        <v>#VALUE!</v>
      </c>
      <c r="O2754" s="247" t="e">
        <f t="shared" ref="O2754:O2817" si="305">TIMEVALUE(MID(G2754,12,8))</f>
        <v>#VALUE!</v>
      </c>
      <c r="P2754" s="247">
        <f t="shared" ref="P2754:P2817" si="306">IFERROR(_xlfn.MINIFS($M:$M,$E:$E,$E2754,$K:$K,$K2754,$M:$M,"&gt;"&amp;$O2754),"")</f>
        <v>0</v>
      </c>
      <c r="Q2754" s="247" t="e">
        <f t="shared" ref="Q2754:Q2817" si="307">IF($P2754="","",$P2754-$O2754)</f>
        <v>#VALUE!</v>
      </c>
    </row>
    <row r="2755" spans="1:17" ht="15" customHeight="1" x14ac:dyDescent="0.25">
      <c r="A2755" s="244"/>
      <c r="B2755" s="244"/>
      <c r="C2755" s="244"/>
      <c r="D2755" s="244"/>
      <c r="E2755" s="244"/>
      <c r="F2755" s="244"/>
      <c r="G2755" s="244"/>
      <c r="I2755" s="244"/>
      <c r="J2755" s="244"/>
      <c r="K2755" s="246" t="e">
        <f t="shared" si="301"/>
        <v>#VALUE!</v>
      </c>
      <c r="L2755" s="246" t="e">
        <f t="shared" si="302"/>
        <v>#VALUE!</v>
      </c>
      <c r="M2755" s="247" t="e">
        <f t="shared" si="303"/>
        <v>#VALUE!</v>
      </c>
      <c r="N2755" s="246" t="e">
        <f t="shared" si="304"/>
        <v>#VALUE!</v>
      </c>
      <c r="O2755" s="247" t="e">
        <f t="shared" si="305"/>
        <v>#VALUE!</v>
      </c>
      <c r="P2755" s="247">
        <f t="shared" si="306"/>
        <v>0</v>
      </c>
      <c r="Q2755" s="247" t="e">
        <f t="shared" si="307"/>
        <v>#VALUE!</v>
      </c>
    </row>
    <row r="2756" spans="1:17" ht="15" customHeight="1" x14ac:dyDescent="0.25">
      <c r="A2756" s="244"/>
      <c r="B2756" s="244"/>
      <c r="C2756" s="244"/>
      <c r="D2756" s="244"/>
      <c r="E2756" s="244"/>
      <c r="F2756" s="244"/>
      <c r="G2756" s="244"/>
      <c r="I2756" s="244"/>
      <c r="J2756" s="244"/>
      <c r="K2756" s="246" t="e">
        <f t="shared" si="301"/>
        <v>#VALUE!</v>
      </c>
      <c r="L2756" s="246" t="e">
        <f t="shared" si="302"/>
        <v>#VALUE!</v>
      </c>
      <c r="M2756" s="247" t="e">
        <f t="shared" si="303"/>
        <v>#VALUE!</v>
      </c>
      <c r="N2756" s="246" t="e">
        <f t="shared" si="304"/>
        <v>#VALUE!</v>
      </c>
      <c r="O2756" s="247" t="e">
        <f t="shared" si="305"/>
        <v>#VALUE!</v>
      </c>
      <c r="P2756" s="247">
        <f t="shared" si="306"/>
        <v>0</v>
      </c>
      <c r="Q2756" s="247" t="e">
        <f t="shared" si="307"/>
        <v>#VALUE!</v>
      </c>
    </row>
    <row r="2757" spans="1:17" ht="15" customHeight="1" x14ac:dyDescent="0.25">
      <c r="A2757" s="244"/>
      <c r="B2757" s="244"/>
      <c r="C2757" s="244"/>
      <c r="D2757" s="244"/>
      <c r="E2757" s="244"/>
      <c r="F2757" s="244"/>
      <c r="G2757" s="244"/>
      <c r="I2757" s="244"/>
      <c r="J2757" s="244"/>
      <c r="K2757" s="246" t="e">
        <f t="shared" si="301"/>
        <v>#VALUE!</v>
      </c>
      <c r="L2757" s="246" t="e">
        <f t="shared" si="302"/>
        <v>#VALUE!</v>
      </c>
      <c r="M2757" s="247" t="e">
        <f t="shared" si="303"/>
        <v>#VALUE!</v>
      </c>
      <c r="N2757" s="246" t="e">
        <f t="shared" si="304"/>
        <v>#VALUE!</v>
      </c>
      <c r="O2757" s="247" t="e">
        <f t="shared" si="305"/>
        <v>#VALUE!</v>
      </c>
      <c r="P2757" s="247">
        <f t="shared" si="306"/>
        <v>0</v>
      </c>
      <c r="Q2757" s="247" t="e">
        <f t="shared" si="307"/>
        <v>#VALUE!</v>
      </c>
    </row>
    <row r="2758" spans="1:17" ht="15" customHeight="1" x14ac:dyDescent="0.25">
      <c r="A2758" s="244"/>
      <c r="B2758" s="244"/>
      <c r="C2758" s="244"/>
      <c r="D2758" s="244"/>
      <c r="E2758" s="244"/>
      <c r="F2758" s="244"/>
      <c r="G2758" s="244"/>
      <c r="I2758" s="244"/>
      <c r="J2758" s="244"/>
      <c r="K2758" s="246" t="e">
        <f t="shared" si="301"/>
        <v>#VALUE!</v>
      </c>
      <c r="L2758" s="246" t="e">
        <f t="shared" si="302"/>
        <v>#VALUE!</v>
      </c>
      <c r="M2758" s="247" t="e">
        <f t="shared" si="303"/>
        <v>#VALUE!</v>
      </c>
      <c r="N2758" s="246" t="e">
        <f t="shared" si="304"/>
        <v>#VALUE!</v>
      </c>
      <c r="O2758" s="247" t="e">
        <f t="shared" si="305"/>
        <v>#VALUE!</v>
      </c>
      <c r="P2758" s="247">
        <f t="shared" si="306"/>
        <v>0</v>
      </c>
      <c r="Q2758" s="247" t="e">
        <f t="shared" si="307"/>
        <v>#VALUE!</v>
      </c>
    </row>
    <row r="2759" spans="1:17" ht="15" customHeight="1" x14ac:dyDescent="0.25">
      <c r="A2759" s="244"/>
      <c r="B2759" s="244"/>
      <c r="C2759" s="244"/>
      <c r="D2759" s="244"/>
      <c r="E2759" s="244"/>
      <c r="F2759" s="244"/>
      <c r="G2759" s="244"/>
      <c r="I2759" s="244"/>
      <c r="J2759" s="244"/>
      <c r="K2759" s="246" t="e">
        <f t="shared" si="301"/>
        <v>#VALUE!</v>
      </c>
      <c r="L2759" s="246" t="e">
        <f t="shared" si="302"/>
        <v>#VALUE!</v>
      </c>
      <c r="M2759" s="247" t="e">
        <f t="shared" si="303"/>
        <v>#VALUE!</v>
      </c>
      <c r="N2759" s="246" t="e">
        <f t="shared" si="304"/>
        <v>#VALUE!</v>
      </c>
      <c r="O2759" s="247" t="e">
        <f t="shared" si="305"/>
        <v>#VALUE!</v>
      </c>
      <c r="P2759" s="247">
        <f t="shared" si="306"/>
        <v>0</v>
      </c>
      <c r="Q2759" s="247" t="e">
        <f t="shared" si="307"/>
        <v>#VALUE!</v>
      </c>
    </row>
    <row r="2760" spans="1:17" ht="15" customHeight="1" x14ac:dyDescent="0.25">
      <c r="A2760" s="244"/>
      <c r="B2760" s="244"/>
      <c r="C2760" s="244"/>
      <c r="D2760" s="244"/>
      <c r="E2760" s="244"/>
      <c r="F2760" s="244"/>
      <c r="G2760" s="244"/>
      <c r="I2760" s="244"/>
      <c r="J2760" s="244"/>
      <c r="K2760" s="246" t="e">
        <f t="shared" si="301"/>
        <v>#VALUE!</v>
      </c>
      <c r="L2760" s="246" t="e">
        <f t="shared" si="302"/>
        <v>#VALUE!</v>
      </c>
      <c r="M2760" s="247" t="e">
        <f t="shared" si="303"/>
        <v>#VALUE!</v>
      </c>
      <c r="N2760" s="246" t="e">
        <f t="shared" si="304"/>
        <v>#VALUE!</v>
      </c>
      <c r="O2760" s="247" t="e">
        <f t="shared" si="305"/>
        <v>#VALUE!</v>
      </c>
      <c r="P2760" s="247">
        <f t="shared" si="306"/>
        <v>0</v>
      </c>
      <c r="Q2760" s="247" t="e">
        <f t="shared" si="307"/>
        <v>#VALUE!</v>
      </c>
    </row>
    <row r="2761" spans="1:17" ht="15" customHeight="1" x14ac:dyDescent="0.25">
      <c r="A2761" s="244"/>
      <c r="B2761" s="244"/>
      <c r="C2761" s="244"/>
      <c r="D2761" s="244"/>
      <c r="E2761" s="244"/>
      <c r="F2761" s="244"/>
      <c r="G2761" s="244"/>
      <c r="I2761" s="244"/>
      <c r="J2761" s="244"/>
      <c r="K2761" s="246" t="e">
        <f t="shared" si="301"/>
        <v>#VALUE!</v>
      </c>
      <c r="L2761" s="246" t="e">
        <f t="shared" si="302"/>
        <v>#VALUE!</v>
      </c>
      <c r="M2761" s="247" t="e">
        <f t="shared" si="303"/>
        <v>#VALUE!</v>
      </c>
      <c r="N2761" s="246" t="e">
        <f t="shared" si="304"/>
        <v>#VALUE!</v>
      </c>
      <c r="O2761" s="247" t="e">
        <f t="shared" si="305"/>
        <v>#VALUE!</v>
      </c>
      <c r="P2761" s="247">
        <f t="shared" si="306"/>
        <v>0</v>
      </c>
      <c r="Q2761" s="247" t="e">
        <f t="shared" si="307"/>
        <v>#VALUE!</v>
      </c>
    </row>
    <row r="2762" spans="1:17" ht="15" customHeight="1" x14ac:dyDescent="0.25">
      <c r="A2762" s="244"/>
      <c r="B2762" s="244"/>
      <c r="C2762" s="244"/>
      <c r="D2762" s="244"/>
      <c r="E2762" s="244"/>
      <c r="F2762" s="244"/>
      <c r="G2762" s="244"/>
      <c r="I2762" s="244"/>
      <c r="J2762" s="244"/>
      <c r="K2762" s="246" t="e">
        <f t="shared" si="301"/>
        <v>#VALUE!</v>
      </c>
      <c r="L2762" s="246" t="e">
        <f t="shared" si="302"/>
        <v>#VALUE!</v>
      </c>
      <c r="M2762" s="247" t="e">
        <f t="shared" si="303"/>
        <v>#VALUE!</v>
      </c>
      <c r="N2762" s="246" t="e">
        <f t="shared" si="304"/>
        <v>#VALUE!</v>
      </c>
      <c r="O2762" s="247" t="e">
        <f t="shared" si="305"/>
        <v>#VALUE!</v>
      </c>
      <c r="P2762" s="247">
        <f t="shared" si="306"/>
        <v>0</v>
      </c>
      <c r="Q2762" s="247" t="e">
        <f t="shared" si="307"/>
        <v>#VALUE!</v>
      </c>
    </row>
    <row r="2763" spans="1:17" ht="15" customHeight="1" x14ac:dyDescent="0.25">
      <c r="A2763" s="244"/>
      <c r="B2763" s="244"/>
      <c r="C2763" s="244"/>
      <c r="D2763" s="244"/>
      <c r="E2763" s="244"/>
      <c r="F2763" s="244"/>
      <c r="G2763" s="244"/>
      <c r="I2763" s="244"/>
      <c r="J2763" s="244"/>
      <c r="K2763" s="246" t="e">
        <f t="shared" si="301"/>
        <v>#VALUE!</v>
      </c>
      <c r="L2763" s="246" t="e">
        <f t="shared" si="302"/>
        <v>#VALUE!</v>
      </c>
      <c r="M2763" s="247" t="e">
        <f t="shared" si="303"/>
        <v>#VALUE!</v>
      </c>
      <c r="N2763" s="246" t="e">
        <f t="shared" si="304"/>
        <v>#VALUE!</v>
      </c>
      <c r="O2763" s="247" t="e">
        <f t="shared" si="305"/>
        <v>#VALUE!</v>
      </c>
      <c r="P2763" s="247">
        <f t="shared" si="306"/>
        <v>0</v>
      </c>
      <c r="Q2763" s="247" t="e">
        <f t="shared" si="307"/>
        <v>#VALUE!</v>
      </c>
    </row>
    <row r="2764" spans="1:17" ht="15" customHeight="1" x14ac:dyDescent="0.25">
      <c r="A2764" s="244"/>
      <c r="B2764" s="244"/>
      <c r="C2764" s="244"/>
      <c r="D2764" s="244"/>
      <c r="E2764" s="244"/>
      <c r="F2764" s="244"/>
      <c r="G2764" s="244"/>
      <c r="I2764" s="244"/>
      <c r="J2764" s="244"/>
      <c r="K2764" s="246" t="e">
        <f t="shared" si="301"/>
        <v>#VALUE!</v>
      </c>
      <c r="L2764" s="246" t="e">
        <f t="shared" si="302"/>
        <v>#VALUE!</v>
      </c>
      <c r="M2764" s="247" t="e">
        <f t="shared" si="303"/>
        <v>#VALUE!</v>
      </c>
      <c r="N2764" s="246" t="e">
        <f t="shared" si="304"/>
        <v>#VALUE!</v>
      </c>
      <c r="O2764" s="247" t="e">
        <f t="shared" si="305"/>
        <v>#VALUE!</v>
      </c>
      <c r="P2764" s="247">
        <f t="shared" si="306"/>
        <v>0</v>
      </c>
      <c r="Q2764" s="247" t="e">
        <f t="shared" si="307"/>
        <v>#VALUE!</v>
      </c>
    </row>
    <row r="2765" spans="1:17" ht="15" customHeight="1" x14ac:dyDescent="0.25">
      <c r="A2765" s="244"/>
      <c r="B2765" s="244"/>
      <c r="C2765" s="244"/>
      <c r="D2765" s="244"/>
      <c r="E2765" s="244"/>
      <c r="F2765" s="244"/>
      <c r="G2765" s="244"/>
      <c r="I2765" s="244"/>
      <c r="J2765" s="244"/>
      <c r="K2765" s="246" t="e">
        <f t="shared" si="301"/>
        <v>#VALUE!</v>
      </c>
      <c r="L2765" s="246" t="e">
        <f t="shared" si="302"/>
        <v>#VALUE!</v>
      </c>
      <c r="M2765" s="247" t="e">
        <f t="shared" si="303"/>
        <v>#VALUE!</v>
      </c>
      <c r="N2765" s="246" t="e">
        <f t="shared" si="304"/>
        <v>#VALUE!</v>
      </c>
      <c r="O2765" s="247" t="e">
        <f t="shared" si="305"/>
        <v>#VALUE!</v>
      </c>
      <c r="P2765" s="247">
        <f t="shared" si="306"/>
        <v>0</v>
      </c>
      <c r="Q2765" s="247" t="e">
        <f t="shared" si="307"/>
        <v>#VALUE!</v>
      </c>
    </row>
    <row r="2766" spans="1:17" ht="15" customHeight="1" x14ac:dyDescent="0.25">
      <c r="A2766" s="244"/>
      <c r="B2766" s="244"/>
      <c r="C2766" s="244"/>
      <c r="D2766" s="244"/>
      <c r="E2766" s="244"/>
      <c r="F2766" s="244"/>
      <c r="G2766" s="244"/>
      <c r="I2766" s="244"/>
      <c r="J2766" s="244"/>
      <c r="K2766" s="246" t="e">
        <f t="shared" si="301"/>
        <v>#VALUE!</v>
      </c>
      <c r="L2766" s="246" t="e">
        <f t="shared" si="302"/>
        <v>#VALUE!</v>
      </c>
      <c r="M2766" s="247" t="e">
        <f t="shared" si="303"/>
        <v>#VALUE!</v>
      </c>
      <c r="N2766" s="246" t="e">
        <f t="shared" si="304"/>
        <v>#VALUE!</v>
      </c>
      <c r="O2766" s="247" t="e">
        <f t="shared" si="305"/>
        <v>#VALUE!</v>
      </c>
      <c r="P2766" s="247">
        <f t="shared" si="306"/>
        <v>0</v>
      </c>
      <c r="Q2766" s="247" t="e">
        <f t="shared" si="307"/>
        <v>#VALUE!</v>
      </c>
    </row>
    <row r="2767" spans="1:17" ht="15" customHeight="1" x14ac:dyDescent="0.25">
      <c r="A2767" s="244"/>
      <c r="B2767" s="244"/>
      <c r="C2767" s="244"/>
      <c r="D2767" s="244"/>
      <c r="E2767" s="244"/>
      <c r="F2767" s="244"/>
      <c r="G2767" s="244"/>
      <c r="I2767" s="244"/>
      <c r="J2767" s="244"/>
      <c r="K2767" s="246" t="e">
        <f t="shared" si="301"/>
        <v>#VALUE!</v>
      </c>
      <c r="L2767" s="246" t="e">
        <f t="shared" si="302"/>
        <v>#VALUE!</v>
      </c>
      <c r="M2767" s="247" t="e">
        <f t="shared" si="303"/>
        <v>#VALUE!</v>
      </c>
      <c r="N2767" s="246" t="e">
        <f t="shared" si="304"/>
        <v>#VALUE!</v>
      </c>
      <c r="O2767" s="247" t="e">
        <f t="shared" si="305"/>
        <v>#VALUE!</v>
      </c>
      <c r="P2767" s="247">
        <f t="shared" si="306"/>
        <v>0</v>
      </c>
      <c r="Q2767" s="247" t="e">
        <f t="shared" si="307"/>
        <v>#VALUE!</v>
      </c>
    </row>
    <row r="2768" spans="1:17" ht="15" customHeight="1" x14ac:dyDescent="0.25">
      <c r="A2768" s="244"/>
      <c r="B2768" s="244"/>
      <c r="C2768" s="244"/>
      <c r="D2768" s="244"/>
      <c r="E2768" s="244"/>
      <c r="F2768" s="244"/>
      <c r="G2768" s="244"/>
      <c r="I2768" s="244"/>
      <c r="J2768" s="244"/>
      <c r="K2768" s="246" t="e">
        <f t="shared" si="301"/>
        <v>#VALUE!</v>
      </c>
      <c r="L2768" s="246" t="e">
        <f t="shared" si="302"/>
        <v>#VALUE!</v>
      </c>
      <c r="M2768" s="247" t="e">
        <f t="shared" si="303"/>
        <v>#VALUE!</v>
      </c>
      <c r="N2768" s="246" t="e">
        <f t="shared" si="304"/>
        <v>#VALUE!</v>
      </c>
      <c r="O2768" s="247" t="e">
        <f t="shared" si="305"/>
        <v>#VALUE!</v>
      </c>
      <c r="P2768" s="247">
        <f t="shared" si="306"/>
        <v>0</v>
      </c>
      <c r="Q2768" s="247" t="e">
        <f t="shared" si="307"/>
        <v>#VALUE!</v>
      </c>
    </row>
    <row r="2769" spans="1:17" ht="15" customHeight="1" x14ac:dyDescent="0.25">
      <c r="A2769" s="244"/>
      <c r="B2769" s="244"/>
      <c r="C2769" s="244"/>
      <c r="D2769" s="244"/>
      <c r="E2769" s="244"/>
      <c r="F2769" s="244"/>
      <c r="G2769" s="244"/>
      <c r="I2769" s="244"/>
      <c r="J2769" s="244"/>
      <c r="K2769" s="246" t="e">
        <f t="shared" si="301"/>
        <v>#VALUE!</v>
      </c>
      <c r="L2769" s="246" t="e">
        <f t="shared" si="302"/>
        <v>#VALUE!</v>
      </c>
      <c r="M2769" s="247" t="e">
        <f t="shared" si="303"/>
        <v>#VALUE!</v>
      </c>
      <c r="N2769" s="246" t="e">
        <f t="shared" si="304"/>
        <v>#VALUE!</v>
      </c>
      <c r="O2769" s="247" t="e">
        <f t="shared" si="305"/>
        <v>#VALUE!</v>
      </c>
      <c r="P2769" s="247">
        <f t="shared" si="306"/>
        <v>0</v>
      </c>
      <c r="Q2769" s="247" t="e">
        <f t="shared" si="307"/>
        <v>#VALUE!</v>
      </c>
    </row>
    <row r="2770" spans="1:17" ht="15" customHeight="1" x14ac:dyDescent="0.25">
      <c r="A2770" s="244"/>
      <c r="B2770" s="244"/>
      <c r="C2770" s="244"/>
      <c r="D2770" s="244"/>
      <c r="E2770" s="244"/>
      <c r="F2770" s="244"/>
      <c r="G2770" s="244"/>
      <c r="I2770" s="244"/>
      <c r="J2770" s="244"/>
      <c r="K2770" s="246" t="e">
        <f t="shared" si="301"/>
        <v>#VALUE!</v>
      </c>
      <c r="L2770" s="246" t="e">
        <f t="shared" si="302"/>
        <v>#VALUE!</v>
      </c>
      <c r="M2770" s="247" t="e">
        <f t="shared" si="303"/>
        <v>#VALUE!</v>
      </c>
      <c r="N2770" s="246" t="e">
        <f t="shared" si="304"/>
        <v>#VALUE!</v>
      </c>
      <c r="O2770" s="247" t="e">
        <f t="shared" si="305"/>
        <v>#VALUE!</v>
      </c>
      <c r="P2770" s="247">
        <f t="shared" si="306"/>
        <v>0</v>
      </c>
      <c r="Q2770" s="247" t="e">
        <f t="shared" si="307"/>
        <v>#VALUE!</v>
      </c>
    </row>
    <row r="2771" spans="1:17" ht="15" customHeight="1" x14ac:dyDescent="0.25">
      <c r="A2771" s="244"/>
      <c r="B2771" s="244"/>
      <c r="C2771" s="244"/>
      <c r="D2771" s="244"/>
      <c r="E2771" s="244"/>
      <c r="F2771" s="244"/>
      <c r="G2771" s="244"/>
      <c r="I2771" s="244"/>
      <c r="J2771" s="244"/>
      <c r="K2771" s="246" t="e">
        <f t="shared" si="301"/>
        <v>#VALUE!</v>
      </c>
      <c r="L2771" s="246" t="e">
        <f t="shared" si="302"/>
        <v>#VALUE!</v>
      </c>
      <c r="M2771" s="247" t="e">
        <f t="shared" si="303"/>
        <v>#VALUE!</v>
      </c>
      <c r="N2771" s="246" t="e">
        <f t="shared" si="304"/>
        <v>#VALUE!</v>
      </c>
      <c r="O2771" s="247" t="e">
        <f t="shared" si="305"/>
        <v>#VALUE!</v>
      </c>
      <c r="P2771" s="247">
        <f t="shared" si="306"/>
        <v>0</v>
      </c>
      <c r="Q2771" s="247" t="e">
        <f t="shared" si="307"/>
        <v>#VALUE!</v>
      </c>
    </row>
    <row r="2772" spans="1:17" ht="15" customHeight="1" x14ac:dyDescent="0.25">
      <c r="A2772" s="244"/>
      <c r="B2772" s="244"/>
      <c r="C2772" s="244"/>
      <c r="D2772" s="244"/>
      <c r="E2772" s="244"/>
      <c r="F2772" s="244"/>
      <c r="G2772" s="244"/>
      <c r="I2772" s="244"/>
      <c r="J2772" s="244"/>
      <c r="K2772" s="246" t="e">
        <f t="shared" si="301"/>
        <v>#VALUE!</v>
      </c>
      <c r="L2772" s="246" t="e">
        <f t="shared" si="302"/>
        <v>#VALUE!</v>
      </c>
      <c r="M2772" s="247" t="e">
        <f t="shared" si="303"/>
        <v>#VALUE!</v>
      </c>
      <c r="N2772" s="246" t="e">
        <f t="shared" si="304"/>
        <v>#VALUE!</v>
      </c>
      <c r="O2772" s="247" t="e">
        <f t="shared" si="305"/>
        <v>#VALUE!</v>
      </c>
      <c r="P2772" s="247">
        <f t="shared" si="306"/>
        <v>0</v>
      </c>
      <c r="Q2772" s="247" t="e">
        <f t="shared" si="307"/>
        <v>#VALUE!</v>
      </c>
    </row>
    <row r="2773" spans="1:17" ht="15" customHeight="1" x14ac:dyDescent="0.25">
      <c r="A2773" s="244"/>
      <c r="B2773" s="244"/>
      <c r="C2773" s="244"/>
      <c r="D2773" s="244"/>
      <c r="E2773" s="244"/>
      <c r="F2773" s="244"/>
      <c r="G2773" s="244"/>
      <c r="I2773" s="244"/>
      <c r="J2773" s="244"/>
      <c r="K2773" s="246" t="e">
        <f t="shared" si="301"/>
        <v>#VALUE!</v>
      </c>
      <c r="L2773" s="246" t="e">
        <f t="shared" si="302"/>
        <v>#VALUE!</v>
      </c>
      <c r="M2773" s="247" t="e">
        <f t="shared" si="303"/>
        <v>#VALUE!</v>
      </c>
      <c r="N2773" s="246" t="e">
        <f t="shared" si="304"/>
        <v>#VALUE!</v>
      </c>
      <c r="O2773" s="247" t="e">
        <f t="shared" si="305"/>
        <v>#VALUE!</v>
      </c>
      <c r="P2773" s="247">
        <f t="shared" si="306"/>
        <v>0</v>
      </c>
      <c r="Q2773" s="247" t="e">
        <f t="shared" si="307"/>
        <v>#VALUE!</v>
      </c>
    </row>
    <row r="2774" spans="1:17" ht="15" customHeight="1" x14ac:dyDescent="0.25">
      <c r="A2774" s="244"/>
      <c r="B2774" s="244"/>
      <c r="C2774" s="244"/>
      <c r="D2774" s="244"/>
      <c r="E2774" s="244"/>
      <c r="F2774" s="244"/>
      <c r="G2774" s="244"/>
      <c r="I2774" s="244"/>
      <c r="J2774" s="244"/>
      <c r="K2774" s="246" t="e">
        <f t="shared" si="301"/>
        <v>#VALUE!</v>
      </c>
      <c r="L2774" s="246" t="e">
        <f t="shared" si="302"/>
        <v>#VALUE!</v>
      </c>
      <c r="M2774" s="247" t="e">
        <f t="shared" si="303"/>
        <v>#VALUE!</v>
      </c>
      <c r="N2774" s="246" t="e">
        <f t="shared" si="304"/>
        <v>#VALUE!</v>
      </c>
      <c r="O2774" s="247" t="e">
        <f t="shared" si="305"/>
        <v>#VALUE!</v>
      </c>
      <c r="P2774" s="247">
        <f t="shared" si="306"/>
        <v>0</v>
      </c>
      <c r="Q2774" s="247" t="e">
        <f t="shared" si="307"/>
        <v>#VALUE!</v>
      </c>
    </row>
    <row r="2775" spans="1:17" ht="15" customHeight="1" x14ac:dyDescent="0.25">
      <c r="A2775" s="244"/>
      <c r="B2775" s="244"/>
      <c r="C2775" s="244"/>
      <c r="D2775" s="244"/>
      <c r="E2775" s="244"/>
      <c r="F2775" s="244"/>
      <c r="G2775" s="244"/>
      <c r="I2775" s="244"/>
      <c r="J2775" s="244"/>
      <c r="K2775" s="246" t="e">
        <f t="shared" si="301"/>
        <v>#VALUE!</v>
      </c>
      <c r="L2775" s="246" t="e">
        <f t="shared" si="302"/>
        <v>#VALUE!</v>
      </c>
      <c r="M2775" s="247" t="e">
        <f t="shared" si="303"/>
        <v>#VALUE!</v>
      </c>
      <c r="N2775" s="246" t="e">
        <f t="shared" si="304"/>
        <v>#VALUE!</v>
      </c>
      <c r="O2775" s="247" t="e">
        <f t="shared" si="305"/>
        <v>#VALUE!</v>
      </c>
      <c r="P2775" s="247">
        <f t="shared" si="306"/>
        <v>0</v>
      </c>
      <c r="Q2775" s="247" t="e">
        <f t="shared" si="307"/>
        <v>#VALUE!</v>
      </c>
    </row>
    <row r="2776" spans="1:17" ht="15" customHeight="1" x14ac:dyDescent="0.25">
      <c r="A2776" s="244"/>
      <c r="B2776" s="244"/>
      <c r="C2776" s="244"/>
      <c r="D2776" s="244"/>
      <c r="E2776" s="244"/>
      <c r="F2776" s="244"/>
      <c r="G2776" s="244"/>
      <c r="I2776" s="244"/>
      <c r="J2776" s="244"/>
      <c r="K2776" s="246" t="e">
        <f t="shared" si="301"/>
        <v>#VALUE!</v>
      </c>
      <c r="L2776" s="246" t="e">
        <f t="shared" si="302"/>
        <v>#VALUE!</v>
      </c>
      <c r="M2776" s="247" t="e">
        <f t="shared" si="303"/>
        <v>#VALUE!</v>
      </c>
      <c r="N2776" s="246" t="e">
        <f t="shared" si="304"/>
        <v>#VALUE!</v>
      </c>
      <c r="O2776" s="247" t="e">
        <f t="shared" si="305"/>
        <v>#VALUE!</v>
      </c>
      <c r="P2776" s="247">
        <f t="shared" si="306"/>
        <v>0</v>
      </c>
      <c r="Q2776" s="247" t="e">
        <f t="shared" si="307"/>
        <v>#VALUE!</v>
      </c>
    </row>
    <row r="2777" spans="1:17" ht="15" customHeight="1" x14ac:dyDescent="0.25">
      <c r="A2777" s="244"/>
      <c r="B2777" s="244"/>
      <c r="C2777" s="244"/>
      <c r="D2777" s="244"/>
      <c r="E2777" s="244"/>
      <c r="F2777" s="244"/>
      <c r="G2777" s="244"/>
      <c r="I2777" s="244"/>
      <c r="J2777" s="244"/>
      <c r="K2777" s="246" t="e">
        <f t="shared" si="301"/>
        <v>#VALUE!</v>
      </c>
      <c r="L2777" s="246" t="e">
        <f t="shared" si="302"/>
        <v>#VALUE!</v>
      </c>
      <c r="M2777" s="247" t="e">
        <f t="shared" si="303"/>
        <v>#VALUE!</v>
      </c>
      <c r="N2777" s="246" t="e">
        <f t="shared" si="304"/>
        <v>#VALUE!</v>
      </c>
      <c r="O2777" s="247" t="e">
        <f t="shared" si="305"/>
        <v>#VALUE!</v>
      </c>
      <c r="P2777" s="247">
        <f t="shared" si="306"/>
        <v>0</v>
      </c>
      <c r="Q2777" s="247" t="e">
        <f t="shared" si="307"/>
        <v>#VALUE!</v>
      </c>
    </row>
    <row r="2778" spans="1:17" ht="15" customHeight="1" x14ac:dyDescent="0.25">
      <c r="A2778" s="244"/>
      <c r="B2778" s="244"/>
      <c r="C2778" s="244"/>
      <c r="D2778" s="244"/>
      <c r="E2778" s="244"/>
      <c r="F2778" s="244"/>
      <c r="G2778" s="244"/>
      <c r="I2778" s="244"/>
      <c r="J2778" s="244"/>
      <c r="K2778" s="246" t="e">
        <f t="shared" si="301"/>
        <v>#VALUE!</v>
      </c>
      <c r="L2778" s="246" t="e">
        <f t="shared" si="302"/>
        <v>#VALUE!</v>
      </c>
      <c r="M2778" s="247" t="e">
        <f t="shared" si="303"/>
        <v>#VALUE!</v>
      </c>
      <c r="N2778" s="246" t="e">
        <f t="shared" si="304"/>
        <v>#VALUE!</v>
      </c>
      <c r="O2778" s="247" t="e">
        <f t="shared" si="305"/>
        <v>#VALUE!</v>
      </c>
      <c r="P2778" s="247">
        <f t="shared" si="306"/>
        <v>0</v>
      </c>
      <c r="Q2778" s="247" t="e">
        <f t="shared" si="307"/>
        <v>#VALUE!</v>
      </c>
    </row>
    <row r="2779" spans="1:17" ht="15" customHeight="1" x14ac:dyDescent="0.25">
      <c r="A2779" s="244"/>
      <c r="B2779" s="244"/>
      <c r="C2779" s="244"/>
      <c r="D2779" s="244"/>
      <c r="E2779" s="244"/>
      <c r="F2779" s="244"/>
      <c r="G2779" s="244"/>
      <c r="I2779" s="244"/>
      <c r="J2779" s="244"/>
      <c r="K2779" s="246" t="e">
        <f t="shared" si="301"/>
        <v>#VALUE!</v>
      </c>
      <c r="L2779" s="246" t="e">
        <f t="shared" si="302"/>
        <v>#VALUE!</v>
      </c>
      <c r="M2779" s="247" t="e">
        <f t="shared" si="303"/>
        <v>#VALUE!</v>
      </c>
      <c r="N2779" s="246" t="e">
        <f t="shared" si="304"/>
        <v>#VALUE!</v>
      </c>
      <c r="O2779" s="247" t="e">
        <f t="shared" si="305"/>
        <v>#VALUE!</v>
      </c>
      <c r="P2779" s="247">
        <f t="shared" si="306"/>
        <v>0</v>
      </c>
      <c r="Q2779" s="247" t="e">
        <f t="shared" si="307"/>
        <v>#VALUE!</v>
      </c>
    </row>
    <row r="2780" spans="1:17" ht="15" customHeight="1" x14ac:dyDescent="0.25">
      <c r="A2780" s="244"/>
      <c r="B2780" s="244"/>
      <c r="C2780" s="244"/>
      <c r="D2780" s="244"/>
      <c r="E2780" s="244"/>
      <c r="F2780" s="244"/>
      <c r="G2780" s="244"/>
      <c r="I2780" s="244"/>
      <c r="J2780" s="244"/>
      <c r="K2780" s="246" t="e">
        <f t="shared" si="301"/>
        <v>#VALUE!</v>
      </c>
      <c r="L2780" s="246" t="e">
        <f t="shared" si="302"/>
        <v>#VALUE!</v>
      </c>
      <c r="M2780" s="247" t="e">
        <f t="shared" si="303"/>
        <v>#VALUE!</v>
      </c>
      <c r="N2780" s="246" t="e">
        <f t="shared" si="304"/>
        <v>#VALUE!</v>
      </c>
      <c r="O2780" s="247" t="e">
        <f t="shared" si="305"/>
        <v>#VALUE!</v>
      </c>
      <c r="P2780" s="247">
        <f t="shared" si="306"/>
        <v>0</v>
      </c>
      <c r="Q2780" s="247" t="e">
        <f t="shared" si="307"/>
        <v>#VALUE!</v>
      </c>
    </row>
    <row r="2781" spans="1:17" ht="15" customHeight="1" x14ac:dyDescent="0.25">
      <c r="A2781" s="244"/>
      <c r="B2781" s="244"/>
      <c r="C2781" s="244"/>
      <c r="D2781" s="244"/>
      <c r="E2781" s="244"/>
      <c r="F2781" s="244"/>
      <c r="G2781" s="244"/>
      <c r="I2781" s="244"/>
      <c r="J2781" s="244"/>
      <c r="K2781" s="246" t="e">
        <f t="shared" si="301"/>
        <v>#VALUE!</v>
      </c>
      <c r="L2781" s="246" t="e">
        <f t="shared" si="302"/>
        <v>#VALUE!</v>
      </c>
      <c r="M2781" s="247" t="e">
        <f t="shared" si="303"/>
        <v>#VALUE!</v>
      </c>
      <c r="N2781" s="246" t="e">
        <f t="shared" si="304"/>
        <v>#VALUE!</v>
      </c>
      <c r="O2781" s="247" t="e">
        <f t="shared" si="305"/>
        <v>#VALUE!</v>
      </c>
      <c r="P2781" s="247">
        <f t="shared" si="306"/>
        <v>0</v>
      </c>
      <c r="Q2781" s="247" t="e">
        <f t="shared" si="307"/>
        <v>#VALUE!</v>
      </c>
    </row>
    <row r="2782" spans="1:17" ht="15" customHeight="1" x14ac:dyDescent="0.25">
      <c r="A2782" s="244"/>
      <c r="B2782" s="244"/>
      <c r="C2782" s="244"/>
      <c r="D2782" s="244"/>
      <c r="E2782" s="244"/>
      <c r="F2782" s="244"/>
      <c r="G2782" s="244"/>
      <c r="I2782" s="244"/>
      <c r="J2782" s="244"/>
      <c r="K2782" s="246" t="e">
        <f t="shared" si="301"/>
        <v>#VALUE!</v>
      </c>
      <c r="L2782" s="246" t="e">
        <f t="shared" si="302"/>
        <v>#VALUE!</v>
      </c>
      <c r="M2782" s="247" t="e">
        <f t="shared" si="303"/>
        <v>#VALUE!</v>
      </c>
      <c r="N2782" s="246" t="e">
        <f t="shared" si="304"/>
        <v>#VALUE!</v>
      </c>
      <c r="O2782" s="247" t="e">
        <f t="shared" si="305"/>
        <v>#VALUE!</v>
      </c>
      <c r="P2782" s="247">
        <f t="shared" si="306"/>
        <v>0</v>
      </c>
      <c r="Q2782" s="247" t="e">
        <f t="shared" si="307"/>
        <v>#VALUE!</v>
      </c>
    </row>
    <row r="2783" spans="1:17" ht="15" customHeight="1" x14ac:dyDescent="0.25">
      <c r="A2783" s="244"/>
      <c r="B2783" s="244"/>
      <c r="C2783" s="244"/>
      <c r="D2783" s="244"/>
      <c r="E2783" s="244"/>
      <c r="F2783" s="244"/>
      <c r="G2783" s="244"/>
      <c r="I2783" s="244"/>
      <c r="J2783" s="244"/>
      <c r="K2783" s="246" t="e">
        <f t="shared" si="301"/>
        <v>#VALUE!</v>
      </c>
      <c r="L2783" s="246" t="e">
        <f t="shared" si="302"/>
        <v>#VALUE!</v>
      </c>
      <c r="M2783" s="247" t="e">
        <f t="shared" si="303"/>
        <v>#VALUE!</v>
      </c>
      <c r="N2783" s="246" t="e">
        <f t="shared" si="304"/>
        <v>#VALUE!</v>
      </c>
      <c r="O2783" s="247" t="e">
        <f t="shared" si="305"/>
        <v>#VALUE!</v>
      </c>
      <c r="P2783" s="247">
        <f t="shared" si="306"/>
        <v>0</v>
      </c>
      <c r="Q2783" s="247" t="e">
        <f t="shared" si="307"/>
        <v>#VALUE!</v>
      </c>
    </row>
    <row r="2784" spans="1:17" ht="15" customHeight="1" x14ac:dyDescent="0.25">
      <c r="A2784" s="244"/>
      <c r="B2784" s="244"/>
      <c r="C2784" s="244"/>
      <c r="D2784" s="244"/>
      <c r="E2784" s="244"/>
      <c r="F2784" s="244"/>
      <c r="G2784" s="244"/>
      <c r="I2784" s="244"/>
      <c r="J2784" s="244"/>
      <c r="K2784" s="246" t="e">
        <f t="shared" si="301"/>
        <v>#VALUE!</v>
      </c>
      <c r="L2784" s="246" t="e">
        <f t="shared" si="302"/>
        <v>#VALUE!</v>
      </c>
      <c r="M2784" s="247" t="e">
        <f t="shared" si="303"/>
        <v>#VALUE!</v>
      </c>
      <c r="N2784" s="246" t="e">
        <f t="shared" si="304"/>
        <v>#VALUE!</v>
      </c>
      <c r="O2784" s="247" t="e">
        <f t="shared" si="305"/>
        <v>#VALUE!</v>
      </c>
      <c r="P2784" s="247">
        <f t="shared" si="306"/>
        <v>0</v>
      </c>
      <c r="Q2784" s="247" t="e">
        <f t="shared" si="307"/>
        <v>#VALUE!</v>
      </c>
    </row>
    <row r="2785" spans="1:17" ht="15" customHeight="1" x14ac:dyDescent="0.25">
      <c r="A2785" s="244"/>
      <c r="B2785" s="244"/>
      <c r="C2785" s="244"/>
      <c r="D2785" s="244"/>
      <c r="E2785" s="244"/>
      <c r="F2785" s="244"/>
      <c r="G2785" s="244"/>
      <c r="I2785" s="244"/>
      <c r="J2785" s="244"/>
      <c r="K2785" s="246" t="e">
        <f t="shared" si="301"/>
        <v>#VALUE!</v>
      </c>
      <c r="L2785" s="246" t="e">
        <f t="shared" si="302"/>
        <v>#VALUE!</v>
      </c>
      <c r="M2785" s="247" t="e">
        <f t="shared" si="303"/>
        <v>#VALUE!</v>
      </c>
      <c r="N2785" s="246" t="e">
        <f t="shared" si="304"/>
        <v>#VALUE!</v>
      </c>
      <c r="O2785" s="247" t="e">
        <f t="shared" si="305"/>
        <v>#VALUE!</v>
      </c>
      <c r="P2785" s="247">
        <f t="shared" si="306"/>
        <v>0</v>
      </c>
      <c r="Q2785" s="247" t="e">
        <f t="shared" si="307"/>
        <v>#VALUE!</v>
      </c>
    </row>
    <row r="2786" spans="1:17" ht="15" customHeight="1" x14ac:dyDescent="0.25">
      <c r="A2786" s="244"/>
      <c r="B2786" s="244"/>
      <c r="C2786" s="244"/>
      <c r="D2786" s="244"/>
      <c r="E2786" s="244"/>
      <c r="F2786" s="244"/>
      <c r="G2786" s="244"/>
      <c r="I2786" s="244"/>
      <c r="J2786" s="244"/>
      <c r="K2786" s="246" t="e">
        <f t="shared" si="301"/>
        <v>#VALUE!</v>
      </c>
      <c r="L2786" s="246" t="e">
        <f t="shared" si="302"/>
        <v>#VALUE!</v>
      </c>
      <c r="M2786" s="247" t="e">
        <f t="shared" si="303"/>
        <v>#VALUE!</v>
      </c>
      <c r="N2786" s="246" t="e">
        <f t="shared" si="304"/>
        <v>#VALUE!</v>
      </c>
      <c r="O2786" s="247" t="e">
        <f t="shared" si="305"/>
        <v>#VALUE!</v>
      </c>
      <c r="P2786" s="247">
        <f t="shared" si="306"/>
        <v>0</v>
      </c>
      <c r="Q2786" s="247" t="e">
        <f t="shared" si="307"/>
        <v>#VALUE!</v>
      </c>
    </row>
    <row r="2787" spans="1:17" ht="15" customHeight="1" x14ac:dyDescent="0.25">
      <c r="A2787" s="244"/>
      <c r="B2787" s="244"/>
      <c r="C2787" s="244"/>
      <c r="D2787" s="244"/>
      <c r="E2787" s="244"/>
      <c r="F2787" s="244"/>
      <c r="G2787" s="244"/>
      <c r="I2787" s="244"/>
      <c r="J2787" s="244"/>
      <c r="K2787" s="246" t="e">
        <f t="shared" si="301"/>
        <v>#VALUE!</v>
      </c>
      <c r="L2787" s="246" t="e">
        <f t="shared" si="302"/>
        <v>#VALUE!</v>
      </c>
      <c r="M2787" s="247" t="e">
        <f t="shared" si="303"/>
        <v>#VALUE!</v>
      </c>
      <c r="N2787" s="246" t="e">
        <f t="shared" si="304"/>
        <v>#VALUE!</v>
      </c>
      <c r="O2787" s="247" t="e">
        <f t="shared" si="305"/>
        <v>#VALUE!</v>
      </c>
      <c r="P2787" s="247">
        <f t="shared" si="306"/>
        <v>0</v>
      </c>
      <c r="Q2787" s="247" t="e">
        <f t="shared" si="307"/>
        <v>#VALUE!</v>
      </c>
    </row>
    <row r="2788" spans="1:17" ht="15" customHeight="1" x14ac:dyDescent="0.25">
      <c r="A2788" s="244"/>
      <c r="B2788" s="244"/>
      <c r="C2788" s="244"/>
      <c r="D2788" s="244"/>
      <c r="E2788" s="244"/>
      <c r="F2788" s="244"/>
      <c r="G2788" s="244"/>
      <c r="I2788" s="244"/>
      <c r="J2788" s="244"/>
      <c r="K2788" s="246" t="e">
        <f t="shared" si="301"/>
        <v>#VALUE!</v>
      </c>
      <c r="L2788" s="246" t="e">
        <f t="shared" si="302"/>
        <v>#VALUE!</v>
      </c>
      <c r="M2788" s="247" t="e">
        <f t="shared" si="303"/>
        <v>#VALUE!</v>
      </c>
      <c r="N2788" s="246" t="e">
        <f t="shared" si="304"/>
        <v>#VALUE!</v>
      </c>
      <c r="O2788" s="247" t="e">
        <f t="shared" si="305"/>
        <v>#VALUE!</v>
      </c>
      <c r="P2788" s="247">
        <f t="shared" si="306"/>
        <v>0</v>
      </c>
      <c r="Q2788" s="247" t="e">
        <f t="shared" si="307"/>
        <v>#VALUE!</v>
      </c>
    </row>
    <row r="2789" spans="1:17" ht="15" customHeight="1" x14ac:dyDescent="0.25">
      <c r="A2789" s="244"/>
      <c r="B2789" s="244"/>
      <c r="C2789" s="244"/>
      <c r="D2789" s="244"/>
      <c r="E2789" s="244"/>
      <c r="F2789" s="244"/>
      <c r="G2789" s="244"/>
      <c r="I2789" s="244"/>
      <c r="J2789" s="244"/>
      <c r="K2789" s="246" t="e">
        <f t="shared" si="301"/>
        <v>#VALUE!</v>
      </c>
      <c r="L2789" s="246" t="e">
        <f t="shared" si="302"/>
        <v>#VALUE!</v>
      </c>
      <c r="M2789" s="247" t="e">
        <f t="shared" si="303"/>
        <v>#VALUE!</v>
      </c>
      <c r="N2789" s="246" t="e">
        <f t="shared" si="304"/>
        <v>#VALUE!</v>
      </c>
      <c r="O2789" s="247" t="e">
        <f t="shared" si="305"/>
        <v>#VALUE!</v>
      </c>
      <c r="P2789" s="247">
        <f t="shared" si="306"/>
        <v>0</v>
      </c>
      <c r="Q2789" s="247" t="e">
        <f t="shared" si="307"/>
        <v>#VALUE!</v>
      </c>
    </row>
    <row r="2790" spans="1:17" ht="15" customHeight="1" x14ac:dyDescent="0.25">
      <c r="A2790" s="244"/>
      <c r="B2790" s="244"/>
      <c r="C2790" s="244"/>
      <c r="D2790" s="244"/>
      <c r="E2790" s="244"/>
      <c r="F2790" s="244"/>
      <c r="G2790" s="244"/>
      <c r="I2790" s="244"/>
      <c r="J2790" s="244"/>
      <c r="K2790" s="246" t="e">
        <f t="shared" si="301"/>
        <v>#VALUE!</v>
      </c>
      <c r="L2790" s="246" t="e">
        <f t="shared" si="302"/>
        <v>#VALUE!</v>
      </c>
      <c r="M2790" s="247" t="e">
        <f t="shared" si="303"/>
        <v>#VALUE!</v>
      </c>
      <c r="N2790" s="246" t="e">
        <f t="shared" si="304"/>
        <v>#VALUE!</v>
      </c>
      <c r="O2790" s="247" t="e">
        <f t="shared" si="305"/>
        <v>#VALUE!</v>
      </c>
      <c r="P2790" s="247">
        <f t="shared" si="306"/>
        <v>0</v>
      </c>
      <c r="Q2790" s="247" t="e">
        <f t="shared" si="307"/>
        <v>#VALUE!</v>
      </c>
    </row>
    <row r="2791" spans="1:17" ht="15" customHeight="1" x14ac:dyDescent="0.25">
      <c r="A2791" s="244"/>
      <c r="B2791" s="244"/>
      <c r="C2791" s="244"/>
      <c r="D2791" s="244"/>
      <c r="E2791" s="244"/>
      <c r="F2791" s="244"/>
      <c r="G2791" s="244"/>
      <c r="I2791" s="244"/>
      <c r="J2791" s="244"/>
      <c r="K2791" s="246" t="e">
        <f t="shared" si="301"/>
        <v>#VALUE!</v>
      </c>
      <c r="L2791" s="246" t="e">
        <f t="shared" si="302"/>
        <v>#VALUE!</v>
      </c>
      <c r="M2791" s="247" t="e">
        <f t="shared" si="303"/>
        <v>#VALUE!</v>
      </c>
      <c r="N2791" s="246" t="e">
        <f t="shared" si="304"/>
        <v>#VALUE!</v>
      </c>
      <c r="O2791" s="247" t="e">
        <f t="shared" si="305"/>
        <v>#VALUE!</v>
      </c>
      <c r="P2791" s="247">
        <f t="shared" si="306"/>
        <v>0</v>
      </c>
      <c r="Q2791" s="247" t="e">
        <f t="shared" si="307"/>
        <v>#VALUE!</v>
      </c>
    </row>
    <row r="2792" spans="1:17" ht="15" customHeight="1" x14ac:dyDescent="0.25">
      <c r="A2792" s="244"/>
      <c r="B2792" s="244"/>
      <c r="C2792" s="244"/>
      <c r="D2792" s="244"/>
      <c r="E2792" s="244"/>
      <c r="F2792" s="244"/>
      <c r="G2792" s="244"/>
      <c r="I2792" s="244"/>
      <c r="J2792" s="244"/>
      <c r="K2792" s="246" t="e">
        <f t="shared" si="301"/>
        <v>#VALUE!</v>
      </c>
      <c r="L2792" s="246" t="e">
        <f t="shared" si="302"/>
        <v>#VALUE!</v>
      </c>
      <c r="M2792" s="247" t="e">
        <f t="shared" si="303"/>
        <v>#VALUE!</v>
      </c>
      <c r="N2792" s="246" t="e">
        <f t="shared" si="304"/>
        <v>#VALUE!</v>
      </c>
      <c r="O2792" s="247" t="e">
        <f t="shared" si="305"/>
        <v>#VALUE!</v>
      </c>
      <c r="P2792" s="247">
        <f t="shared" si="306"/>
        <v>0</v>
      </c>
      <c r="Q2792" s="247" t="e">
        <f t="shared" si="307"/>
        <v>#VALUE!</v>
      </c>
    </row>
    <row r="2793" spans="1:17" ht="15" customHeight="1" x14ac:dyDescent="0.25">
      <c r="A2793" s="244"/>
      <c r="B2793" s="244"/>
      <c r="C2793" s="244"/>
      <c r="D2793" s="244"/>
      <c r="E2793" s="244"/>
      <c r="F2793" s="244"/>
      <c r="G2793" s="244"/>
      <c r="I2793" s="244"/>
      <c r="J2793" s="244"/>
      <c r="K2793" s="246" t="e">
        <f t="shared" si="301"/>
        <v>#VALUE!</v>
      </c>
      <c r="L2793" s="246" t="e">
        <f t="shared" si="302"/>
        <v>#VALUE!</v>
      </c>
      <c r="M2793" s="247" t="e">
        <f t="shared" si="303"/>
        <v>#VALUE!</v>
      </c>
      <c r="N2793" s="246" t="e">
        <f t="shared" si="304"/>
        <v>#VALUE!</v>
      </c>
      <c r="O2793" s="247" t="e">
        <f t="shared" si="305"/>
        <v>#VALUE!</v>
      </c>
      <c r="P2793" s="247">
        <f t="shared" si="306"/>
        <v>0</v>
      </c>
      <c r="Q2793" s="247" t="e">
        <f t="shared" si="307"/>
        <v>#VALUE!</v>
      </c>
    </row>
    <row r="2794" spans="1:17" ht="15" customHeight="1" x14ac:dyDescent="0.25">
      <c r="A2794" s="244"/>
      <c r="B2794" s="244"/>
      <c r="C2794" s="244"/>
      <c r="D2794" s="244"/>
      <c r="E2794" s="244"/>
      <c r="F2794" s="244"/>
      <c r="G2794" s="244"/>
      <c r="I2794" s="244"/>
      <c r="J2794" s="244"/>
      <c r="K2794" s="246" t="e">
        <f t="shared" si="301"/>
        <v>#VALUE!</v>
      </c>
      <c r="L2794" s="246" t="e">
        <f t="shared" si="302"/>
        <v>#VALUE!</v>
      </c>
      <c r="M2794" s="247" t="e">
        <f t="shared" si="303"/>
        <v>#VALUE!</v>
      </c>
      <c r="N2794" s="246" t="e">
        <f t="shared" si="304"/>
        <v>#VALUE!</v>
      </c>
      <c r="O2794" s="247" t="e">
        <f t="shared" si="305"/>
        <v>#VALUE!</v>
      </c>
      <c r="P2794" s="247">
        <f t="shared" si="306"/>
        <v>0</v>
      </c>
      <c r="Q2794" s="247" t="e">
        <f t="shared" si="307"/>
        <v>#VALUE!</v>
      </c>
    </row>
    <row r="2795" spans="1:17" ht="15" customHeight="1" x14ac:dyDescent="0.25">
      <c r="A2795" s="244"/>
      <c r="B2795" s="244"/>
      <c r="C2795" s="244"/>
      <c r="D2795" s="244"/>
      <c r="E2795" s="244"/>
      <c r="F2795" s="244"/>
      <c r="G2795" s="244"/>
      <c r="I2795" s="244"/>
      <c r="J2795" s="244"/>
      <c r="K2795" s="246" t="e">
        <f t="shared" si="301"/>
        <v>#VALUE!</v>
      </c>
      <c r="L2795" s="246" t="e">
        <f t="shared" si="302"/>
        <v>#VALUE!</v>
      </c>
      <c r="M2795" s="247" t="e">
        <f t="shared" si="303"/>
        <v>#VALUE!</v>
      </c>
      <c r="N2795" s="246" t="e">
        <f t="shared" si="304"/>
        <v>#VALUE!</v>
      </c>
      <c r="O2795" s="247" t="e">
        <f t="shared" si="305"/>
        <v>#VALUE!</v>
      </c>
      <c r="P2795" s="247">
        <f t="shared" si="306"/>
        <v>0</v>
      </c>
      <c r="Q2795" s="247" t="e">
        <f t="shared" si="307"/>
        <v>#VALUE!</v>
      </c>
    </row>
    <row r="2796" spans="1:17" ht="15" customHeight="1" x14ac:dyDescent="0.25">
      <c r="A2796" s="244"/>
      <c r="B2796" s="244"/>
      <c r="C2796" s="244"/>
      <c r="D2796" s="244"/>
      <c r="E2796" s="244"/>
      <c r="F2796" s="244"/>
      <c r="G2796" s="244"/>
      <c r="I2796" s="244"/>
      <c r="J2796" s="244"/>
      <c r="K2796" s="246" t="e">
        <f t="shared" si="301"/>
        <v>#VALUE!</v>
      </c>
      <c r="L2796" s="246" t="e">
        <f t="shared" si="302"/>
        <v>#VALUE!</v>
      </c>
      <c r="M2796" s="247" t="e">
        <f t="shared" si="303"/>
        <v>#VALUE!</v>
      </c>
      <c r="N2796" s="246" t="e">
        <f t="shared" si="304"/>
        <v>#VALUE!</v>
      </c>
      <c r="O2796" s="247" t="e">
        <f t="shared" si="305"/>
        <v>#VALUE!</v>
      </c>
      <c r="P2796" s="247">
        <f t="shared" si="306"/>
        <v>0</v>
      </c>
      <c r="Q2796" s="247" t="e">
        <f t="shared" si="307"/>
        <v>#VALUE!</v>
      </c>
    </row>
    <row r="2797" spans="1:17" ht="15" customHeight="1" x14ac:dyDescent="0.25">
      <c r="A2797" s="244"/>
      <c r="B2797" s="244"/>
      <c r="C2797" s="244"/>
      <c r="D2797" s="244"/>
      <c r="E2797" s="244"/>
      <c r="F2797" s="244"/>
      <c r="G2797" s="244"/>
      <c r="I2797" s="244"/>
      <c r="J2797" s="244"/>
      <c r="K2797" s="246" t="e">
        <f t="shared" si="301"/>
        <v>#VALUE!</v>
      </c>
      <c r="L2797" s="246" t="e">
        <f t="shared" si="302"/>
        <v>#VALUE!</v>
      </c>
      <c r="M2797" s="247" t="e">
        <f t="shared" si="303"/>
        <v>#VALUE!</v>
      </c>
      <c r="N2797" s="246" t="e">
        <f t="shared" si="304"/>
        <v>#VALUE!</v>
      </c>
      <c r="O2797" s="247" t="e">
        <f t="shared" si="305"/>
        <v>#VALUE!</v>
      </c>
      <c r="P2797" s="247">
        <f t="shared" si="306"/>
        <v>0</v>
      </c>
      <c r="Q2797" s="247" t="e">
        <f t="shared" si="307"/>
        <v>#VALUE!</v>
      </c>
    </row>
    <row r="2798" spans="1:17" ht="15" customHeight="1" x14ac:dyDescent="0.25">
      <c r="A2798" s="244"/>
      <c r="B2798" s="244"/>
      <c r="C2798" s="244"/>
      <c r="D2798" s="244"/>
      <c r="E2798" s="244"/>
      <c r="F2798" s="244"/>
      <c r="G2798" s="244"/>
      <c r="I2798" s="244"/>
      <c r="J2798" s="244"/>
      <c r="K2798" s="246" t="e">
        <f t="shared" si="301"/>
        <v>#VALUE!</v>
      </c>
      <c r="L2798" s="246" t="e">
        <f t="shared" si="302"/>
        <v>#VALUE!</v>
      </c>
      <c r="M2798" s="247" t="e">
        <f t="shared" si="303"/>
        <v>#VALUE!</v>
      </c>
      <c r="N2798" s="246" t="e">
        <f t="shared" si="304"/>
        <v>#VALUE!</v>
      </c>
      <c r="O2798" s="247" t="e">
        <f t="shared" si="305"/>
        <v>#VALUE!</v>
      </c>
      <c r="P2798" s="247">
        <f t="shared" si="306"/>
        <v>0</v>
      </c>
      <c r="Q2798" s="247" t="e">
        <f t="shared" si="307"/>
        <v>#VALUE!</v>
      </c>
    </row>
    <row r="2799" spans="1:17" ht="15" customHeight="1" x14ac:dyDescent="0.25">
      <c r="A2799" s="244"/>
      <c r="B2799" s="244"/>
      <c r="C2799" s="244"/>
      <c r="D2799" s="244"/>
      <c r="E2799" s="244"/>
      <c r="F2799" s="244"/>
      <c r="G2799" s="244"/>
      <c r="I2799" s="244"/>
      <c r="J2799" s="244"/>
      <c r="K2799" s="246" t="e">
        <f t="shared" si="301"/>
        <v>#VALUE!</v>
      </c>
      <c r="L2799" s="246" t="e">
        <f t="shared" si="302"/>
        <v>#VALUE!</v>
      </c>
      <c r="M2799" s="247" t="e">
        <f t="shared" si="303"/>
        <v>#VALUE!</v>
      </c>
      <c r="N2799" s="246" t="e">
        <f t="shared" si="304"/>
        <v>#VALUE!</v>
      </c>
      <c r="O2799" s="247" t="e">
        <f t="shared" si="305"/>
        <v>#VALUE!</v>
      </c>
      <c r="P2799" s="247">
        <f t="shared" si="306"/>
        <v>0</v>
      </c>
      <c r="Q2799" s="247" t="e">
        <f t="shared" si="307"/>
        <v>#VALUE!</v>
      </c>
    </row>
    <row r="2800" spans="1:17" ht="15" customHeight="1" x14ac:dyDescent="0.25">
      <c r="A2800" s="244"/>
      <c r="B2800" s="244"/>
      <c r="C2800" s="244"/>
      <c r="D2800" s="244"/>
      <c r="E2800" s="244"/>
      <c r="F2800" s="244"/>
      <c r="G2800" s="244"/>
      <c r="I2800" s="244"/>
      <c r="J2800" s="244"/>
      <c r="K2800" s="246" t="e">
        <f t="shared" si="301"/>
        <v>#VALUE!</v>
      </c>
      <c r="L2800" s="246" t="e">
        <f t="shared" si="302"/>
        <v>#VALUE!</v>
      </c>
      <c r="M2800" s="247" t="e">
        <f t="shared" si="303"/>
        <v>#VALUE!</v>
      </c>
      <c r="N2800" s="246" t="e">
        <f t="shared" si="304"/>
        <v>#VALUE!</v>
      </c>
      <c r="O2800" s="247" t="e">
        <f t="shared" si="305"/>
        <v>#VALUE!</v>
      </c>
      <c r="P2800" s="247">
        <f t="shared" si="306"/>
        <v>0</v>
      </c>
      <c r="Q2800" s="247" t="e">
        <f t="shared" si="307"/>
        <v>#VALUE!</v>
      </c>
    </row>
    <row r="2801" spans="1:17" ht="15" customHeight="1" x14ac:dyDescent="0.25">
      <c r="A2801" s="244"/>
      <c r="B2801" s="244"/>
      <c r="C2801" s="244"/>
      <c r="D2801" s="244"/>
      <c r="E2801" s="244"/>
      <c r="F2801" s="244"/>
      <c r="G2801" s="244"/>
      <c r="I2801" s="244"/>
      <c r="J2801" s="244"/>
      <c r="K2801" s="246" t="e">
        <f t="shared" si="301"/>
        <v>#VALUE!</v>
      </c>
      <c r="L2801" s="246" t="e">
        <f t="shared" si="302"/>
        <v>#VALUE!</v>
      </c>
      <c r="M2801" s="247" t="e">
        <f t="shared" si="303"/>
        <v>#VALUE!</v>
      </c>
      <c r="N2801" s="246" t="e">
        <f t="shared" si="304"/>
        <v>#VALUE!</v>
      </c>
      <c r="O2801" s="247" t="e">
        <f t="shared" si="305"/>
        <v>#VALUE!</v>
      </c>
      <c r="P2801" s="247">
        <f t="shared" si="306"/>
        <v>0</v>
      </c>
      <c r="Q2801" s="247" t="e">
        <f t="shared" si="307"/>
        <v>#VALUE!</v>
      </c>
    </row>
    <row r="2802" spans="1:17" ht="15" customHeight="1" x14ac:dyDescent="0.25">
      <c r="A2802" s="244"/>
      <c r="B2802" s="244"/>
      <c r="C2802" s="244"/>
      <c r="D2802" s="244"/>
      <c r="E2802" s="244"/>
      <c r="F2802" s="244"/>
      <c r="G2802" s="244"/>
      <c r="I2802" s="244"/>
      <c r="J2802" s="244"/>
      <c r="K2802" s="246" t="e">
        <f t="shared" si="301"/>
        <v>#VALUE!</v>
      </c>
      <c r="L2802" s="246" t="e">
        <f t="shared" si="302"/>
        <v>#VALUE!</v>
      </c>
      <c r="M2802" s="247" t="e">
        <f t="shared" si="303"/>
        <v>#VALUE!</v>
      </c>
      <c r="N2802" s="246" t="e">
        <f t="shared" si="304"/>
        <v>#VALUE!</v>
      </c>
      <c r="O2802" s="247" t="e">
        <f t="shared" si="305"/>
        <v>#VALUE!</v>
      </c>
      <c r="P2802" s="247">
        <f t="shared" si="306"/>
        <v>0</v>
      </c>
      <c r="Q2802" s="247" t="e">
        <f t="shared" si="307"/>
        <v>#VALUE!</v>
      </c>
    </row>
    <row r="2803" spans="1:17" ht="15" customHeight="1" x14ac:dyDescent="0.25">
      <c r="A2803" s="244"/>
      <c r="B2803" s="244"/>
      <c r="C2803" s="244"/>
      <c r="D2803" s="244"/>
      <c r="E2803" s="244"/>
      <c r="F2803" s="244"/>
      <c r="G2803" s="244"/>
      <c r="I2803" s="244"/>
      <c r="J2803" s="244"/>
      <c r="K2803" s="246" t="e">
        <f t="shared" si="301"/>
        <v>#VALUE!</v>
      </c>
      <c r="L2803" s="246" t="e">
        <f t="shared" si="302"/>
        <v>#VALUE!</v>
      </c>
      <c r="M2803" s="247" t="e">
        <f t="shared" si="303"/>
        <v>#VALUE!</v>
      </c>
      <c r="N2803" s="246" t="e">
        <f t="shared" si="304"/>
        <v>#VALUE!</v>
      </c>
      <c r="O2803" s="247" t="e">
        <f t="shared" si="305"/>
        <v>#VALUE!</v>
      </c>
      <c r="P2803" s="247">
        <f t="shared" si="306"/>
        <v>0</v>
      </c>
      <c r="Q2803" s="247" t="e">
        <f t="shared" si="307"/>
        <v>#VALUE!</v>
      </c>
    </row>
    <row r="2804" spans="1:17" ht="15" customHeight="1" x14ac:dyDescent="0.25">
      <c r="A2804" s="244"/>
      <c r="B2804" s="244"/>
      <c r="C2804" s="244"/>
      <c r="D2804" s="244"/>
      <c r="E2804" s="244"/>
      <c r="F2804" s="244"/>
      <c r="G2804" s="244"/>
      <c r="I2804" s="244"/>
      <c r="J2804" s="244"/>
      <c r="K2804" s="246" t="e">
        <f t="shared" si="301"/>
        <v>#VALUE!</v>
      </c>
      <c r="L2804" s="246" t="e">
        <f t="shared" si="302"/>
        <v>#VALUE!</v>
      </c>
      <c r="M2804" s="247" t="e">
        <f t="shared" si="303"/>
        <v>#VALUE!</v>
      </c>
      <c r="N2804" s="246" t="e">
        <f t="shared" si="304"/>
        <v>#VALUE!</v>
      </c>
      <c r="O2804" s="247" t="e">
        <f t="shared" si="305"/>
        <v>#VALUE!</v>
      </c>
      <c r="P2804" s="247">
        <f t="shared" si="306"/>
        <v>0</v>
      </c>
      <c r="Q2804" s="247" t="e">
        <f t="shared" si="307"/>
        <v>#VALUE!</v>
      </c>
    </row>
    <row r="2805" spans="1:17" ht="15" customHeight="1" x14ac:dyDescent="0.25">
      <c r="A2805" s="244"/>
      <c r="B2805" s="244"/>
      <c r="C2805" s="244"/>
      <c r="D2805" s="244"/>
      <c r="E2805" s="244"/>
      <c r="F2805" s="244"/>
      <c r="G2805" s="244"/>
      <c r="I2805" s="244"/>
      <c r="J2805" s="244"/>
      <c r="K2805" s="246" t="e">
        <f t="shared" si="301"/>
        <v>#VALUE!</v>
      </c>
      <c r="L2805" s="246" t="e">
        <f t="shared" si="302"/>
        <v>#VALUE!</v>
      </c>
      <c r="M2805" s="247" t="e">
        <f t="shared" si="303"/>
        <v>#VALUE!</v>
      </c>
      <c r="N2805" s="246" t="e">
        <f t="shared" si="304"/>
        <v>#VALUE!</v>
      </c>
      <c r="O2805" s="247" t="e">
        <f t="shared" si="305"/>
        <v>#VALUE!</v>
      </c>
      <c r="P2805" s="247">
        <f t="shared" si="306"/>
        <v>0</v>
      </c>
      <c r="Q2805" s="247" t="e">
        <f t="shared" si="307"/>
        <v>#VALUE!</v>
      </c>
    </row>
    <row r="2806" spans="1:17" ht="15" customHeight="1" x14ac:dyDescent="0.25">
      <c r="A2806" s="244"/>
      <c r="B2806" s="244"/>
      <c r="C2806" s="244"/>
      <c r="D2806" s="244"/>
      <c r="E2806" s="244"/>
      <c r="F2806" s="244"/>
      <c r="G2806" s="244"/>
      <c r="I2806" s="244"/>
      <c r="J2806" s="244"/>
      <c r="K2806" s="246" t="e">
        <f t="shared" si="301"/>
        <v>#VALUE!</v>
      </c>
      <c r="L2806" s="246" t="e">
        <f t="shared" si="302"/>
        <v>#VALUE!</v>
      </c>
      <c r="M2806" s="247" t="e">
        <f t="shared" si="303"/>
        <v>#VALUE!</v>
      </c>
      <c r="N2806" s="246" t="e">
        <f t="shared" si="304"/>
        <v>#VALUE!</v>
      </c>
      <c r="O2806" s="247" t="e">
        <f t="shared" si="305"/>
        <v>#VALUE!</v>
      </c>
      <c r="P2806" s="247">
        <f t="shared" si="306"/>
        <v>0</v>
      </c>
      <c r="Q2806" s="247" t="e">
        <f t="shared" si="307"/>
        <v>#VALUE!</v>
      </c>
    </row>
    <row r="2807" spans="1:17" ht="15" customHeight="1" x14ac:dyDescent="0.25">
      <c r="A2807" s="244"/>
      <c r="B2807" s="244"/>
      <c r="C2807" s="244"/>
      <c r="D2807" s="244"/>
      <c r="E2807" s="244"/>
      <c r="F2807" s="244"/>
      <c r="G2807" s="244"/>
      <c r="I2807" s="244"/>
      <c r="J2807" s="244"/>
      <c r="K2807" s="246" t="e">
        <f t="shared" si="301"/>
        <v>#VALUE!</v>
      </c>
      <c r="L2807" s="246" t="e">
        <f t="shared" si="302"/>
        <v>#VALUE!</v>
      </c>
      <c r="M2807" s="247" t="e">
        <f t="shared" si="303"/>
        <v>#VALUE!</v>
      </c>
      <c r="N2807" s="246" t="e">
        <f t="shared" si="304"/>
        <v>#VALUE!</v>
      </c>
      <c r="O2807" s="247" t="e">
        <f t="shared" si="305"/>
        <v>#VALUE!</v>
      </c>
      <c r="P2807" s="247">
        <f t="shared" si="306"/>
        <v>0</v>
      </c>
      <c r="Q2807" s="247" t="e">
        <f t="shared" si="307"/>
        <v>#VALUE!</v>
      </c>
    </row>
    <row r="2808" spans="1:17" ht="15" customHeight="1" x14ac:dyDescent="0.25">
      <c r="A2808" s="244"/>
      <c r="B2808" s="244"/>
      <c r="C2808" s="244"/>
      <c r="D2808" s="244"/>
      <c r="E2808" s="244"/>
      <c r="F2808" s="244"/>
      <c r="G2808" s="244"/>
      <c r="I2808" s="244"/>
      <c r="J2808" s="244"/>
      <c r="K2808" s="246" t="e">
        <f t="shared" si="301"/>
        <v>#VALUE!</v>
      </c>
      <c r="L2808" s="246" t="e">
        <f t="shared" si="302"/>
        <v>#VALUE!</v>
      </c>
      <c r="M2808" s="247" t="e">
        <f t="shared" si="303"/>
        <v>#VALUE!</v>
      </c>
      <c r="N2808" s="246" t="e">
        <f t="shared" si="304"/>
        <v>#VALUE!</v>
      </c>
      <c r="O2808" s="247" t="e">
        <f t="shared" si="305"/>
        <v>#VALUE!</v>
      </c>
      <c r="P2808" s="247">
        <f t="shared" si="306"/>
        <v>0</v>
      </c>
      <c r="Q2808" s="247" t="e">
        <f t="shared" si="307"/>
        <v>#VALUE!</v>
      </c>
    </row>
    <row r="2809" spans="1:17" ht="15" customHeight="1" x14ac:dyDescent="0.25">
      <c r="A2809" s="244"/>
      <c r="B2809" s="244"/>
      <c r="C2809" s="244"/>
      <c r="D2809" s="244"/>
      <c r="E2809" s="244"/>
      <c r="F2809" s="244"/>
      <c r="G2809" s="244"/>
      <c r="I2809" s="244"/>
      <c r="J2809" s="244"/>
      <c r="K2809" s="246" t="e">
        <f t="shared" si="301"/>
        <v>#VALUE!</v>
      </c>
      <c r="L2809" s="246" t="e">
        <f t="shared" si="302"/>
        <v>#VALUE!</v>
      </c>
      <c r="M2809" s="247" t="e">
        <f t="shared" si="303"/>
        <v>#VALUE!</v>
      </c>
      <c r="N2809" s="246" t="e">
        <f t="shared" si="304"/>
        <v>#VALUE!</v>
      </c>
      <c r="O2809" s="247" t="e">
        <f t="shared" si="305"/>
        <v>#VALUE!</v>
      </c>
      <c r="P2809" s="247">
        <f t="shared" si="306"/>
        <v>0</v>
      </c>
      <c r="Q2809" s="247" t="e">
        <f t="shared" si="307"/>
        <v>#VALUE!</v>
      </c>
    </row>
    <row r="2810" spans="1:17" ht="15" customHeight="1" x14ac:dyDescent="0.25">
      <c r="A2810" s="244"/>
      <c r="B2810" s="244"/>
      <c r="C2810" s="244"/>
      <c r="D2810" s="244"/>
      <c r="E2810" s="244"/>
      <c r="F2810" s="244"/>
      <c r="G2810" s="244"/>
      <c r="I2810" s="244"/>
      <c r="J2810" s="244"/>
      <c r="K2810" s="246" t="e">
        <f t="shared" si="301"/>
        <v>#VALUE!</v>
      </c>
      <c r="L2810" s="246" t="e">
        <f t="shared" si="302"/>
        <v>#VALUE!</v>
      </c>
      <c r="M2810" s="247" t="e">
        <f t="shared" si="303"/>
        <v>#VALUE!</v>
      </c>
      <c r="N2810" s="246" t="e">
        <f t="shared" si="304"/>
        <v>#VALUE!</v>
      </c>
      <c r="O2810" s="247" t="e">
        <f t="shared" si="305"/>
        <v>#VALUE!</v>
      </c>
      <c r="P2810" s="247">
        <f t="shared" si="306"/>
        <v>0</v>
      </c>
      <c r="Q2810" s="247" t="e">
        <f t="shared" si="307"/>
        <v>#VALUE!</v>
      </c>
    </row>
    <row r="2811" spans="1:17" ht="15" customHeight="1" x14ac:dyDescent="0.25">
      <c r="A2811" s="244"/>
      <c r="B2811" s="244"/>
      <c r="C2811" s="244"/>
      <c r="D2811" s="244"/>
      <c r="E2811" s="244"/>
      <c r="F2811" s="244"/>
      <c r="G2811" s="244"/>
      <c r="I2811" s="244"/>
      <c r="J2811" s="244"/>
      <c r="K2811" s="246" t="e">
        <f t="shared" si="301"/>
        <v>#VALUE!</v>
      </c>
      <c r="L2811" s="246" t="e">
        <f t="shared" si="302"/>
        <v>#VALUE!</v>
      </c>
      <c r="M2811" s="247" t="e">
        <f t="shared" si="303"/>
        <v>#VALUE!</v>
      </c>
      <c r="N2811" s="246" t="e">
        <f t="shared" si="304"/>
        <v>#VALUE!</v>
      </c>
      <c r="O2811" s="247" t="e">
        <f t="shared" si="305"/>
        <v>#VALUE!</v>
      </c>
      <c r="P2811" s="247">
        <f t="shared" si="306"/>
        <v>0</v>
      </c>
      <c r="Q2811" s="247" t="e">
        <f t="shared" si="307"/>
        <v>#VALUE!</v>
      </c>
    </row>
    <row r="2812" spans="1:17" ht="15" customHeight="1" x14ac:dyDescent="0.25">
      <c r="A2812" s="244"/>
      <c r="B2812" s="244"/>
      <c r="C2812" s="244"/>
      <c r="D2812" s="244"/>
      <c r="E2812" s="244"/>
      <c r="F2812" s="244"/>
      <c r="G2812" s="244"/>
      <c r="I2812" s="244"/>
      <c r="J2812" s="244"/>
      <c r="K2812" s="246" t="e">
        <f t="shared" si="301"/>
        <v>#VALUE!</v>
      </c>
      <c r="L2812" s="246" t="e">
        <f t="shared" si="302"/>
        <v>#VALUE!</v>
      </c>
      <c r="M2812" s="247" t="e">
        <f t="shared" si="303"/>
        <v>#VALUE!</v>
      </c>
      <c r="N2812" s="246" t="e">
        <f t="shared" si="304"/>
        <v>#VALUE!</v>
      </c>
      <c r="O2812" s="247" t="e">
        <f t="shared" si="305"/>
        <v>#VALUE!</v>
      </c>
      <c r="P2812" s="247">
        <f t="shared" si="306"/>
        <v>0</v>
      </c>
      <c r="Q2812" s="247" t="e">
        <f t="shared" si="307"/>
        <v>#VALUE!</v>
      </c>
    </row>
    <row r="2813" spans="1:17" ht="15" customHeight="1" x14ac:dyDescent="0.25">
      <c r="A2813" s="244"/>
      <c r="B2813" s="244"/>
      <c r="C2813" s="244"/>
      <c r="D2813" s="244"/>
      <c r="E2813" s="244"/>
      <c r="F2813" s="244"/>
      <c r="G2813" s="244"/>
      <c r="I2813" s="244"/>
      <c r="J2813" s="244"/>
      <c r="K2813" s="246" t="e">
        <f t="shared" si="301"/>
        <v>#VALUE!</v>
      </c>
      <c r="L2813" s="246" t="e">
        <f t="shared" si="302"/>
        <v>#VALUE!</v>
      </c>
      <c r="M2813" s="247" t="e">
        <f t="shared" si="303"/>
        <v>#VALUE!</v>
      </c>
      <c r="N2813" s="246" t="e">
        <f t="shared" si="304"/>
        <v>#VALUE!</v>
      </c>
      <c r="O2813" s="247" t="e">
        <f t="shared" si="305"/>
        <v>#VALUE!</v>
      </c>
      <c r="P2813" s="247">
        <f t="shared" si="306"/>
        <v>0</v>
      </c>
      <c r="Q2813" s="247" t="e">
        <f t="shared" si="307"/>
        <v>#VALUE!</v>
      </c>
    </row>
    <row r="2814" spans="1:17" ht="15" customHeight="1" x14ac:dyDescent="0.25">
      <c r="A2814" s="244"/>
      <c r="B2814" s="244"/>
      <c r="C2814" s="244"/>
      <c r="D2814" s="244"/>
      <c r="E2814" s="244"/>
      <c r="F2814" s="244"/>
      <c r="G2814" s="244"/>
      <c r="I2814" s="244"/>
      <c r="J2814" s="244"/>
      <c r="K2814" s="246" t="e">
        <f t="shared" si="301"/>
        <v>#VALUE!</v>
      </c>
      <c r="L2814" s="246" t="e">
        <f t="shared" si="302"/>
        <v>#VALUE!</v>
      </c>
      <c r="M2814" s="247" t="e">
        <f t="shared" si="303"/>
        <v>#VALUE!</v>
      </c>
      <c r="N2814" s="246" t="e">
        <f t="shared" si="304"/>
        <v>#VALUE!</v>
      </c>
      <c r="O2814" s="247" t="e">
        <f t="shared" si="305"/>
        <v>#VALUE!</v>
      </c>
      <c r="P2814" s="247">
        <f t="shared" si="306"/>
        <v>0</v>
      </c>
      <c r="Q2814" s="247" t="e">
        <f t="shared" si="307"/>
        <v>#VALUE!</v>
      </c>
    </row>
    <row r="2815" spans="1:17" ht="15" customHeight="1" x14ac:dyDescent="0.25">
      <c r="A2815" s="244"/>
      <c r="B2815" s="244"/>
      <c r="C2815" s="244"/>
      <c r="D2815" s="244"/>
      <c r="E2815" s="244"/>
      <c r="F2815" s="244"/>
      <c r="G2815" s="244"/>
      <c r="I2815" s="244"/>
      <c r="J2815" s="244"/>
      <c r="K2815" s="246" t="e">
        <f t="shared" si="301"/>
        <v>#VALUE!</v>
      </c>
      <c r="L2815" s="246" t="e">
        <f t="shared" si="302"/>
        <v>#VALUE!</v>
      </c>
      <c r="M2815" s="247" t="e">
        <f t="shared" si="303"/>
        <v>#VALUE!</v>
      </c>
      <c r="N2815" s="246" t="e">
        <f t="shared" si="304"/>
        <v>#VALUE!</v>
      </c>
      <c r="O2815" s="247" t="e">
        <f t="shared" si="305"/>
        <v>#VALUE!</v>
      </c>
      <c r="P2815" s="247">
        <f t="shared" si="306"/>
        <v>0</v>
      </c>
      <c r="Q2815" s="247" t="e">
        <f t="shared" si="307"/>
        <v>#VALUE!</v>
      </c>
    </row>
    <row r="2816" spans="1:17" ht="15" customHeight="1" x14ac:dyDescent="0.25">
      <c r="A2816" s="244"/>
      <c r="B2816" s="244"/>
      <c r="C2816" s="244"/>
      <c r="D2816" s="244"/>
      <c r="E2816" s="244"/>
      <c r="F2816" s="244"/>
      <c r="G2816" s="244"/>
      <c r="I2816" s="244"/>
      <c r="J2816" s="244"/>
      <c r="K2816" s="246" t="e">
        <f t="shared" si="301"/>
        <v>#VALUE!</v>
      </c>
      <c r="L2816" s="246" t="e">
        <f t="shared" si="302"/>
        <v>#VALUE!</v>
      </c>
      <c r="M2816" s="247" t="e">
        <f t="shared" si="303"/>
        <v>#VALUE!</v>
      </c>
      <c r="N2816" s="246" t="e">
        <f t="shared" si="304"/>
        <v>#VALUE!</v>
      </c>
      <c r="O2816" s="247" t="e">
        <f t="shared" si="305"/>
        <v>#VALUE!</v>
      </c>
      <c r="P2816" s="247">
        <f t="shared" si="306"/>
        <v>0</v>
      </c>
      <c r="Q2816" s="247" t="e">
        <f t="shared" si="307"/>
        <v>#VALUE!</v>
      </c>
    </row>
    <row r="2817" spans="1:17" ht="15" customHeight="1" x14ac:dyDescent="0.25">
      <c r="A2817" s="244"/>
      <c r="B2817" s="244"/>
      <c r="C2817" s="244"/>
      <c r="D2817" s="244"/>
      <c r="E2817" s="244"/>
      <c r="F2817" s="244"/>
      <c r="G2817" s="244"/>
      <c r="I2817" s="244"/>
      <c r="J2817" s="244"/>
      <c r="K2817" s="246" t="e">
        <f t="shared" si="301"/>
        <v>#VALUE!</v>
      </c>
      <c r="L2817" s="246" t="e">
        <f t="shared" si="302"/>
        <v>#VALUE!</v>
      </c>
      <c r="M2817" s="247" t="e">
        <f t="shared" si="303"/>
        <v>#VALUE!</v>
      </c>
      <c r="N2817" s="246" t="e">
        <f t="shared" si="304"/>
        <v>#VALUE!</v>
      </c>
      <c r="O2817" s="247" t="e">
        <f t="shared" si="305"/>
        <v>#VALUE!</v>
      </c>
      <c r="P2817" s="247">
        <f t="shared" si="306"/>
        <v>0</v>
      </c>
      <c r="Q2817" s="247" t="e">
        <f t="shared" si="307"/>
        <v>#VALUE!</v>
      </c>
    </row>
    <row r="2818" spans="1:17" ht="15" customHeight="1" x14ac:dyDescent="0.25">
      <c r="A2818" s="244"/>
      <c r="B2818" s="244"/>
      <c r="C2818" s="244"/>
      <c r="D2818" s="244"/>
      <c r="E2818" s="244"/>
      <c r="F2818" s="244"/>
      <c r="G2818" s="244"/>
      <c r="I2818" s="244"/>
      <c r="J2818" s="244"/>
      <c r="K2818" s="246" t="e">
        <f t="shared" ref="K2818:K2881" si="308">DATE(VALUE(LEFT(A2818,4)),VALUE(MID(A2818,5,2)),VALUE(RIGHT(A2818,2)))</f>
        <v>#VALUE!</v>
      </c>
      <c r="L2818" s="246" t="e">
        <f t="shared" ref="L2818:L2881" si="309">DATEVALUE(LEFT(F2818,10))</f>
        <v>#VALUE!</v>
      </c>
      <c r="M2818" s="247" t="e">
        <f t="shared" ref="M2818:M2881" si="310">TIMEVALUE(MID(F2818,12,8))</f>
        <v>#VALUE!</v>
      </c>
      <c r="N2818" s="246" t="e">
        <f t="shared" ref="N2818:N2881" si="311">DATEVALUE(LEFT(G2818,10))</f>
        <v>#VALUE!</v>
      </c>
      <c r="O2818" s="247" t="e">
        <f t="shared" ref="O2818:O2881" si="312">TIMEVALUE(MID(G2818,12,8))</f>
        <v>#VALUE!</v>
      </c>
      <c r="P2818" s="247">
        <f t="shared" ref="P2818:P2881" si="313">IFERROR(_xlfn.MINIFS($M:$M,$E:$E,$E2818,$K:$K,$K2818,$M:$M,"&gt;"&amp;$O2818),"")</f>
        <v>0</v>
      </c>
      <c r="Q2818" s="247" t="e">
        <f t="shared" ref="Q2818:Q2881" si="314">IF($P2818="","",$P2818-$O2818)</f>
        <v>#VALUE!</v>
      </c>
    </row>
    <row r="2819" spans="1:17" ht="15" customHeight="1" x14ac:dyDescent="0.25">
      <c r="A2819" s="244"/>
      <c r="B2819" s="244"/>
      <c r="C2819" s="244"/>
      <c r="D2819" s="244"/>
      <c r="E2819" s="244"/>
      <c r="F2819" s="244"/>
      <c r="G2819" s="244"/>
      <c r="I2819" s="244"/>
      <c r="J2819" s="244"/>
      <c r="K2819" s="246" t="e">
        <f t="shared" si="308"/>
        <v>#VALUE!</v>
      </c>
      <c r="L2819" s="246" t="e">
        <f t="shared" si="309"/>
        <v>#VALUE!</v>
      </c>
      <c r="M2819" s="247" t="e">
        <f t="shared" si="310"/>
        <v>#VALUE!</v>
      </c>
      <c r="N2819" s="246" t="e">
        <f t="shared" si="311"/>
        <v>#VALUE!</v>
      </c>
      <c r="O2819" s="247" t="e">
        <f t="shared" si="312"/>
        <v>#VALUE!</v>
      </c>
      <c r="P2819" s="247">
        <f t="shared" si="313"/>
        <v>0</v>
      </c>
      <c r="Q2819" s="247" t="e">
        <f t="shared" si="314"/>
        <v>#VALUE!</v>
      </c>
    </row>
    <row r="2820" spans="1:17" ht="15" customHeight="1" x14ac:dyDescent="0.25">
      <c r="A2820" s="244"/>
      <c r="B2820" s="244"/>
      <c r="C2820" s="244"/>
      <c r="D2820" s="244"/>
      <c r="E2820" s="244"/>
      <c r="F2820" s="244"/>
      <c r="G2820" s="244"/>
      <c r="I2820" s="244"/>
      <c r="J2820" s="244"/>
      <c r="K2820" s="246" t="e">
        <f t="shared" si="308"/>
        <v>#VALUE!</v>
      </c>
      <c r="L2820" s="246" t="e">
        <f t="shared" si="309"/>
        <v>#VALUE!</v>
      </c>
      <c r="M2820" s="247" t="e">
        <f t="shared" si="310"/>
        <v>#VALUE!</v>
      </c>
      <c r="N2820" s="246" t="e">
        <f t="shared" si="311"/>
        <v>#VALUE!</v>
      </c>
      <c r="O2820" s="247" t="e">
        <f t="shared" si="312"/>
        <v>#VALUE!</v>
      </c>
      <c r="P2820" s="247">
        <f t="shared" si="313"/>
        <v>0</v>
      </c>
      <c r="Q2820" s="247" t="e">
        <f t="shared" si="314"/>
        <v>#VALUE!</v>
      </c>
    </row>
    <row r="2821" spans="1:17" ht="15" customHeight="1" x14ac:dyDescent="0.25">
      <c r="A2821" s="244"/>
      <c r="B2821" s="244"/>
      <c r="C2821" s="244"/>
      <c r="D2821" s="244"/>
      <c r="E2821" s="244"/>
      <c r="F2821" s="244"/>
      <c r="G2821" s="244"/>
      <c r="I2821" s="244"/>
      <c r="J2821" s="244"/>
      <c r="K2821" s="246" t="e">
        <f t="shared" si="308"/>
        <v>#VALUE!</v>
      </c>
      <c r="L2821" s="246" t="e">
        <f t="shared" si="309"/>
        <v>#VALUE!</v>
      </c>
      <c r="M2821" s="247" t="e">
        <f t="shared" si="310"/>
        <v>#VALUE!</v>
      </c>
      <c r="N2821" s="246" t="e">
        <f t="shared" si="311"/>
        <v>#VALUE!</v>
      </c>
      <c r="O2821" s="247" t="e">
        <f t="shared" si="312"/>
        <v>#VALUE!</v>
      </c>
      <c r="P2821" s="247">
        <f t="shared" si="313"/>
        <v>0</v>
      </c>
      <c r="Q2821" s="247" t="e">
        <f t="shared" si="314"/>
        <v>#VALUE!</v>
      </c>
    </row>
    <row r="2822" spans="1:17" ht="15" customHeight="1" x14ac:dyDescent="0.25">
      <c r="A2822" s="244"/>
      <c r="B2822" s="244"/>
      <c r="C2822" s="244"/>
      <c r="D2822" s="244"/>
      <c r="E2822" s="244"/>
      <c r="F2822" s="244"/>
      <c r="G2822" s="244"/>
      <c r="I2822" s="244"/>
      <c r="J2822" s="244"/>
      <c r="K2822" s="246" t="e">
        <f t="shared" si="308"/>
        <v>#VALUE!</v>
      </c>
      <c r="L2822" s="246" t="e">
        <f t="shared" si="309"/>
        <v>#VALUE!</v>
      </c>
      <c r="M2822" s="247" t="e">
        <f t="shared" si="310"/>
        <v>#VALUE!</v>
      </c>
      <c r="N2822" s="246" t="e">
        <f t="shared" si="311"/>
        <v>#VALUE!</v>
      </c>
      <c r="O2822" s="247" t="e">
        <f t="shared" si="312"/>
        <v>#VALUE!</v>
      </c>
      <c r="P2822" s="247">
        <f t="shared" si="313"/>
        <v>0</v>
      </c>
      <c r="Q2822" s="247" t="e">
        <f t="shared" si="314"/>
        <v>#VALUE!</v>
      </c>
    </row>
    <row r="2823" spans="1:17" ht="15" customHeight="1" x14ac:dyDescent="0.25">
      <c r="A2823" s="244"/>
      <c r="B2823" s="244"/>
      <c r="C2823" s="244"/>
      <c r="D2823" s="244"/>
      <c r="E2823" s="244"/>
      <c r="F2823" s="244"/>
      <c r="G2823" s="244"/>
      <c r="I2823" s="244"/>
      <c r="J2823" s="244"/>
      <c r="K2823" s="246" t="e">
        <f t="shared" si="308"/>
        <v>#VALUE!</v>
      </c>
      <c r="L2823" s="246" t="e">
        <f t="shared" si="309"/>
        <v>#VALUE!</v>
      </c>
      <c r="M2823" s="247" t="e">
        <f t="shared" si="310"/>
        <v>#VALUE!</v>
      </c>
      <c r="N2823" s="246" t="e">
        <f t="shared" si="311"/>
        <v>#VALUE!</v>
      </c>
      <c r="O2823" s="247" t="e">
        <f t="shared" si="312"/>
        <v>#VALUE!</v>
      </c>
      <c r="P2823" s="247">
        <f t="shared" si="313"/>
        <v>0</v>
      </c>
      <c r="Q2823" s="247" t="e">
        <f t="shared" si="314"/>
        <v>#VALUE!</v>
      </c>
    </row>
    <row r="2824" spans="1:17" ht="15" customHeight="1" x14ac:dyDescent="0.25">
      <c r="A2824" s="244"/>
      <c r="B2824" s="244"/>
      <c r="C2824" s="244"/>
      <c r="D2824" s="244"/>
      <c r="E2824" s="244"/>
      <c r="F2824" s="244"/>
      <c r="G2824" s="244"/>
      <c r="I2824" s="244"/>
      <c r="J2824" s="244"/>
      <c r="K2824" s="246" t="e">
        <f t="shared" si="308"/>
        <v>#VALUE!</v>
      </c>
      <c r="L2824" s="246" t="e">
        <f t="shared" si="309"/>
        <v>#VALUE!</v>
      </c>
      <c r="M2824" s="247" t="e">
        <f t="shared" si="310"/>
        <v>#VALUE!</v>
      </c>
      <c r="N2824" s="246" t="e">
        <f t="shared" si="311"/>
        <v>#VALUE!</v>
      </c>
      <c r="O2824" s="247" t="e">
        <f t="shared" si="312"/>
        <v>#VALUE!</v>
      </c>
      <c r="P2824" s="247">
        <f t="shared" si="313"/>
        <v>0</v>
      </c>
      <c r="Q2824" s="247" t="e">
        <f t="shared" si="314"/>
        <v>#VALUE!</v>
      </c>
    </row>
    <row r="2825" spans="1:17" ht="15" customHeight="1" x14ac:dyDescent="0.25">
      <c r="A2825" s="244"/>
      <c r="B2825" s="244"/>
      <c r="C2825" s="244"/>
      <c r="D2825" s="244"/>
      <c r="E2825" s="244"/>
      <c r="F2825" s="244"/>
      <c r="G2825" s="244"/>
      <c r="I2825" s="244"/>
      <c r="J2825" s="244"/>
      <c r="K2825" s="246" t="e">
        <f t="shared" si="308"/>
        <v>#VALUE!</v>
      </c>
      <c r="L2825" s="246" t="e">
        <f t="shared" si="309"/>
        <v>#VALUE!</v>
      </c>
      <c r="M2825" s="247" t="e">
        <f t="shared" si="310"/>
        <v>#VALUE!</v>
      </c>
      <c r="N2825" s="246" t="e">
        <f t="shared" si="311"/>
        <v>#VALUE!</v>
      </c>
      <c r="O2825" s="247" t="e">
        <f t="shared" si="312"/>
        <v>#VALUE!</v>
      </c>
      <c r="P2825" s="247">
        <f t="shared" si="313"/>
        <v>0</v>
      </c>
      <c r="Q2825" s="247" t="e">
        <f t="shared" si="314"/>
        <v>#VALUE!</v>
      </c>
    </row>
    <row r="2826" spans="1:17" ht="15" customHeight="1" x14ac:dyDescent="0.25">
      <c r="A2826" s="244"/>
      <c r="B2826" s="244"/>
      <c r="C2826" s="244"/>
      <c r="D2826" s="244"/>
      <c r="E2826" s="244"/>
      <c r="F2826" s="244"/>
      <c r="G2826" s="244"/>
      <c r="I2826" s="244"/>
      <c r="J2826" s="244"/>
      <c r="K2826" s="246" t="e">
        <f t="shared" si="308"/>
        <v>#VALUE!</v>
      </c>
      <c r="L2826" s="246" t="e">
        <f t="shared" si="309"/>
        <v>#VALUE!</v>
      </c>
      <c r="M2826" s="247" t="e">
        <f t="shared" si="310"/>
        <v>#VALUE!</v>
      </c>
      <c r="N2826" s="246" t="e">
        <f t="shared" si="311"/>
        <v>#VALUE!</v>
      </c>
      <c r="O2826" s="247" t="e">
        <f t="shared" si="312"/>
        <v>#VALUE!</v>
      </c>
      <c r="P2826" s="247">
        <f t="shared" si="313"/>
        <v>0</v>
      </c>
      <c r="Q2826" s="247" t="e">
        <f t="shared" si="314"/>
        <v>#VALUE!</v>
      </c>
    </row>
    <row r="2827" spans="1:17" ht="15" customHeight="1" x14ac:dyDescent="0.25">
      <c r="A2827" s="244"/>
      <c r="B2827" s="244"/>
      <c r="C2827" s="244"/>
      <c r="D2827" s="244"/>
      <c r="E2827" s="244"/>
      <c r="F2827" s="244"/>
      <c r="G2827" s="244"/>
      <c r="I2827" s="244"/>
      <c r="J2827" s="244"/>
      <c r="K2827" s="246" t="e">
        <f t="shared" si="308"/>
        <v>#VALUE!</v>
      </c>
      <c r="L2827" s="246" t="e">
        <f t="shared" si="309"/>
        <v>#VALUE!</v>
      </c>
      <c r="M2827" s="247" t="e">
        <f t="shared" si="310"/>
        <v>#VALUE!</v>
      </c>
      <c r="N2827" s="246" t="e">
        <f t="shared" si="311"/>
        <v>#VALUE!</v>
      </c>
      <c r="O2827" s="247" t="e">
        <f t="shared" si="312"/>
        <v>#VALUE!</v>
      </c>
      <c r="P2827" s="247">
        <f t="shared" si="313"/>
        <v>0</v>
      </c>
      <c r="Q2827" s="247" t="e">
        <f t="shared" si="314"/>
        <v>#VALUE!</v>
      </c>
    </row>
    <row r="2828" spans="1:17" ht="15" customHeight="1" x14ac:dyDescent="0.25">
      <c r="A2828" s="244"/>
      <c r="B2828" s="244"/>
      <c r="C2828" s="244"/>
      <c r="D2828" s="244"/>
      <c r="E2828" s="244"/>
      <c r="F2828" s="244"/>
      <c r="G2828" s="244"/>
      <c r="I2828" s="244"/>
      <c r="J2828" s="244"/>
      <c r="K2828" s="246" t="e">
        <f t="shared" si="308"/>
        <v>#VALUE!</v>
      </c>
      <c r="L2828" s="246" t="e">
        <f t="shared" si="309"/>
        <v>#VALUE!</v>
      </c>
      <c r="M2828" s="247" t="e">
        <f t="shared" si="310"/>
        <v>#VALUE!</v>
      </c>
      <c r="N2828" s="246" t="e">
        <f t="shared" si="311"/>
        <v>#VALUE!</v>
      </c>
      <c r="O2828" s="247" t="e">
        <f t="shared" si="312"/>
        <v>#VALUE!</v>
      </c>
      <c r="P2828" s="247">
        <f t="shared" si="313"/>
        <v>0</v>
      </c>
      <c r="Q2828" s="247" t="e">
        <f t="shared" si="314"/>
        <v>#VALUE!</v>
      </c>
    </row>
    <row r="2829" spans="1:17" ht="15" customHeight="1" x14ac:dyDescent="0.25">
      <c r="A2829" s="244"/>
      <c r="B2829" s="244"/>
      <c r="C2829" s="244"/>
      <c r="D2829" s="244"/>
      <c r="E2829" s="244"/>
      <c r="F2829" s="244"/>
      <c r="G2829" s="244"/>
      <c r="I2829" s="244"/>
      <c r="J2829" s="244"/>
      <c r="K2829" s="246" t="e">
        <f t="shared" si="308"/>
        <v>#VALUE!</v>
      </c>
      <c r="L2829" s="246" t="e">
        <f t="shared" si="309"/>
        <v>#VALUE!</v>
      </c>
      <c r="M2829" s="247" t="e">
        <f t="shared" si="310"/>
        <v>#VALUE!</v>
      </c>
      <c r="N2829" s="246" t="e">
        <f t="shared" si="311"/>
        <v>#VALUE!</v>
      </c>
      <c r="O2829" s="247" t="e">
        <f t="shared" si="312"/>
        <v>#VALUE!</v>
      </c>
      <c r="P2829" s="247">
        <f t="shared" si="313"/>
        <v>0</v>
      </c>
      <c r="Q2829" s="247" t="e">
        <f t="shared" si="314"/>
        <v>#VALUE!</v>
      </c>
    </row>
    <row r="2830" spans="1:17" ht="15" customHeight="1" x14ac:dyDescent="0.25">
      <c r="A2830" s="244"/>
      <c r="B2830" s="244"/>
      <c r="C2830" s="244"/>
      <c r="D2830" s="244"/>
      <c r="E2830" s="244"/>
      <c r="F2830" s="244"/>
      <c r="G2830" s="244"/>
      <c r="I2830" s="244"/>
      <c r="J2830" s="244"/>
      <c r="K2830" s="246" t="e">
        <f t="shared" si="308"/>
        <v>#VALUE!</v>
      </c>
      <c r="L2830" s="246" t="e">
        <f t="shared" si="309"/>
        <v>#VALUE!</v>
      </c>
      <c r="M2830" s="247" t="e">
        <f t="shared" si="310"/>
        <v>#VALUE!</v>
      </c>
      <c r="N2830" s="246" t="e">
        <f t="shared" si="311"/>
        <v>#VALUE!</v>
      </c>
      <c r="O2830" s="247" t="e">
        <f t="shared" si="312"/>
        <v>#VALUE!</v>
      </c>
      <c r="P2830" s="247">
        <f t="shared" si="313"/>
        <v>0</v>
      </c>
      <c r="Q2830" s="247" t="e">
        <f t="shared" si="314"/>
        <v>#VALUE!</v>
      </c>
    </row>
    <row r="2831" spans="1:17" ht="15" customHeight="1" x14ac:dyDescent="0.25">
      <c r="A2831" s="244"/>
      <c r="B2831" s="244"/>
      <c r="C2831" s="244"/>
      <c r="D2831" s="244"/>
      <c r="E2831" s="244"/>
      <c r="F2831" s="244"/>
      <c r="G2831" s="244"/>
      <c r="I2831" s="244"/>
      <c r="J2831" s="244"/>
      <c r="K2831" s="246" t="e">
        <f t="shared" si="308"/>
        <v>#VALUE!</v>
      </c>
      <c r="L2831" s="246" t="e">
        <f t="shared" si="309"/>
        <v>#VALUE!</v>
      </c>
      <c r="M2831" s="247" t="e">
        <f t="shared" si="310"/>
        <v>#VALUE!</v>
      </c>
      <c r="N2831" s="246" t="e">
        <f t="shared" si="311"/>
        <v>#VALUE!</v>
      </c>
      <c r="O2831" s="247" t="e">
        <f t="shared" si="312"/>
        <v>#VALUE!</v>
      </c>
      <c r="P2831" s="247">
        <f t="shared" si="313"/>
        <v>0</v>
      </c>
      <c r="Q2831" s="247" t="e">
        <f t="shared" si="314"/>
        <v>#VALUE!</v>
      </c>
    </row>
    <row r="2832" spans="1:17" ht="15" customHeight="1" x14ac:dyDescent="0.25">
      <c r="A2832" s="244"/>
      <c r="B2832" s="244"/>
      <c r="C2832" s="244"/>
      <c r="D2832" s="244"/>
      <c r="E2832" s="244"/>
      <c r="F2832" s="244"/>
      <c r="G2832" s="244"/>
      <c r="I2832" s="244"/>
      <c r="J2832" s="244"/>
      <c r="K2832" s="246" t="e">
        <f t="shared" si="308"/>
        <v>#VALUE!</v>
      </c>
      <c r="L2832" s="246" t="e">
        <f t="shared" si="309"/>
        <v>#VALUE!</v>
      </c>
      <c r="M2832" s="247" t="e">
        <f t="shared" si="310"/>
        <v>#VALUE!</v>
      </c>
      <c r="N2832" s="246" t="e">
        <f t="shared" si="311"/>
        <v>#VALUE!</v>
      </c>
      <c r="O2832" s="247" t="e">
        <f t="shared" si="312"/>
        <v>#VALUE!</v>
      </c>
      <c r="P2832" s="247">
        <f t="shared" si="313"/>
        <v>0</v>
      </c>
      <c r="Q2832" s="247" t="e">
        <f t="shared" si="314"/>
        <v>#VALUE!</v>
      </c>
    </row>
    <row r="2833" spans="1:17" ht="15" customHeight="1" x14ac:dyDescent="0.25">
      <c r="A2833" s="244"/>
      <c r="B2833" s="244"/>
      <c r="C2833" s="244"/>
      <c r="D2833" s="244"/>
      <c r="E2833" s="244"/>
      <c r="F2833" s="244"/>
      <c r="G2833" s="244"/>
      <c r="I2833" s="244"/>
      <c r="J2833" s="244"/>
      <c r="K2833" s="246" t="e">
        <f t="shared" si="308"/>
        <v>#VALUE!</v>
      </c>
      <c r="L2833" s="246" t="e">
        <f t="shared" si="309"/>
        <v>#VALUE!</v>
      </c>
      <c r="M2833" s="247" t="e">
        <f t="shared" si="310"/>
        <v>#VALUE!</v>
      </c>
      <c r="N2833" s="246" t="e">
        <f t="shared" si="311"/>
        <v>#VALUE!</v>
      </c>
      <c r="O2833" s="247" t="e">
        <f t="shared" si="312"/>
        <v>#VALUE!</v>
      </c>
      <c r="P2833" s="247">
        <f t="shared" si="313"/>
        <v>0</v>
      </c>
      <c r="Q2833" s="247" t="e">
        <f t="shared" si="314"/>
        <v>#VALUE!</v>
      </c>
    </row>
    <row r="2834" spans="1:17" ht="15" customHeight="1" x14ac:dyDescent="0.25">
      <c r="A2834" s="244"/>
      <c r="B2834" s="244"/>
      <c r="C2834" s="244"/>
      <c r="D2834" s="244"/>
      <c r="E2834" s="244"/>
      <c r="F2834" s="244"/>
      <c r="G2834" s="244"/>
      <c r="I2834" s="244"/>
      <c r="J2834" s="244"/>
      <c r="K2834" s="246" t="e">
        <f t="shared" si="308"/>
        <v>#VALUE!</v>
      </c>
      <c r="L2834" s="246" t="e">
        <f t="shared" si="309"/>
        <v>#VALUE!</v>
      </c>
      <c r="M2834" s="247" t="e">
        <f t="shared" si="310"/>
        <v>#VALUE!</v>
      </c>
      <c r="N2834" s="246" t="e">
        <f t="shared" si="311"/>
        <v>#VALUE!</v>
      </c>
      <c r="O2834" s="247" t="e">
        <f t="shared" si="312"/>
        <v>#VALUE!</v>
      </c>
      <c r="P2834" s="247">
        <f t="shared" si="313"/>
        <v>0</v>
      </c>
      <c r="Q2834" s="247" t="e">
        <f t="shared" si="314"/>
        <v>#VALUE!</v>
      </c>
    </row>
    <row r="2835" spans="1:17" ht="15" customHeight="1" x14ac:dyDescent="0.25">
      <c r="A2835" s="244"/>
      <c r="B2835" s="244"/>
      <c r="C2835" s="244"/>
      <c r="D2835" s="244"/>
      <c r="E2835" s="244"/>
      <c r="F2835" s="244"/>
      <c r="G2835" s="244"/>
      <c r="I2835" s="244"/>
      <c r="J2835" s="244"/>
      <c r="K2835" s="246" t="e">
        <f t="shared" si="308"/>
        <v>#VALUE!</v>
      </c>
      <c r="L2835" s="246" t="e">
        <f t="shared" si="309"/>
        <v>#VALUE!</v>
      </c>
      <c r="M2835" s="247" t="e">
        <f t="shared" si="310"/>
        <v>#VALUE!</v>
      </c>
      <c r="N2835" s="246" t="e">
        <f t="shared" si="311"/>
        <v>#VALUE!</v>
      </c>
      <c r="O2835" s="247" t="e">
        <f t="shared" si="312"/>
        <v>#VALUE!</v>
      </c>
      <c r="P2835" s="247">
        <f t="shared" si="313"/>
        <v>0</v>
      </c>
      <c r="Q2835" s="247" t="e">
        <f t="shared" si="314"/>
        <v>#VALUE!</v>
      </c>
    </row>
    <row r="2836" spans="1:17" ht="15" customHeight="1" x14ac:dyDescent="0.25">
      <c r="A2836" s="244"/>
      <c r="B2836" s="244"/>
      <c r="C2836" s="244"/>
      <c r="D2836" s="244"/>
      <c r="E2836" s="244"/>
      <c r="F2836" s="244"/>
      <c r="G2836" s="244"/>
      <c r="I2836" s="244"/>
      <c r="J2836" s="244"/>
      <c r="K2836" s="246" t="e">
        <f t="shared" si="308"/>
        <v>#VALUE!</v>
      </c>
      <c r="L2836" s="246" t="e">
        <f t="shared" si="309"/>
        <v>#VALUE!</v>
      </c>
      <c r="M2836" s="247" t="e">
        <f t="shared" si="310"/>
        <v>#VALUE!</v>
      </c>
      <c r="N2836" s="246" t="e">
        <f t="shared" si="311"/>
        <v>#VALUE!</v>
      </c>
      <c r="O2836" s="247" t="e">
        <f t="shared" si="312"/>
        <v>#VALUE!</v>
      </c>
      <c r="P2836" s="247">
        <f t="shared" si="313"/>
        <v>0</v>
      </c>
      <c r="Q2836" s="247" t="e">
        <f t="shared" si="314"/>
        <v>#VALUE!</v>
      </c>
    </row>
    <row r="2837" spans="1:17" ht="15" customHeight="1" x14ac:dyDescent="0.25">
      <c r="A2837" s="244"/>
      <c r="B2837" s="244"/>
      <c r="C2837" s="244"/>
      <c r="D2837" s="244"/>
      <c r="E2837" s="244"/>
      <c r="F2837" s="244"/>
      <c r="G2837" s="244"/>
      <c r="I2837" s="244"/>
      <c r="J2837" s="244"/>
      <c r="K2837" s="246" t="e">
        <f t="shared" si="308"/>
        <v>#VALUE!</v>
      </c>
      <c r="L2837" s="246" t="e">
        <f t="shared" si="309"/>
        <v>#VALUE!</v>
      </c>
      <c r="M2837" s="247" t="e">
        <f t="shared" si="310"/>
        <v>#VALUE!</v>
      </c>
      <c r="N2837" s="246" t="e">
        <f t="shared" si="311"/>
        <v>#VALUE!</v>
      </c>
      <c r="O2837" s="247" t="e">
        <f t="shared" si="312"/>
        <v>#VALUE!</v>
      </c>
      <c r="P2837" s="247">
        <f t="shared" si="313"/>
        <v>0</v>
      </c>
      <c r="Q2837" s="247" t="e">
        <f t="shared" si="314"/>
        <v>#VALUE!</v>
      </c>
    </row>
    <row r="2838" spans="1:17" ht="15" customHeight="1" x14ac:dyDescent="0.25">
      <c r="A2838" s="244"/>
      <c r="B2838" s="244"/>
      <c r="C2838" s="244"/>
      <c r="D2838" s="244"/>
      <c r="E2838" s="244"/>
      <c r="F2838" s="244"/>
      <c r="G2838" s="244"/>
      <c r="I2838" s="244"/>
      <c r="J2838" s="244"/>
      <c r="K2838" s="246" t="e">
        <f t="shared" si="308"/>
        <v>#VALUE!</v>
      </c>
      <c r="L2838" s="246" t="e">
        <f t="shared" si="309"/>
        <v>#VALUE!</v>
      </c>
      <c r="M2838" s="247" t="e">
        <f t="shared" si="310"/>
        <v>#VALUE!</v>
      </c>
      <c r="N2838" s="246" t="e">
        <f t="shared" si="311"/>
        <v>#VALUE!</v>
      </c>
      <c r="O2838" s="247" t="e">
        <f t="shared" si="312"/>
        <v>#VALUE!</v>
      </c>
      <c r="P2838" s="247">
        <f t="shared" si="313"/>
        <v>0</v>
      </c>
      <c r="Q2838" s="247" t="e">
        <f t="shared" si="314"/>
        <v>#VALUE!</v>
      </c>
    </row>
    <row r="2839" spans="1:17" ht="15" customHeight="1" x14ac:dyDescent="0.25">
      <c r="A2839" s="244"/>
      <c r="B2839" s="244"/>
      <c r="C2839" s="244"/>
      <c r="D2839" s="244"/>
      <c r="E2839" s="244"/>
      <c r="F2839" s="244"/>
      <c r="G2839" s="244"/>
      <c r="I2839" s="244"/>
      <c r="J2839" s="244"/>
      <c r="K2839" s="246" t="e">
        <f t="shared" si="308"/>
        <v>#VALUE!</v>
      </c>
      <c r="L2839" s="246" t="e">
        <f t="shared" si="309"/>
        <v>#VALUE!</v>
      </c>
      <c r="M2839" s="247" t="e">
        <f t="shared" si="310"/>
        <v>#VALUE!</v>
      </c>
      <c r="N2839" s="246" t="e">
        <f t="shared" si="311"/>
        <v>#VALUE!</v>
      </c>
      <c r="O2839" s="247" t="e">
        <f t="shared" si="312"/>
        <v>#VALUE!</v>
      </c>
      <c r="P2839" s="247">
        <f t="shared" si="313"/>
        <v>0</v>
      </c>
      <c r="Q2839" s="247" t="e">
        <f t="shared" si="314"/>
        <v>#VALUE!</v>
      </c>
    </row>
    <row r="2840" spans="1:17" ht="15" customHeight="1" x14ac:dyDescent="0.25">
      <c r="A2840" s="244"/>
      <c r="B2840" s="244"/>
      <c r="C2840" s="244"/>
      <c r="D2840" s="244"/>
      <c r="E2840" s="244"/>
      <c r="F2840" s="244"/>
      <c r="G2840" s="244"/>
      <c r="I2840" s="244"/>
      <c r="J2840" s="244"/>
      <c r="K2840" s="246" t="e">
        <f t="shared" si="308"/>
        <v>#VALUE!</v>
      </c>
      <c r="L2840" s="246" t="e">
        <f t="shared" si="309"/>
        <v>#VALUE!</v>
      </c>
      <c r="M2840" s="247" t="e">
        <f t="shared" si="310"/>
        <v>#VALUE!</v>
      </c>
      <c r="N2840" s="246" t="e">
        <f t="shared" si="311"/>
        <v>#VALUE!</v>
      </c>
      <c r="O2840" s="247" t="e">
        <f t="shared" si="312"/>
        <v>#VALUE!</v>
      </c>
      <c r="P2840" s="247">
        <f t="shared" si="313"/>
        <v>0</v>
      </c>
      <c r="Q2840" s="247" t="e">
        <f t="shared" si="314"/>
        <v>#VALUE!</v>
      </c>
    </row>
    <row r="2841" spans="1:17" ht="15" customHeight="1" x14ac:dyDescent="0.25">
      <c r="A2841" s="244"/>
      <c r="B2841" s="244"/>
      <c r="C2841" s="244"/>
      <c r="D2841" s="244"/>
      <c r="E2841" s="244"/>
      <c r="F2841" s="244"/>
      <c r="G2841" s="244"/>
      <c r="I2841" s="244"/>
      <c r="J2841" s="244"/>
      <c r="K2841" s="246" t="e">
        <f t="shared" si="308"/>
        <v>#VALUE!</v>
      </c>
      <c r="L2841" s="246" t="e">
        <f t="shared" si="309"/>
        <v>#VALUE!</v>
      </c>
      <c r="M2841" s="247" t="e">
        <f t="shared" si="310"/>
        <v>#VALUE!</v>
      </c>
      <c r="N2841" s="246" t="e">
        <f t="shared" si="311"/>
        <v>#VALUE!</v>
      </c>
      <c r="O2841" s="247" t="e">
        <f t="shared" si="312"/>
        <v>#VALUE!</v>
      </c>
      <c r="P2841" s="247">
        <f t="shared" si="313"/>
        <v>0</v>
      </c>
      <c r="Q2841" s="247" t="e">
        <f t="shared" si="314"/>
        <v>#VALUE!</v>
      </c>
    </row>
    <row r="2842" spans="1:17" ht="15" customHeight="1" x14ac:dyDescent="0.25">
      <c r="A2842" s="244"/>
      <c r="B2842" s="244"/>
      <c r="C2842" s="244"/>
      <c r="D2842" s="244"/>
      <c r="E2842" s="244"/>
      <c r="F2842" s="244"/>
      <c r="G2842" s="244"/>
      <c r="I2842" s="244"/>
      <c r="J2842" s="244"/>
      <c r="K2842" s="246" t="e">
        <f t="shared" si="308"/>
        <v>#VALUE!</v>
      </c>
      <c r="L2842" s="246" t="e">
        <f t="shared" si="309"/>
        <v>#VALUE!</v>
      </c>
      <c r="M2842" s="247" t="e">
        <f t="shared" si="310"/>
        <v>#VALUE!</v>
      </c>
      <c r="N2842" s="246" t="e">
        <f t="shared" si="311"/>
        <v>#VALUE!</v>
      </c>
      <c r="O2842" s="247" t="e">
        <f t="shared" si="312"/>
        <v>#VALUE!</v>
      </c>
      <c r="P2842" s="247">
        <f t="shared" si="313"/>
        <v>0</v>
      </c>
      <c r="Q2842" s="247" t="e">
        <f t="shared" si="314"/>
        <v>#VALUE!</v>
      </c>
    </row>
    <row r="2843" spans="1:17" ht="15" customHeight="1" x14ac:dyDescent="0.25">
      <c r="A2843" s="244"/>
      <c r="B2843" s="244"/>
      <c r="C2843" s="244"/>
      <c r="D2843" s="244"/>
      <c r="E2843" s="244"/>
      <c r="F2843" s="244"/>
      <c r="G2843" s="244"/>
      <c r="I2843" s="244"/>
      <c r="J2843" s="244"/>
      <c r="K2843" s="246" t="e">
        <f t="shared" si="308"/>
        <v>#VALUE!</v>
      </c>
      <c r="L2843" s="246" t="e">
        <f t="shared" si="309"/>
        <v>#VALUE!</v>
      </c>
      <c r="M2843" s="247" t="e">
        <f t="shared" si="310"/>
        <v>#VALUE!</v>
      </c>
      <c r="N2843" s="246" t="e">
        <f t="shared" si="311"/>
        <v>#VALUE!</v>
      </c>
      <c r="O2843" s="247" t="e">
        <f t="shared" si="312"/>
        <v>#VALUE!</v>
      </c>
      <c r="P2843" s="247">
        <f t="shared" si="313"/>
        <v>0</v>
      </c>
      <c r="Q2843" s="247" t="e">
        <f t="shared" si="314"/>
        <v>#VALUE!</v>
      </c>
    </row>
    <row r="2844" spans="1:17" ht="15" customHeight="1" x14ac:dyDescent="0.25">
      <c r="A2844" s="244"/>
      <c r="B2844" s="244"/>
      <c r="C2844" s="244"/>
      <c r="D2844" s="244"/>
      <c r="E2844" s="244"/>
      <c r="F2844" s="244"/>
      <c r="G2844" s="244"/>
      <c r="I2844" s="244"/>
      <c r="J2844" s="244"/>
      <c r="K2844" s="246" t="e">
        <f t="shared" si="308"/>
        <v>#VALUE!</v>
      </c>
      <c r="L2844" s="246" t="e">
        <f t="shared" si="309"/>
        <v>#VALUE!</v>
      </c>
      <c r="M2844" s="247" t="e">
        <f t="shared" si="310"/>
        <v>#VALUE!</v>
      </c>
      <c r="N2844" s="246" t="e">
        <f t="shared" si="311"/>
        <v>#VALUE!</v>
      </c>
      <c r="O2844" s="247" t="e">
        <f t="shared" si="312"/>
        <v>#VALUE!</v>
      </c>
      <c r="P2844" s="247">
        <f t="shared" si="313"/>
        <v>0</v>
      </c>
      <c r="Q2844" s="247" t="e">
        <f t="shared" si="314"/>
        <v>#VALUE!</v>
      </c>
    </row>
    <row r="2845" spans="1:17" ht="15" customHeight="1" x14ac:dyDescent="0.25">
      <c r="A2845" s="244"/>
      <c r="B2845" s="244"/>
      <c r="C2845" s="244"/>
      <c r="D2845" s="244"/>
      <c r="E2845" s="244"/>
      <c r="F2845" s="244"/>
      <c r="G2845" s="244"/>
      <c r="I2845" s="244"/>
      <c r="J2845" s="244"/>
      <c r="K2845" s="246" t="e">
        <f t="shared" si="308"/>
        <v>#VALUE!</v>
      </c>
      <c r="L2845" s="246" t="e">
        <f t="shared" si="309"/>
        <v>#VALUE!</v>
      </c>
      <c r="M2845" s="247" t="e">
        <f t="shared" si="310"/>
        <v>#VALUE!</v>
      </c>
      <c r="N2845" s="246" t="e">
        <f t="shared" si="311"/>
        <v>#VALUE!</v>
      </c>
      <c r="O2845" s="247" t="e">
        <f t="shared" si="312"/>
        <v>#VALUE!</v>
      </c>
      <c r="P2845" s="247">
        <f t="shared" si="313"/>
        <v>0</v>
      </c>
      <c r="Q2845" s="247" t="e">
        <f t="shared" si="314"/>
        <v>#VALUE!</v>
      </c>
    </row>
    <row r="2846" spans="1:17" ht="15" customHeight="1" x14ac:dyDescent="0.25">
      <c r="A2846" s="244"/>
      <c r="B2846" s="244"/>
      <c r="C2846" s="244"/>
      <c r="D2846" s="244"/>
      <c r="E2846" s="244"/>
      <c r="F2846" s="244"/>
      <c r="G2846" s="244"/>
      <c r="I2846" s="244"/>
      <c r="J2846" s="244"/>
      <c r="K2846" s="246" t="e">
        <f t="shared" si="308"/>
        <v>#VALUE!</v>
      </c>
      <c r="L2846" s="246" t="e">
        <f t="shared" si="309"/>
        <v>#VALUE!</v>
      </c>
      <c r="M2846" s="247" t="e">
        <f t="shared" si="310"/>
        <v>#VALUE!</v>
      </c>
      <c r="N2846" s="246" t="e">
        <f t="shared" si="311"/>
        <v>#VALUE!</v>
      </c>
      <c r="O2846" s="247" t="e">
        <f t="shared" si="312"/>
        <v>#VALUE!</v>
      </c>
      <c r="P2846" s="247">
        <f t="shared" si="313"/>
        <v>0</v>
      </c>
      <c r="Q2846" s="247" t="e">
        <f t="shared" si="314"/>
        <v>#VALUE!</v>
      </c>
    </row>
    <row r="2847" spans="1:17" ht="15" customHeight="1" x14ac:dyDescent="0.25">
      <c r="A2847" s="244"/>
      <c r="B2847" s="244"/>
      <c r="C2847" s="244"/>
      <c r="D2847" s="244"/>
      <c r="E2847" s="244"/>
      <c r="F2847" s="244"/>
      <c r="G2847" s="244"/>
      <c r="I2847" s="244"/>
      <c r="J2847" s="244"/>
      <c r="K2847" s="246" t="e">
        <f t="shared" si="308"/>
        <v>#VALUE!</v>
      </c>
      <c r="L2847" s="246" t="e">
        <f t="shared" si="309"/>
        <v>#VALUE!</v>
      </c>
      <c r="M2847" s="247" t="e">
        <f t="shared" si="310"/>
        <v>#VALUE!</v>
      </c>
      <c r="N2847" s="246" t="e">
        <f t="shared" si="311"/>
        <v>#VALUE!</v>
      </c>
      <c r="O2847" s="247" t="e">
        <f t="shared" si="312"/>
        <v>#VALUE!</v>
      </c>
      <c r="P2847" s="247">
        <f t="shared" si="313"/>
        <v>0</v>
      </c>
      <c r="Q2847" s="247" t="e">
        <f t="shared" si="314"/>
        <v>#VALUE!</v>
      </c>
    </row>
    <row r="2848" spans="1:17" ht="15" customHeight="1" x14ac:dyDescent="0.25">
      <c r="A2848" s="244"/>
      <c r="B2848" s="244"/>
      <c r="C2848" s="244"/>
      <c r="D2848" s="244"/>
      <c r="E2848" s="244"/>
      <c r="F2848" s="244"/>
      <c r="G2848" s="244"/>
      <c r="I2848" s="244"/>
      <c r="J2848" s="244"/>
      <c r="K2848" s="246" t="e">
        <f t="shared" si="308"/>
        <v>#VALUE!</v>
      </c>
      <c r="L2848" s="246" t="e">
        <f t="shared" si="309"/>
        <v>#VALUE!</v>
      </c>
      <c r="M2848" s="247" t="e">
        <f t="shared" si="310"/>
        <v>#VALUE!</v>
      </c>
      <c r="N2848" s="246" t="e">
        <f t="shared" si="311"/>
        <v>#VALUE!</v>
      </c>
      <c r="O2848" s="247" t="e">
        <f t="shared" si="312"/>
        <v>#VALUE!</v>
      </c>
      <c r="P2848" s="247">
        <f t="shared" si="313"/>
        <v>0</v>
      </c>
      <c r="Q2848" s="247" t="e">
        <f t="shared" si="314"/>
        <v>#VALUE!</v>
      </c>
    </row>
    <row r="2849" spans="1:17" ht="15" customHeight="1" x14ac:dyDescent="0.25">
      <c r="A2849" s="244"/>
      <c r="B2849" s="244"/>
      <c r="C2849" s="244"/>
      <c r="D2849" s="244"/>
      <c r="E2849" s="244"/>
      <c r="F2849" s="244"/>
      <c r="G2849" s="244"/>
      <c r="I2849" s="244"/>
      <c r="J2849" s="244"/>
      <c r="K2849" s="246" t="e">
        <f t="shared" si="308"/>
        <v>#VALUE!</v>
      </c>
      <c r="L2849" s="246" t="e">
        <f t="shared" si="309"/>
        <v>#VALUE!</v>
      </c>
      <c r="M2849" s="247" t="e">
        <f t="shared" si="310"/>
        <v>#VALUE!</v>
      </c>
      <c r="N2849" s="246" t="e">
        <f t="shared" si="311"/>
        <v>#VALUE!</v>
      </c>
      <c r="O2849" s="247" t="e">
        <f t="shared" si="312"/>
        <v>#VALUE!</v>
      </c>
      <c r="P2849" s="247">
        <f t="shared" si="313"/>
        <v>0</v>
      </c>
      <c r="Q2849" s="247" t="e">
        <f t="shared" si="314"/>
        <v>#VALUE!</v>
      </c>
    </row>
    <row r="2850" spans="1:17" ht="15" customHeight="1" x14ac:dyDescent="0.25">
      <c r="A2850" s="244"/>
      <c r="B2850" s="244"/>
      <c r="C2850" s="244"/>
      <c r="D2850" s="244"/>
      <c r="E2850" s="244"/>
      <c r="F2850" s="244"/>
      <c r="G2850" s="244"/>
      <c r="I2850" s="244"/>
      <c r="J2850" s="244"/>
      <c r="K2850" s="246" t="e">
        <f t="shared" si="308"/>
        <v>#VALUE!</v>
      </c>
      <c r="L2850" s="246" t="e">
        <f t="shared" si="309"/>
        <v>#VALUE!</v>
      </c>
      <c r="M2850" s="247" t="e">
        <f t="shared" si="310"/>
        <v>#VALUE!</v>
      </c>
      <c r="N2850" s="246" t="e">
        <f t="shared" si="311"/>
        <v>#VALUE!</v>
      </c>
      <c r="O2850" s="247" t="e">
        <f t="shared" si="312"/>
        <v>#VALUE!</v>
      </c>
      <c r="P2850" s="247">
        <f t="shared" si="313"/>
        <v>0</v>
      </c>
      <c r="Q2850" s="247" t="e">
        <f t="shared" si="314"/>
        <v>#VALUE!</v>
      </c>
    </row>
    <row r="2851" spans="1:17" ht="15" customHeight="1" x14ac:dyDescent="0.25">
      <c r="A2851" s="244"/>
      <c r="B2851" s="244"/>
      <c r="C2851" s="244"/>
      <c r="D2851" s="244"/>
      <c r="E2851" s="244"/>
      <c r="F2851" s="244"/>
      <c r="G2851" s="244"/>
      <c r="I2851" s="244"/>
      <c r="J2851" s="244"/>
      <c r="K2851" s="246" t="e">
        <f t="shared" si="308"/>
        <v>#VALUE!</v>
      </c>
      <c r="L2851" s="246" t="e">
        <f t="shared" si="309"/>
        <v>#VALUE!</v>
      </c>
      <c r="M2851" s="247" t="e">
        <f t="shared" si="310"/>
        <v>#VALUE!</v>
      </c>
      <c r="N2851" s="246" t="e">
        <f t="shared" si="311"/>
        <v>#VALUE!</v>
      </c>
      <c r="O2851" s="247" t="e">
        <f t="shared" si="312"/>
        <v>#VALUE!</v>
      </c>
      <c r="P2851" s="247">
        <f t="shared" si="313"/>
        <v>0</v>
      </c>
      <c r="Q2851" s="247" t="e">
        <f t="shared" si="314"/>
        <v>#VALUE!</v>
      </c>
    </row>
    <row r="2852" spans="1:17" ht="15" customHeight="1" x14ac:dyDescent="0.25">
      <c r="A2852" s="244"/>
      <c r="B2852" s="244"/>
      <c r="C2852" s="244"/>
      <c r="D2852" s="244"/>
      <c r="E2852" s="244"/>
      <c r="F2852" s="244"/>
      <c r="G2852" s="244"/>
      <c r="I2852" s="244"/>
      <c r="J2852" s="244"/>
      <c r="K2852" s="246" t="e">
        <f t="shared" si="308"/>
        <v>#VALUE!</v>
      </c>
      <c r="L2852" s="246" t="e">
        <f t="shared" si="309"/>
        <v>#VALUE!</v>
      </c>
      <c r="M2852" s="247" t="e">
        <f t="shared" si="310"/>
        <v>#VALUE!</v>
      </c>
      <c r="N2852" s="246" t="e">
        <f t="shared" si="311"/>
        <v>#VALUE!</v>
      </c>
      <c r="O2852" s="247" t="e">
        <f t="shared" si="312"/>
        <v>#VALUE!</v>
      </c>
      <c r="P2852" s="247">
        <f t="shared" si="313"/>
        <v>0</v>
      </c>
      <c r="Q2852" s="247" t="e">
        <f t="shared" si="314"/>
        <v>#VALUE!</v>
      </c>
    </row>
    <row r="2853" spans="1:17" ht="15" customHeight="1" x14ac:dyDescent="0.25">
      <c r="A2853" s="244"/>
      <c r="B2853" s="244"/>
      <c r="C2853" s="244"/>
      <c r="D2853" s="244"/>
      <c r="E2853" s="244"/>
      <c r="F2853" s="244"/>
      <c r="G2853" s="244"/>
      <c r="I2853" s="244"/>
      <c r="J2853" s="244"/>
      <c r="K2853" s="246" t="e">
        <f t="shared" si="308"/>
        <v>#VALUE!</v>
      </c>
      <c r="L2853" s="246" t="e">
        <f t="shared" si="309"/>
        <v>#VALUE!</v>
      </c>
      <c r="M2853" s="247" t="e">
        <f t="shared" si="310"/>
        <v>#VALUE!</v>
      </c>
      <c r="N2853" s="246" t="e">
        <f t="shared" si="311"/>
        <v>#VALUE!</v>
      </c>
      <c r="O2853" s="247" t="e">
        <f t="shared" si="312"/>
        <v>#VALUE!</v>
      </c>
      <c r="P2853" s="247">
        <f t="shared" si="313"/>
        <v>0</v>
      </c>
      <c r="Q2853" s="247" t="e">
        <f t="shared" si="314"/>
        <v>#VALUE!</v>
      </c>
    </row>
    <row r="2854" spans="1:17" ht="15" customHeight="1" x14ac:dyDescent="0.25">
      <c r="A2854" s="244"/>
      <c r="B2854" s="244"/>
      <c r="C2854" s="244"/>
      <c r="D2854" s="244"/>
      <c r="E2854" s="244"/>
      <c r="F2854" s="244"/>
      <c r="G2854" s="244"/>
      <c r="I2854" s="244"/>
      <c r="J2854" s="244"/>
      <c r="K2854" s="246" t="e">
        <f t="shared" si="308"/>
        <v>#VALUE!</v>
      </c>
      <c r="L2854" s="246" t="e">
        <f t="shared" si="309"/>
        <v>#VALUE!</v>
      </c>
      <c r="M2854" s="247" t="e">
        <f t="shared" si="310"/>
        <v>#VALUE!</v>
      </c>
      <c r="N2854" s="246" t="e">
        <f t="shared" si="311"/>
        <v>#VALUE!</v>
      </c>
      <c r="O2854" s="247" t="e">
        <f t="shared" si="312"/>
        <v>#VALUE!</v>
      </c>
      <c r="P2854" s="247">
        <f t="shared" si="313"/>
        <v>0</v>
      </c>
      <c r="Q2854" s="247" t="e">
        <f t="shared" si="314"/>
        <v>#VALUE!</v>
      </c>
    </row>
    <row r="2855" spans="1:17" ht="15" customHeight="1" x14ac:dyDescent="0.25">
      <c r="A2855" s="244"/>
      <c r="B2855" s="244"/>
      <c r="C2855" s="244"/>
      <c r="D2855" s="244"/>
      <c r="E2855" s="244"/>
      <c r="F2855" s="244"/>
      <c r="G2855" s="244"/>
      <c r="I2855" s="244"/>
      <c r="J2855" s="244"/>
      <c r="K2855" s="246" t="e">
        <f t="shared" si="308"/>
        <v>#VALUE!</v>
      </c>
      <c r="L2855" s="246" t="e">
        <f t="shared" si="309"/>
        <v>#VALUE!</v>
      </c>
      <c r="M2855" s="247" t="e">
        <f t="shared" si="310"/>
        <v>#VALUE!</v>
      </c>
      <c r="N2855" s="246" t="e">
        <f t="shared" si="311"/>
        <v>#VALUE!</v>
      </c>
      <c r="O2855" s="247" t="e">
        <f t="shared" si="312"/>
        <v>#VALUE!</v>
      </c>
      <c r="P2855" s="247">
        <f t="shared" si="313"/>
        <v>0</v>
      </c>
      <c r="Q2855" s="247" t="e">
        <f t="shared" si="314"/>
        <v>#VALUE!</v>
      </c>
    </row>
    <row r="2856" spans="1:17" ht="15" customHeight="1" x14ac:dyDescent="0.25">
      <c r="A2856" s="244"/>
      <c r="B2856" s="244"/>
      <c r="C2856" s="244"/>
      <c r="D2856" s="244"/>
      <c r="E2856" s="244"/>
      <c r="F2856" s="244"/>
      <c r="G2856" s="244"/>
      <c r="I2856" s="244"/>
      <c r="J2856" s="244"/>
      <c r="K2856" s="246" t="e">
        <f t="shared" si="308"/>
        <v>#VALUE!</v>
      </c>
      <c r="L2856" s="246" t="e">
        <f t="shared" si="309"/>
        <v>#VALUE!</v>
      </c>
      <c r="M2856" s="247" t="e">
        <f t="shared" si="310"/>
        <v>#VALUE!</v>
      </c>
      <c r="N2856" s="246" t="e">
        <f t="shared" si="311"/>
        <v>#VALUE!</v>
      </c>
      <c r="O2856" s="247" t="e">
        <f t="shared" si="312"/>
        <v>#VALUE!</v>
      </c>
      <c r="P2856" s="247">
        <f t="shared" si="313"/>
        <v>0</v>
      </c>
      <c r="Q2856" s="247" t="e">
        <f t="shared" si="314"/>
        <v>#VALUE!</v>
      </c>
    </row>
    <row r="2857" spans="1:17" ht="15" customHeight="1" x14ac:dyDescent="0.25">
      <c r="A2857" s="244"/>
      <c r="B2857" s="244"/>
      <c r="C2857" s="244"/>
      <c r="D2857" s="244"/>
      <c r="E2857" s="244"/>
      <c r="F2857" s="244"/>
      <c r="G2857" s="244"/>
      <c r="I2857" s="244"/>
      <c r="J2857" s="244"/>
      <c r="K2857" s="246" t="e">
        <f t="shared" si="308"/>
        <v>#VALUE!</v>
      </c>
      <c r="L2857" s="246" t="e">
        <f t="shared" si="309"/>
        <v>#VALUE!</v>
      </c>
      <c r="M2857" s="247" t="e">
        <f t="shared" si="310"/>
        <v>#VALUE!</v>
      </c>
      <c r="N2857" s="246" t="e">
        <f t="shared" si="311"/>
        <v>#VALUE!</v>
      </c>
      <c r="O2857" s="247" t="e">
        <f t="shared" si="312"/>
        <v>#VALUE!</v>
      </c>
      <c r="P2857" s="247">
        <f t="shared" si="313"/>
        <v>0</v>
      </c>
      <c r="Q2857" s="247" t="e">
        <f t="shared" si="314"/>
        <v>#VALUE!</v>
      </c>
    </row>
    <row r="2858" spans="1:17" ht="15" customHeight="1" x14ac:dyDescent="0.25">
      <c r="A2858" s="244"/>
      <c r="B2858" s="244"/>
      <c r="C2858" s="244"/>
      <c r="D2858" s="244"/>
      <c r="E2858" s="244"/>
      <c r="F2858" s="244"/>
      <c r="G2858" s="244"/>
      <c r="I2858" s="244"/>
      <c r="J2858" s="244"/>
      <c r="K2858" s="246" t="e">
        <f t="shared" si="308"/>
        <v>#VALUE!</v>
      </c>
      <c r="L2858" s="246" t="e">
        <f t="shared" si="309"/>
        <v>#VALUE!</v>
      </c>
      <c r="M2858" s="247" t="e">
        <f t="shared" si="310"/>
        <v>#VALUE!</v>
      </c>
      <c r="N2858" s="246" t="e">
        <f t="shared" si="311"/>
        <v>#VALUE!</v>
      </c>
      <c r="O2858" s="247" t="e">
        <f t="shared" si="312"/>
        <v>#VALUE!</v>
      </c>
      <c r="P2858" s="247">
        <f t="shared" si="313"/>
        <v>0</v>
      </c>
      <c r="Q2858" s="247" t="e">
        <f t="shared" si="314"/>
        <v>#VALUE!</v>
      </c>
    </row>
    <row r="2859" spans="1:17" ht="15" customHeight="1" x14ac:dyDescent="0.25">
      <c r="A2859" s="244"/>
      <c r="B2859" s="244"/>
      <c r="C2859" s="244"/>
      <c r="D2859" s="244"/>
      <c r="E2859" s="244"/>
      <c r="F2859" s="244"/>
      <c r="G2859" s="244"/>
      <c r="I2859" s="244"/>
      <c r="J2859" s="244"/>
      <c r="K2859" s="246" t="e">
        <f t="shared" si="308"/>
        <v>#VALUE!</v>
      </c>
      <c r="L2859" s="246" t="e">
        <f t="shared" si="309"/>
        <v>#VALUE!</v>
      </c>
      <c r="M2859" s="247" t="e">
        <f t="shared" si="310"/>
        <v>#VALUE!</v>
      </c>
      <c r="N2859" s="246" t="e">
        <f t="shared" si="311"/>
        <v>#VALUE!</v>
      </c>
      <c r="O2859" s="247" t="e">
        <f t="shared" si="312"/>
        <v>#VALUE!</v>
      </c>
      <c r="P2859" s="247">
        <f t="shared" si="313"/>
        <v>0</v>
      </c>
      <c r="Q2859" s="247" t="e">
        <f t="shared" si="314"/>
        <v>#VALUE!</v>
      </c>
    </row>
    <row r="2860" spans="1:17" ht="15" customHeight="1" x14ac:dyDescent="0.25">
      <c r="A2860" s="244"/>
      <c r="B2860" s="244"/>
      <c r="C2860" s="244"/>
      <c r="D2860" s="244"/>
      <c r="E2860" s="244"/>
      <c r="F2860" s="244"/>
      <c r="G2860" s="244"/>
      <c r="I2860" s="244"/>
      <c r="J2860" s="244"/>
      <c r="K2860" s="246" t="e">
        <f t="shared" si="308"/>
        <v>#VALUE!</v>
      </c>
      <c r="L2860" s="246" t="e">
        <f t="shared" si="309"/>
        <v>#VALUE!</v>
      </c>
      <c r="M2860" s="247" t="e">
        <f t="shared" si="310"/>
        <v>#VALUE!</v>
      </c>
      <c r="N2860" s="246" t="e">
        <f t="shared" si="311"/>
        <v>#VALUE!</v>
      </c>
      <c r="O2860" s="247" t="e">
        <f t="shared" si="312"/>
        <v>#VALUE!</v>
      </c>
      <c r="P2860" s="247">
        <f t="shared" si="313"/>
        <v>0</v>
      </c>
      <c r="Q2860" s="247" t="e">
        <f t="shared" si="314"/>
        <v>#VALUE!</v>
      </c>
    </row>
    <row r="2861" spans="1:17" ht="15" customHeight="1" x14ac:dyDescent="0.25">
      <c r="A2861" s="244"/>
      <c r="B2861" s="244"/>
      <c r="C2861" s="244"/>
      <c r="D2861" s="244"/>
      <c r="E2861" s="244"/>
      <c r="F2861" s="244"/>
      <c r="G2861" s="244"/>
      <c r="I2861" s="244"/>
      <c r="J2861" s="244"/>
      <c r="K2861" s="246" t="e">
        <f t="shared" si="308"/>
        <v>#VALUE!</v>
      </c>
      <c r="L2861" s="246" t="e">
        <f t="shared" si="309"/>
        <v>#VALUE!</v>
      </c>
      <c r="M2861" s="247" t="e">
        <f t="shared" si="310"/>
        <v>#VALUE!</v>
      </c>
      <c r="N2861" s="246" t="e">
        <f t="shared" si="311"/>
        <v>#VALUE!</v>
      </c>
      <c r="O2861" s="247" t="e">
        <f t="shared" si="312"/>
        <v>#VALUE!</v>
      </c>
      <c r="P2861" s="247">
        <f t="shared" si="313"/>
        <v>0</v>
      </c>
      <c r="Q2861" s="247" t="e">
        <f t="shared" si="314"/>
        <v>#VALUE!</v>
      </c>
    </row>
    <row r="2862" spans="1:17" ht="15" customHeight="1" x14ac:dyDescent="0.25">
      <c r="A2862" s="244"/>
      <c r="B2862" s="244"/>
      <c r="C2862" s="244"/>
      <c r="D2862" s="244"/>
      <c r="E2862" s="244"/>
      <c r="F2862" s="244"/>
      <c r="G2862" s="244"/>
      <c r="I2862" s="244"/>
      <c r="J2862" s="244"/>
      <c r="K2862" s="246" t="e">
        <f t="shared" si="308"/>
        <v>#VALUE!</v>
      </c>
      <c r="L2862" s="246" t="e">
        <f t="shared" si="309"/>
        <v>#VALUE!</v>
      </c>
      <c r="M2862" s="247" t="e">
        <f t="shared" si="310"/>
        <v>#VALUE!</v>
      </c>
      <c r="N2862" s="246" t="e">
        <f t="shared" si="311"/>
        <v>#VALUE!</v>
      </c>
      <c r="O2862" s="247" t="e">
        <f t="shared" si="312"/>
        <v>#VALUE!</v>
      </c>
      <c r="P2862" s="247">
        <f t="shared" si="313"/>
        <v>0</v>
      </c>
      <c r="Q2862" s="247" t="e">
        <f t="shared" si="314"/>
        <v>#VALUE!</v>
      </c>
    </row>
    <row r="2863" spans="1:17" ht="15" customHeight="1" x14ac:dyDescent="0.25">
      <c r="A2863" s="244"/>
      <c r="B2863" s="244"/>
      <c r="C2863" s="244"/>
      <c r="D2863" s="244"/>
      <c r="E2863" s="244"/>
      <c r="F2863" s="244"/>
      <c r="G2863" s="244"/>
      <c r="I2863" s="244"/>
      <c r="J2863" s="244"/>
      <c r="K2863" s="246" t="e">
        <f t="shared" si="308"/>
        <v>#VALUE!</v>
      </c>
      <c r="L2863" s="246" t="e">
        <f t="shared" si="309"/>
        <v>#VALUE!</v>
      </c>
      <c r="M2863" s="247" t="e">
        <f t="shared" si="310"/>
        <v>#VALUE!</v>
      </c>
      <c r="N2863" s="246" t="e">
        <f t="shared" si="311"/>
        <v>#VALUE!</v>
      </c>
      <c r="O2863" s="247" t="e">
        <f t="shared" si="312"/>
        <v>#VALUE!</v>
      </c>
      <c r="P2863" s="247">
        <f t="shared" si="313"/>
        <v>0</v>
      </c>
      <c r="Q2863" s="247" t="e">
        <f t="shared" si="314"/>
        <v>#VALUE!</v>
      </c>
    </row>
    <row r="2864" spans="1:17" ht="15" customHeight="1" x14ac:dyDescent="0.25">
      <c r="A2864" s="244"/>
      <c r="B2864" s="244"/>
      <c r="C2864" s="244"/>
      <c r="D2864" s="244"/>
      <c r="E2864" s="244"/>
      <c r="F2864" s="244"/>
      <c r="G2864" s="244"/>
      <c r="I2864" s="244"/>
      <c r="J2864" s="244"/>
      <c r="K2864" s="246" t="e">
        <f t="shared" si="308"/>
        <v>#VALUE!</v>
      </c>
      <c r="L2864" s="246" t="e">
        <f t="shared" si="309"/>
        <v>#VALUE!</v>
      </c>
      <c r="M2864" s="247" t="e">
        <f t="shared" si="310"/>
        <v>#VALUE!</v>
      </c>
      <c r="N2864" s="246" t="e">
        <f t="shared" si="311"/>
        <v>#VALUE!</v>
      </c>
      <c r="O2864" s="247" t="e">
        <f t="shared" si="312"/>
        <v>#VALUE!</v>
      </c>
      <c r="P2864" s="247">
        <f t="shared" si="313"/>
        <v>0</v>
      </c>
      <c r="Q2864" s="247" t="e">
        <f t="shared" si="314"/>
        <v>#VALUE!</v>
      </c>
    </row>
    <row r="2865" spans="1:17" ht="15" customHeight="1" x14ac:dyDescent="0.25">
      <c r="A2865" s="244"/>
      <c r="B2865" s="244"/>
      <c r="C2865" s="244"/>
      <c r="D2865" s="244"/>
      <c r="E2865" s="244"/>
      <c r="F2865" s="244"/>
      <c r="G2865" s="244"/>
      <c r="I2865" s="244"/>
      <c r="J2865" s="244"/>
      <c r="K2865" s="246" t="e">
        <f t="shared" si="308"/>
        <v>#VALUE!</v>
      </c>
      <c r="L2865" s="246" t="e">
        <f t="shared" si="309"/>
        <v>#VALUE!</v>
      </c>
      <c r="M2865" s="247" t="e">
        <f t="shared" si="310"/>
        <v>#VALUE!</v>
      </c>
      <c r="N2865" s="246" t="e">
        <f t="shared" si="311"/>
        <v>#VALUE!</v>
      </c>
      <c r="O2865" s="247" t="e">
        <f t="shared" si="312"/>
        <v>#VALUE!</v>
      </c>
      <c r="P2865" s="247">
        <f t="shared" si="313"/>
        <v>0</v>
      </c>
      <c r="Q2865" s="247" t="e">
        <f t="shared" si="314"/>
        <v>#VALUE!</v>
      </c>
    </row>
    <row r="2866" spans="1:17" ht="15" customHeight="1" x14ac:dyDescent="0.25">
      <c r="A2866" s="244"/>
      <c r="B2866" s="244"/>
      <c r="C2866" s="244"/>
      <c r="D2866" s="244"/>
      <c r="E2866" s="244"/>
      <c r="F2866" s="244"/>
      <c r="G2866" s="244"/>
      <c r="I2866" s="244"/>
      <c r="J2866" s="244"/>
      <c r="K2866" s="246" t="e">
        <f t="shared" si="308"/>
        <v>#VALUE!</v>
      </c>
      <c r="L2866" s="246" t="e">
        <f t="shared" si="309"/>
        <v>#VALUE!</v>
      </c>
      <c r="M2866" s="247" t="e">
        <f t="shared" si="310"/>
        <v>#VALUE!</v>
      </c>
      <c r="N2866" s="246" t="e">
        <f t="shared" si="311"/>
        <v>#VALUE!</v>
      </c>
      <c r="O2866" s="247" t="e">
        <f t="shared" si="312"/>
        <v>#VALUE!</v>
      </c>
      <c r="P2866" s="247">
        <f t="shared" si="313"/>
        <v>0</v>
      </c>
      <c r="Q2866" s="247" t="e">
        <f t="shared" si="314"/>
        <v>#VALUE!</v>
      </c>
    </row>
    <row r="2867" spans="1:17" ht="15" customHeight="1" x14ac:dyDescent="0.25">
      <c r="A2867" s="244"/>
      <c r="B2867" s="244"/>
      <c r="C2867" s="244"/>
      <c r="D2867" s="244"/>
      <c r="E2867" s="244"/>
      <c r="F2867" s="244"/>
      <c r="G2867" s="244"/>
      <c r="I2867" s="244"/>
      <c r="J2867" s="244"/>
      <c r="K2867" s="246" t="e">
        <f t="shared" si="308"/>
        <v>#VALUE!</v>
      </c>
      <c r="L2867" s="246" t="e">
        <f t="shared" si="309"/>
        <v>#VALUE!</v>
      </c>
      <c r="M2867" s="247" t="e">
        <f t="shared" si="310"/>
        <v>#VALUE!</v>
      </c>
      <c r="N2867" s="246" t="e">
        <f t="shared" si="311"/>
        <v>#VALUE!</v>
      </c>
      <c r="O2867" s="247" t="e">
        <f t="shared" si="312"/>
        <v>#VALUE!</v>
      </c>
      <c r="P2867" s="247">
        <f t="shared" si="313"/>
        <v>0</v>
      </c>
      <c r="Q2867" s="247" t="e">
        <f t="shared" si="314"/>
        <v>#VALUE!</v>
      </c>
    </row>
    <row r="2868" spans="1:17" ht="15" customHeight="1" x14ac:dyDescent="0.25">
      <c r="A2868" s="244"/>
      <c r="B2868" s="244"/>
      <c r="C2868" s="244"/>
      <c r="D2868" s="244"/>
      <c r="E2868" s="244"/>
      <c r="F2868" s="244"/>
      <c r="G2868" s="244"/>
      <c r="I2868" s="244"/>
      <c r="J2868" s="244"/>
      <c r="K2868" s="246" t="e">
        <f t="shared" si="308"/>
        <v>#VALUE!</v>
      </c>
      <c r="L2868" s="246" t="e">
        <f t="shared" si="309"/>
        <v>#VALUE!</v>
      </c>
      <c r="M2868" s="247" t="e">
        <f t="shared" si="310"/>
        <v>#VALUE!</v>
      </c>
      <c r="N2868" s="246" t="e">
        <f t="shared" si="311"/>
        <v>#VALUE!</v>
      </c>
      <c r="O2868" s="247" t="e">
        <f t="shared" si="312"/>
        <v>#VALUE!</v>
      </c>
      <c r="P2868" s="247">
        <f t="shared" si="313"/>
        <v>0</v>
      </c>
      <c r="Q2868" s="247" t="e">
        <f t="shared" si="314"/>
        <v>#VALUE!</v>
      </c>
    </row>
    <row r="2869" spans="1:17" ht="15" customHeight="1" x14ac:dyDescent="0.25">
      <c r="A2869" s="244"/>
      <c r="B2869" s="244"/>
      <c r="C2869" s="244"/>
      <c r="D2869" s="244"/>
      <c r="E2869" s="244"/>
      <c r="F2869" s="244"/>
      <c r="G2869" s="244"/>
      <c r="I2869" s="244"/>
      <c r="J2869" s="244"/>
      <c r="K2869" s="246" t="e">
        <f t="shared" si="308"/>
        <v>#VALUE!</v>
      </c>
      <c r="L2869" s="246" t="e">
        <f t="shared" si="309"/>
        <v>#VALUE!</v>
      </c>
      <c r="M2869" s="247" t="e">
        <f t="shared" si="310"/>
        <v>#VALUE!</v>
      </c>
      <c r="N2869" s="246" t="e">
        <f t="shared" si="311"/>
        <v>#VALUE!</v>
      </c>
      <c r="O2869" s="247" t="e">
        <f t="shared" si="312"/>
        <v>#VALUE!</v>
      </c>
      <c r="P2869" s="247">
        <f t="shared" si="313"/>
        <v>0</v>
      </c>
      <c r="Q2869" s="247" t="e">
        <f t="shared" si="314"/>
        <v>#VALUE!</v>
      </c>
    </row>
    <row r="2870" spans="1:17" ht="15" customHeight="1" x14ac:dyDescent="0.25">
      <c r="A2870" s="244"/>
      <c r="B2870" s="244"/>
      <c r="C2870" s="244"/>
      <c r="D2870" s="244"/>
      <c r="E2870" s="244"/>
      <c r="F2870" s="244"/>
      <c r="G2870" s="244"/>
      <c r="I2870" s="244"/>
      <c r="J2870" s="244"/>
      <c r="K2870" s="246" t="e">
        <f t="shared" si="308"/>
        <v>#VALUE!</v>
      </c>
      <c r="L2870" s="246" t="e">
        <f t="shared" si="309"/>
        <v>#VALUE!</v>
      </c>
      <c r="M2870" s="247" t="e">
        <f t="shared" si="310"/>
        <v>#VALUE!</v>
      </c>
      <c r="N2870" s="246" t="e">
        <f t="shared" si="311"/>
        <v>#VALUE!</v>
      </c>
      <c r="O2870" s="247" t="e">
        <f t="shared" si="312"/>
        <v>#VALUE!</v>
      </c>
      <c r="P2870" s="247">
        <f t="shared" si="313"/>
        <v>0</v>
      </c>
      <c r="Q2870" s="247" t="e">
        <f t="shared" si="314"/>
        <v>#VALUE!</v>
      </c>
    </row>
    <row r="2871" spans="1:17" ht="15" customHeight="1" x14ac:dyDescent="0.25">
      <c r="A2871" s="244"/>
      <c r="B2871" s="244"/>
      <c r="C2871" s="244"/>
      <c r="D2871" s="244"/>
      <c r="E2871" s="244"/>
      <c r="F2871" s="244"/>
      <c r="G2871" s="244"/>
      <c r="I2871" s="244"/>
      <c r="J2871" s="244"/>
      <c r="K2871" s="246" t="e">
        <f t="shared" si="308"/>
        <v>#VALUE!</v>
      </c>
      <c r="L2871" s="246" t="e">
        <f t="shared" si="309"/>
        <v>#VALUE!</v>
      </c>
      <c r="M2871" s="247" t="e">
        <f t="shared" si="310"/>
        <v>#VALUE!</v>
      </c>
      <c r="N2871" s="246" t="e">
        <f t="shared" si="311"/>
        <v>#VALUE!</v>
      </c>
      <c r="O2871" s="247" t="e">
        <f t="shared" si="312"/>
        <v>#VALUE!</v>
      </c>
      <c r="P2871" s="247">
        <f t="shared" si="313"/>
        <v>0</v>
      </c>
      <c r="Q2871" s="247" t="e">
        <f t="shared" si="314"/>
        <v>#VALUE!</v>
      </c>
    </row>
    <row r="2872" spans="1:17" ht="15" customHeight="1" x14ac:dyDescent="0.25">
      <c r="A2872" s="244"/>
      <c r="B2872" s="244"/>
      <c r="C2872" s="244"/>
      <c r="D2872" s="244"/>
      <c r="E2872" s="244"/>
      <c r="F2872" s="244"/>
      <c r="G2872" s="244"/>
      <c r="I2872" s="244"/>
      <c r="J2872" s="244"/>
      <c r="K2872" s="246" t="e">
        <f t="shared" si="308"/>
        <v>#VALUE!</v>
      </c>
      <c r="L2872" s="246" t="e">
        <f t="shared" si="309"/>
        <v>#VALUE!</v>
      </c>
      <c r="M2872" s="247" t="e">
        <f t="shared" si="310"/>
        <v>#VALUE!</v>
      </c>
      <c r="N2872" s="246" t="e">
        <f t="shared" si="311"/>
        <v>#VALUE!</v>
      </c>
      <c r="O2872" s="247" t="e">
        <f t="shared" si="312"/>
        <v>#VALUE!</v>
      </c>
      <c r="P2872" s="247">
        <f t="shared" si="313"/>
        <v>0</v>
      </c>
      <c r="Q2872" s="247" t="e">
        <f t="shared" si="314"/>
        <v>#VALUE!</v>
      </c>
    </row>
    <row r="2873" spans="1:17" ht="15" customHeight="1" x14ac:dyDescent="0.25">
      <c r="A2873" s="244"/>
      <c r="B2873" s="244"/>
      <c r="C2873" s="244"/>
      <c r="D2873" s="244"/>
      <c r="E2873" s="244"/>
      <c r="F2873" s="244"/>
      <c r="G2873" s="244"/>
      <c r="I2873" s="244"/>
      <c r="J2873" s="244"/>
      <c r="K2873" s="246" t="e">
        <f t="shared" si="308"/>
        <v>#VALUE!</v>
      </c>
      <c r="L2873" s="246" t="e">
        <f t="shared" si="309"/>
        <v>#VALUE!</v>
      </c>
      <c r="M2873" s="247" t="e">
        <f t="shared" si="310"/>
        <v>#VALUE!</v>
      </c>
      <c r="N2873" s="246" t="e">
        <f t="shared" si="311"/>
        <v>#VALUE!</v>
      </c>
      <c r="O2873" s="247" t="e">
        <f t="shared" si="312"/>
        <v>#VALUE!</v>
      </c>
      <c r="P2873" s="247">
        <f t="shared" si="313"/>
        <v>0</v>
      </c>
      <c r="Q2873" s="247" t="e">
        <f t="shared" si="314"/>
        <v>#VALUE!</v>
      </c>
    </row>
    <row r="2874" spans="1:17" ht="15" customHeight="1" x14ac:dyDescent="0.25">
      <c r="A2874" s="244"/>
      <c r="B2874" s="244"/>
      <c r="C2874" s="244"/>
      <c r="D2874" s="244"/>
      <c r="E2874" s="244"/>
      <c r="F2874" s="244"/>
      <c r="G2874" s="244"/>
      <c r="I2874" s="244"/>
      <c r="J2874" s="244"/>
      <c r="K2874" s="246" t="e">
        <f t="shared" si="308"/>
        <v>#VALUE!</v>
      </c>
      <c r="L2874" s="246" t="e">
        <f t="shared" si="309"/>
        <v>#VALUE!</v>
      </c>
      <c r="M2874" s="247" t="e">
        <f t="shared" si="310"/>
        <v>#VALUE!</v>
      </c>
      <c r="N2874" s="246" t="e">
        <f t="shared" si="311"/>
        <v>#VALUE!</v>
      </c>
      <c r="O2874" s="247" t="e">
        <f t="shared" si="312"/>
        <v>#VALUE!</v>
      </c>
      <c r="P2874" s="247">
        <f t="shared" si="313"/>
        <v>0</v>
      </c>
      <c r="Q2874" s="247" t="e">
        <f t="shared" si="314"/>
        <v>#VALUE!</v>
      </c>
    </row>
    <row r="2875" spans="1:17" ht="15" customHeight="1" x14ac:dyDescent="0.25">
      <c r="A2875" s="244"/>
      <c r="B2875" s="244"/>
      <c r="C2875" s="244"/>
      <c r="D2875" s="244"/>
      <c r="E2875" s="244"/>
      <c r="F2875" s="244"/>
      <c r="G2875" s="244"/>
      <c r="I2875" s="244"/>
      <c r="J2875" s="244"/>
      <c r="K2875" s="246" t="e">
        <f t="shared" si="308"/>
        <v>#VALUE!</v>
      </c>
      <c r="L2875" s="246" t="e">
        <f t="shared" si="309"/>
        <v>#VALUE!</v>
      </c>
      <c r="M2875" s="247" t="e">
        <f t="shared" si="310"/>
        <v>#VALUE!</v>
      </c>
      <c r="N2875" s="246" t="e">
        <f t="shared" si="311"/>
        <v>#VALUE!</v>
      </c>
      <c r="O2875" s="247" t="e">
        <f t="shared" si="312"/>
        <v>#VALUE!</v>
      </c>
      <c r="P2875" s="247">
        <f t="shared" si="313"/>
        <v>0</v>
      </c>
      <c r="Q2875" s="247" t="e">
        <f t="shared" si="314"/>
        <v>#VALUE!</v>
      </c>
    </row>
    <row r="2876" spans="1:17" ht="15" customHeight="1" x14ac:dyDescent="0.25">
      <c r="A2876" s="244"/>
      <c r="B2876" s="244"/>
      <c r="C2876" s="244"/>
      <c r="D2876" s="244"/>
      <c r="E2876" s="244"/>
      <c r="F2876" s="244"/>
      <c r="G2876" s="244"/>
      <c r="I2876" s="244"/>
      <c r="J2876" s="244"/>
      <c r="K2876" s="246" t="e">
        <f t="shared" si="308"/>
        <v>#VALUE!</v>
      </c>
      <c r="L2876" s="246" t="e">
        <f t="shared" si="309"/>
        <v>#VALUE!</v>
      </c>
      <c r="M2876" s="247" t="e">
        <f t="shared" si="310"/>
        <v>#VALUE!</v>
      </c>
      <c r="N2876" s="246" t="e">
        <f t="shared" si="311"/>
        <v>#VALUE!</v>
      </c>
      <c r="O2876" s="247" t="e">
        <f t="shared" si="312"/>
        <v>#VALUE!</v>
      </c>
      <c r="P2876" s="247">
        <f t="shared" si="313"/>
        <v>0</v>
      </c>
      <c r="Q2876" s="247" t="e">
        <f t="shared" si="314"/>
        <v>#VALUE!</v>
      </c>
    </row>
    <row r="2877" spans="1:17" ht="15" customHeight="1" x14ac:dyDescent="0.25">
      <c r="A2877" s="244"/>
      <c r="B2877" s="244"/>
      <c r="C2877" s="244"/>
      <c r="D2877" s="244"/>
      <c r="E2877" s="244"/>
      <c r="F2877" s="244"/>
      <c r="G2877" s="244"/>
      <c r="I2877" s="244"/>
      <c r="J2877" s="244"/>
      <c r="K2877" s="246" t="e">
        <f t="shared" si="308"/>
        <v>#VALUE!</v>
      </c>
      <c r="L2877" s="246" t="e">
        <f t="shared" si="309"/>
        <v>#VALUE!</v>
      </c>
      <c r="M2877" s="247" t="e">
        <f t="shared" si="310"/>
        <v>#VALUE!</v>
      </c>
      <c r="N2877" s="246" t="e">
        <f t="shared" si="311"/>
        <v>#VALUE!</v>
      </c>
      <c r="O2877" s="247" t="e">
        <f t="shared" si="312"/>
        <v>#VALUE!</v>
      </c>
      <c r="P2877" s="247">
        <f t="shared" si="313"/>
        <v>0</v>
      </c>
      <c r="Q2877" s="247" t="e">
        <f t="shared" si="314"/>
        <v>#VALUE!</v>
      </c>
    </row>
    <row r="2878" spans="1:17" ht="15" customHeight="1" x14ac:dyDescent="0.25">
      <c r="A2878" s="244"/>
      <c r="B2878" s="244"/>
      <c r="C2878" s="244"/>
      <c r="D2878" s="244"/>
      <c r="E2878" s="244"/>
      <c r="F2878" s="244"/>
      <c r="G2878" s="244"/>
      <c r="I2878" s="244"/>
      <c r="J2878" s="244"/>
      <c r="K2878" s="246" t="e">
        <f t="shared" si="308"/>
        <v>#VALUE!</v>
      </c>
      <c r="L2878" s="246" t="e">
        <f t="shared" si="309"/>
        <v>#VALUE!</v>
      </c>
      <c r="M2878" s="247" t="e">
        <f t="shared" si="310"/>
        <v>#VALUE!</v>
      </c>
      <c r="N2878" s="246" t="e">
        <f t="shared" si="311"/>
        <v>#VALUE!</v>
      </c>
      <c r="O2878" s="247" t="e">
        <f t="shared" si="312"/>
        <v>#VALUE!</v>
      </c>
      <c r="P2878" s="247">
        <f t="shared" si="313"/>
        <v>0</v>
      </c>
      <c r="Q2878" s="247" t="e">
        <f t="shared" si="314"/>
        <v>#VALUE!</v>
      </c>
    </row>
    <row r="2879" spans="1:17" ht="15" customHeight="1" x14ac:dyDescent="0.25">
      <c r="A2879" s="244"/>
      <c r="B2879" s="244"/>
      <c r="C2879" s="244"/>
      <c r="D2879" s="244"/>
      <c r="E2879" s="244"/>
      <c r="F2879" s="244"/>
      <c r="G2879" s="244"/>
      <c r="I2879" s="244"/>
      <c r="J2879" s="244"/>
      <c r="K2879" s="246" t="e">
        <f t="shared" si="308"/>
        <v>#VALUE!</v>
      </c>
      <c r="L2879" s="246" t="e">
        <f t="shared" si="309"/>
        <v>#VALUE!</v>
      </c>
      <c r="M2879" s="247" t="e">
        <f t="shared" si="310"/>
        <v>#VALUE!</v>
      </c>
      <c r="N2879" s="246" t="e">
        <f t="shared" si="311"/>
        <v>#VALUE!</v>
      </c>
      <c r="O2879" s="247" t="e">
        <f t="shared" si="312"/>
        <v>#VALUE!</v>
      </c>
      <c r="P2879" s="247">
        <f t="shared" si="313"/>
        <v>0</v>
      </c>
      <c r="Q2879" s="247" t="e">
        <f t="shared" si="314"/>
        <v>#VALUE!</v>
      </c>
    </row>
    <row r="2880" spans="1:17" ht="15" customHeight="1" x14ac:dyDescent="0.25">
      <c r="A2880" s="244"/>
      <c r="B2880" s="244"/>
      <c r="C2880" s="244"/>
      <c r="D2880" s="244"/>
      <c r="E2880" s="244"/>
      <c r="F2880" s="244"/>
      <c r="G2880" s="244"/>
      <c r="I2880" s="244"/>
      <c r="J2880" s="244"/>
      <c r="K2880" s="246" t="e">
        <f t="shared" si="308"/>
        <v>#VALUE!</v>
      </c>
      <c r="L2880" s="246" t="e">
        <f t="shared" si="309"/>
        <v>#VALUE!</v>
      </c>
      <c r="M2880" s="247" t="e">
        <f t="shared" si="310"/>
        <v>#VALUE!</v>
      </c>
      <c r="N2880" s="246" t="e">
        <f t="shared" si="311"/>
        <v>#VALUE!</v>
      </c>
      <c r="O2880" s="247" t="e">
        <f t="shared" si="312"/>
        <v>#VALUE!</v>
      </c>
      <c r="P2880" s="247">
        <f t="shared" si="313"/>
        <v>0</v>
      </c>
      <c r="Q2880" s="247" t="e">
        <f t="shared" si="314"/>
        <v>#VALUE!</v>
      </c>
    </row>
    <row r="2881" spans="1:17" ht="15" customHeight="1" x14ac:dyDescent="0.25">
      <c r="A2881" s="244"/>
      <c r="B2881" s="244"/>
      <c r="C2881" s="244"/>
      <c r="D2881" s="244"/>
      <c r="E2881" s="244"/>
      <c r="F2881" s="244"/>
      <c r="G2881" s="244"/>
      <c r="I2881" s="244"/>
      <c r="J2881" s="244"/>
      <c r="K2881" s="246" t="e">
        <f t="shared" si="308"/>
        <v>#VALUE!</v>
      </c>
      <c r="L2881" s="246" t="e">
        <f t="shared" si="309"/>
        <v>#VALUE!</v>
      </c>
      <c r="M2881" s="247" t="e">
        <f t="shared" si="310"/>
        <v>#VALUE!</v>
      </c>
      <c r="N2881" s="246" t="e">
        <f t="shared" si="311"/>
        <v>#VALUE!</v>
      </c>
      <c r="O2881" s="247" t="e">
        <f t="shared" si="312"/>
        <v>#VALUE!</v>
      </c>
      <c r="P2881" s="247">
        <f t="shared" si="313"/>
        <v>0</v>
      </c>
      <c r="Q2881" s="247" t="e">
        <f t="shared" si="314"/>
        <v>#VALUE!</v>
      </c>
    </row>
    <row r="2882" spans="1:17" ht="15" customHeight="1" x14ac:dyDescent="0.25">
      <c r="A2882" s="244"/>
      <c r="B2882" s="244"/>
      <c r="C2882" s="244"/>
      <c r="D2882" s="244"/>
      <c r="E2882" s="244"/>
      <c r="F2882" s="244"/>
      <c r="G2882" s="244"/>
      <c r="I2882" s="244"/>
      <c r="J2882" s="244"/>
      <c r="K2882" s="246" t="e">
        <f t="shared" ref="K2882:K2945" si="315">DATE(VALUE(LEFT(A2882,4)),VALUE(MID(A2882,5,2)),VALUE(RIGHT(A2882,2)))</f>
        <v>#VALUE!</v>
      </c>
      <c r="L2882" s="246" t="e">
        <f t="shared" ref="L2882:L2945" si="316">DATEVALUE(LEFT(F2882,10))</f>
        <v>#VALUE!</v>
      </c>
      <c r="M2882" s="247" t="e">
        <f t="shared" ref="M2882:M2945" si="317">TIMEVALUE(MID(F2882,12,8))</f>
        <v>#VALUE!</v>
      </c>
      <c r="N2882" s="246" t="e">
        <f t="shared" ref="N2882:N2945" si="318">DATEVALUE(LEFT(G2882,10))</f>
        <v>#VALUE!</v>
      </c>
      <c r="O2882" s="247" t="e">
        <f t="shared" ref="O2882:O2945" si="319">TIMEVALUE(MID(G2882,12,8))</f>
        <v>#VALUE!</v>
      </c>
      <c r="P2882" s="247">
        <f t="shared" ref="P2882:P2945" si="320">IFERROR(_xlfn.MINIFS($M:$M,$E:$E,$E2882,$K:$K,$K2882,$M:$M,"&gt;"&amp;$O2882),"")</f>
        <v>0</v>
      </c>
      <c r="Q2882" s="247" t="e">
        <f t="shared" ref="Q2882:Q2945" si="321">IF($P2882="","",$P2882-$O2882)</f>
        <v>#VALUE!</v>
      </c>
    </row>
    <row r="2883" spans="1:17" ht="15" customHeight="1" x14ac:dyDescent="0.25">
      <c r="A2883" s="244"/>
      <c r="B2883" s="244"/>
      <c r="C2883" s="244"/>
      <c r="D2883" s="244"/>
      <c r="E2883" s="244"/>
      <c r="F2883" s="244"/>
      <c r="G2883" s="244"/>
      <c r="I2883" s="244"/>
      <c r="J2883" s="244"/>
      <c r="K2883" s="246" t="e">
        <f t="shared" si="315"/>
        <v>#VALUE!</v>
      </c>
      <c r="L2883" s="246" t="e">
        <f t="shared" si="316"/>
        <v>#VALUE!</v>
      </c>
      <c r="M2883" s="247" t="e">
        <f t="shared" si="317"/>
        <v>#VALUE!</v>
      </c>
      <c r="N2883" s="246" t="e">
        <f t="shared" si="318"/>
        <v>#VALUE!</v>
      </c>
      <c r="O2883" s="247" t="e">
        <f t="shared" si="319"/>
        <v>#VALUE!</v>
      </c>
      <c r="P2883" s="247">
        <f t="shared" si="320"/>
        <v>0</v>
      </c>
      <c r="Q2883" s="247" t="e">
        <f t="shared" si="321"/>
        <v>#VALUE!</v>
      </c>
    </row>
    <row r="2884" spans="1:17" ht="15" customHeight="1" x14ac:dyDescent="0.25">
      <c r="A2884" s="244"/>
      <c r="B2884" s="244"/>
      <c r="C2884" s="244"/>
      <c r="D2884" s="244"/>
      <c r="E2884" s="244"/>
      <c r="F2884" s="244"/>
      <c r="G2884" s="244"/>
      <c r="I2884" s="244"/>
      <c r="J2884" s="244"/>
      <c r="K2884" s="246" t="e">
        <f t="shared" si="315"/>
        <v>#VALUE!</v>
      </c>
      <c r="L2884" s="246" t="e">
        <f t="shared" si="316"/>
        <v>#VALUE!</v>
      </c>
      <c r="M2884" s="247" t="e">
        <f t="shared" si="317"/>
        <v>#VALUE!</v>
      </c>
      <c r="N2884" s="246" t="e">
        <f t="shared" si="318"/>
        <v>#VALUE!</v>
      </c>
      <c r="O2884" s="247" t="e">
        <f t="shared" si="319"/>
        <v>#VALUE!</v>
      </c>
      <c r="P2884" s="247">
        <f t="shared" si="320"/>
        <v>0</v>
      </c>
      <c r="Q2884" s="247" t="e">
        <f t="shared" si="321"/>
        <v>#VALUE!</v>
      </c>
    </row>
    <row r="2885" spans="1:17" ht="15" customHeight="1" x14ac:dyDescent="0.25">
      <c r="A2885" s="244"/>
      <c r="B2885" s="244"/>
      <c r="C2885" s="244"/>
      <c r="D2885" s="244"/>
      <c r="E2885" s="244"/>
      <c r="F2885" s="244"/>
      <c r="G2885" s="244"/>
      <c r="I2885" s="244"/>
      <c r="J2885" s="244"/>
      <c r="K2885" s="246" t="e">
        <f t="shared" si="315"/>
        <v>#VALUE!</v>
      </c>
      <c r="L2885" s="246" t="e">
        <f t="shared" si="316"/>
        <v>#VALUE!</v>
      </c>
      <c r="M2885" s="247" t="e">
        <f t="shared" si="317"/>
        <v>#VALUE!</v>
      </c>
      <c r="N2885" s="246" t="e">
        <f t="shared" si="318"/>
        <v>#VALUE!</v>
      </c>
      <c r="O2885" s="247" t="e">
        <f t="shared" si="319"/>
        <v>#VALUE!</v>
      </c>
      <c r="P2885" s="247">
        <f t="shared" si="320"/>
        <v>0</v>
      </c>
      <c r="Q2885" s="247" t="e">
        <f t="shared" si="321"/>
        <v>#VALUE!</v>
      </c>
    </row>
    <row r="2886" spans="1:17" ht="15" customHeight="1" x14ac:dyDescent="0.25">
      <c r="A2886" s="244"/>
      <c r="B2886" s="244"/>
      <c r="C2886" s="244"/>
      <c r="D2886" s="244"/>
      <c r="E2886" s="244"/>
      <c r="F2886" s="244"/>
      <c r="G2886" s="244"/>
      <c r="I2886" s="244"/>
      <c r="J2886" s="244"/>
      <c r="K2886" s="246" t="e">
        <f t="shared" si="315"/>
        <v>#VALUE!</v>
      </c>
      <c r="L2886" s="246" t="e">
        <f t="shared" si="316"/>
        <v>#VALUE!</v>
      </c>
      <c r="M2886" s="247" t="e">
        <f t="shared" si="317"/>
        <v>#VALUE!</v>
      </c>
      <c r="N2886" s="246" t="e">
        <f t="shared" si="318"/>
        <v>#VALUE!</v>
      </c>
      <c r="O2886" s="247" t="e">
        <f t="shared" si="319"/>
        <v>#VALUE!</v>
      </c>
      <c r="P2886" s="247">
        <f t="shared" si="320"/>
        <v>0</v>
      </c>
      <c r="Q2886" s="247" t="e">
        <f t="shared" si="321"/>
        <v>#VALUE!</v>
      </c>
    </row>
    <row r="2887" spans="1:17" ht="15" customHeight="1" x14ac:dyDescent="0.25">
      <c r="A2887" s="244"/>
      <c r="B2887" s="244"/>
      <c r="C2887" s="244"/>
      <c r="D2887" s="244"/>
      <c r="E2887" s="244"/>
      <c r="F2887" s="244"/>
      <c r="G2887" s="244"/>
      <c r="I2887" s="244"/>
      <c r="J2887" s="244"/>
      <c r="K2887" s="246" t="e">
        <f t="shared" si="315"/>
        <v>#VALUE!</v>
      </c>
      <c r="L2887" s="246" t="e">
        <f t="shared" si="316"/>
        <v>#VALUE!</v>
      </c>
      <c r="M2887" s="247" t="e">
        <f t="shared" si="317"/>
        <v>#VALUE!</v>
      </c>
      <c r="N2887" s="246" t="e">
        <f t="shared" si="318"/>
        <v>#VALUE!</v>
      </c>
      <c r="O2887" s="247" t="e">
        <f t="shared" si="319"/>
        <v>#VALUE!</v>
      </c>
      <c r="P2887" s="247">
        <f t="shared" si="320"/>
        <v>0</v>
      </c>
      <c r="Q2887" s="247" t="e">
        <f t="shared" si="321"/>
        <v>#VALUE!</v>
      </c>
    </row>
    <row r="2888" spans="1:17" ht="15" customHeight="1" x14ac:dyDescent="0.25">
      <c r="A2888" s="244"/>
      <c r="B2888" s="244"/>
      <c r="C2888" s="244"/>
      <c r="D2888" s="244"/>
      <c r="E2888" s="244"/>
      <c r="F2888" s="244"/>
      <c r="G2888" s="244"/>
      <c r="I2888" s="244"/>
      <c r="J2888" s="244"/>
      <c r="K2888" s="246" t="e">
        <f t="shared" si="315"/>
        <v>#VALUE!</v>
      </c>
      <c r="L2888" s="246" t="e">
        <f t="shared" si="316"/>
        <v>#VALUE!</v>
      </c>
      <c r="M2888" s="247" t="e">
        <f t="shared" si="317"/>
        <v>#VALUE!</v>
      </c>
      <c r="N2888" s="246" t="e">
        <f t="shared" si="318"/>
        <v>#VALUE!</v>
      </c>
      <c r="O2888" s="247" t="e">
        <f t="shared" si="319"/>
        <v>#VALUE!</v>
      </c>
      <c r="P2888" s="247">
        <f t="shared" si="320"/>
        <v>0</v>
      </c>
      <c r="Q2888" s="247" t="e">
        <f t="shared" si="321"/>
        <v>#VALUE!</v>
      </c>
    </row>
    <row r="2889" spans="1:17" ht="15" customHeight="1" x14ac:dyDescent="0.25">
      <c r="A2889" s="244"/>
      <c r="B2889" s="244"/>
      <c r="C2889" s="244"/>
      <c r="D2889" s="244"/>
      <c r="E2889" s="244"/>
      <c r="F2889" s="244"/>
      <c r="G2889" s="244"/>
      <c r="I2889" s="244"/>
      <c r="J2889" s="244"/>
      <c r="K2889" s="246" t="e">
        <f t="shared" si="315"/>
        <v>#VALUE!</v>
      </c>
      <c r="L2889" s="246" t="e">
        <f t="shared" si="316"/>
        <v>#VALUE!</v>
      </c>
      <c r="M2889" s="247" t="e">
        <f t="shared" si="317"/>
        <v>#VALUE!</v>
      </c>
      <c r="N2889" s="246" t="e">
        <f t="shared" si="318"/>
        <v>#VALUE!</v>
      </c>
      <c r="O2889" s="247" t="e">
        <f t="shared" si="319"/>
        <v>#VALUE!</v>
      </c>
      <c r="P2889" s="247">
        <f t="shared" si="320"/>
        <v>0</v>
      </c>
      <c r="Q2889" s="247" t="e">
        <f t="shared" si="321"/>
        <v>#VALUE!</v>
      </c>
    </row>
    <row r="2890" spans="1:17" ht="15" customHeight="1" x14ac:dyDescent="0.25">
      <c r="A2890" s="244"/>
      <c r="B2890" s="244"/>
      <c r="C2890" s="244"/>
      <c r="D2890" s="244"/>
      <c r="E2890" s="244"/>
      <c r="F2890" s="244"/>
      <c r="G2890" s="244"/>
      <c r="I2890" s="244"/>
      <c r="J2890" s="244"/>
      <c r="K2890" s="246" t="e">
        <f t="shared" si="315"/>
        <v>#VALUE!</v>
      </c>
      <c r="L2890" s="246" t="e">
        <f t="shared" si="316"/>
        <v>#VALUE!</v>
      </c>
      <c r="M2890" s="247" t="e">
        <f t="shared" si="317"/>
        <v>#VALUE!</v>
      </c>
      <c r="N2890" s="246" t="e">
        <f t="shared" si="318"/>
        <v>#VALUE!</v>
      </c>
      <c r="O2890" s="247" t="e">
        <f t="shared" si="319"/>
        <v>#VALUE!</v>
      </c>
      <c r="P2890" s="247">
        <f t="shared" si="320"/>
        <v>0</v>
      </c>
      <c r="Q2890" s="247" t="e">
        <f t="shared" si="321"/>
        <v>#VALUE!</v>
      </c>
    </row>
    <row r="2891" spans="1:17" ht="15" customHeight="1" x14ac:dyDescent="0.25">
      <c r="A2891" s="244"/>
      <c r="B2891" s="244"/>
      <c r="C2891" s="244"/>
      <c r="D2891" s="244"/>
      <c r="E2891" s="244"/>
      <c r="F2891" s="244"/>
      <c r="G2891" s="244"/>
      <c r="I2891" s="244"/>
      <c r="J2891" s="244"/>
      <c r="K2891" s="246" t="e">
        <f t="shared" si="315"/>
        <v>#VALUE!</v>
      </c>
      <c r="L2891" s="246" t="e">
        <f t="shared" si="316"/>
        <v>#VALUE!</v>
      </c>
      <c r="M2891" s="247" t="e">
        <f t="shared" si="317"/>
        <v>#VALUE!</v>
      </c>
      <c r="N2891" s="246" t="e">
        <f t="shared" si="318"/>
        <v>#VALUE!</v>
      </c>
      <c r="O2891" s="247" t="e">
        <f t="shared" si="319"/>
        <v>#VALUE!</v>
      </c>
      <c r="P2891" s="247">
        <f t="shared" si="320"/>
        <v>0</v>
      </c>
      <c r="Q2891" s="247" t="e">
        <f t="shared" si="321"/>
        <v>#VALUE!</v>
      </c>
    </row>
    <row r="2892" spans="1:17" ht="15" customHeight="1" x14ac:dyDescent="0.25">
      <c r="A2892" s="244"/>
      <c r="B2892" s="244"/>
      <c r="C2892" s="244"/>
      <c r="D2892" s="244"/>
      <c r="E2892" s="244"/>
      <c r="F2892" s="244"/>
      <c r="G2892" s="244"/>
      <c r="I2892" s="244"/>
      <c r="J2892" s="244"/>
      <c r="K2892" s="246" t="e">
        <f t="shared" si="315"/>
        <v>#VALUE!</v>
      </c>
      <c r="L2892" s="246" t="e">
        <f t="shared" si="316"/>
        <v>#VALUE!</v>
      </c>
      <c r="M2892" s="247" t="e">
        <f t="shared" si="317"/>
        <v>#VALUE!</v>
      </c>
      <c r="N2892" s="246" t="e">
        <f t="shared" si="318"/>
        <v>#VALUE!</v>
      </c>
      <c r="O2892" s="247" t="e">
        <f t="shared" si="319"/>
        <v>#VALUE!</v>
      </c>
      <c r="P2892" s="247">
        <f t="shared" si="320"/>
        <v>0</v>
      </c>
      <c r="Q2892" s="247" t="e">
        <f t="shared" si="321"/>
        <v>#VALUE!</v>
      </c>
    </row>
    <row r="2893" spans="1:17" ht="15" customHeight="1" x14ac:dyDescent="0.25">
      <c r="A2893" s="244"/>
      <c r="B2893" s="244"/>
      <c r="C2893" s="244"/>
      <c r="D2893" s="244"/>
      <c r="E2893" s="244"/>
      <c r="F2893" s="244"/>
      <c r="G2893" s="244"/>
      <c r="I2893" s="244"/>
      <c r="J2893" s="244"/>
      <c r="K2893" s="246" t="e">
        <f t="shared" si="315"/>
        <v>#VALUE!</v>
      </c>
      <c r="L2893" s="246" t="e">
        <f t="shared" si="316"/>
        <v>#VALUE!</v>
      </c>
      <c r="M2893" s="247" t="e">
        <f t="shared" si="317"/>
        <v>#VALUE!</v>
      </c>
      <c r="N2893" s="246" t="e">
        <f t="shared" si="318"/>
        <v>#VALUE!</v>
      </c>
      <c r="O2893" s="247" t="e">
        <f t="shared" si="319"/>
        <v>#VALUE!</v>
      </c>
      <c r="P2893" s="247">
        <f t="shared" si="320"/>
        <v>0</v>
      </c>
      <c r="Q2893" s="247" t="e">
        <f t="shared" si="321"/>
        <v>#VALUE!</v>
      </c>
    </row>
    <row r="2894" spans="1:17" ht="15" customHeight="1" x14ac:dyDescent="0.25">
      <c r="A2894" s="244"/>
      <c r="B2894" s="244"/>
      <c r="C2894" s="244"/>
      <c r="D2894" s="244"/>
      <c r="E2894" s="244"/>
      <c r="F2894" s="244"/>
      <c r="G2894" s="244"/>
      <c r="I2894" s="244"/>
      <c r="J2894" s="244"/>
      <c r="K2894" s="246" t="e">
        <f t="shared" si="315"/>
        <v>#VALUE!</v>
      </c>
      <c r="L2894" s="246" t="e">
        <f t="shared" si="316"/>
        <v>#VALUE!</v>
      </c>
      <c r="M2894" s="247" t="e">
        <f t="shared" si="317"/>
        <v>#VALUE!</v>
      </c>
      <c r="N2894" s="246" t="e">
        <f t="shared" si="318"/>
        <v>#VALUE!</v>
      </c>
      <c r="O2894" s="247" t="e">
        <f t="shared" si="319"/>
        <v>#VALUE!</v>
      </c>
      <c r="P2894" s="247">
        <f t="shared" si="320"/>
        <v>0</v>
      </c>
      <c r="Q2894" s="247" t="e">
        <f t="shared" si="321"/>
        <v>#VALUE!</v>
      </c>
    </row>
    <row r="2895" spans="1:17" ht="15" customHeight="1" x14ac:dyDescent="0.25">
      <c r="A2895" s="244"/>
      <c r="B2895" s="244"/>
      <c r="C2895" s="244"/>
      <c r="D2895" s="244"/>
      <c r="E2895" s="244"/>
      <c r="F2895" s="244"/>
      <c r="G2895" s="244"/>
      <c r="I2895" s="244"/>
      <c r="J2895" s="244"/>
      <c r="K2895" s="246" t="e">
        <f t="shared" si="315"/>
        <v>#VALUE!</v>
      </c>
      <c r="L2895" s="246" t="e">
        <f t="shared" si="316"/>
        <v>#VALUE!</v>
      </c>
      <c r="M2895" s="247" t="e">
        <f t="shared" si="317"/>
        <v>#VALUE!</v>
      </c>
      <c r="N2895" s="246" t="e">
        <f t="shared" si="318"/>
        <v>#VALUE!</v>
      </c>
      <c r="O2895" s="247" t="e">
        <f t="shared" si="319"/>
        <v>#VALUE!</v>
      </c>
      <c r="P2895" s="247">
        <f t="shared" si="320"/>
        <v>0</v>
      </c>
      <c r="Q2895" s="247" t="e">
        <f t="shared" si="321"/>
        <v>#VALUE!</v>
      </c>
    </row>
    <row r="2896" spans="1:17" ht="15" customHeight="1" x14ac:dyDescent="0.25">
      <c r="A2896" s="244"/>
      <c r="B2896" s="244"/>
      <c r="C2896" s="244"/>
      <c r="D2896" s="244"/>
      <c r="E2896" s="244"/>
      <c r="F2896" s="244"/>
      <c r="G2896" s="244"/>
      <c r="I2896" s="244"/>
      <c r="J2896" s="244"/>
      <c r="K2896" s="246" t="e">
        <f t="shared" si="315"/>
        <v>#VALUE!</v>
      </c>
      <c r="L2896" s="246" t="e">
        <f t="shared" si="316"/>
        <v>#VALUE!</v>
      </c>
      <c r="M2896" s="247" t="e">
        <f t="shared" si="317"/>
        <v>#VALUE!</v>
      </c>
      <c r="N2896" s="246" t="e">
        <f t="shared" si="318"/>
        <v>#VALUE!</v>
      </c>
      <c r="O2896" s="247" t="e">
        <f t="shared" si="319"/>
        <v>#VALUE!</v>
      </c>
      <c r="P2896" s="247">
        <f t="shared" si="320"/>
        <v>0</v>
      </c>
      <c r="Q2896" s="247" t="e">
        <f t="shared" si="321"/>
        <v>#VALUE!</v>
      </c>
    </row>
    <row r="2897" spans="1:17" ht="15" customHeight="1" x14ac:dyDescent="0.25">
      <c r="A2897" s="244"/>
      <c r="B2897" s="244"/>
      <c r="C2897" s="244"/>
      <c r="D2897" s="244"/>
      <c r="E2897" s="244"/>
      <c r="F2897" s="244"/>
      <c r="G2897" s="244"/>
      <c r="I2897" s="244"/>
      <c r="J2897" s="244"/>
      <c r="K2897" s="246" t="e">
        <f t="shared" si="315"/>
        <v>#VALUE!</v>
      </c>
      <c r="L2897" s="246" t="e">
        <f t="shared" si="316"/>
        <v>#VALUE!</v>
      </c>
      <c r="M2897" s="247" t="e">
        <f t="shared" si="317"/>
        <v>#VALUE!</v>
      </c>
      <c r="N2897" s="246" t="e">
        <f t="shared" si="318"/>
        <v>#VALUE!</v>
      </c>
      <c r="O2897" s="247" t="e">
        <f t="shared" si="319"/>
        <v>#VALUE!</v>
      </c>
      <c r="P2897" s="247">
        <f t="shared" si="320"/>
        <v>0</v>
      </c>
      <c r="Q2897" s="247" t="e">
        <f t="shared" si="321"/>
        <v>#VALUE!</v>
      </c>
    </row>
    <row r="2898" spans="1:17" ht="15" customHeight="1" x14ac:dyDescent="0.25">
      <c r="A2898" s="244"/>
      <c r="B2898" s="244"/>
      <c r="C2898" s="244"/>
      <c r="D2898" s="244"/>
      <c r="E2898" s="244"/>
      <c r="F2898" s="244"/>
      <c r="G2898" s="244"/>
      <c r="I2898" s="244"/>
      <c r="J2898" s="244"/>
      <c r="K2898" s="246" t="e">
        <f t="shared" si="315"/>
        <v>#VALUE!</v>
      </c>
      <c r="L2898" s="246" t="e">
        <f t="shared" si="316"/>
        <v>#VALUE!</v>
      </c>
      <c r="M2898" s="247" t="e">
        <f t="shared" si="317"/>
        <v>#VALUE!</v>
      </c>
      <c r="N2898" s="246" t="e">
        <f t="shared" si="318"/>
        <v>#VALUE!</v>
      </c>
      <c r="O2898" s="247" t="e">
        <f t="shared" si="319"/>
        <v>#VALUE!</v>
      </c>
      <c r="P2898" s="247">
        <f t="shared" si="320"/>
        <v>0</v>
      </c>
      <c r="Q2898" s="247" t="e">
        <f t="shared" si="321"/>
        <v>#VALUE!</v>
      </c>
    </row>
    <row r="2899" spans="1:17" ht="15" customHeight="1" x14ac:dyDescent="0.25">
      <c r="A2899" s="244"/>
      <c r="B2899" s="244"/>
      <c r="C2899" s="244"/>
      <c r="D2899" s="244"/>
      <c r="E2899" s="244"/>
      <c r="F2899" s="244"/>
      <c r="G2899" s="244"/>
      <c r="I2899" s="244"/>
      <c r="J2899" s="244"/>
      <c r="K2899" s="246" t="e">
        <f t="shared" si="315"/>
        <v>#VALUE!</v>
      </c>
      <c r="L2899" s="246" t="e">
        <f t="shared" si="316"/>
        <v>#VALUE!</v>
      </c>
      <c r="M2899" s="247" t="e">
        <f t="shared" si="317"/>
        <v>#VALUE!</v>
      </c>
      <c r="N2899" s="246" t="e">
        <f t="shared" si="318"/>
        <v>#VALUE!</v>
      </c>
      <c r="O2899" s="247" t="e">
        <f t="shared" si="319"/>
        <v>#VALUE!</v>
      </c>
      <c r="P2899" s="247">
        <f t="shared" si="320"/>
        <v>0</v>
      </c>
      <c r="Q2899" s="247" t="e">
        <f t="shared" si="321"/>
        <v>#VALUE!</v>
      </c>
    </row>
    <row r="2900" spans="1:17" ht="15" customHeight="1" x14ac:dyDescent="0.25">
      <c r="A2900" s="244"/>
      <c r="B2900" s="244"/>
      <c r="C2900" s="244"/>
      <c r="D2900" s="244"/>
      <c r="E2900" s="244"/>
      <c r="F2900" s="244"/>
      <c r="G2900" s="244"/>
      <c r="I2900" s="244"/>
      <c r="J2900" s="244"/>
      <c r="K2900" s="246" t="e">
        <f t="shared" si="315"/>
        <v>#VALUE!</v>
      </c>
      <c r="L2900" s="246" t="e">
        <f t="shared" si="316"/>
        <v>#VALUE!</v>
      </c>
      <c r="M2900" s="247" t="e">
        <f t="shared" si="317"/>
        <v>#VALUE!</v>
      </c>
      <c r="N2900" s="246" t="e">
        <f t="shared" si="318"/>
        <v>#VALUE!</v>
      </c>
      <c r="O2900" s="247" t="e">
        <f t="shared" si="319"/>
        <v>#VALUE!</v>
      </c>
      <c r="P2900" s="247">
        <f t="shared" si="320"/>
        <v>0</v>
      </c>
      <c r="Q2900" s="247" t="e">
        <f t="shared" si="321"/>
        <v>#VALUE!</v>
      </c>
    </row>
    <row r="2901" spans="1:17" ht="15" customHeight="1" x14ac:dyDescent="0.25">
      <c r="A2901" s="244"/>
      <c r="B2901" s="244"/>
      <c r="C2901" s="244"/>
      <c r="D2901" s="244"/>
      <c r="E2901" s="244"/>
      <c r="F2901" s="244"/>
      <c r="G2901" s="244"/>
      <c r="I2901" s="244"/>
      <c r="J2901" s="244"/>
      <c r="K2901" s="246" t="e">
        <f t="shared" si="315"/>
        <v>#VALUE!</v>
      </c>
      <c r="L2901" s="246" t="e">
        <f t="shared" si="316"/>
        <v>#VALUE!</v>
      </c>
      <c r="M2901" s="247" t="e">
        <f t="shared" si="317"/>
        <v>#VALUE!</v>
      </c>
      <c r="N2901" s="246" t="e">
        <f t="shared" si="318"/>
        <v>#VALUE!</v>
      </c>
      <c r="O2901" s="247" t="e">
        <f t="shared" si="319"/>
        <v>#VALUE!</v>
      </c>
      <c r="P2901" s="247">
        <f t="shared" si="320"/>
        <v>0</v>
      </c>
      <c r="Q2901" s="247" t="e">
        <f t="shared" si="321"/>
        <v>#VALUE!</v>
      </c>
    </row>
    <row r="2902" spans="1:17" ht="15" customHeight="1" x14ac:dyDescent="0.25">
      <c r="A2902" s="244"/>
      <c r="B2902" s="244"/>
      <c r="C2902" s="244"/>
      <c r="D2902" s="244"/>
      <c r="E2902" s="244"/>
      <c r="F2902" s="244"/>
      <c r="G2902" s="244"/>
      <c r="I2902" s="244"/>
      <c r="J2902" s="244"/>
      <c r="K2902" s="246" t="e">
        <f t="shared" si="315"/>
        <v>#VALUE!</v>
      </c>
      <c r="L2902" s="246" t="e">
        <f t="shared" si="316"/>
        <v>#VALUE!</v>
      </c>
      <c r="M2902" s="247" t="e">
        <f t="shared" si="317"/>
        <v>#VALUE!</v>
      </c>
      <c r="N2902" s="246" t="e">
        <f t="shared" si="318"/>
        <v>#VALUE!</v>
      </c>
      <c r="O2902" s="247" t="e">
        <f t="shared" si="319"/>
        <v>#VALUE!</v>
      </c>
      <c r="P2902" s="247">
        <f t="shared" si="320"/>
        <v>0</v>
      </c>
      <c r="Q2902" s="247" t="e">
        <f t="shared" si="321"/>
        <v>#VALUE!</v>
      </c>
    </row>
    <row r="2903" spans="1:17" ht="15" customHeight="1" x14ac:dyDescent="0.25">
      <c r="A2903" s="244"/>
      <c r="B2903" s="244"/>
      <c r="C2903" s="244"/>
      <c r="D2903" s="244"/>
      <c r="E2903" s="244"/>
      <c r="F2903" s="244"/>
      <c r="G2903" s="244"/>
      <c r="I2903" s="244"/>
      <c r="J2903" s="244"/>
      <c r="K2903" s="246" t="e">
        <f t="shared" si="315"/>
        <v>#VALUE!</v>
      </c>
      <c r="L2903" s="246" t="e">
        <f t="shared" si="316"/>
        <v>#VALUE!</v>
      </c>
      <c r="M2903" s="247" t="e">
        <f t="shared" si="317"/>
        <v>#VALUE!</v>
      </c>
      <c r="N2903" s="246" t="e">
        <f t="shared" si="318"/>
        <v>#VALUE!</v>
      </c>
      <c r="O2903" s="247" t="e">
        <f t="shared" si="319"/>
        <v>#VALUE!</v>
      </c>
      <c r="P2903" s="247">
        <f t="shared" si="320"/>
        <v>0</v>
      </c>
      <c r="Q2903" s="247" t="e">
        <f t="shared" si="321"/>
        <v>#VALUE!</v>
      </c>
    </row>
    <row r="2904" spans="1:17" ht="15" customHeight="1" x14ac:dyDescent="0.25">
      <c r="A2904" s="244"/>
      <c r="B2904" s="244"/>
      <c r="C2904" s="244"/>
      <c r="D2904" s="244"/>
      <c r="E2904" s="244"/>
      <c r="F2904" s="244"/>
      <c r="G2904" s="244"/>
      <c r="I2904" s="244"/>
      <c r="J2904" s="244"/>
      <c r="K2904" s="246" t="e">
        <f t="shared" si="315"/>
        <v>#VALUE!</v>
      </c>
      <c r="L2904" s="246" t="e">
        <f t="shared" si="316"/>
        <v>#VALUE!</v>
      </c>
      <c r="M2904" s="247" t="e">
        <f t="shared" si="317"/>
        <v>#VALUE!</v>
      </c>
      <c r="N2904" s="246" t="e">
        <f t="shared" si="318"/>
        <v>#VALUE!</v>
      </c>
      <c r="O2904" s="247" t="e">
        <f t="shared" si="319"/>
        <v>#VALUE!</v>
      </c>
      <c r="P2904" s="247">
        <f t="shared" si="320"/>
        <v>0</v>
      </c>
      <c r="Q2904" s="247" t="e">
        <f t="shared" si="321"/>
        <v>#VALUE!</v>
      </c>
    </row>
    <row r="2905" spans="1:17" ht="15" customHeight="1" x14ac:dyDescent="0.25">
      <c r="A2905" s="244"/>
      <c r="B2905" s="244"/>
      <c r="C2905" s="244"/>
      <c r="D2905" s="244"/>
      <c r="E2905" s="244"/>
      <c r="F2905" s="244"/>
      <c r="G2905" s="244"/>
      <c r="I2905" s="244"/>
      <c r="J2905" s="244"/>
      <c r="K2905" s="246" t="e">
        <f t="shared" si="315"/>
        <v>#VALUE!</v>
      </c>
      <c r="L2905" s="246" t="e">
        <f t="shared" si="316"/>
        <v>#VALUE!</v>
      </c>
      <c r="M2905" s="247" t="e">
        <f t="shared" si="317"/>
        <v>#VALUE!</v>
      </c>
      <c r="N2905" s="246" t="e">
        <f t="shared" si="318"/>
        <v>#VALUE!</v>
      </c>
      <c r="O2905" s="247" t="e">
        <f t="shared" si="319"/>
        <v>#VALUE!</v>
      </c>
      <c r="P2905" s="247">
        <f t="shared" si="320"/>
        <v>0</v>
      </c>
      <c r="Q2905" s="247" t="e">
        <f t="shared" si="321"/>
        <v>#VALUE!</v>
      </c>
    </row>
    <row r="2906" spans="1:17" ht="15" customHeight="1" x14ac:dyDescent="0.25">
      <c r="A2906" s="244"/>
      <c r="B2906" s="244"/>
      <c r="C2906" s="244"/>
      <c r="D2906" s="244"/>
      <c r="E2906" s="244"/>
      <c r="F2906" s="244"/>
      <c r="G2906" s="244"/>
      <c r="I2906" s="244"/>
      <c r="J2906" s="244"/>
      <c r="K2906" s="246" t="e">
        <f t="shared" si="315"/>
        <v>#VALUE!</v>
      </c>
      <c r="L2906" s="246" t="e">
        <f t="shared" si="316"/>
        <v>#VALUE!</v>
      </c>
      <c r="M2906" s="247" t="e">
        <f t="shared" si="317"/>
        <v>#VALUE!</v>
      </c>
      <c r="N2906" s="246" t="e">
        <f t="shared" si="318"/>
        <v>#VALUE!</v>
      </c>
      <c r="O2906" s="247" t="e">
        <f t="shared" si="319"/>
        <v>#VALUE!</v>
      </c>
      <c r="P2906" s="247">
        <f t="shared" si="320"/>
        <v>0</v>
      </c>
      <c r="Q2906" s="247" t="e">
        <f t="shared" si="321"/>
        <v>#VALUE!</v>
      </c>
    </row>
    <row r="2907" spans="1:17" ht="15" customHeight="1" x14ac:dyDescent="0.25">
      <c r="A2907" s="244"/>
      <c r="B2907" s="244"/>
      <c r="C2907" s="244"/>
      <c r="D2907" s="244"/>
      <c r="E2907" s="244"/>
      <c r="F2907" s="244"/>
      <c r="G2907" s="244"/>
      <c r="I2907" s="244"/>
      <c r="J2907" s="244"/>
      <c r="K2907" s="246" t="e">
        <f t="shared" si="315"/>
        <v>#VALUE!</v>
      </c>
      <c r="L2907" s="246" t="e">
        <f t="shared" si="316"/>
        <v>#VALUE!</v>
      </c>
      <c r="M2907" s="247" t="e">
        <f t="shared" si="317"/>
        <v>#VALUE!</v>
      </c>
      <c r="N2907" s="246" t="e">
        <f t="shared" si="318"/>
        <v>#VALUE!</v>
      </c>
      <c r="O2907" s="247" t="e">
        <f t="shared" si="319"/>
        <v>#VALUE!</v>
      </c>
      <c r="P2907" s="247">
        <f t="shared" si="320"/>
        <v>0</v>
      </c>
      <c r="Q2907" s="247" t="e">
        <f t="shared" si="321"/>
        <v>#VALUE!</v>
      </c>
    </row>
    <row r="2908" spans="1:17" ht="15" customHeight="1" x14ac:dyDescent="0.25">
      <c r="A2908" s="244"/>
      <c r="B2908" s="244"/>
      <c r="C2908" s="244"/>
      <c r="D2908" s="244"/>
      <c r="E2908" s="244"/>
      <c r="F2908" s="244"/>
      <c r="G2908" s="244"/>
      <c r="I2908" s="244"/>
      <c r="J2908" s="244"/>
      <c r="K2908" s="246" t="e">
        <f t="shared" si="315"/>
        <v>#VALUE!</v>
      </c>
      <c r="L2908" s="246" t="e">
        <f t="shared" si="316"/>
        <v>#VALUE!</v>
      </c>
      <c r="M2908" s="247" t="e">
        <f t="shared" si="317"/>
        <v>#VALUE!</v>
      </c>
      <c r="N2908" s="246" t="e">
        <f t="shared" si="318"/>
        <v>#VALUE!</v>
      </c>
      <c r="O2908" s="247" t="e">
        <f t="shared" si="319"/>
        <v>#VALUE!</v>
      </c>
      <c r="P2908" s="247">
        <f t="shared" si="320"/>
        <v>0</v>
      </c>
      <c r="Q2908" s="247" t="e">
        <f t="shared" si="321"/>
        <v>#VALUE!</v>
      </c>
    </row>
    <row r="2909" spans="1:17" ht="15" customHeight="1" x14ac:dyDescent="0.25">
      <c r="A2909" s="244"/>
      <c r="B2909" s="244"/>
      <c r="C2909" s="244"/>
      <c r="D2909" s="244"/>
      <c r="E2909" s="244"/>
      <c r="F2909" s="244"/>
      <c r="G2909" s="244"/>
      <c r="I2909" s="244"/>
      <c r="J2909" s="244"/>
      <c r="K2909" s="246" t="e">
        <f t="shared" si="315"/>
        <v>#VALUE!</v>
      </c>
      <c r="L2909" s="246" t="e">
        <f t="shared" si="316"/>
        <v>#VALUE!</v>
      </c>
      <c r="M2909" s="247" t="e">
        <f t="shared" si="317"/>
        <v>#VALUE!</v>
      </c>
      <c r="N2909" s="246" t="e">
        <f t="shared" si="318"/>
        <v>#VALUE!</v>
      </c>
      <c r="O2909" s="247" t="e">
        <f t="shared" si="319"/>
        <v>#VALUE!</v>
      </c>
      <c r="P2909" s="247">
        <f t="shared" si="320"/>
        <v>0</v>
      </c>
      <c r="Q2909" s="247" t="e">
        <f t="shared" si="321"/>
        <v>#VALUE!</v>
      </c>
    </row>
    <row r="2910" spans="1:17" ht="15" customHeight="1" x14ac:dyDescent="0.25">
      <c r="A2910" s="244"/>
      <c r="B2910" s="244"/>
      <c r="C2910" s="244"/>
      <c r="D2910" s="244"/>
      <c r="E2910" s="244"/>
      <c r="F2910" s="244"/>
      <c r="G2910" s="244"/>
      <c r="I2910" s="244"/>
      <c r="J2910" s="244"/>
      <c r="K2910" s="246" t="e">
        <f t="shared" si="315"/>
        <v>#VALUE!</v>
      </c>
      <c r="L2910" s="246" t="e">
        <f t="shared" si="316"/>
        <v>#VALUE!</v>
      </c>
      <c r="M2910" s="247" t="e">
        <f t="shared" si="317"/>
        <v>#VALUE!</v>
      </c>
      <c r="N2910" s="246" t="e">
        <f t="shared" si="318"/>
        <v>#VALUE!</v>
      </c>
      <c r="O2910" s="247" t="e">
        <f t="shared" si="319"/>
        <v>#VALUE!</v>
      </c>
      <c r="P2910" s="247">
        <f t="shared" si="320"/>
        <v>0</v>
      </c>
      <c r="Q2910" s="247" t="e">
        <f t="shared" si="321"/>
        <v>#VALUE!</v>
      </c>
    </row>
    <row r="2911" spans="1:17" ht="15" customHeight="1" x14ac:dyDescent="0.25">
      <c r="A2911" s="244"/>
      <c r="B2911" s="244"/>
      <c r="C2911" s="244"/>
      <c r="D2911" s="244"/>
      <c r="E2911" s="244"/>
      <c r="F2911" s="244"/>
      <c r="G2911" s="244"/>
      <c r="I2911" s="244"/>
      <c r="J2911" s="244"/>
      <c r="K2911" s="246" t="e">
        <f t="shared" si="315"/>
        <v>#VALUE!</v>
      </c>
      <c r="L2911" s="246" t="e">
        <f t="shared" si="316"/>
        <v>#VALUE!</v>
      </c>
      <c r="M2911" s="247" t="e">
        <f t="shared" si="317"/>
        <v>#VALUE!</v>
      </c>
      <c r="N2911" s="246" t="e">
        <f t="shared" si="318"/>
        <v>#VALUE!</v>
      </c>
      <c r="O2911" s="247" t="e">
        <f t="shared" si="319"/>
        <v>#VALUE!</v>
      </c>
      <c r="P2911" s="247">
        <f t="shared" si="320"/>
        <v>0</v>
      </c>
      <c r="Q2911" s="247" t="e">
        <f t="shared" si="321"/>
        <v>#VALUE!</v>
      </c>
    </row>
    <row r="2912" spans="1:17" ht="15" customHeight="1" x14ac:dyDescent="0.25">
      <c r="A2912" s="244"/>
      <c r="B2912" s="244"/>
      <c r="C2912" s="244"/>
      <c r="D2912" s="244"/>
      <c r="E2912" s="244"/>
      <c r="F2912" s="244"/>
      <c r="G2912" s="244"/>
      <c r="I2912" s="244"/>
      <c r="J2912" s="244"/>
      <c r="K2912" s="246" t="e">
        <f t="shared" si="315"/>
        <v>#VALUE!</v>
      </c>
      <c r="L2912" s="246" t="e">
        <f t="shared" si="316"/>
        <v>#VALUE!</v>
      </c>
      <c r="M2912" s="247" t="e">
        <f t="shared" si="317"/>
        <v>#VALUE!</v>
      </c>
      <c r="N2912" s="246" t="e">
        <f t="shared" si="318"/>
        <v>#VALUE!</v>
      </c>
      <c r="O2912" s="247" t="e">
        <f t="shared" si="319"/>
        <v>#VALUE!</v>
      </c>
      <c r="P2912" s="247">
        <f t="shared" si="320"/>
        <v>0</v>
      </c>
      <c r="Q2912" s="247" t="e">
        <f t="shared" si="321"/>
        <v>#VALUE!</v>
      </c>
    </row>
    <row r="2913" spans="1:17" ht="15" customHeight="1" x14ac:dyDescent="0.25">
      <c r="A2913" s="244"/>
      <c r="B2913" s="244"/>
      <c r="C2913" s="244"/>
      <c r="D2913" s="244"/>
      <c r="E2913" s="244"/>
      <c r="F2913" s="244"/>
      <c r="G2913" s="244"/>
      <c r="I2913" s="244"/>
      <c r="J2913" s="244"/>
      <c r="K2913" s="246" t="e">
        <f t="shared" si="315"/>
        <v>#VALUE!</v>
      </c>
      <c r="L2913" s="246" t="e">
        <f t="shared" si="316"/>
        <v>#VALUE!</v>
      </c>
      <c r="M2913" s="247" t="e">
        <f t="shared" si="317"/>
        <v>#VALUE!</v>
      </c>
      <c r="N2913" s="246" t="e">
        <f t="shared" si="318"/>
        <v>#VALUE!</v>
      </c>
      <c r="O2913" s="247" t="e">
        <f t="shared" si="319"/>
        <v>#VALUE!</v>
      </c>
      <c r="P2913" s="247">
        <f t="shared" si="320"/>
        <v>0</v>
      </c>
      <c r="Q2913" s="247" t="e">
        <f t="shared" si="321"/>
        <v>#VALUE!</v>
      </c>
    </row>
    <row r="2914" spans="1:17" ht="15" customHeight="1" x14ac:dyDescent="0.25">
      <c r="A2914" s="244"/>
      <c r="B2914" s="244"/>
      <c r="C2914" s="244"/>
      <c r="D2914" s="244"/>
      <c r="E2914" s="244"/>
      <c r="F2914" s="244"/>
      <c r="G2914" s="244"/>
      <c r="I2914" s="244"/>
      <c r="J2914" s="244"/>
      <c r="K2914" s="246" t="e">
        <f t="shared" si="315"/>
        <v>#VALUE!</v>
      </c>
      <c r="L2914" s="246" t="e">
        <f t="shared" si="316"/>
        <v>#VALUE!</v>
      </c>
      <c r="M2914" s="247" t="e">
        <f t="shared" si="317"/>
        <v>#VALUE!</v>
      </c>
      <c r="N2914" s="246" t="e">
        <f t="shared" si="318"/>
        <v>#VALUE!</v>
      </c>
      <c r="O2914" s="247" t="e">
        <f t="shared" si="319"/>
        <v>#VALUE!</v>
      </c>
      <c r="P2914" s="247">
        <f t="shared" si="320"/>
        <v>0</v>
      </c>
      <c r="Q2914" s="247" t="e">
        <f t="shared" si="321"/>
        <v>#VALUE!</v>
      </c>
    </row>
    <row r="2915" spans="1:17" ht="15" customHeight="1" x14ac:dyDescent="0.25">
      <c r="A2915" s="244"/>
      <c r="B2915" s="244"/>
      <c r="C2915" s="244"/>
      <c r="D2915" s="244"/>
      <c r="E2915" s="244"/>
      <c r="F2915" s="244"/>
      <c r="G2915" s="244"/>
      <c r="I2915" s="244"/>
      <c r="J2915" s="244"/>
      <c r="K2915" s="246" t="e">
        <f t="shared" si="315"/>
        <v>#VALUE!</v>
      </c>
      <c r="L2915" s="246" t="e">
        <f t="shared" si="316"/>
        <v>#VALUE!</v>
      </c>
      <c r="M2915" s="247" t="e">
        <f t="shared" si="317"/>
        <v>#VALUE!</v>
      </c>
      <c r="N2915" s="246" t="e">
        <f t="shared" si="318"/>
        <v>#VALUE!</v>
      </c>
      <c r="O2915" s="247" t="e">
        <f t="shared" si="319"/>
        <v>#VALUE!</v>
      </c>
      <c r="P2915" s="247">
        <f t="shared" si="320"/>
        <v>0</v>
      </c>
      <c r="Q2915" s="247" t="e">
        <f t="shared" si="321"/>
        <v>#VALUE!</v>
      </c>
    </row>
    <row r="2916" spans="1:17" ht="15" customHeight="1" x14ac:dyDescent="0.25">
      <c r="A2916" s="244"/>
      <c r="B2916" s="244"/>
      <c r="C2916" s="244"/>
      <c r="D2916" s="244"/>
      <c r="E2916" s="244"/>
      <c r="F2916" s="244"/>
      <c r="G2916" s="244"/>
      <c r="I2916" s="244"/>
      <c r="J2916" s="244"/>
      <c r="K2916" s="246" t="e">
        <f t="shared" si="315"/>
        <v>#VALUE!</v>
      </c>
      <c r="L2916" s="246" t="e">
        <f t="shared" si="316"/>
        <v>#VALUE!</v>
      </c>
      <c r="M2916" s="247" t="e">
        <f t="shared" si="317"/>
        <v>#VALUE!</v>
      </c>
      <c r="N2916" s="246" t="e">
        <f t="shared" si="318"/>
        <v>#VALUE!</v>
      </c>
      <c r="O2916" s="247" t="e">
        <f t="shared" si="319"/>
        <v>#VALUE!</v>
      </c>
      <c r="P2916" s="247">
        <f t="shared" si="320"/>
        <v>0</v>
      </c>
      <c r="Q2916" s="247" t="e">
        <f t="shared" si="321"/>
        <v>#VALUE!</v>
      </c>
    </row>
    <row r="2917" spans="1:17" ht="15" customHeight="1" x14ac:dyDescent="0.25">
      <c r="A2917" s="244"/>
      <c r="B2917" s="244"/>
      <c r="C2917" s="244"/>
      <c r="D2917" s="244"/>
      <c r="E2917" s="244"/>
      <c r="F2917" s="244"/>
      <c r="G2917" s="244"/>
      <c r="I2917" s="244"/>
      <c r="J2917" s="244"/>
      <c r="K2917" s="246" t="e">
        <f t="shared" si="315"/>
        <v>#VALUE!</v>
      </c>
      <c r="L2917" s="246" t="e">
        <f t="shared" si="316"/>
        <v>#VALUE!</v>
      </c>
      <c r="M2917" s="247" t="e">
        <f t="shared" si="317"/>
        <v>#VALUE!</v>
      </c>
      <c r="N2917" s="246" t="e">
        <f t="shared" si="318"/>
        <v>#VALUE!</v>
      </c>
      <c r="O2917" s="247" t="e">
        <f t="shared" si="319"/>
        <v>#VALUE!</v>
      </c>
      <c r="P2917" s="247">
        <f t="shared" si="320"/>
        <v>0</v>
      </c>
      <c r="Q2917" s="247" t="e">
        <f t="shared" si="321"/>
        <v>#VALUE!</v>
      </c>
    </row>
    <row r="2918" spans="1:17" ht="15" customHeight="1" x14ac:dyDescent="0.25">
      <c r="A2918" s="244"/>
      <c r="B2918" s="244"/>
      <c r="C2918" s="244"/>
      <c r="D2918" s="244"/>
      <c r="E2918" s="244"/>
      <c r="F2918" s="244"/>
      <c r="G2918" s="244"/>
      <c r="I2918" s="244"/>
      <c r="J2918" s="244"/>
      <c r="K2918" s="246" t="e">
        <f t="shared" si="315"/>
        <v>#VALUE!</v>
      </c>
      <c r="L2918" s="246" t="e">
        <f t="shared" si="316"/>
        <v>#VALUE!</v>
      </c>
      <c r="M2918" s="247" t="e">
        <f t="shared" si="317"/>
        <v>#VALUE!</v>
      </c>
      <c r="N2918" s="246" t="e">
        <f t="shared" si="318"/>
        <v>#VALUE!</v>
      </c>
      <c r="O2918" s="247" t="e">
        <f t="shared" si="319"/>
        <v>#VALUE!</v>
      </c>
      <c r="P2918" s="247">
        <f t="shared" si="320"/>
        <v>0</v>
      </c>
      <c r="Q2918" s="247" t="e">
        <f t="shared" si="321"/>
        <v>#VALUE!</v>
      </c>
    </row>
    <row r="2919" spans="1:17" ht="15" customHeight="1" x14ac:dyDescent="0.25">
      <c r="A2919" s="244"/>
      <c r="B2919" s="244"/>
      <c r="C2919" s="244"/>
      <c r="D2919" s="244"/>
      <c r="E2919" s="244"/>
      <c r="F2919" s="244"/>
      <c r="G2919" s="244"/>
      <c r="I2919" s="244"/>
      <c r="J2919" s="244"/>
      <c r="K2919" s="246" t="e">
        <f t="shared" si="315"/>
        <v>#VALUE!</v>
      </c>
      <c r="L2919" s="246" t="e">
        <f t="shared" si="316"/>
        <v>#VALUE!</v>
      </c>
      <c r="M2919" s="247" t="e">
        <f t="shared" si="317"/>
        <v>#VALUE!</v>
      </c>
      <c r="N2919" s="246" t="e">
        <f t="shared" si="318"/>
        <v>#VALUE!</v>
      </c>
      <c r="O2919" s="247" t="e">
        <f t="shared" si="319"/>
        <v>#VALUE!</v>
      </c>
      <c r="P2919" s="247">
        <f t="shared" si="320"/>
        <v>0</v>
      </c>
      <c r="Q2919" s="247" t="e">
        <f t="shared" si="321"/>
        <v>#VALUE!</v>
      </c>
    </row>
    <row r="2920" spans="1:17" ht="15" customHeight="1" x14ac:dyDescent="0.25">
      <c r="A2920" s="244"/>
      <c r="B2920" s="244"/>
      <c r="C2920" s="244"/>
      <c r="D2920" s="244"/>
      <c r="E2920" s="244"/>
      <c r="F2920" s="244"/>
      <c r="G2920" s="244"/>
      <c r="I2920" s="244"/>
      <c r="J2920" s="244"/>
      <c r="K2920" s="246" t="e">
        <f t="shared" si="315"/>
        <v>#VALUE!</v>
      </c>
      <c r="L2920" s="246" t="e">
        <f t="shared" si="316"/>
        <v>#VALUE!</v>
      </c>
      <c r="M2920" s="247" t="e">
        <f t="shared" si="317"/>
        <v>#VALUE!</v>
      </c>
      <c r="N2920" s="246" t="e">
        <f t="shared" si="318"/>
        <v>#VALUE!</v>
      </c>
      <c r="O2920" s="247" t="e">
        <f t="shared" si="319"/>
        <v>#VALUE!</v>
      </c>
      <c r="P2920" s="247">
        <f t="shared" si="320"/>
        <v>0</v>
      </c>
      <c r="Q2920" s="247" t="e">
        <f t="shared" si="321"/>
        <v>#VALUE!</v>
      </c>
    </row>
    <row r="2921" spans="1:17" ht="15" customHeight="1" x14ac:dyDescent="0.25">
      <c r="A2921" s="244"/>
      <c r="B2921" s="244"/>
      <c r="C2921" s="244"/>
      <c r="D2921" s="244"/>
      <c r="E2921" s="244"/>
      <c r="F2921" s="244"/>
      <c r="G2921" s="244"/>
      <c r="I2921" s="244"/>
      <c r="J2921" s="244"/>
      <c r="K2921" s="246" t="e">
        <f t="shared" si="315"/>
        <v>#VALUE!</v>
      </c>
      <c r="L2921" s="246" t="e">
        <f t="shared" si="316"/>
        <v>#VALUE!</v>
      </c>
      <c r="M2921" s="247" t="e">
        <f t="shared" si="317"/>
        <v>#VALUE!</v>
      </c>
      <c r="N2921" s="246" t="e">
        <f t="shared" si="318"/>
        <v>#VALUE!</v>
      </c>
      <c r="O2921" s="247" t="e">
        <f t="shared" si="319"/>
        <v>#VALUE!</v>
      </c>
      <c r="P2921" s="247">
        <f t="shared" si="320"/>
        <v>0</v>
      </c>
      <c r="Q2921" s="247" t="e">
        <f t="shared" si="321"/>
        <v>#VALUE!</v>
      </c>
    </row>
    <row r="2922" spans="1:17" ht="15" customHeight="1" x14ac:dyDescent="0.25">
      <c r="A2922" s="244"/>
      <c r="B2922" s="244"/>
      <c r="C2922" s="244"/>
      <c r="D2922" s="244"/>
      <c r="E2922" s="244"/>
      <c r="F2922" s="244"/>
      <c r="G2922" s="244"/>
      <c r="I2922" s="244"/>
      <c r="J2922" s="244"/>
      <c r="K2922" s="246" t="e">
        <f t="shared" si="315"/>
        <v>#VALUE!</v>
      </c>
      <c r="L2922" s="246" t="e">
        <f t="shared" si="316"/>
        <v>#VALUE!</v>
      </c>
      <c r="M2922" s="247" t="e">
        <f t="shared" si="317"/>
        <v>#VALUE!</v>
      </c>
      <c r="N2922" s="246" t="e">
        <f t="shared" si="318"/>
        <v>#VALUE!</v>
      </c>
      <c r="O2922" s="247" t="e">
        <f t="shared" si="319"/>
        <v>#VALUE!</v>
      </c>
      <c r="P2922" s="247">
        <f t="shared" si="320"/>
        <v>0</v>
      </c>
      <c r="Q2922" s="247" t="e">
        <f t="shared" si="321"/>
        <v>#VALUE!</v>
      </c>
    </row>
    <row r="2923" spans="1:17" ht="15" customHeight="1" x14ac:dyDescent="0.25">
      <c r="A2923" s="244"/>
      <c r="B2923" s="244"/>
      <c r="C2923" s="244"/>
      <c r="D2923" s="244"/>
      <c r="E2923" s="244"/>
      <c r="F2923" s="244"/>
      <c r="G2923" s="244"/>
      <c r="I2923" s="244"/>
      <c r="J2923" s="244"/>
      <c r="K2923" s="246" t="e">
        <f t="shared" si="315"/>
        <v>#VALUE!</v>
      </c>
      <c r="L2923" s="246" t="e">
        <f t="shared" si="316"/>
        <v>#VALUE!</v>
      </c>
      <c r="M2923" s="247" t="e">
        <f t="shared" si="317"/>
        <v>#VALUE!</v>
      </c>
      <c r="N2923" s="246" t="e">
        <f t="shared" si="318"/>
        <v>#VALUE!</v>
      </c>
      <c r="O2923" s="247" t="e">
        <f t="shared" si="319"/>
        <v>#VALUE!</v>
      </c>
      <c r="P2923" s="247">
        <f t="shared" si="320"/>
        <v>0</v>
      </c>
      <c r="Q2923" s="247" t="e">
        <f t="shared" si="321"/>
        <v>#VALUE!</v>
      </c>
    </row>
    <row r="2924" spans="1:17" ht="15" customHeight="1" x14ac:dyDescent="0.25">
      <c r="A2924" s="244"/>
      <c r="B2924" s="244"/>
      <c r="C2924" s="244"/>
      <c r="D2924" s="244"/>
      <c r="E2924" s="244"/>
      <c r="F2924" s="244"/>
      <c r="G2924" s="244"/>
      <c r="I2924" s="244"/>
      <c r="J2924" s="244"/>
      <c r="K2924" s="246" t="e">
        <f t="shared" si="315"/>
        <v>#VALUE!</v>
      </c>
      <c r="L2924" s="246" t="e">
        <f t="shared" si="316"/>
        <v>#VALUE!</v>
      </c>
      <c r="M2924" s="247" t="e">
        <f t="shared" si="317"/>
        <v>#VALUE!</v>
      </c>
      <c r="N2924" s="246" t="e">
        <f t="shared" si="318"/>
        <v>#VALUE!</v>
      </c>
      <c r="O2924" s="247" t="e">
        <f t="shared" si="319"/>
        <v>#VALUE!</v>
      </c>
      <c r="P2924" s="247">
        <f t="shared" si="320"/>
        <v>0</v>
      </c>
      <c r="Q2924" s="247" t="e">
        <f t="shared" si="321"/>
        <v>#VALUE!</v>
      </c>
    </row>
    <row r="2925" spans="1:17" ht="15" customHeight="1" x14ac:dyDescent="0.25">
      <c r="A2925" s="244"/>
      <c r="B2925" s="244"/>
      <c r="C2925" s="244"/>
      <c r="D2925" s="244"/>
      <c r="E2925" s="244"/>
      <c r="F2925" s="244"/>
      <c r="G2925" s="244"/>
      <c r="I2925" s="244"/>
      <c r="J2925" s="244"/>
      <c r="K2925" s="246" t="e">
        <f t="shared" si="315"/>
        <v>#VALUE!</v>
      </c>
      <c r="L2925" s="246" t="e">
        <f t="shared" si="316"/>
        <v>#VALUE!</v>
      </c>
      <c r="M2925" s="247" t="e">
        <f t="shared" si="317"/>
        <v>#VALUE!</v>
      </c>
      <c r="N2925" s="246" t="e">
        <f t="shared" si="318"/>
        <v>#VALUE!</v>
      </c>
      <c r="O2925" s="247" t="e">
        <f t="shared" si="319"/>
        <v>#VALUE!</v>
      </c>
      <c r="P2925" s="247">
        <f t="shared" si="320"/>
        <v>0</v>
      </c>
      <c r="Q2925" s="247" t="e">
        <f t="shared" si="321"/>
        <v>#VALUE!</v>
      </c>
    </row>
    <row r="2926" spans="1:17" ht="15" customHeight="1" x14ac:dyDescent="0.25">
      <c r="A2926" s="244"/>
      <c r="B2926" s="244"/>
      <c r="C2926" s="244"/>
      <c r="D2926" s="244"/>
      <c r="E2926" s="244"/>
      <c r="F2926" s="244"/>
      <c r="G2926" s="244"/>
      <c r="I2926" s="244"/>
      <c r="J2926" s="244"/>
      <c r="K2926" s="246" t="e">
        <f t="shared" si="315"/>
        <v>#VALUE!</v>
      </c>
      <c r="L2926" s="246" t="e">
        <f t="shared" si="316"/>
        <v>#VALUE!</v>
      </c>
      <c r="M2926" s="247" t="e">
        <f t="shared" si="317"/>
        <v>#VALUE!</v>
      </c>
      <c r="N2926" s="246" t="e">
        <f t="shared" si="318"/>
        <v>#VALUE!</v>
      </c>
      <c r="O2926" s="247" t="e">
        <f t="shared" si="319"/>
        <v>#VALUE!</v>
      </c>
      <c r="P2926" s="247">
        <f t="shared" si="320"/>
        <v>0</v>
      </c>
      <c r="Q2926" s="247" t="e">
        <f t="shared" si="321"/>
        <v>#VALUE!</v>
      </c>
    </row>
    <row r="2927" spans="1:17" ht="15" customHeight="1" x14ac:dyDescent="0.25">
      <c r="A2927" s="244"/>
      <c r="B2927" s="244"/>
      <c r="C2927" s="244"/>
      <c r="D2927" s="244"/>
      <c r="E2927" s="244"/>
      <c r="F2927" s="244"/>
      <c r="G2927" s="244"/>
      <c r="I2927" s="244"/>
      <c r="J2927" s="244"/>
      <c r="K2927" s="246" t="e">
        <f t="shared" si="315"/>
        <v>#VALUE!</v>
      </c>
      <c r="L2927" s="246" t="e">
        <f t="shared" si="316"/>
        <v>#VALUE!</v>
      </c>
      <c r="M2927" s="247" t="e">
        <f t="shared" si="317"/>
        <v>#VALUE!</v>
      </c>
      <c r="N2927" s="246" t="e">
        <f t="shared" si="318"/>
        <v>#VALUE!</v>
      </c>
      <c r="O2927" s="247" t="e">
        <f t="shared" si="319"/>
        <v>#VALUE!</v>
      </c>
      <c r="P2927" s="247">
        <f t="shared" si="320"/>
        <v>0</v>
      </c>
      <c r="Q2927" s="247" t="e">
        <f t="shared" si="321"/>
        <v>#VALUE!</v>
      </c>
    </row>
    <row r="2928" spans="1:17" ht="15" customHeight="1" x14ac:dyDescent="0.25">
      <c r="A2928" s="244"/>
      <c r="B2928" s="244"/>
      <c r="C2928" s="244"/>
      <c r="D2928" s="244"/>
      <c r="E2928" s="244"/>
      <c r="F2928" s="244"/>
      <c r="G2928" s="244"/>
      <c r="I2928" s="244"/>
      <c r="J2928" s="244"/>
      <c r="K2928" s="246" t="e">
        <f t="shared" si="315"/>
        <v>#VALUE!</v>
      </c>
      <c r="L2928" s="246" t="e">
        <f t="shared" si="316"/>
        <v>#VALUE!</v>
      </c>
      <c r="M2928" s="247" t="e">
        <f t="shared" si="317"/>
        <v>#VALUE!</v>
      </c>
      <c r="N2928" s="246" t="e">
        <f t="shared" si="318"/>
        <v>#VALUE!</v>
      </c>
      <c r="O2928" s="247" t="e">
        <f t="shared" si="319"/>
        <v>#VALUE!</v>
      </c>
      <c r="P2928" s="247">
        <f t="shared" si="320"/>
        <v>0</v>
      </c>
      <c r="Q2928" s="247" t="e">
        <f t="shared" si="321"/>
        <v>#VALUE!</v>
      </c>
    </row>
    <row r="2929" spans="1:17" ht="15" customHeight="1" x14ac:dyDescent="0.25">
      <c r="A2929" s="244"/>
      <c r="B2929" s="244"/>
      <c r="C2929" s="244"/>
      <c r="D2929" s="244"/>
      <c r="E2929" s="244"/>
      <c r="F2929" s="244"/>
      <c r="G2929" s="244"/>
      <c r="I2929" s="244"/>
      <c r="J2929" s="244"/>
      <c r="K2929" s="246" t="e">
        <f t="shared" si="315"/>
        <v>#VALUE!</v>
      </c>
      <c r="L2929" s="246" t="e">
        <f t="shared" si="316"/>
        <v>#VALUE!</v>
      </c>
      <c r="M2929" s="247" t="e">
        <f t="shared" si="317"/>
        <v>#VALUE!</v>
      </c>
      <c r="N2929" s="246" t="e">
        <f t="shared" si="318"/>
        <v>#VALUE!</v>
      </c>
      <c r="O2929" s="247" t="e">
        <f t="shared" si="319"/>
        <v>#VALUE!</v>
      </c>
      <c r="P2929" s="247">
        <f t="shared" si="320"/>
        <v>0</v>
      </c>
      <c r="Q2929" s="247" t="e">
        <f t="shared" si="321"/>
        <v>#VALUE!</v>
      </c>
    </row>
    <row r="2930" spans="1:17" ht="15" customHeight="1" x14ac:dyDescent="0.25">
      <c r="A2930" s="244"/>
      <c r="B2930" s="244"/>
      <c r="C2930" s="244"/>
      <c r="D2930" s="244"/>
      <c r="E2930" s="244"/>
      <c r="F2930" s="244"/>
      <c r="G2930" s="244"/>
      <c r="I2930" s="244"/>
      <c r="J2930" s="244"/>
      <c r="K2930" s="246" t="e">
        <f t="shared" si="315"/>
        <v>#VALUE!</v>
      </c>
      <c r="L2930" s="246" t="e">
        <f t="shared" si="316"/>
        <v>#VALUE!</v>
      </c>
      <c r="M2930" s="247" t="e">
        <f t="shared" si="317"/>
        <v>#VALUE!</v>
      </c>
      <c r="N2930" s="246" t="e">
        <f t="shared" si="318"/>
        <v>#VALUE!</v>
      </c>
      <c r="O2930" s="247" t="e">
        <f t="shared" si="319"/>
        <v>#VALUE!</v>
      </c>
      <c r="P2930" s="247">
        <f t="shared" si="320"/>
        <v>0</v>
      </c>
      <c r="Q2930" s="247" t="e">
        <f t="shared" si="321"/>
        <v>#VALUE!</v>
      </c>
    </row>
    <row r="2931" spans="1:17" ht="15" customHeight="1" x14ac:dyDescent="0.25">
      <c r="A2931" s="244"/>
      <c r="B2931" s="244"/>
      <c r="C2931" s="244"/>
      <c r="D2931" s="244"/>
      <c r="E2931" s="244"/>
      <c r="F2931" s="244"/>
      <c r="G2931" s="244"/>
      <c r="I2931" s="244"/>
      <c r="J2931" s="244"/>
      <c r="K2931" s="246" t="e">
        <f t="shared" si="315"/>
        <v>#VALUE!</v>
      </c>
      <c r="L2931" s="246" t="e">
        <f t="shared" si="316"/>
        <v>#VALUE!</v>
      </c>
      <c r="M2931" s="247" t="e">
        <f t="shared" si="317"/>
        <v>#VALUE!</v>
      </c>
      <c r="N2931" s="246" t="e">
        <f t="shared" si="318"/>
        <v>#VALUE!</v>
      </c>
      <c r="O2931" s="247" t="e">
        <f t="shared" si="319"/>
        <v>#VALUE!</v>
      </c>
      <c r="P2931" s="247">
        <f t="shared" si="320"/>
        <v>0</v>
      </c>
      <c r="Q2931" s="247" t="e">
        <f t="shared" si="321"/>
        <v>#VALUE!</v>
      </c>
    </row>
    <row r="2932" spans="1:17" ht="15" customHeight="1" x14ac:dyDescent="0.25">
      <c r="A2932" s="244"/>
      <c r="B2932" s="244"/>
      <c r="C2932" s="244"/>
      <c r="D2932" s="244"/>
      <c r="E2932" s="244"/>
      <c r="F2932" s="244"/>
      <c r="G2932" s="244"/>
      <c r="I2932" s="244"/>
      <c r="J2932" s="244"/>
      <c r="K2932" s="246" t="e">
        <f t="shared" si="315"/>
        <v>#VALUE!</v>
      </c>
      <c r="L2932" s="246" t="e">
        <f t="shared" si="316"/>
        <v>#VALUE!</v>
      </c>
      <c r="M2932" s="247" t="e">
        <f t="shared" si="317"/>
        <v>#VALUE!</v>
      </c>
      <c r="N2932" s="246" t="e">
        <f t="shared" si="318"/>
        <v>#VALUE!</v>
      </c>
      <c r="O2932" s="247" t="e">
        <f t="shared" si="319"/>
        <v>#VALUE!</v>
      </c>
      <c r="P2932" s="247">
        <f t="shared" si="320"/>
        <v>0</v>
      </c>
      <c r="Q2932" s="247" t="e">
        <f t="shared" si="321"/>
        <v>#VALUE!</v>
      </c>
    </row>
    <row r="2933" spans="1:17" ht="15" customHeight="1" x14ac:dyDescent="0.25">
      <c r="A2933" s="244"/>
      <c r="B2933" s="244"/>
      <c r="C2933" s="244"/>
      <c r="D2933" s="244"/>
      <c r="E2933" s="244"/>
      <c r="F2933" s="244"/>
      <c r="G2933" s="244"/>
      <c r="I2933" s="244"/>
      <c r="J2933" s="244"/>
      <c r="K2933" s="246" t="e">
        <f t="shared" si="315"/>
        <v>#VALUE!</v>
      </c>
      <c r="L2933" s="246" t="e">
        <f t="shared" si="316"/>
        <v>#VALUE!</v>
      </c>
      <c r="M2933" s="247" t="e">
        <f t="shared" si="317"/>
        <v>#VALUE!</v>
      </c>
      <c r="N2933" s="246" t="e">
        <f t="shared" si="318"/>
        <v>#VALUE!</v>
      </c>
      <c r="O2933" s="247" t="e">
        <f t="shared" si="319"/>
        <v>#VALUE!</v>
      </c>
      <c r="P2933" s="247">
        <f t="shared" si="320"/>
        <v>0</v>
      </c>
      <c r="Q2933" s="247" t="e">
        <f t="shared" si="321"/>
        <v>#VALUE!</v>
      </c>
    </row>
    <row r="2934" spans="1:17" ht="15" customHeight="1" x14ac:dyDescent="0.25">
      <c r="A2934" s="244"/>
      <c r="B2934" s="244"/>
      <c r="C2934" s="244"/>
      <c r="D2934" s="244"/>
      <c r="E2934" s="244"/>
      <c r="F2934" s="244"/>
      <c r="G2934" s="244"/>
      <c r="I2934" s="244"/>
      <c r="J2934" s="244"/>
      <c r="K2934" s="246" t="e">
        <f t="shared" si="315"/>
        <v>#VALUE!</v>
      </c>
      <c r="L2934" s="246" t="e">
        <f t="shared" si="316"/>
        <v>#VALUE!</v>
      </c>
      <c r="M2934" s="247" t="e">
        <f t="shared" si="317"/>
        <v>#VALUE!</v>
      </c>
      <c r="N2934" s="246" t="e">
        <f t="shared" si="318"/>
        <v>#VALUE!</v>
      </c>
      <c r="O2934" s="247" t="e">
        <f t="shared" si="319"/>
        <v>#VALUE!</v>
      </c>
      <c r="P2934" s="247">
        <f t="shared" si="320"/>
        <v>0</v>
      </c>
      <c r="Q2934" s="247" t="e">
        <f t="shared" si="321"/>
        <v>#VALUE!</v>
      </c>
    </row>
    <row r="2935" spans="1:17" ht="15" customHeight="1" x14ac:dyDescent="0.25">
      <c r="A2935" s="244"/>
      <c r="B2935" s="244"/>
      <c r="C2935" s="244"/>
      <c r="D2935" s="244"/>
      <c r="E2935" s="244"/>
      <c r="F2935" s="244"/>
      <c r="G2935" s="244"/>
      <c r="I2935" s="244"/>
      <c r="J2935" s="244"/>
      <c r="K2935" s="246" t="e">
        <f t="shared" si="315"/>
        <v>#VALUE!</v>
      </c>
      <c r="L2935" s="246" t="e">
        <f t="shared" si="316"/>
        <v>#VALUE!</v>
      </c>
      <c r="M2935" s="247" t="e">
        <f t="shared" si="317"/>
        <v>#VALUE!</v>
      </c>
      <c r="N2935" s="246" t="e">
        <f t="shared" si="318"/>
        <v>#VALUE!</v>
      </c>
      <c r="O2935" s="247" t="e">
        <f t="shared" si="319"/>
        <v>#VALUE!</v>
      </c>
      <c r="P2935" s="247">
        <f t="shared" si="320"/>
        <v>0</v>
      </c>
      <c r="Q2935" s="247" t="e">
        <f t="shared" si="321"/>
        <v>#VALUE!</v>
      </c>
    </row>
    <row r="2936" spans="1:17" ht="15" customHeight="1" x14ac:dyDescent="0.25">
      <c r="A2936" s="244"/>
      <c r="B2936" s="244"/>
      <c r="C2936" s="244"/>
      <c r="D2936" s="244"/>
      <c r="E2936" s="244"/>
      <c r="F2936" s="244"/>
      <c r="G2936" s="244"/>
      <c r="I2936" s="244"/>
      <c r="J2936" s="244"/>
      <c r="K2936" s="246" t="e">
        <f t="shared" si="315"/>
        <v>#VALUE!</v>
      </c>
      <c r="L2936" s="246" t="e">
        <f t="shared" si="316"/>
        <v>#VALUE!</v>
      </c>
      <c r="M2936" s="247" t="e">
        <f t="shared" si="317"/>
        <v>#VALUE!</v>
      </c>
      <c r="N2936" s="246" t="e">
        <f t="shared" si="318"/>
        <v>#VALUE!</v>
      </c>
      <c r="O2936" s="247" t="e">
        <f t="shared" si="319"/>
        <v>#VALUE!</v>
      </c>
      <c r="P2936" s="247">
        <f t="shared" si="320"/>
        <v>0</v>
      </c>
      <c r="Q2936" s="247" t="e">
        <f t="shared" si="321"/>
        <v>#VALUE!</v>
      </c>
    </row>
    <row r="2937" spans="1:17" ht="15" customHeight="1" x14ac:dyDescent="0.25">
      <c r="A2937" s="244"/>
      <c r="B2937" s="244"/>
      <c r="C2937" s="244"/>
      <c r="D2937" s="244"/>
      <c r="E2937" s="244"/>
      <c r="F2937" s="244"/>
      <c r="G2937" s="244"/>
      <c r="I2937" s="244"/>
      <c r="J2937" s="244"/>
      <c r="K2937" s="246" t="e">
        <f t="shared" si="315"/>
        <v>#VALUE!</v>
      </c>
      <c r="L2937" s="246" t="e">
        <f t="shared" si="316"/>
        <v>#VALUE!</v>
      </c>
      <c r="M2937" s="247" t="e">
        <f t="shared" si="317"/>
        <v>#VALUE!</v>
      </c>
      <c r="N2937" s="246" t="e">
        <f t="shared" si="318"/>
        <v>#VALUE!</v>
      </c>
      <c r="O2937" s="247" t="e">
        <f t="shared" si="319"/>
        <v>#VALUE!</v>
      </c>
      <c r="P2937" s="247">
        <f t="shared" si="320"/>
        <v>0</v>
      </c>
      <c r="Q2937" s="247" t="e">
        <f t="shared" si="321"/>
        <v>#VALUE!</v>
      </c>
    </row>
    <row r="2938" spans="1:17" ht="15" customHeight="1" x14ac:dyDescent="0.25">
      <c r="A2938" s="244"/>
      <c r="B2938" s="244"/>
      <c r="C2938" s="244"/>
      <c r="D2938" s="244"/>
      <c r="E2938" s="244"/>
      <c r="F2938" s="244"/>
      <c r="G2938" s="244"/>
      <c r="I2938" s="244"/>
      <c r="J2938" s="244"/>
      <c r="K2938" s="246" t="e">
        <f t="shared" si="315"/>
        <v>#VALUE!</v>
      </c>
      <c r="L2938" s="246" t="e">
        <f t="shared" si="316"/>
        <v>#VALUE!</v>
      </c>
      <c r="M2938" s="247" t="e">
        <f t="shared" si="317"/>
        <v>#VALUE!</v>
      </c>
      <c r="N2938" s="246" t="e">
        <f t="shared" si="318"/>
        <v>#VALUE!</v>
      </c>
      <c r="O2938" s="247" t="e">
        <f t="shared" si="319"/>
        <v>#VALUE!</v>
      </c>
      <c r="P2938" s="247">
        <f t="shared" si="320"/>
        <v>0</v>
      </c>
      <c r="Q2938" s="247" t="e">
        <f t="shared" si="321"/>
        <v>#VALUE!</v>
      </c>
    </row>
    <row r="2939" spans="1:17" ht="15" customHeight="1" x14ac:dyDescent="0.25">
      <c r="A2939" s="244"/>
      <c r="B2939" s="244"/>
      <c r="C2939" s="244"/>
      <c r="D2939" s="244"/>
      <c r="E2939" s="244"/>
      <c r="F2939" s="244"/>
      <c r="G2939" s="244"/>
      <c r="I2939" s="244"/>
      <c r="J2939" s="244"/>
      <c r="K2939" s="246" t="e">
        <f t="shared" si="315"/>
        <v>#VALUE!</v>
      </c>
      <c r="L2939" s="246" t="e">
        <f t="shared" si="316"/>
        <v>#VALUE!</v>
      </c>
      <c r="M2939" s="247" t="e">
        <f t="shared" si="317"/>
        <v>#VALUE!</v>
      </c>
      <c r="N2939" s="246" t="e">
        <f t="shared" si="318"/>
        <v>#VALUE!</v>
      </c>
      <c r="O2939" s="247" t="e">
        <f t="shared" si="319"/>
        <v>#VALUE!</v>
      </c>
      <c r="P2939" s="247">
        <f t="shared" si="320"/>
        <v>0</v>
      </c>
      <c r="Q2939" s="247" t="e">
        <f t="shared" si="321"/>
        <v>#VALUE!</v>
      </c>
    </row>
    <row r="2940" spans="1:17" ht="15" customHeight="1" x14ac:dyDescent="0.25">
      <c r="A2940" s="244"/>
      <c r="B2940" s="244"/>
      <c r="C2940" s="244"/>
      <c r="D2940" s="244"/>
      <c r="E2940" s="244"/>
      <c r="F2940" s="244"/>
      <c r="G2940" s="244"/>
      <c r="I2940" s="244"/>
      <c r="J2940" s="244"/>
      <c r="K2940" s="246" t="e">
        <f t="shared" si="315"/>
        <v>#VALUE!</v>
      </c>
      <c r="L2940" s="246" t="e">
        <f t="shared" si="316"/>
        <v>#VALUE!</v>
      </c>
      <c r="M2940" s="247" t="e">
        <f t="shared" si="317"/>
        <v>#VALUE!</v>
      </c>
      <c r="N2940" s="246" t="e">
        <f t="shared" si="318"/>
        <v>#VALUE!</v>
      </c>
      <c r="O2940" s="247" t="e">
        <f t="shared" si="319"/>
        <v>#VALUE!</v>
      </c>
      <c r="P2940" s="247">
        <f t="shared" si="320"/>
        <v>0</v>
      </c>
      <c r="Q2940" s="247" t="e">
        <f t="shared" si="321"/>
        <v>#VALUE!</v>
      </c>
    </row>
    <row r="2941" spans="1:17" ht="15" customHeight="1" x14ac:dyDescent="0.25">
      <c r="A2941" s="244"/>
      <c r="B2941" s="244"/>
      <c r="C2941" s="244"/>
      <c r="D2941" s="244"/>
      <c r="E2941" s="244"/>
      <c r="F2941" s="244"/>
      <c r="G2941" s="244"/>
      <c r="I2941" s="244"/>
      <c r="J2941" s="244"/>
      <c r="K2941" s="246" t="e">
        <f t="shared" si="315"/>
        <v>#VALUE!</v>
      </c>
      <c r="L2941" s="246" t="e">
        <f t="shared" si="316"/>
        <v>#VALUE!</v>
      </c>
      <c r="M2941" s="247" t="e">
        <f t="shared" si="317"/>
        <v>#VALUE!</v>
      </c>
      <c r="N2941" s="246" t="e">
        <f t="shared" si="318"/>
        <v>#VALUE!</v>
      </c>
      <c r="O2941" s="247" t="e">
        <f t="shared" si="319"/>
        <v>#VALUE!</v>
      </c>
      <c r="P2941" s="247">
        <f t="shared" si="320"/>
        <v>0</v>
      </c>
      <c r="Q2941" s="247" t="e">
        <f t="shared" si="321"/>
        <v>#VALUE!</v>
      </c>
    </row>
    <row r="2942" spans="1:17" ht="15" customHeight="1" x14ac:dyDescent="0.25">
      <c r="A2942" s="244"/>
      <c r="B2942" s="244"/>
      <c r="C2942" s="244"/>
      <c r="D2942" s="244"/>
      <c r="E2942" s="244"/>
      <c r="F2942" s="244"/>
      <c r="G2942" s="244"/>
      <c r="I2942" s="244"/>
      <c r="J2942" s="244"/>
      <c r="K2942" s="246" t="e">
        <f t="shared" si="315"/>
        <v>#VALUE!</v>
      </c>
      <c r="L2942" s="246" t="e">
        <f t="shared" si="316"/>
        <v>#VALUE!</v>
      </c>
      <c r="M2942" s="247" t="e">
        <f t="shared" si="317"/>
        <v>#VALUE!</v>
      </c>
      <c r="N2942" s="246" t="e">
        <f t="shared" si="318"/>
        <v>#VALUE!</v>
      </c>
      <c r="O2942" s="247" t="e">
        <f t="shared" si="319"/>
        <v>#VALUE!</v>
      </c>
      <c r="P2942" s="247">
        <f t="shared" si="320"/>
        <v>0</v>
      </c>
      <c r="Q2942" s="247" t="e">
        <f t="shared" si="321"/>
        <v>#VALUE!</v>
      </c>
    </row>
    <row r="2943" spans="1:17" ht="15" customHeight="1" x14ac:dyDescent="0.25">
      <c r="A2943" s="244"/>
      <c r="B2943" s="244"/>
      <c r="C2943" s="244"/>
      <c r="D2943" s="244"/>
      <c r="E2943" s="244"/>
      <c r="F2943" s="244"/>
      <c r="G2943" s="244"/>
      <c r="I2943" s="244"/>
      <c r="J2943" s="244"/>
      <c r="K2943" s="246" t="e">
        <f t="shared" si="315"/>
        <v>#VALUE!</v>
      </c>
      <c r="L2943" s="246" t="e">
        <f t="shared" si="316"/>
        <v>#VALUE!</v>
      </c>
      <c r="M2943" s="247" t="e">
        <f t="shared" si="317"/>
        <v>#VALUE!</v>
      </c>
      <c r="N2943" s="246" t="e">
        <f t="shared" si="318"/>
        <v>#VALUE!</v>
      </c>
      <c r="O2943" s="247" t="e">
        <f t="shared" si="319"/>
        <v>#VALUE!</v>
      </c>
      <c r="P2943" s="247">
        <f t="shared" si="320"/>
        <v>0</v>
      </c>
      <c r="Q2943" s="247" t="e">
        <f t="shared" si="321"/>
        <v>#VALUE!</v>
      </c>
    </row>
    <row r="2944" spans="1:17" ht="15" customHeight="1" x14ac:dyDescent="0.25">
      <c r="A2944" s="244"/>
      <c r="B2944" s="244"/>
      <c r="C2944" s="244"/>
      <c r="D2944" s="244"/>
      <c r="E2944" s="244"/>
      <c r="F2944" s="244"/>
      <c r="G2944" s="244"/>
      <c r="I2944" s="244"/>
      <c r="J2944" s="244"/>
      <c r="K2944" s="246" t="e">
        <f t="shared" si="315"/>
        <v>#VALUE!</v>
      </c>
      <c r="L2944" s="246" t="e">
        <f t="shared" si="316"/>
        <v>#VALUE!</v>
      </c>
      <c r="M2944" s="247" t="e">
        <f t="shared" si="317"/>
        <v>#VALUE!</v>
      </c>
      <c r="N2944" s="246" t="e">
        <f t="shared" si="318"/>
        <v>#VALUE!</v>
      </c>
      <c r="O2944" s="247" t="e">
        <f t="shared" si="319"/>
        <v>#VALUE!</v>
      </c>
      <c r="P2944" s="247">
        <f t="shared" si="320"/>
        <v>0</v>
      </c>
      <c r="Q2944" s="247" t="e">
        <f t="shared" si="321"/>
        <v>#VALUE!</v>
      </c>
    </row>
    <row r="2945" spans="1:17" ht="15" customHeight="1" x14ac:dyDescent="0.25">
      <c r="A2945" s="244"/>
      <c r="B2945" s="244"/>
      <c r="C2945" s="244"/>
      <c r="D2945" s="244"/>
      <c r="E2945" s="244"/>
      <c r="F2945" s="244"/>
      <c r="G2945" s="244"/>
      <c r="I2945" s="244"/>
      <c r="J2945" s="244"/>
      <c r="K2945" s="246" t="e">
        <f t="shared" si="315"/>
        <v>#VALUE!</v>
      </c>
      <c r="L2945" s="246" t="e">
        <f t="shared" si="316"/>
        <v>#VALUE!</v>
      </c>
      <c r="M2945" s="247" t="e">
        <f t="shared" si="317"/>
        <v>#VALUE!</v>
      </c>
      <c r="N2945" s="246" t="e">
        <f t="shared" si="318"/>
        <v>#VALUE!</v>
      </c>
      <c r="O2945" s="247" t="e">
        <f t="shared" si="319"/>
        <v>#VALUE!</v>
      </c>
      <c r="P2945" s="247">
        <f t="shared" si="320"/>
        <v>0</v>
      </c>
      <c r="Q2945" s="247" t="e">
        <f t="shared" si="321"/>
        <v>#VALUE!</v>
      </c>
    </row>
    <row r="2946" spans="1:17" ht="15" customHeight="1" x14ac:dyDescent="0.25">
      <c r="A2946" s="244"/>
      <c r="B2946" s="244"/>
      <c r="C2946" s="244"/>
      <c r="D2946" s="244"/>
      <c r="E2946" s="244"/>
      <c r="F2946" s="244"/>
      <c r="G2946" s="244"/>
      <c r="I2946" s="244"/>
      <c r="J2946" s="244"/>
      <c r="K2946" s="246" t="e">
        <f t="shared" ref="K2946:K3009" si="322">DATE(VALUE(LEFT(A2946,4)),VALUE(MID(A2946,5,2)),VALUE(RIGHT(A2946,2)))</f>
        <v>#VALUE!</v>
      </c>
      <c r="L2946" s="246" t="e">
        <f t="shared" ref="L2946:L3009" si="323">DATEVALUE(LEFT(F2946,10))</f>
        <v>#VALUE!</v>
      </c>
      <c r="M2946" s="247" t="e">
        <f t="shared" ref="M2946:M3009" si="324">TIMEVALUE(MID(F2946,12,8))</f>
        <v>#VALUE!</v>
      </c>
      <c r="N2946" s="246" t="e">
        <f t="shared" ref="N2946:N3009" si="325">DATEVALUE(LEFT(G2946,10))</f>
        <v>#VALUE!</v>
      </c>
      <c r="O2946" s="247" t="e">
        <f t="shared" ref="O2946:O3009" si="326">TIMEVALUE(MID(G2946,12,8))</f>
        <v>#VALUE!</v>
      </c>
      <c r="P2946" s="247">
        <f t="shared" ref="P2946:P3009" si="327">IFERROR(_xlfn.MINIFS($M:$M,$E:$E,$E2946,$K:$K,$K2946,$M:$M,"&gt;"&amp;$O2946),"")</f>
        <v>0</v>
      </c>
      <c r="Q2946" s="247" t="e">
        <f t="shared" ref="Q2946:Q3009" si="328">IF($P2946="","",$P2946-$O2946)</f>
        <v>#VALUE!</v>
      </c>
    </row>
    <row r="2947" spans="1:17" ht="15" customHeight="1" x14ac:dyDescent="0.25">
      <c r="A2947" s="244"/>
      <c r="B2947" s="244"/>
      <c r="C2947" s="244"/>
      <c r="D2947" s="244"/>
      <c r="E2947" s="244"/>
      <c r="F2947" s="244"/>
      <c r="G2947" s="244"/>
      <c r="I2947" s="244"/>
      <c r="J2947" s="244"/>
      <c r="K2947" s="246" t="e">
        <f t="shared" si="322"/>
        <v>#VALUE!</v>
      </c>
      <c r="L2947" s="246" t="e">
        <f t="shared" si="323"/>
        <v>#VALUE!</v>
      </c>
      <c r="M2947" s="247" t="e">
        <f t="shared" si="324"/>
        <v>#VALUE!</v>
      </c>
      <c r="N2947" s="246" t="e">
        <f t="shared" si="325"/>
        <v>#VALUE!</v>
      </c>
      <c r="O2947" s="247" t="e">
        <f t="shared" si="326"/>
        <v>#VALUE!</v>
      </c>
      <c r="P2947" s="247">
        <f t="shared" si="327"/>
        <v>0</v>
      </c>
      <c r="Q2947" s="247" t="e">
        <f t="shared" si="328"/>
        <v>#VALUE!</v>
      </c>
    </row>
    <row r="2948" spans="1:17" ht="15" customHeight="1" x14ac:dyDescent="0.25">
      <c r="A2948" s="244"/>
      <c r="B2948" s="244"/>
      <c r="C2948" s="244"/>
      <c r="D2948" s="244"/>
      <c r="E2948" s="244"/>
      <c r="F2948" s="244"/>
      <c r="G2948" s="244"/>
      <c r="I2948" s="244"/>
      <c r="J2948" s="244"/>
      <c r="K2948" s="246" t="e">
        <f t="shared" si="322"/>
        <v>#VALUE!</v>
      </c>
      <c r="L2948" s="246" t="e">
        <f t="shared" si="323"/>
        <v>#VALUE!</v>
      </c>
      <c r="M2948" s="247" t="e">
        <f t="shared" si="324"/>
        <v>#VALUE!</v>
      </c>
      <c r="N2948" s="246" t="e">
        <f t="shared" si="325"/>
        <v>#VALUE!</v>
      </c>
      <c r="O2948" s="247" t="e">
        <f t="shared" si="326"/>
        <v>#VALUE!</v>
      </c>
      <c r="P2948" s="247">
        <f t="shared" si="327"/>
        <v>0</v>
      </c>
      <c r="Q2948" s="247" t="e">
        <f t="shared" si="328"/>
        <v>#VALUE!</v>
      </c>
    </row>
    <row r="2949" spans="1:17" ht="15" customHeight="1" x14ac:dyDescent="0.25">
      <c r="A2949" s="244"/>
      <c r="B2949" s="244"/>
      <c r="C2949" s="244"/>
      <c r="D2949" s="244"/>
      <c r="E2949" s="244"/>
      <c r="F2949" s="244"/>
      <c r="G2949" s="244"/>
      <c r="I2949" s="244"/>
      <c r="J2949" s="244"/>
      <c r="K2949" s="246" t="e">
        <f t="shared" si="322"/>
        <v>#VALUE!</v>
      </c>
      <c r="L2949" s="246" t="e">
        <f t="shared" si="323"/>
        <v>#VALUE!</v>
      </c>
      <c r="M2949" s="247" t="e">
        <f t="shared" si="324"/>
        <v>#VALUE!</v>
      </c>
      <c r="N2949" s="246" t="e">
        <f t="shared" si="325"/>
        <v>#VALUE!</v>
      </c>
      <c r="O2949" s="247" t="e">
        <f t="shared" si="326"/>
        <v>#VALUE!</v>
      </c>
      <c r="P2949" s="247">
        <f t="shared" si="327"/>
        <v>0</v>
      </c>
      <c r="Q2949" s="247" t="e">
        <f t="shared" si="328"/>
        <v>#VALUE!</v>
      </c>
    </row>
    <row r="2950" spans="1:17" ht="15" customHeight="1" x14ac:dyDescent="0.25">
      <c r="A2950" s="244"/>
      <c r="B2950" s="244"/>
      <c r="C2950" s="244"/>
      <c r="D2950" s="244"/>
      <c r="E2950" s="244"/>
      <c r="F2950" s="244"/>
      <c r="G2950" s="244"/>
      <c r="I2950" s="244"/>
      <c r="J2950" s="244"/>
      <c r="K2950" s="246" t="e">
        <f t="shared" si="322"/>
        <v>#VALUE!</v>
      </c>
      <c r="L2950" s="246" t="e">
        <f t="shared" si="323"/>
        <v>#VALUE!</v>
      </c>
      <c r="M2950" s="247" t="e">
        <f t="shared" si="324"/>
        <v>#VALUE!</v>
      </c>
      <c r="N2950" s="246" t="e">
        <f t="shared" si="325"/>
        <v>#VALUE!</v>
      </c>
      <c r="O2950" s="247" t="e">
        <f t="shared" si="326"/>
        <v>#VALUE!</v>
      </c>
      <c r="P2950" s="247">
        <f t="shared" si="327"/>
        <v>0</v>
      </c>
      <c r="Q2950" s="247" t="e">
        <f t="shared" si="328"/>
        <v>#VALUE!</v>
      </c>
    </row>
    <row r="2951" spans="1:17" ht="15" customHeight="1" x14ac:dyDescent="0.25">
      <c r="A2951" s="244"/>
      <c r="B2951" s="244"/>
      <c r="C2951" s="244"/>
      <c r="D2951" s="244"/>
      <c r="E2951" s="244"/>
      <c r="F2951" s="244"/>
      <c r="G2951" s="244"/>
      <c r="I2951" s="244"/>
      <c r="J2951" s="244"/>
      <c r="K2951" s="246" t="e">
        <f t="shared" si="322"/>
        <v>#VALUE!</v>
      </c>
      <c r="L2951" s="246" t="e">
        <f t="shared" si="323"/>
        <v>#VALUE!</v>
      </c>
      <c r="M2951" s="247" t="e">
        <f t="shared" si="324"/>
        <v>#VALUE!</v>
      </c>
      <c r="N2951" s="246" t="e">
        <f t="shared" si="325"/>
        <v>#VALUE!</v>
      </c>
      <c r="O2951" s="247" t="e">
        <f t="shared" si="326"/>
        <v>#VALUE!</v>
      </c>
      <c r="P2951" s="247">
        <f t="shared" si="327"/>
        <v>0</v>
      </c>
      <c r="Q2951" s="247" t="e">
        <f t="shared" si="328"/>
        <v>#VALUE!</v>
      </c>
    </row>
    <row r="2952" spans="1:17" ht="15" customHeight="1" x14ac:dyDescent="0.25">
      <c r="A2952" s="244"/>
      <c r="B2952" s="244"/>
      <c r="C2952" s="244"/>
      <c r="D2952" s="244"/>
      <c r="E2952" s="244"/>
      <c r="F2952" s="244"/>
      <c r="G2952" s="244"/>
      <c r="I2952" s="244"/>
      <c r="J2952" s="244"/>
      <c r="K2952" s="246" t="e">
        <f t="shared" si="322"/>
        <v>#VALUE!</v>
      </c>
      <c r="L2952" s="246" t="e">
        <f t="shared" si="323"/>
        <v>#VALUE!</v>
      </c>
      <c r="M2952" s="247" t="e">
        <f t="shared" si="324"/>
        <v>#VALUE!</v>
      </c>
      <c r="N2952" s="246" t="e">
        <f t="shared" si="325"/>
        <v>#VALUE!</v>
      </c>
      <c r="O2952" s="247" t="e">
        <f t="shared" si="326"/>
        <v>#VALUE!</v>
      </c>
      <c r="P2952" s="247">
        <f t="shared" si="327"/>
        <v>0</v>
      </c>
      <c r="Q2952" s="247" t="e">
        <f t="shared" si="328"/>
        <v>#VALUE!</v>
      </c>
    </row>
    <row r="2953" spans="1:17" ht="15" customHeight="1" x14ac:dyDescent="0.25">
      <c r="A2953" s="244"/>
      <c r="B2953" s="244"/>
      <c r="C2953" s="244"/>
      <c r="D2953" s="244"/>
      <c r="E2953" s="244"/>
      <c r="F2953" s="244"/>
      <c r="G2953" s="244"/>
      <c r="I2953" s="244"/>
      <c r="J2953" s="244"/>
      <c r="K2953" s="246" t="e">
        <f t="shared" si="322"/>
        <v>#VALUE!</v>
      </c>
      <c r="L2953" s="246" t="e">
        <f t="shared" si="323"/>
        <v>#VALUE!</v>
      </c>
      <c r="M2953" s="247" t="e">
        <f t="shared" si="324"/>
        <v>#VALUE!</v>
      </c>
      <c r="N2953" s="246" t="e">
        <f t="shared" si="325"/>
        <v>#VALUE!</v>
      </c>
      <c r="O2953" s="247" t="e">
        <f t="shared" si="326"/>
        <v>#VALUE!</v>
      </c>
      <c r="P2953" s="247">
        <f t="shared" si="327"/>
        <v>0</v>
      </c>
      <c r="Q2953" s="247" t="e">
        <f t="shared" si="328"/>
        <v>#VALUE!</v>
      </c>
    </row>
    <row r="2954" spans="1:17" ht="15" customHeight="1" x14ac:dyDescent="0.25">
      <c r="A2954" s="244"/>
      <c r="B2954" s="244"/>
      <c r="C2954" s="244"/>
      <c r="D2954" s="244"/>
      <c r="E2954" s="244"/>
      <c r="F2954" s="244"/>
      <c r="G2954" s="244"/>
      <c r="I2954" s="244"/>
      <c r="J2954" s="244"/>
      <c r="K2954" s="246" t="e">
        <f t="shared" si="322"/>
        <v>#VALUE!</v>
      </c>
      <c r="L2954" s="246" t="e">
        <f t="shared" si="323"/>
        <v>#VALUE!</v>
      </c>
      <c r="M2954" s="247" t="e">
        <f t="shared" si="324"/>
        <v>#VALUE!</v>
      </c>
      <c r="N2954" s="246" t="e">
        <f t="shared" si="325"/>
        <v>#VALUE!</v>
      </c>
      <c r="O2954" s="247" t="e">
        <f t="shared" si="326"/>
        <v>#VALUE!</v>
      </c>
      <c r="P2954" s="247">
        <f t="shared" si="327"/>
        <v>0</v>
      </c>
      <c r="Q2954" s="247" t="e">
        <f t="shared" si="328"/>
        <v>#VALUE!</v>
      </c>
    </row>
    <row r="2955" spans="1:17" ht="15" customHeight="1" x14ac:dyDescent="0.25">
      <c r="A2955" s="244"/>
      <c r="B2955" s="244"/>
      <c r="C2955" s="244"/>
      <c r="D2955" s="244"/>
      <c r="E2955" s="244"/>
      <c r="F2955" s="244"/>
      <c r="G2955" s="244"/>
      <c r="I2955" s="244"/>
      <c r="J2955" s="244"/>
      <c r="K2955" s="246" t="e">
        <f t="shared" si="322"/>
        <v>#VALUE!</v>
      </c>
      <c r="L2955" s="246" t="e">
        <f t="shared" si="323"/>
        <v>#VALUE!</v>
      </c>
      <c r="M2955" s="247" t="e">
        <f t="shared" si="324"/>
        <v>#VALUE!</v>
      </c>
      <c r="N2955" s="246" t="e">
        <f t="shared" si="325"/>
        <v>#VALUE!</v>
      </c>
      <c r="O2955" s="247" t="e">
        <f t="shared" si="326"/>
        <v>#VALUE!</v>
      </c>
      <c r="P2955" s="247">
        <f t="shared" si="327"/>
        <v>0</v>
      </c>
      <c r="Q2955" s="247" t="e">
        <f t="shared" si="328"/>
        <v>#VALUE!</v>
      </c>
    </row>
    <row r="2956" spans="1:17" ht="15" customHeight="1" x14ac:dyDescent="0.25">
      <c r="A2956" s="244"/>
      <c r="B2956" s="244"/>
      <c r="C2956" s="244"/>
      <c r="D2956" s="244"/>
      <c r="E2956" s="244"/>
      <c r="F2956" s="244"/>
      <c r="G2956" s="244"/>
      <c r="I2956" s="244"/>
      <c r="J2956" s="244"/>
      <c r="K2956" s="246" t="e">
        <f t="shared" si="322"/>
        <v>#VALUE!</v>
      </c>
      <c r="L2956" s="246" t="e">
        <f t="shared" si="323"/>
        <v>#VALUE!</v>
      </c>
      <c r="M2956" s="247" t="e">
        <f t="shared" si="324"/>
        <v>#VALUE!</v>
      </c>
      <c r="N2956" s="246" t="e">
        <f t="shared" si="325"/>
        <v>#VALUE!</v>
      </c>
      <c r="O2956" s="247" t="e">
        <f t="shared" si="326"/>
        <v>#VALUE!</v>
      </c>
      <c r="P2956" s="247">
        <f t="shared" si="327"/>
        <v>0</v>
      </c>
      <c r="Q2956" s="247" t="e">
        <f t="shared" si="328"/>
        <v>#VALUE!</v>
      </c>
    </row>
    <row r="2957" spans="1:17" ht="15" customHeight="1" x14ac:dyDescent="0.25">
      <c r="A2957" s="244"/>
      <c r="B2957" s="244"/>
      <c r="C2957" s="244"/>
      <c r="D2957" s="244"/>
      <c r="E2957" s="244"/>
      <c r="F2957" s="244"/>
      <c r="G2957" s="244"/>
      <c r="I2957" s="244"/>
      <c r="J2957" s="244"/>
      <c r="K2957" s="246" t="e">
        <f t="shared" si="322"/>
        <v>#VALUE!</v>
      </c>
      <c r="L2957" s="246" t="e">
        <f t="shared" si="323"/>
        <v>#VALUE!</v>
      </c>
      <c r="M2957" s="247" t="e">
        <f t="shared" si="324"/>
        <v>#VALUE!</v>
      </c>
      <c r="N2957" s="246" t="e">
        <f t="shared" si="325"/>
        <v>#VALUE!</v>
      </c>
      <c r="O2957" s="247" t="e">
        <f t="shared" si="326"/>
        <v>#VALUE!</v>
      </c>
      <c r="P2957" s="247">
        <f t="shared" si="327"/>
        <v>0</v>
      </c>
      <c r="Q2957" s="247" t="e">
        <f t="shared" si="328"/>
        <v>#VALUE!</v>
      </c>
    </row>
    <row r="2958" spans="1:17" ht="15" customHeight="1" x14ac:dyDescent="0.25">
      <c r="A2958" s="244"/>
      <c r="B2958" s="244"/>
      <c r="C2958" s="244"/>
      <c r="D2958" s="244"/>
      <c r="E2958" s="244"/>
      <c r="F2958" s="244"/>
      <c r="G2958" s="244"/>
      <c r="I2958" s="244"/>
      <c r="J2958" s="244"/>
      <c r="K2958" s="246" t="e">
        <f t="shared" si="322"/>
        <v>#VALUE!</v>
      </c>
      <c r="L2958" s="246" t="e">
        <f t="shared" si="323"/>
        <v>#VALUE!</v>
      </c>
      <c r="M2958" s="247" t="e">
        <f t="shared" si="324"/>
        <v>#VALUE!</v>
      </c>
      <c r="N2958" s="246" t="e">
        <f t="shared" si="325"/>
        <v>#VALUE!</v>
      </c>
      <c r="O2958" s="247" t="e">
        <f t="shared" si="326"/>
        <v>#VALUE!</v>
      </c>
      <c r="P2958" s="247">
        <f t="shared" si="327"/>
        <v>0</v>
      </c>
      <c r="Q2958" s="247" t="e">
        <f t="shared" si="328"/>
        <v>#VALUE!</v>
      </c>
    </row>
    <row r="2959" spans="1:17" ht="15" customHeight="1" x14ac:dyDescent="0.25">
      <c r="A2959" s="244"/>
      <c r="B2959" s="244"/>
      <c r="C2959" s="244"/>
      <c r="D2959" s="244"/>
      <c r="E2959" s="244"/>
      <c r="F2959" s="244"/>
      <c r="G2959" s="244"/>
      <c r="I2959" s="244"/>
      <c r="J2959" s="244"/>
      <c r="K2959" s="246" t="e">
        <f t="shared" si="322"/>
        <v>#VALUE!</v>
      </c>
      <c r="L2959" s="246" t="e">
        <f t="shared" si="323"/>
        <v>#VALUE!</v>
      </c>
      <c r="M2959" s="247" t="e">
        <f t="shared" si="324"/>
        <v>#VALUE!</v>
      </c>
      <c r="N2959" s="246" t="e">
        <f t="shared" si="325"/>
        <v>#VALUE!</v>
      </c>
      <c r="O2959" s="247" t="e">
        <f t="shared" si="326"/>
        <v>#VALUE!</v>
      </c>
      <c r="P2959" s="247">
        <f t="shared" si="327"/>
        <v>0</v>
      </c>
      <c r="Q2959" s="247" t="e">
        <f t="shared" si="328"/>
        <v>#VALUE!</v>
      </c>
    </row>
    <row r="2960" spans="1:17" ht="15" customHeight="1" x14ac:dyDescent="0.25">
      <c r="A2960" s="244"/>
      <c r="B2960" s="244"/>
      <c r="C2960" s="244"/>
      <c r="D2960" s="244"/>
      <c r="E2960" s="244"/>
      <c r="F2960" s="244"/>
      <c r="G2960" s="244"/>
      <c r="I2960" s="244"/>
      <c r="J2960" s="244"/>
      <c r="K2960" s="246" t="e">
        <f t="shared" si="322"/>
        <v>#VALUE!</v>
      </c>
      <c r="L2960" s="246" t="e">
        <f t="shared" si="323"/>
        <v>#VALUE!</v>
      </c>
      <c r="M2960" s="247" t="e">
        <f t="shared" si="324"/>
        <v>#VALUE!</v>
      </c>
      <c r="N2960" s="246" t="e">
        <f t="shared" si="325"/>
        <v>#VALUE!</v>
      </c>
      <c r="O2960" s="247" t="e">
        <f t="shared" si="326"/>
        <v>#VALUE!</v>
      </c>
      <c r="P2960" s="247">
        <f t="shared" si="327"/>
        <v>0</v>
      </c>
      <c r="Q2960" s="247" t="e">
        <f t="shared" si="328"/>
        <v>#VALUE!</v>
      </c>
    </row>
    <row r="2961" spans="1:17" ht="15" customHeight="1" x14ac:dyDescent="0.25">
      <c r="A2961" s="244"/>
      <c r="B2961" s="244"/>
      <c r="C2961" s="244"/>
      <c r="D2961" s="244"/>
      <c r="E2961" s="244"/>
      <c r="F2961" s="244"/>
      <c r="G2961" s="244"/>
      <c r="I2961" s="244"/>
      <c r="J2961" s="244"/>
      <c r="K2961" s="246" t="e">
        <f t="shared" si="322"/>
        <v>#VALUE!</v>
      </c>
      <c r="L2961" s="246" t="e">
        <f t="shared" si="323"/>
        <v>#VALUE!</v>
      </c>
      <c r="M2961" s="247" t="e">
        <f t="shared" si="324"/>
        <v>#VALUE!</v>
      </c>
      <c r="N2961" s="246" t="e">
        <f t="shared" si="325"/>
        <v>#VALUE!</v>
      </c>
      <c r="O2961" s="247" t="e">
        <f t="shared" si="326"/>
        <v>#VALUE!</v>
      </c>
      <c r="P2961" s="247">
        <f t="shared" si="327"/>
        <v>0</v>
      </c>
      <c r="Q2961" s="247" t="e">
        <f t="shared" si="328"/>
        <v>#VALUE!</v>
      </c>
    </row>
    <row r="2962" spans="1:17" ht="15" customHeight="1" x14ac:dyDescent="0.25">
      <c r="A2962" s="244"/>
      <c r="B2962" s="244"/>
      <c r="C2962" s="244"/>
      <c r="D2962" s="244"/>
      <c r="E2962" s="244"/>
      <c r="F2962" s="244"/>
      <c r="G2962" s="244"/>
      <c r="I2962" s="244"/>
      <c r="J2962" s="244"/>
      <c r="K2962" s="246" t="e">
        <f t="shared" si="322"/>
        <v>#VALUE!</v>
      </c>
      <c r="L2962" s="246" t="e">
        <f t="shared" si="323"/>
        <v>#VALUE!</v>
      </c>
      <c r="M2962" s="247" t="e">
        <f t="shared" si="324"/>
        <v>#VALUE!</v>
      </c>
      <c r="N2962" s="246" t="e">
        <f t="shared" si="325"/>
        <v>#VALUE!</v>
      </c>
      <c r="O2962" s="247" t="e">
        <f t="shared" si="326"/>
        <v>#VALUE!</v>
      </c>
      <c r="P2962" s="247">
        <f t="shared" si="327"/>
        <v>0</v>
      </c>
      <c r="Q2962" s="247" t="e">
        <f t="shared" si="328"/>
        <v>#VALUE!</v>
      </c>
    </row>
    <row r="2963" spans="1:17" ht="15" customHeight="1" x14ac:dyDescent="0.25">
      <c r="A2963" s="244"/>
      <c r="B2963" s="244"/>
      <c r="C2963" s="244"/>
      <c r="D2963" s="244"/>
      <c r="E2963" s="244"/>
      <c r="F2963" s="244"/>
      <c r="G2963" s="244"/>
      <c r="I2963" s="244"/>
      <c r="J2963" s="244"/>
      <c r="K2963" s="246" t="e">
        <f t="shared" si="322"/>
        <v>#VALUE!</v>
      </c>
      <c r="L2963" s="246" t="e">
        <f t="shared" si="323"/>
        <v>#VALUE!</v>
      </c>
      <c r="M2963" s="247" t="e">
        <f t="shared" si="324"/>
        <v>#VALUE!</v>
      </c>
      <c r="N2963" s="246" t="e">
        <f t="shared" si="325"/>
        <v>#VALUE!</v>
      </c>
      <c r="O2963" s="247" t="e">
        <f t="shared" si="326"/>
        <v>#VALUE!</v>
      </c>
      <c r="P2963" s="247">
        <f t="shared" si="327"/>
        <v>0</v>
      </c>
      <c r="Q2963" s="247" t="e">
        <f t="shared" si="328"/>
        <v>#VALUE!</v>
      </c>
    </row>
    <row r="2964" spans="1:17" ht="15" customHeight="1" x14ac:dyDescent="0.25">
      <c r="A2964" s="244"/>
      <c r="B2964" s="244"/>
      <c r="C2964" s="244"/>
      <c r="D2964" s="244"/>
      <c r="E2964" s="244"/>
      <c r="F2964" s="244"/>
      <c r="G2964" s="244"/>
      <c r="I2964" s="244"/>
      <c r="J2964" s="244"/>
      <c r="K2964" s="246" t="e">
        <f t="shared" si="322"/>
        <v>#VALUE!</v>
      </c>
      <c r="L2964" s="246" t="e">
        <f t="shared" si="323"/>
        <v>#VALUE!</v>
      </c>
      <c r="M2964" s="247" t="e">
        <f t="shared" si="324"/>
        <v>#VALUE!</v>
      </c>
      <c r="N2964" s="246" t="e">
        <f t="shared" si="325"/>
        <v>#VALUE!</v>
      </c>
      <c r="O2964" s="247" t="e">
        <f t="shared" si="326"/>
        <v>#VALUE!</v>
      </c>
      <c r="P2964" s="247">
        <f t="shared" si="327"/>
        <v>0</v>
      </c>
      <c r="Q2964" s="247" t="e">
        <f t="shared" si="328"/>
        <v>#VALUE!</v>
      </c>
    </row>
    <row r="2965" spans="1:17" ht="15" customHeight="1" x14ac:dyDescent="0.25">
      <c r="A2965" s="244"/>
      <c r="B2965" s="244"/>
      <c r="C2965" s="244"/>
      <c r="D2965" s="244"/>
      <c r="E2965" s="244"/>
      <c r="F2965" s="244"/>
      <c r="G2965" s="244"/>
      <c r="I2965" s="244"/>
      <c r="J2965" s="244"/>
      <c r="K2965" s="246" t="e">
        <f t="shared" si="322"/>
        <v>#VALUE!</v>
      </c>
      <c r="L2965" s="246" t="e">
        <f t="shared" si="323"/>
        <v>#VALUE!</v>
      </c>
      <c r="M2965" s="247" t="e">
        <f t="shared" si="324"/>
        <v>#VALUE!</v>
      </c>
      <c r="N2965" s="246" t="e">
        <f t="shared" si="325"/>
        <v>#VALUE!</v>
      </c>
      <c r="O2965" s="247" t="e">
        <f t="shared" si="326"/>
        <v>#VALUE!</v>
      </c>
      <c r="P2965" s="247">
        <f t="shared" si="327"/>
        <v>0</v>
      </c>
      <c r="Q2965" s="247" t="e">
        <f t="shared" si="328"/>
        <v>#VALUE!</v>
      </c>
    </row>
    <row r="2966" spans="1:17" ht="15" customHeight="1" x14ac:dyDescent="0.25">
      <c r="A2966" s="244"/>
      <c r="B2966" s="244"/>
      <c r="C2966" s="244"/>
      <c r="D2966" s="244"/>
      <c r="E2966" s="244"/>
      <c r="F2966" s="244"/>
      <c r="G2966" s="244"/>
      <c r="I2966" s="244"/>
      <c r="J2966" s="244"/>
      <c r="K2966" s="246" t="e">
        <f t="shared" si="322"/>
        <v>#VALUE!</v>
      </c>
      <c r="L2966" s="246" t="e">
        <f t="shared" si="323"/>
        <v>#VALUE!</v>
      </c>
      <c r="M2966" s="247" t="e">
        <f t="shared" si="324"/>
        <v>#VALUE!</v>
      </c>
      <c r="N2966" s="246" t="e">
        <f t="shared" si="325"/>
        <v>#VALUE!</v>
      </c>
      <c r="O2966" s="247" t="e">
        <f t="shared" si="326"/>
        <v>#VALUE!</v>
      </c>
      <c r="P2966" s="247">
        <f t="shared" si="327"/>
        <v>0</v>
      </c>
      <c r="Q2966" s="247" t="e">
        <f t="shared" si="328"/>
        <v>#VALUE!</v>
      </c>
    </row>
    <row r="2967" spans="1:17" ht="15" customHeight="1" x14ac:dyDescent="0.25">
      <c r="A2967" s="244"/>
      <c r="B2967" s="244"/>
      <c r="C2967" s="244"/>
      <c r="D2967" s="244"/>
      <c r="E2967" s="244"/>
      <c r="F2967" s="244"/>
      <c r="G2967" s="244"/>
      <c r="I2967" s="244"/>
      <c r="J2967" s="244"/>
      <c r="K2967" s="246" t="e">
        <f t="shared" si="322"/>
        <v>#VALUE!</v>
      </c>
      <c r="L2967" s="246" t="e">
        <f t="shared" si="323"/>
        <v>#VALUE!</v>
      </c>
      <c r="M2967" s="247" t="e">
        <f t="shared" si="324"/>
        <v>#VALUE!</v>
      </c>
      <c r="N2967" s="246" t="e">
        <f t="shared" si="325"/>
        <v>#VALUE!</v>
      </c>
      <c r="O2967" s="247" t="e">
        <f t="shared" si="326"/>
        <v>#VALUE!</v>
      </c>
      <c r="P2967" s="247">
        <f t="shared" si="327"/>
        <v>0</v>
      </c>
      <c r="Q2967" s="247" t="e">
        <f t="shared" si="328"/>
        <v>#VALUE!</v>
      </c>
    </row>
    <row r="2968" spans="1:17" ht="15" customHeight="1" x14ac:dyDescent="0.25">
      <c r="A2968" s="244"/>
      <c r="B2968" s="244"/>
      <c r="C2968" s="244"/>
      <c r="D2968" s="244"/>
      <c r="E2968" s="244"/>
      <c r="F2968" s="244"/>
      <c r="G2968" s="244"/>
      <c r="I2968" s="244"/>
      <c r="J2968" s="244"/>
      <c r="K2968" s="246" t="e">
        <f t="shared" si="322"/>
        <v>#VALUE!</v>
      </c>
      <c r="L2968" s="246" t="e">
        <f t="shared" si="323"/>
        <v>#VALUE!</v>
      </c>
      <c r="M2968" s="247" t="e">
        <f t="shared" si="324"/>
        <v>#VALUE!</v>
      </c>
      <c r="N2968" s="246" t="e">
        <f t="shared" si="325"/>
        <v>#VALUE!</v>
      </c>
      <c r="O2968" s="247" t="e">
        <f t="shared" si="326"/>
        <v>#VALUE!</v>
      </c>
      <c r="P2968" s="247">
        <f t="shared" si="327"/>
        <v>0</v>
      </c>
      <c r="Q2968" s="247" t="e">
        <f t="shared" si="328"/>
        <v>#VALUE!</v>
      </c>
    </row>
    <row r="2969" spans="1:17" ht="15" customHeight="1" x14ac:dyDescent="0.25">
      <c r="A2969" s="244"/>
      <c r="B2969" s="244"/>
      <c r="C2969" s="244"/>
      <c r="D2969" s="244"/>
      <c r="E2969" s="244"/>
      <c r="F2969" s="244"/>
      <c r="G2969" s="244"/>
      <c r="I2969" s="244"/>
      <c r="J2969" s="244"/>
      <c r="K2969" s="246" t="e">
        <f t="shared" si="322"/>
        <v>#VALUE!</v>
      </c>
      <c r="L2969" s="246" t="e">
        <f t="shared" si="323"/>
        <v>#VALUE!</v>
      </c>
      <c r="M2969" s="247" t="e">
        <f t="shared" si="324"/>
        <v>#VALUE!</v>
      </c>
      <c r="N2969" s="246" t="e">
        <f t="shared" si="325"/>
        <v>#VALUE!</v>
      </c>
      <c r="O2969" s="247" t="e">
        <f t="shared" si="326"/>
        <v>#VALUE!</v>
      </c>
      <c r="P2969" s="247">
        <f t="shared" si="327"/>
        <v>0</v>
      </c>
      <c r="Q2969" s="247" t="e">
        <f t="shared" si="328"/>
        <v>#VALUE!</v>
      </c>
    </row>
    <row r="2970" spans="1:17" ht="15" customHeight="1" x14ac:dyDescent="0.25">
      <c r="A2970" s="244"/>
      <c r="B2970" s="244"/>
      <c r="C2970" s="244"/>
      <c r="D2970" s="244"/>
      <c r="E2970" s="244"/>
      <c r="F2970" s="244"/>
      <c r="G2970" s="244"/>
      <c r="I2970" s="244"/>
      <c r="J2970" s="244"/>
      <c r="K2970" s="246" t="e">
        <f t="shared" si="322"/>
        <v>#VALUE!</v>
      </c>
      <c r="L2970" s="246" t="e">
        <f t="shared" si="323"/>
        <v>#VALUE!</v>
      </c>
      <c r="M2970" s="247" t="e">
        <f t="shared" si="324"/>
        <v>#VALUE!</v>
      </c>
      <c r="N2970" s="246" t="e">
        <f t="shared" si="325"/>
        <v>#VALUE!</v>
      </c>
      <c r="O2970" s="247" t="e">
        <f t="shared" si="326"/>
        <v>#VALUE!</v>
      </c>
      <c r="P2970" s="247">
        <f t="shared" si="327"/>
        <v>0</v>
      </c>
      <c r="Q2970" s="247" t="e">
        <f t="shared" si="328"/>
        <v>#VALUE!</v>
      </c>
    </row>
    <row r="2971" spans="1:17" ht="15" customHeight="1" x14ac:dyDescent="0.25">
      <c r="A2971" s="244"/>
      <c r="B2971" s="244"/>
      <c r="C2971" s="244"/>
      <c r="D2971" s="244"/>
      <c r="E2971" s="244"/>
      <c r="F2971" s="244"/>
      <c r="G2971" s="244"/>
      <c r="I2971" s="244"/>
      <c r="J2971" s="244"/>
      <c r="K2971" s="246" t="e">
        <f t="shared" si="322"/>
        <v>#VALUE!</v>
      </c>
      <c r="L2971" s="246" t="e">
        <f t="shared" si="323"/>
        <v>#VALUE!</v>
      </c>
      <c r="M2971" s="247" t="e">
        <f t="shared" si="324"/>
        <v>#VALUE!</v>
      </c>
      <c r="N2971" s="246" t="e">
        <f t="shared" si="325"/>
        <v>#VALUE!</v>
      </c>
      <c r="O2971" s="247" t="e">
        <f t="shared" si="326"/>
        <v>#VALUE!</v>
      </c>
      <c r="P2971" s="247">
        <f t="shared" si="327"/>
        <v>0</v>
      </c>
      <c r="Q2971" s="247" t="e">
        <f t="shared" si="328"/>
        <v>#VALUE!</v>
      </c>
    </row>
    <row r="2972" spans="1:17" ht="15" customHeight="1" x14ac:dyDescent="0.25">
      <c r="A2972" s="244"/>
      <c r="B2972" s="244"/>
      <c r="C2972" s="244"/>
      <c r="D2972" s="244"/>
      <c r="E2972" s="244"/>
      <c r="F2972" s="244"/>
      <c r="G2972" s="244"/>
      <c r="I2972" s="244"/>
      <c r="J2972" s="244"/>
      <c r="K2972" s="246" t="e">
        <f t="shared" si="322"/>
        <v>#VALUE!</v>
      </c>
      <c r="L2972" s="246" t="e">
        <f t="shared" si="323"/>
        <v>#VALUE!</v>
      </c>
      <c r="M2972" s="247" t="e">
        <f t="shared" si="324"/>
        <v>#VALUE!</v>
      </c>
      <c r="N2972" s="246" t="e">
        <f t="shared" si="325"/>
        <v>#VALUE!</v>
      </c>
      <c r="O2972" s="247" t="e">
        <f t="shared" si="326"/>
        <v>#VALUE!</v>
      </c>
      <c r="P2972" s="247">
        <f t="shared" si="327"/>
        <v>0</v>
      </c>
      <c r="Q2972" s="247" t="e">
        <f t="shared" si="328"/>
        <v>#VALUE!</v>
      </c>
    </row>
    <row r="2973" spans="1:17" ht="15" customHeight="1" x14ac:dyDescent="0.25">
      <c r="A2973" s="244"/>
      <c r="B2973" s="244"/>
      <c r="C2973" s="244"/>
      <c r="D2973" s="244"/>
      <c r="E2973" s="244"/>
      <c r="F2973" s="244"/>
      <c r="G2973" s="244"/>
      <c r="I2973" s="244"/>
      <c r="J2973" s="244"/>
      <c r="K2973" s="246" t="e">
        <f t="shared" si="322"/>
        <v>#VALUE!</v>
      </c>
      <c r="L2973" s="246" t="e">
        <f t="shared" si="323"/>
        <v>#VALUE!</v>
      </c>
      <c r="M2973" s="247" t="e">
        <f t="shared" si="324"/>
        <v>#VALUE!</v>
      </c>
      <c r="N2973" s="246" t="e">
        <f t="shared" si="325"/>
        <v>#VALUE!</v>
      </c>
      <c r="O2973" s="247" t="e">
        <f t="shared" si="326"/>
        <v>#VALUE!</v>
      </c>
      <c r="P2973" s="247">
        <f t="shared" si="327"/>
        <v>0</v>
      </c>
      <c r="Q2973" s="247" t="e">
        <f t="shared" si="328"/>
        <v>#VALUE!</v>
      </c>
    </row>
    <row r="2974" spans="1:17" ht="15" customHeight="1" x14ac:dyDescent="0.25">
      <c r="A2974" s="244"/>
      <c r="B2974" s="244"/>
      <c r="C2974" s="244"/>
      <c r="D2974" s="244"/>
      <c r="E2974" s="244"/>
      <c r="F2974" s="244"/>
      <c r="G2974" s="244"/>
      <c r="I2974" s="244"/>
      <c r="J2974" s="244"/>
      <c r="K2974" s="246" t="e">
        <f t="shared" si="322"/>
        <v>#VALUE!</v>
      </c>
      <c r="L2974" s="246" t="e">
        <f t="shared" si="323"/>
        <v>#VALUE!</v>
      </c>
      <c r="M2974" s="247" t="e">
        <f t="shared" si="324"/>
        <v>#VALUE!</v>
      </c>
      <c r="N2974" s="246" t="e">
        <f t="shared" si="325"/>
        <v>#VALUE!</v>
      </c>
      <c r="O2974" s="247" t="e">
        <f t="shared" si="326"/>
        <v>#VALUE!</v>
      </c>
      <c r="P2974" s="247">
        <f t="shared" si="327"/>
        <v>0</v>
      </c>
      <c r="Q2974" s="247" t="e">
        <f t="shared" si="328"/>
        <v>#VALUE!</v>
      </c>
    </row>
    <row r="2975" spans="1:17" ht="15" customHeight="1" x14ac:dyDescent="0.25">
      <c r="A2975" s="244"/>
      <c r="B2975" s="244"/>
      <c r="C2975" s="244"/>
      <c r="D2975" s="244"/>
      <c r="E2975" s="244"/>
      <c r="F2975" s="244"/>
      <c r="G2975" s="244"/>
      <c r="I2975" s="244"/>
      <c r="J2975" s="244"/>
      <c r="K2975" s="246" t="e">
        <f t="shared" si="322"/>
        <v>#VALUE!</v>
      </c>
      <c r="L2975" s="246" t="e">
        <f t="shared" si="323"/>
        <v>#VALUE!</v>
      </c>
      <c r="M2975" s="247" t="e">
        <f t="shared" si="324"/>
        <v>#VALUE!</v>
      </c>
      <c r="N2975" s="246" t="e">
        <f t="shared" si="325"/>
        <v>#VALUE!</v>
      </c>
      <c r="O2975" s="247" t="e">
        <f t="shared" si="326"/>
        <v>#VALUE!</v>
      </c>
      <c r="P2975" s="247">
        <f t="shared" si="327"/>
        <v>0</v>
      </c>
      <c r="Q2975" s="247" t="e">
        <f t="shared" si="328"/>
        <v>#VALUE!</v>
      </c>
    </row>
    <row r="2976" spans="1:17" ht="15" customHeight="1" x14ac:dyDescent="0.25">
      <c r="A2976" s="244"/>
      <c r="B2976" s="244"/>
      <c r="C2976" s="244"/>
      <c r="D2976" s="244"/>
      <c r="E2976" s="244"/>
      <c r="F2976" s="244"/>
      <c r="G2976" s="244"/>
      <c r="I2976" s="244"/>
      <c r="J2976" s="244"/>
      <c r="K2976" s="246" t="e">
        <f t="shared" si="322"/>
        <v>#VALUE!</v>
      </c>
      <c r="L2976" s="246" t="e">
        <f t="shared" si="323"/>
        <v>#VALUE!</v>
      </c>
      <c r="M2976" s="247" t="e">
        <f t="shared" si="324"/>
        <v>#VALUE!</v>
      </c>
      <c r="N2976" s="246" t="e">
        <f t="shared" si="325"/>
        <v>#VALUE!</v>
      </c>
      <c r="O2976" s="247" t="e">
        <f t="shared" si="326"/>
        <v>#VALUE!</v>
      </c>
      <c r="P2976" s="247">
        <f t="shared" si="327"/>
        <v>0</v>
      </c>
      <c r="Q2976" s="247" t="e">
        <f t="shared" si="328"/>
        <v>#VALUE!</v>
      </c>
    </row>
    <row r="2977" spans="1:17" ht="15" customHeight="1" x14ac:dyDescent="0.25">
      <c r="A2977" s="244"/>
      <c r="B2977" s="244"/>
      <c r="C2977" s="244"/>
      <c r="D2977" s="244"/>
      <c r="E2977" s="244"/>
      <c r="F2977" s="244"/>
      <c r="G2977" s="244"/>
      <c r="I2977" s="244"/>
      <c r="J2977" s="244"/>
      <c r="K2977" s="246" t="e">
        <f t="shared" si="322"/>
        <v>#VALUE!</v>
      </c>
      <c r="L2977" s="246" t="e">
        <f t="shared" si="323"/>
        <v>#VALUE!</v>
      </c>
      <c r="M2977" s="247" t="e">
        <f t="shared" si="324"/>
        <v>#VALUE!</v>
      </c>
      <c r="N2977" s="246" t="e">
        <f t="shared" si="325"/>
        <v>#VALUE!</v>
      </c>
      <c r="O2977" s="247" t="e">
        <f t="shared" si="326"/>
        <v>#VALUE!</v>
      </c>
      <c r="P2977" s="247">
        <f t="shared" si="327"/>
        <v>0</v>
      </c>
      <c r="Q2977" s="247" t="e">
        <f t="shared" si="328"/>
        <v>#VALUE!</v>
      </c>
    </row>
    <row r="2978" spans="1:17" ht="15" customHeight="1" x14ac:dyDescent="0.25">
      <c r="A2978" s="244"/>
      <c r="B2978" s="244"/>
      <c r="C2978" s="244"/>
      <c r="D2978" s="244"/>
      <c r="E2978" s="244"/>
      <c r="F2978" s="244"/>
      <c r="G2978" s="244"/>
      <c r="I2978" s="244"/>
      <c r="J2978" s="244"/>
      <c r="K2978" s="246" t="e">
        <f t="shared" si="322"/>
        <v>#VALUE!</v>
      </c>
      <c r="L2978" s="246" t="e">
        <f t="shared" si="323"/>
        <v>#VALUE!</v>
      </c>
      <c r="M2978" s="247" t="e">
        <f t="shared" si="324"/>
        <v>#VALUE!</v>
      </c>
      <c r="N2978" s="246" t="e">
        <f t="shared" si="325"/>
        <v>#VALUE!</v>
      </c>
      <c r="O2978" s="247" t="e">
        <f t="shared" si="326"/>
        <v>#VALUE!</v>
      </c>
      <c r="P2978" s="247">
        <f t="shared" si="327"/>
        <v>0</v>
      </c>
      <c r="Q2978" s="247" t="e">
        <f t="shared" si="328"/>
        <v>#VALUE!</v>
      </c>
    </row>
    <row r="2979" spans="1:17" ht="15" customHeight="1" x14ac:dyDescent="0.25">
      <c r="A2979" s="244"/>
      <c r="B2979" s="244"/>
      <c r="C2979" s="244"/>
      <c r="D2979" s="244"/>
      <c r="E2979" s="244"/>
      <c r="F2979" s="244"/>
      <c r="G2979" s="244"/>
      <c r="I2979" s="244"/>
      <c r="J2979" s="244"/>
      <c r="K2979" s="246" t="e">
        <f t="shared" si="322"/>
        <v>#VALUE!</v>
      </c>
      <c r="L2979" s="246" t="e">
        <f t="shared" si="323"/>
        <v>#VALUE!</v>
      </c>
      <c r="M2979" s="247" t="e">
        <f t="shared" si="324"/>
        <v>#VALUE!</v>
      </c>
      <c r="N2979" s="246" t="e">
        <f t="shared" si="325"/>
        <v>#VALUE!</v>
      </c>
      <c r="O2979" s="247" t="e">
        <f t="shared" si="326"/>
        <v>#VALUE!</v>
      </c>
      <c r="P2979" s="247">
        <f t="shared" si="327"/>
        <v>0</v>
      </c>
      <c r="Q2979" s="247" t="e">
        <f t="shared" si="328"/>
        <v>#VALUE!</v>
      </c>
    </row>
    <row r="2980" spans="1:17" ht="15" customHeight="1" x14ac:dyDescent="0.25">
      <c r="A2980" s="244"/>
      <c r="B2980" s="244"/>
      <c r="C2980" s="244"/>
      <c r="D2980" s="244"/>
      <c r="E2980" s="244"/>
      <c r="F2980" s="244"/>
      <c r="G2980" s="244"/>
      <c r="I2980" s="244"/>
      <c r="J2980" s="244"/>
      <c r="K2980" s="246" t="e">
        <f t="shared" si="322"/>
        <v>#VALUE!</v>
      </c>
      <c r="L2980" s="246" t="e">
        <f t="shared" si="323"/>
        <v>#VALUE!</v>
      </c>
      <c r="M2980" s="247" t="e">
        <f t="shared" si="324"/>
        <v>#VALUE!</v>
      </c>
      <c r="N2980" s="246" t="e">
        <f t="shared" si="325"/>
        <v>#VALUE!</v>
      </c>
      <c r="O2980" s="247" t="e">
        <f t="shared" si="326"/>
        <v>#VALUE!</v>
      </c>
      <c r="P2980" s="247">
        <f t="shared" si="327"/>
        <v>0</v>
      </c>
      <c r="Q2980" s="247" t="e">
        <f t="shared" si="328"/>
        <v>#VALUE!</v>
      </c>
    </row>
    <row r="2981" spans="1:17" ht="15" customHeight="1" x14ac:dyDescent="0.25">
      <c r="A2981" s="244"/>
      <c r="B2981" s="244"/>
      <c r="C2981" s="244"/>
      <c r="D2981" s="244"/>
      <c r="E2981" s="244"/>
      <c r="F2981" s="244"/>
      <c r="G2981" s="244"/>
      <c r="I2981" s="244"/>
      <c r="J2981" s="244"/>
      <c r="K2981" s="246" t="e">
        <f t="shared" si="322"/>
        <v>#VALUE!</v>
      </c>
      <c r="L2981" s="246" t="e">
        <f t="shared" si="323"/>
        <v>#VALUE!</v>
      </c>
      <c r="M2981" s="247" t="e">
        <f t="shared" si="324"/>
        <v>#VALUE!</v>
      </c>
      <c r="N2981" s="246" t="e">
        <f t="shared" si="325"/>
        <v>#VALUE!</v>
      </c>
      <c r="O2981" s="247" t="e">
        <f t="shared" si="326"/>
        <v>#VALUE!</v>
      </c>
      <c r="P2981" s="247">
        <f t="shared" si="327"/>
        <v>0</v>
      </c>
      <c r="Q2981" s="247" t="e">
        <f t="shared" si="328"/>
        <v>#VALUE!</v>
      </c>
    </row>
    <row r="2982" spans="1:17" ht="15" customHeight="1" x14ac:dyDescent="0.25">
      <c r="A2982" s="244"/>
      <c r="B2982" s="244"/>
      <c r="C2982" s="244"/>
      <c r="D2982" s="244"/>
      <c r="E2982" s="244"/>
      <c r="F2982" s="244"/>
      <c r="G2982" s="244"/>
      <c r="I2982" s="244"/>
      <c r="J2982" s="244"/>
      <c r="K2982" s="246" t="e">
        <f t="shared" si="322"/>
        <v>#VALUE!</v>
      </c>
      <c r="L2982" s="246" t="e">
        <f t="shared" si="323"/>
        <v>#VALUE!</v>
      </c>
      <c r="M2982" s="247" t="e">
        <f t="shared" si="324"/>
        <v>#VALUE!</v>
      </c>
      <c r="N2982" s="246" t="e">
        <f t="shared" si="325"/>
        <v>#VALUE!</v>
      </c>
      <c r="O2982" s="247" t="e">
        <f t="shared" si="326"/>
        <v>#VALUE!</v>
      </c>
      <c r="P2982" s="247">
        <f t="shared" si="327"/>
        <v>0</v>
      </c>
      <c r="Q2982" s="247" t="e">
        <f t="shared" si="328"/>
        <v>#VALUE!</v>
      </c>
    </row>
    <row r="2983" spans="1:17" ht="15" customHeight="1" x14ac:dyDescent="0.25">
      <c r="A2983" s="244"/>
      <c r="B2983" s="244"/>
      <c r="C2983" s="244"/>
      <c r="D2983" s="244"/>
      <c r="E2983" s="244"/>
      <c r="F2983" s="244"/>
      <c r="G2983" s="244"/>
      <c r="I2983" s="244"/>
      <c r="J2983" s="244"/>
      <c r="K2983" s="246" t="e">
        <f t="shared" si="322"/>
        <v>#VALUE!</v>
      </c>
      <c r="L2983" s="246" t="e">
        <f t="shared" si="323"/>
        <v>#VALUE!</v>
      </c>
      <c r="M2983" s="247" t="e">
        <f t="shared" si="324"/>
        <v>#VALUE!</v>
      </c>
      <c r="N2983" s="246" t="e">
        <f t="shared" si="325"/>
        <v>#VALUE!</v>
      </c>
      <c r="O2983" s="247" t="e">
        <f t="shared" si="326"/>
        <v>#VALUE!</v>
      </c>
      <c r="P2983" s="247">
        <f t="shared" si="327"/>
        <v>0</v>
      </c>
      <c r="Q2983" s="247" t="e">
        <f t="shared" si="328"/>
        <v>#VALUE!</v>
      </c>
    </row>
    <row r="2984" spans="1:17" ht="15" customHeight="1" x14ac:dyDescent="0.25">
      <c r="A2984" s="244"/>
      <c r="B2984" s="244"/>
      <c r="C2984" s="244"/>
      <c r="D2984" s="244"/>
      <c r="E2984" s="244"/>
      <c r="F2984" s="244"/>
      <c r="G2984" s="244"/>
      <c r="I2984" s="244"/>
      <c r="J2984" s="244"/>
      <c r="K2984" s="246" t="e">
        <f t="shared" si="322"/>
        <v>#VALUE!</v>
      </c>
      <c r="L2984" s="246" t="e">
        <f t="shared" si="323"/>
        <v>#VALUE!</v>
      </c>
      <c r="M2984" s="247" t="e">
        <f t="shared" si="324"/>
        <v>#VALUE!</v>
      </c>
      <c r="N2984" s="246" t="e">
        <f t="shared" si="325"/>
        <v>#VALUE!</v>
      </c>
      <c r="O2984" s="247" t="e">
        <f t="shared" si="326"/>
        <v>#VALUE!</v>
      </c>
      <c r="P2984" s="247">
        <f t="shared" si="327"/>
        <v>0</v>
      </c>
      <c r="Q2984" s="247" t="e">
        <f t="shared" si="328"/>
        <v>#VALUE!</v>
      </c>
    </row>
    <row r="2985" spans="1:17" ht="15" customHeight="1" x14ac:dyDescent="0.25">
      <c r="A2985" s="244"/>
      <c r="B2985" s="244"/>
      <c r="C2985" s="244"/>
      <c r="D2985" s="244"/>
      <c r="E2985" s="244"/>
      <c r="F2985" s="244"/>
      <c r="G2985" s="244"/>
      <c r="I2985" s="244"/>
      <c r="J2985" s="244"/>
      <c r="K2985" s="246" t="e">
        <f t="shared" si="322"/>
        <v>#VALUE!</v>
      </c>
      <c r="L2985" s="246" t="e">
        <f t="shared" si="323"/>
        <v>#VALUE!</v>
      </c>
      <c r="M2985" s="247" t="e">
        <f t="shared" si="324"/>
        <v>#VALUE!</v>
      </c>
      <c r="N2985" s="246" t="e">
        <f t="shared" si="325"/>
        <v>#VALUE!</v>
      </c>
      <c r="O2985" s="247" t="e">
        <f t="shared" si="326"/>
        <v>#VALUE!</v>
      </c>
      <c r="P2985" s="247">
        <f t="shared" si="327"/>
        <v>0</v>
      </c>
      <c r="Q2985" s="247" t="e">
        <f t="shared" si="328"/>
        <v>#VALUE!</v>
      </c>
    </row>
    <row r="2986" spans="1:17" ht="15" customHeight="1" x14ac:dyDescent="0.25">
      <c r="A2986" s="244"/>
      <c r="B2986" s="244"/>
      <c r="C2986" s="244"/>
      <c r="D2986" s="244"/>
      <c r="E2986" s="244"/>
      <c r="F2986" s="244"/>
      <c r="G2986" s="244"/>
      <c r="I2986" s="244"/>
      <c r="J2986" s="244"/>
      <c r="K2986" s="246" t="e">
        <f t="shared" si="322"/>
        <v>#VALUE!</v>
      </c>
      <c r="L2986" s="246" t="e">
        <f t="shared" si="323"/>
        <v>#VALUE!</v>
      </c>
      <c r="M2986" s="247" t="e">
        <f t="shared" si="324"/>
        <v>#VALUE!</v>
      </c>
      <c r="N2986" s="246" t="e">
        <f t="shared" si="325"/>
        <v>#VALUE!</v>
      </c>
      <c r="O2986" s="247" t="e">
        <f t="shared" si="326"/>
        <v>#VALUE!</v>
      </c>
      <c r="P2986" s="247">
        <f t="shared" si="327"/>
        <v>0</v>
      </c>
      <c r="Q2986" s="247" t="e">
        <f t="shared" si="328"/>
        <v>#VALUE!</v>
      </c>
    </row>
    <row r="2987" spans="1:17" ht="15" customHeight="1" x14ac:dyDescent="0.25">
      <c r="A2987" s="244"/>
      <c r="B2987" s="244"/>
      <c r="C2987" s="244"/>
      <c r="D2987" s="244"/>
      <c r="E2987" s="244"/>
      <c r="F2987" s="244"/>
      <c r="G2987" s="244"/>
      <c r="I2987" s="244"/>
      <c r="J2987" s="244"/>
      <c r="K2987" s="246" t="e">
        <f t="shared" si="322"/>
        <v>#VALUE!</v>
      </c>
      <c r="L2987" s="246" t="e">
        <f t="shared" si="323"/>
        <v>#VALUE!</v>
      </c>
      <c r="M2987" s="247" t="e">
        <f t="shared" si="324"/>
        <v>#VALUE!</v>
      </c>
      <c r="N2987" s="246" t="e">
        <f t="shared" si="325"/>
        <v>#VALUE!</v>
      </c>
      <c r="O2987" s="247" t="e">
        <f t="shared" si="326"/>
        <v>#VALUE!</v>
      </c>
      <c r="P2987" s="247">
        <f t="shared" si="327"/>
        <v>0</v>
      </c>
      <c r="Q2987" s="247" t="e">
        <f t="shared" si="328"/>
        <v>#VALUE!</v>
      </c>
    </row>
    <row r="2988" spans="1:17" ht="15" customHeight="1" x14ac:dyDescent="0.25">
      <c r="A2988" s="244"/>
      <c r="B2988" s="244"/>
      <c r="C2988" s="244"/>
      <c r="D2988" s="244"/>
      <c r="E2988" s="244"/>
      <c r="F2988" s="244"/>
      <c r="G2988" s="244"/>
      <c r="I2988" s="244"/>
      <c r="J2988" s="244"/>
      <c r="K2988" s="246" t="e">
        <f t="shared" si="322"/>
        <v>#VALUE!</v>
      </c>
      <c r="L2988" s="246" t="e">
        <f t="shared" si="323"/>
        <v>#VALUE!</v>
      </c>
      <c r="M2988" s="247" t="e">
        <f t="shared" si="324"/>
        <v>#VALUE!</v>
      </c>
      <c r="N2988" s="246" t="e">
        <f t="shared" si="325"/>
        <v>#VALUE!</v>
      </c>
      <c r="O2988" s="247" t="e">
        <f t="shared" si="326"/>
        <v>#VALUE!</v>
      </c>
      <c r="P2988" s="247">
        <f t="shared" si="327"/>
        <v>0</v>
      </c>
      <c r="Q2988" s="247" t="e">
        <f t="shared" si="328"/>
        <v>#VALUE!</v>
      </c>
    </row>
    <row r="2989" spans="1:17" ht="15" customHeight="1" x14ac:dyDescent="0.25">
      <c r="A2989" s="244"/>
      <c r="B2989" s="244"/>
      <c r="C2989" s="244"/>
      <c r="D2989" s="244"/>
      <c r="E2989" s="244"/>
      <c r="F2989" s="244"/>
      <c r="G2989" s="244"/>
      <c r="I2989" s="244"/>
      <c r="J2989" s="244"/>
      <c r="K2989" s="246" t="e">
        <f t="shared" si="322"/>
        <v>#VALUE!</v>
      </c>
      <c r="L2989" s="246" t="e">
        <f t="shared" si="323"/>
        <v>#VALUE!</v>
      </c>
      <c r="M2989" s="247" t="e">
        <f t="shared" si="324"/>
        <v>#VALUE!</v>
      </c>
      <c r="N2989" s="246" t="e">
        <f t="shared" si="325"/>
        <v>#VALUE!</v>
      </c>
      <c r="O2989" s="247" t="e">
        <f t="shared" si="326"/>
        <v>#VALUE!</v>
      </c>
      <c r="P2989" s="247">
        <f t="shared" si="327"/>
        <v>0</v>
      </c>
      <c r="Q2989" s="247" t="e">
        <f t="shared" si="328"/>
        <v>#VALUE!</v>
      </c>
    </row>
    <row r="2990" spans="1:17" ht="15" customHeight="1" x14ac:dyDescent="0.25">
      <c r="A2990" s="244"/>
      <c r="B2990" s="244"/>
      <c r="C2990" s="244"/>
      <c r="D2990" s="244"/>
      <c r="E2990" s="244"/>
      <c r="F2990" s="244"/>
      <c r="G2990" s="244"/>
      <c r="I2990" s="244"/>
      <c r="J2990" s="244"/>
      <c r="K2990" s="246" t="e">
        <f t="shared" si="322"/>
        <v>#VALUE!</v>
      </c>
      <c r="L2990" s="246" t="e">
        <f t="shared" si="323"/>
        <v>#VALUE!</v>
      </c>
      <c r="M2990" s="247" t="e">
        <f t="shared" si="324"/>
        <v>#VALUE!</v>
      </c>
      <c r="N2990" s="246" t="e">
        <f t="shared" si="325"/>
        <v>#VALUE!</v>
      </c>
      <c r="O2990" s="247" t="e">
        <f t="shared" si="326"/>
        <v>#VALUE!</v>
      </c>
      <c r="P2990" s="247">
        <f t="shared" si="327"/>
        <v>0</v>
      </c>
      <c r="Q2990" s="247" t="e">
        <f t="shared" si="328"/>
        <v>#VALUE!</v>
      </c>
    </row>
    <row r="2991" spans="1:17" ht="15" customHeight="1" x14ac:dyDescent="0.25">
      <c r="A2991" s="244"/>
      <c r="B2991" s="244"/>
      <c r="C2991" s="244"/>
      <c r="D2991" s="244"/>
      <c r="E2991" s="244"/>
      <c r="F2991" s="244"/>
      <c r="G2991" s="244"/>
      <c r="I2991" s="244"/>
      <c r="J2991" s="244"/>
      <c r="K2991" s="246" t="e">
        <f t="shared" si="322"/>
        <v>#VALUE!</v>
      </c>
      <c r="L2991" s="246" t="e">
        <f t="shared" si="323"/>
        <v>#VALUE!</v>
      </c>
      <c r="M2991" s="247" t="e">
        <f t="shared" si="324"/>
        <v>#VALUE!</v>
      </c>
      <c r="N2991" s="246" t="e">
        <f t="shared" si="325"/>
        <v>#VALUE!</v>
      </c>
      <c r="O2991" s="247" t="e">
        <f t="shared" si="326"/>
        <v>#VALUE!</v>
      </c>
      <c r="P2991" s="247">
        <f t="shared" si="327"/>
        <v>0</v>
      </c>
      <c r="Q2991" s="247" t="e">
        <f t="shared" si="328"/>
        <v>#VALUE!</v>
      </c>
    </row>
    <row r="2992" spans="1:17" ht="15" customHeight="1" x14ac:dyDescent="0.25">
      <c r="A2992" s="244"/>
      <c r="B2992" s="244"/>
      <c r="C2992" s="244"/>
      <c r="D2992" s="244"/>
      <c r="E2992" s="244"/>
      <c r="F2992" s="244"/>
      <c r="G2992" s="244"/>
      <c r="I2992" s="244"/>
      <c r="J2992" s="244"/>
      <c r="K2992" s="246" t="e">
        <f t="shared" si="322"/>
        <v>#VALUE!</v>
      </c>
      <c r="L2992" s="246" t="e">
        <f t="shared" si="323"/>
        <v>#VALUE!</v>
      </c>
      <c r="M2992" s="247" t="e">
        <f t="shared" si="324"/>
        <v>#VALUE!</v>
      </c>
      <c r="N2992" s="246" t="e">
        <f t="shared" si="325"/>
        <v>#VALUE!</v>
      </c>
      <c r="O2992" s="247" t="e">
        <f t="shared" si="326"/>
        <v>#VALUE!</v>
      </c>
      <c r="P2992" s="247">
        <f t="shared" si="327"/>
        <v>0</v>
      </c>
      <c r="Q2992" s="247" t="e">
        <f t="shared" si="328"/>
        <v>#VALUE!</v>
      </c>
    </row>
    <row r="2993" spans="1:17" ht="15" customHeight="1" x14ac:dyDescent="0.25">
      <c r="A2993" s="244"/>
      <c r="B2993" s="244"/>
      <c r="C2993" s="244"/>
      <c r="D2993" s="244"/>
      <c r="E2993" s="244"/>
      <c r="F2993" s="244"/>
      <c r="G2993" s="244"/>
      <c r="I2993" s="244"/>
      <c r="J2993" s="244"/>
      <c r="K2993" s="246" t="e">
        <f t="shared" si="322"/>
        <v>#VALUE!</v>
      </c>
      <c r="L2993" s="246" t="e">
        <f t="shared" si="323"/>
        <v>#VALUE!</v>
      </c>
      <c r="M2993" s="247" t="e">
        <f t="shared" si="324"/>
        <v>#VALUE!</v>
      </c>
      <c r="N2993" s="246" t="e">
        <f t="shared" si="325"/>
        <v>#VALUE!</v>
      </c>
      <c r="O2993" s="247" t="e">
        <f t="shared" si="326"/>
        <v>#VALUE!</v>
      </c>
      <c r="P2993" s="247">
        <f t="shared" si="327"/>
        <v>0</v>
      </c>
      <c r="Q2993" s="247" t="e">
        <f t="shared" si="328"/>
        <v>#VALUE!</v>
      </c>
    </row>
    <row r="2994" spans="1:17" ht="15" customHeight="1" x14ac:dyDescent="0.25">
      <c r="A2994" s="244"/>
      <c r="B2994" s="244"/>
      <c r="C2994" s="244"/>
      <c r="D2994" s="244"/>
      <c r="E2994" s="244"/>
      <c r="F2994" s="244"/>
      <c r="G2994" s="244"/>
      <c r="I2994" s="244"/>
      <c r="J2994" s="244"/>
      <c r="K2994" s="246" t="e">
        <f t="shared" si="322"/>
        <v>#VALUE!</v>
      </c>
      <c r="L2994" s="246" t="e">
        <f t="shared" si="323"/>
        <v>#VALUE!</v>
      </c>
      <c r="M2994" s="247" t="e">
        <f t="shared" si="324"/>
        <v>#VALUE!</v>
      </c>
      <c r="N2994" s="246" t="e">
        <f t="shared" si="325"/>
        <v>#VALUE!</v>
      </c>
      <c r="O2994" s="247" t="e">
        <f t="shared" si="326"/>
        <v>#VALUE!</v>
      </c>
      <c r="P2994" s="247">
        <f t="shared" si="327"/>
        <v>0</v>
      </c>
      <c r="Q2994" s="247" t="e">
        <f t="shared" si="328"/>
        <v>#VALUE!</v>
      </c>
    </row>
    <row r="2995" spans="1:17" ht="15" customHeight="1" x14ac:dyDescent="0.25">
      <c r="A2995" s="244"/>
      <c r="B2995" s="244"/>
      <c r="C2995" s="244"/>
      <c r="D2995" s="244"/>
      <c r="E2995" s="244"/>
      <c r="F2995" s="244"/>
      <c r="G2995" s="244"/>
      <c r="I2995" s="244"/>
      <c r="J2995" s="244"/>
      <c r="K2995" s="246" t="e">
        <f t="shared" si="322"/>
        <v>#VALUE!</v>
      </c>
      <c r="L2995" s="246" t="e">
        <f t="shared" si="323"/>
        <v>#VALUE!</v>
      </c>
      <c r="M2995" s="247" t="e">
        <f t="shared" si="324"/>
        <v>#VALUE!</v>
      </c>
      <c r="N2995" s="246" t="e">
        <f t="shared" si="325"/>
        <v>#VALUE!</v>
      </c>
      <c r="O2995" s="247" t="e">
        <f t="shared" si="326"/>
        <v>#VALUE!</v>
      </c>
      <c r="P2995" s="247">
        <f t="shared" si="327"/>
        <v>0</v>
      </c>
      <c r="Q2995" s="247" t="e">
        <f t="shared" si="328"/>
        <v>#VALUE!</v>
      </c>
    </row>
    <row r="2996" spans="1:17" ht="15" customHeight="1" x14ac:dyDescent="0.25">
      <c r="A2996" s="244"/>
      <c r="B2996" s="244"/>
      <c r="C2996" s="244"/>
      <c r="D2996" s="244"/>
      <c r="E2996" s="244"/>
      <c r="F2996" s="244"/>
      <c r="G2996" s="244"/>
      <c r="I2996" s="244"/>
      <c r="J2996" s="244"/>
      <c r="K2996" s="246" t="e">
        <f t="shared" si="322"/>
        <v>#VALUE!</v>
      </c>
      <c r="L2996" s="246" t="e">
        <f t="shared" si="323"/>
        <v>#VALUE!</v>
      </c>
      <c r="M2996" s="247" t="e">
        <f t="shared" si="324"/>
        <v>#VALUE!</v>
      </c>
      <c r="N2996" s="246" t="e">
        <f t="shared" si="325"/>
        <v>#VALUE!</v>
      </c>
      <c r="O2996" s="247" t="e">
        <f t="shared" si="326"/>
        <v>#VALUE!</v>
      </c>
      <c r="P2996" s="247">
        <f t="shared" si="327"/>
        <v>0</v>
      </c>
      <c r="Q2996" s="247" t="e">
        <f t="shared" si="328"/>
        <v>#VALUE!</v>
      </c>
    </row>
    <row r="2997" spans="1:17" ht="15" customHeight="1" x14ac:dyDescent="0.25">
      <c r="A2997" s="244"/>
      <c r="B2997" s="244"/>
      <c r="C2997" s="244"/>
      <c r="D2997" s="244"/>
      <c r="E2997" s="244"/>
      <c r="F2997" s="244"/>
      <c r="G2997" s="244"/>
      <c r="I2997" s="244"/>
      <c r="J2997" s="244"/>
      <c r="K2997" s="246" t="e">
        <f t="shared" si="322"/>
        <v>#VALUE!</v>
      </c>
      <c r="L2997" s="246" t="e">
        <f t="shared" si="323"/>
        <v>#VALUE!</v>
      </c>
      <c r="M2997" s="247" t="e">
        <f t="shared" si="324"/>
        <v>#VALUE!</v>
      </c>
      <c r="N2997" s="246" t="e">
        <f t="shared" si="325"/>
        <v>#VALUE!</v>
      </c>
      <c r="O2997" s="247" t="e">
        <f t="shared" si="326"/>
        <v>#VALUE!</v>
      </c>
      <c r="P2997" s="247">
        <f t="shared" si="327"/>
        <v>0</v>
      </c>
      <c r="Q2997" s="247" t="e">
        <f t="shared" si="328"/>
        <v>#VALUE!</v>
      </c>
    </row>
    <row r="2998" spans="1:17" ht="15" customHeight="1" x14ac:dyDescent="0.25">
      <c r="A2998" s="244"/>
      <c r="B2998" s="244"/>
      <c r="C2998" s="244"/>
      <c r="D2998" s="244"/>
      <c r="E2998" s="244"/>
      <c r="F2998" s="244"/>
      <c r="G2998" s="244"/>
      <c r="I2998" s="244"/>
      <c r="J2998" s="244"/>
      <c r="K2998" s="246" t="e">
        <f t="shared" si="322"/>
        <v>#VALUE!</v>
      </c>
      <c r="L2998" s="246" t="e">
        <f t="shared" si="323"/>
        <v>#VALUE!</v>
      </c>
      <c r="M2998" s="247" t="e">
        <f t="shared" si="324"/>
        <v>#VALUE!</v>
      </c>
      <c r="N2998" s="246" t="e">
        <f t="shared" si="325"/>
        <v>#VALUE!</v>
      </c>
      <c r="O2998" s="247" t="e">
        <f t="shared" si="326"/>
        <v>#VALUE!</v>
      </c>
      <c r="P2998" s="247">
        <f t="shared" si="327"/>
        <v>0</v>
      </c>
      <c r="Q2998" s="247" t="e">
        <f t="shared" si="328"/>
        <v>#VALUE!</v>
      </c>
    </row>
    <row r="2999" spans="1:17" ht="15" customHeight="1" x14ac:dyDescent="0.25">
      <c r="A2999" s="244"/>
      <c r="B2999" s="244"/>
      <c r="C2999" s="244"/>
      <c r="D2999" s="244"/>
      <c r="E2999" s="244"/>
      <c r="F2999" s="244"/>
      <c r="G2999" s="244"/>
      <c r="I2999" s="244"/>
      <c r="J2999" s="244"/>
      <c r="K2999" s="246" t="e">
        <f t="shared" si="322"/>
        <v>#VALUE!</v>
      </c>
      <c r="L2999" s="246" t="e">
        <f t="shared" si="323"/>
        <v>#VALUE!</v>
      </c>
      <c r="M2999" s="247" t="e">
        <f t="shared" si="324"/>
        <v>#VALUE!</v>
      </c>
      <c r="N2999" s="246" t="e">
        <f t="shared" si="325"/>
        <v>#VALUE!</v>
      </c>
      <c r="O2999" s="247" t="e">
        <f t="shared" si="326"/>
        <v>#VALUE!</v>
      </c>
      <c r="P2999" s="247">
        <f t="shared" si="327"/>
        <v>0</v>
      </c>
      <c r="Q2999" s="247" t="e">
        <f t="shared" si="328"/>
        <v>#VALUE!</v>
      </c>
    </row>
    <row r="3000" spans="1:17" ht="15" customHeight="1" x14ac:dyDescent="0.25">
      <c r="A3000" s="244"/>
      <c r="B3000" s="244"/>
      <c r="C3000" s="244"/>
      <c r="D3000" s="244"/>
      <c r="E3000" s="244"/>
      <c r="F3000" s="244"/>
      <c r="G3000" s="244"/>
      <c r="I3000" s="244"/>
      <c r="J3000" s="244"/>
      <c r="K3000" s="246" t="e">
        <f t="shared" si="322"/>
        <v>#VALUE!</v>
      </c>
      <c r="L3000" s="246" t="e">
        <f t="shared" si="323"/>
        <v>#VALUE!</v>
      </c>
      <c r="M3000" s="247" t="e">
        <f t="shared" si="324"/>
        <v>#VALUE!</v>
      </c>
      <c r="N3000" s="246" t="e">
        <f t="shared" si="325"/>
        <v>#VALUE!</v>
      </c>
      <c r="O3000" s="247" t="e">
        <f t="shared" si="326"/>
        <v>#VALUE!</v>
      </c>
      <c r="P3000" s="247">
        <f t="shared" si="327"/>
        <v>0</v>
      </c>
      <c r="Q3000" s="247" t="e">
        <f t="shared" si="328"/>
        <v>#VALUE!</v>
      </c>
    </row>
    <row r="3001" spans="1:17" ht="15" customHeight="1" x14ac:dyDescent="0.25">
      <c r="A3001" s="244"/>
      <c r="B3001" s="244"/>
      <c r="C3001" s="244"/>
      <c r="D3001" s="244"/>
      <c r="E3001" s="244"/>
      <c r="F3001" s="244"/>
      <c r="G3001" s="244"/>
      <c r="I3001" s="244"/>
      <c r="J3001" s="244"/>
      <c r="K3001" s="246" t="e">
        <f t="shared" si="322"/>
        <v>#VALUE!</v>
      </c>
      <c r="L3001" s="246" t="e">
        <f t="shared" si="323"/>
        <v>#VALUE!</v>
      </c>
      <c r="M3001" s="247" t="e">
        <f t="shared" si="324"/>
        <v>#VALUE!</v>
      </c>
      <c r="N3001" s="246" t="e">
        <f t="shared" si="325"/>
        <v>#VALUE!</v>
      </c>
      <c r="O3001" s="247" t="e">
        <f t="shared" si="326"/>
        <v>#VALUE!</v>
      </c>
      <c r="P3001" s="247">
        <f t="shared" si="327"/>
        <v>0</v>
      </c>
      <c r="Q3001" s="247" t="e">
        <f t="shared" si="328"/>
        <v>#VALUE!</v>
      </c>
    </row>
    <row r="3002" spans="1:17" ht="15" customHeight="1" x14ac:dyDescent="0.25">
      <c r="A3002" s="244"/>
      <c r="B3002" s="244"/>
      <c r="C3002" s="244"/>
      <c r="D3002" s="244"/>
      <c r="E3002" s="244"/>
      <c r="F3002" s="244"/>
      <c r="G3002" s="244"/>
      <c r="I3002" s="244"/>
      <c r="J3002" s="244"/>
      <c r="K3002" s="246" t="e">
        <f t="shared" si="322"/>
        <v>#VALUE!</v>
      </c>
      <c r="L3002" s="246" t="e">
        <f t="shared" si="323"/>
        <v>#VALUE!</v>
      </c>
      <c r="M3002" s="247" t="e">
        <f t="shared" si="324"/>
        <v>#VALUE!</v>
      </c>
      <c r="N3002" s="246" t="e">
        <f t="shared" si="325"/>
        <v>#VALUE!</v>
      </c>
      <c r="O3002" s="247" t="e">
        <f t="shared" si="326"/>
        <v>#VALUE!</v>
      </c>
      <c r="P3002" s="247">
        <f t="shared" si="327"/>
        <v>0</v>
      </c>
      <c r="Q3002" s="247" t="e">
        <f t="shared" si="328"/>
        <v>#VALUE!</v>
      </c>
    </row>
    <row r="3003" spans="1:17" ht="15" customHeight="1" x14ac:dyDescent="0.25">
      <c r="A3003" s="244"/>
      <c r="B3003" s="244"/>
      <c r="C3003" s="244"/>
      <c r="D3003" s="244"/>
      <c r="E3003" s="244"/>
      <c r="F3003" s="244"/>
      <c r="G3003" s="244"/>
      <c r="I3003" s="244"/>
      <c r="J3003" s="244"/>
      <c r="K3003" s="246" t="e">
        <f t="shared" si="322"/>
        <v>#VALUE!</v>
      </c>
      <c r="L3003" s="246" t="e">
        <f t="shared" si="323"/>
        <v>#VALUE!</v>
      </c>
      <c r="M3003" s="247" t="e">
        <f t="shared" si="324"/>
        <v>#VALUE!</v>
      </c>
      <c r="N3003" s="246" t="e">
        <f t="shared" si="325"/>
        <v>#VALUE!</v>
      </c>
      <c r="O3003" s="247" t="e">
        <f t="shared" si="326"/>
        <v>#VALUE!</v>
      </c>
      <c r="P3003" s="247">
        <f t="shared" si="327"/>
        <v>0</v>
      </c>
      <c r="Q3003" s="247" t="e">
        <f t="shared" si="328"/>
        <v>#VALUE!</v>
      </c>
    </row>
    <row r="3004" spans="1:17" ht="15" customHeight="1" x14ac:dyDescent="0.25">
      <c r="A3004" s="244"/>
      <c r="B3004" s="244"/>
      <c r="C3004" s="244"/>
      <c r="D3004" s="244"/>
      <c r="E3004" s="244"/>
      <c r="F3004" s="244"/>
      <c r="G3004" s="244"/>
      <c r="I3004" s="244"/>
      <c r="J3004" s="244"/>
      <c r="K3004" s="246" t="e">
        <f t="shared" si="322"/>
        <v>#VALUE!</v>
      </c>
      <c r="L3004" s="246" t="e">
        <f t="shared" si="323"/>
        <v>#VALUE!</v>
      </c>
      <c r="M3004" s="247" t="e">
        <f t="shared" si="324"/>
        <v>#VALUE!</v>
      </c>
      <c r="N3004" s="246" t="e">
        <f t="shared" si="325"/>
        <v>#VALUE!</v>
      </c>
      <c r="O3004" s="247" t="e">
        <f t="shared" si="326"/>
        <v>#VALUE!</v>
      </c>
      <c r="P3004" s="247">
        <f t="shared" si="327"/>
        <v>0</v>
      </c>
      <c r="Q3004" s="247" t="e">
        <f t="shared" si="328"/>
        <v>#VALUE!</v>
      </c>
    </row>
    <row r="3005" spans="1:17" ht="15" customHeight="1" x14ac:dyDescent="0.25">
      <c r="A3005" s="244"/>
      <c r="B3005" s="244"/>
      <c r="C3005" s="244"/>
      <c r="D3005" s="244"/>
      <c r="E3005" s="244"/>
      <c r="F3005" s="244"/>
      <c r="G3005" s="244"/>
      <c r="I3005" s="244"/>
      <c r="J3005" s="244"/>
      <c r="K3005" s="246" t="e">
        <f t="shared" si="322"/>
        <v>#VALUE!</v>
      </c>
      <c r="L3005" s="246" t="e">
        <f t="shared" si="323"/>
        <v>#VALUE!</v>
      </c>
      <c r="M3005" s="247" t="e">
        <f t="shared" si="324"/>
        <v>#VALUE!</v>
      </c>
      <c r="N3005" s="246" t="e">
        <f t="shared" si="325"/>
        <v>#VALUE!</v>
      </c>
      <c r="O3005" s="247" t="e">
        <f t="shared" si="326"/>
        <v>#VALUE!</v>
      </c>
      <c r="P3005" s="247">
        <f t="shared" si="327"/>
        <v>0</v>
      </c>
      <c r="Q3005" s="247" t="e">
        <f t="shared" si="328"/>
        <v>#VALUE!</v>
      </c>
    </row>
    <row r="3006" spans="1:17" ht="15" customHeight="1" x14ac:dyDescent="0.25">
      <c r="A3006" s="244"/>
      <c r="B3006" s="244"/>
      <c r="C3006" s="244"/>
      <c r="D3006" s="244"/>
      <c r="E3006" s="244"/>
      <c r="F3006" s="244"/>
      <c r="G3006" s="244"/>
      <c r="I3006" s="244"/>
      <c r="J3006" s="244"/>
      <c r="K3006" s="246" t="e">
        <f t="shared" si="322"/>
        <v>#VALUE!</v>
      </c>
      <c r="L3006" s="246" t="e">
        <f t="shared" si="323"/>
        <v>#VALUE!</v>
      </c>
      <c r="M3006" s="247" t="e">
        <f t="shared" si="324"/>
        <v>#VALUE!</v>
      </c>
      <c r="N3006" s="246" t="e">
        <f t="shared" si="325"/>
        <v>#VALUE!</v>
      </c>
      <c r="O3006" s="247" t="e">
        <f t="shared" si="326"/>
        <v>#VALUE!</v>
      </c>
      <c r="P3006" s="247">
        <f t="shared" si="327"/>
        <v>0</v>
      </c>
      <c r="Q3006" s="247" t="e">
        <f t="shared" si="328"/>
        <v>#VALUE!</v>
      </c>
    </row>
    <row r="3007" spans="1:17" ht="15" customHeight="1" x14ac:dyDescent="0.25">
      <c r="A3007" s="244"/>
      <c r="B3007" s="244"/>
      <c r="C3007" s="244"/>
      <c r="D3007" s="244"/>
      <c r="E3007" s="244"/>
      <c r="F3007" s="244"/>
      <c r="G3007" s="244"/>
      <c r="I3007" s="244"/>
      <c r="J3007" s="244"/>
      <c r="K3007" s="246" t="e">
        <f t="shared" si="322"/>
        <v>#VALUE!</v>
      </c>
      <c r="L3007" s="246" t="e">
        <f t="shared" si="323"/>
        <v>#VALUE!</v>
      </c>
      <c r="M3007" s="247" t="e">
        <f t="shared" si="324"/>
        <v>#VALUE!</v>
      </c>
      <c r="N3007" s="246" t="e">
        <f t="shared" si="325"/>
        <v>#VALUE!</v>
      </c>
      <c r="O3007" s="247" t="e">
        <f t="shared" si="326"/>
        <v>#VALUE!</v>
      </c>
      <c r="P3007" s="247">
        <f t="shared" si="327"/>
        <v>0</v>
      </c>
      <c r="Q3007" s="247" t="e">
        <f t="shared" si="328"/>
        <v>#VALUE!</v>
      </c>
    </row>
    <row r="3008" spans="1:17" ht="15" customHeight="1" x14ac:dyDescent="0.25">
      <c r="A3008" s="244"/>
      <c r="B3008" s="244"/>
      <c r="C3008" s="244"/>
      <c r="D3008" s="244"/>
      <c r="E3008" s="244"/>
      <c r="F3008" s="244"/>
      <c r="G3008" s="244"/>
      <c r="I3008" s="244"/>
      <c r="J3008" s="244"/>
      <c r="K3008" s="246" t="e">
        <f t="shared" si="322"/>
        <v>#VALUE!</v>
      </c>
      <c r="L3008" s="246" t="e">
        <f t="shared" si="323"/>
        <v>#VALUE!</v>
      </c>
      <c r="M3008" s="247" t="e">
        <f t="shared" si="324"/>
        <v>#VALUE!</v>
      </c>
      <c r="N3008" s="246" t="e">
        <f t="shared" si="325"/>
        <v>#VALUE!</v>
      </c>
      <c r="O3008" s="247" t="e">
        <f t="shared" si="326"/>
        <v>#VALUE!</v>
      </c>
      <c r="P3008" s="247">
        <f t="shared" si="327"/>
        <v>0</v>
      </c>
      <c r="Q3008" s="247" t="e">
        <f t="shared" si="328"/>
        <v>#VALUE!</v>
      </c>
    </row>
    <row r="3009" spans="1:17" ht="15" customHeight="1" x14ac:dyDescent="0.25">
      <c r="A3009" s="244"/>
      <c r="B3009" s="244"/>
      <c r="C3009" s="244"/>
      <c r="D3009" s="244"/>
      <c r="E3009" s="244"/>
      <c r="F3009" s="244"/>
      <c r="G3009" s="244"/>
      <c r="I3009" s="244"/>
      <c r="J3009" s="244"/>
      <c r="K3009" s="246" t="e">
        <f t="shared" si="322"/>
        <v>#VALUE!</v>
      </c>
      <c r="L3009" s="246" t="e">
        <f t="shared" si="323"/>
        <v>#VALUE!</v>
      </c>
      <c r="M3009" s="247" t="e">
        <f t="shared" si="324"/>
        <v>#VALUE!</v>
      </c>
      <c r="N3009" s="246" t="e">
        <f t="shared" si="325"/>
        <v>#VALUE!</v>
      </c>
      <c r="O3009" s="247" t="e">
        <f t="shared" si="326"/>
        <v>#VALUE!</v>
      </c>
      <c r="P3009" s="247">
        <f t="shared" si="327"/>
        <v>0</v>
      </c>
      <c r="Q3009" s="247" t="e">
        <f t="shared" si="328"/>
        <v>#VALUE!</v>
      </c>
    </row>
    <row r="3010" spans="1:17" ht="15" customHeight="1" x14ac:dyDescent="0.25">
      <c r="A3010" s="244"/>
      <c r="B3010" s="244"/>
      <c r="C3010" s="244"/>
      <c r="D3010" s="244"/>
      <c r="E3010" s="244"/>
      <c r="F3010" s="244"/>
      <c r="G3010" s="244"/>
      <c r="I3010" s="244"/>
      <c r="J3010" s="244"/>
      <c r="K3010" s="246" t="e">
        <f t="shared" ref="K3010:K3073" si="329">DATE(VALUE(LEFT(A3010,4)),VALUE(MID(A3010,5,2)),VALUE(RIGHT(A3010,2)))</f>
        <v>#VALUE!</v>
      </c>
      <c r="L3010" s="246" t="e">
        <f t="shared" ref="L3010:L3073" si="330">DATEVALUE(LEFT(F3010,10))</f>
        <v>#VALUE!</v>
      </c>
      <c r="M3010" s="247" t="e">
        <f t="shared" ref="M3010:M3073" si="331">TIMEVALUE(MID(F3010,12,8))</f>
        <v>#VALUE!</v>
      </c>
      <c r="N3010" s="246" t="e">
        <f t="shared" ref="N3010:N3073" si="332">DATEVALUE(LEFT(G3010,10))</f>
        <v>#VALUE!</v>
      </c>
      <c r="O3010" s="247" t="e">
        <f t="shared" ref="O3010:O3073" si="333">TIMEVALUE(MID(G3010,12,8))</f>
        <v>#VALUE!</v>
      </c>
      <c r="P3010" s="247">
        <f t="shared" ref="P3010:P3073" si="334">IFERROR(_xlfn.MINIFS($M:$M,$E:$E,$E3010,$K:$K,$K3010,$M:$M,"&gt;"&amp;$O3010),"")</f>
        <v>0</v>
      </c>
      <c r="Q3010" s="247" t="e">
        <f t="shared" ref="Q3010:Q3073" si="335">IF($P3010="","",$P3010-$O3010)</f>
        <v>#VALUE!</v>
      </c>
    </row>
    <row r="3011" spans="1:17" ht="15" customHeight="1" x14ac:dyDescent="0.25">
      <c r="A3011" s="244"/>
      <c r="B3011" s="244"/>
      <c r="C3011" s="244"/>
      <c r="D3011" s="244"/>
      <c r="E3011" s="244"/>
      <c r="F3011" s="244"/>
      <c r="G3011" s="244"/>
      <c r="I3011" s="244"/>
      <c r="J3011" s="244"/>
      <c r="K3011" s="246" t="e">
        <f t="shared" si="329"/>
        <v>#VALUE!</v>
      </c>
      <c r="L3011" s="246" t="e">
        <f t="shared" si="330"/>
        <v>#VALUE!</v>
      </c>
      <c r="M3011" s="247" t="e">
        <f t="shared" si="331"/>
        <v>#VALUE!</v>
      </c>
      <c r="N3011" s="246" t="e">
        <f t="shared" si="332"/>
        <v>#VALUE!</v>
      </c>
      <c r="O3011" s="247" t="e">
        <f t="shared" si="333"/>
        <v>#VALUE!</v>
      </c>
      <c r="P3011" s="247">
        <f t="shared" si="334"/>
        <v>0</v>
      </c>
      <c r="Q3011" s="247" t="e">
        <f t="shared" si="335"/>
        <v>#VALUE!</v>
      </c>
    </row>
    <row r="3012" spans="1:17" ht="15" customHeight="1" x14ac:dyDescent="0.25">
      <c r="A3012" s="244"/>
      <c r="B3012" s="244"/>
      <c r="C3012" s="244"/>
      <c r="D3012" s="244"/>
      <c r="E3012" s="244"/>
      <c r="F3012" s="244"/>
      <c r="G3012" s="244"/>
      <c r="I3012" s="244"/>
      <c r="J3012" s="244"/>
      <c r="K3012" s="246" t="e">
        <f t="shared" si="329"/>
        <v>#VALUE!</v>
      </c>
      <c r="L3012" s="246" t="e">
        <f t="shared" si="330"/>
        <v>#VALUE!</v>
      </c>
      <c r="M3012" s="247" t="e">
        <f t="shared" si="331"/>
        <v>#VALUE!</v>
      </c>
      <c r="N3012" s="246" t="e">
        <f t="shared" si="332"/>
        <v>#VALUE!</v>
      </c>
      <c r="O3012" s="247" t="e">
        <f t="shared" si="333"/>
        <v>#VALUE!</v>
      </c>
      <c r="P3012" s="247">
        <f t="shared" si="334"/>
        <v>0</v>
      </c>
      <c r="Q3012" s="247" t="e">
        <f t="shared" si="335"/>
        <v>#VALUE!</v>
      </c>
    </row>
    <row r="3013" spans="1:17" ht="15" customHeight="1" x14ac:dyDescent="0.25">
      <c r="A3013" s="244"/>
      <c r="B3013" s="244"/>
      <c r="C3013" s="244"/>
      <c r="D3013" s="244"/>
      <c r="E3013" s="244"/>
      <c r="F3013" s="244"/>
      <c r="G3013" s="244"/>
      <c r="I3013" s="244"/>
      <c r="J3013" s="244"/>
      <c r="K3013" s="246" t="e">
        <f t="shared" si="329"/>
        <v>#VALUE!</v>
      </c>
      <c r="L3013" s="246" t="e">
        <f t="shared" si="330"/>
        <v>#VALUE!</v>
      </c>
      <c r="M3013" s="247" t="e">
        <f t="shared" si="331"/>
        <v>#VALUE!</v>
      </c>
      <c r="N3013" s="246" t="e">
        <f t="shared" si="332"/>
        <v>#VALUE!</v>
      </c>
      <c r="O3013" s="247" t="e">
        <f t="shared" si="333"/>
        <v>#VALUE!</v>
      </c>
      <c r="P3013" s="247">
        <f t="shared" si="334"/>
        <v>0</v>
      </c>
      <c r="Q3013" s="247" t="e">
        <f t="shared" si="335"/>
        <v>#VALUE!</v>
      </c>
    </row>
    <row r="3014" spans="1:17" ht="15" customHeight="1" x14ac:dyDescent="0.25">
      <c r="A3014" s="244"/>
      <c r="B3014" s="244"/>
      <c r="C3014" s="244"/>
      <c r="D3014" s="244"/>
      <c r="E3014" s="244"/>
      <c r="F3014" s="244"/>
      <c r="G3014" s="244"/>
      <c r="I3014" s="244"/>
      <c r="J3014" s="244"/>
      <c r="K3014" s="246" t="e">
        <f t="shared" si="329"/>
        <v>#VALUE!</v>
      </c>
      <c r="L3014" s="246" t="e">
        <f t="shared" si="330"/>
        <v>#VALUE!</v>
      </c>
      <c r="M3014" s="247" t="e">
        <f t="shared" si="331"/>
        <v>#VALUE!</v>
      </c>
      <c r="N3014" s="246" t="e">
        <f t="shared" si="332"/>
        <v>#VALUE!</v>
      </c>
      <c r="O3014" s="247" t="e">
        <f t="shared" si="333"/>
        <v>#VALUE!</v>
      </c>
      <c r="P3014" s="247">
        <f t="shared" si="334"/>
        <v>0</v>
      </c>
      <c r="Q3014" s="247" t="e">
        <f t="shared" si="335"/>
        <v>#VALUE!</v>
      </c>
    </row>
    <row r="3015" spans="1:17" ht="15" customHeight="1" x14ac:dyDescent="0.25">
      <c r="A3015" s="244"/>
      <c r="B3015" s="244"/>
      <c r="C3015" s="244"/>
      <c r="D3015" s="244"/>
      <c r="E3015" s="244"/>
      <c r="F3015" s="244"/>
      <c r="G3015" s="244"/>
      <c r="I3015" s="244"/>
      <c r="J3015" s="244"/>
      <c r="K3015" s="246" t="e">
        <f t="shared" si="329"/>
        <v>#VALUE!</v>
      </c>
      <c r="L3015" s="246" t="e">
        <f t="shared" si="330"/>
        <v>#VALUE!</v>
      </c>
      <c r="M3015" s="247" t="e">
        <f t="shared" si="331"/>
        <v>#VALUE!</v>
      </c>
      <c r="N3015" s="246" t="e">
        <f t="shared" si="332"/>
        <v>#VALUE!</v>
      </c>
      <c r="O3015" s="247" t="e">
        <f t="shared" si="333"/>
        <v>#VALUE!</v>
      </c>
      <c r="P3015" s="247">
        <f t="shared" si="334"/>
        <v>0</v>
      </c>
      <c r="Q3015" s="247" t="e">
        <f t="shared" si="335"/>
        <v>#VALUE!</v>
      </c>
    </row>
    <row r="3016" spans="1:17" ht="15" customHeight="1" x14ac:dyDescent="0.25">
      <c r="A3016" s="244"/>
      <c r="B3016" s="244"/>
      <c r="C3016" s="244"/>
      <c r="D3016" s="244"/>
      <c r="E3016" s="244"/>
      <c r="F3016" s="244"/>
      <c r="G3016" s="244"/>
      <c r="I3016" s="244"/>
      <c r="J3016" s="244"/>
      <c r="K3016" s="246" t="e">
        <f t="shared" si="329"/>
        <v>#VALUE!</v>
      </c>
      <c r="L3016" s="246" t="e">
        <f t="shared" si="330"/>
        <v>#VALUE!</v>
      </c>
      <c r="M3016" s="247" t="e">
        <f t="shared" si="331"/>
        <v>#VALUE!</v>
      </c>
      <c r="N3016" s="246" t="e">
        <f t="shared" si="332"/>
        <v>#VALUE!</v>
      </c>
      <c r="O3016" s="247" t="e">
        <f t="shared" si="333"/>
        <v>#VALUE!</v>
      </c>
      <c r="P3016" s="247">
        <f t="shared" si="334"/>
        <v>0</v>
      </c>
      <c r="Q3016" s="247" t="e">
        <f t="shared" si="335"/>
        <v>#VALUE!</v>
      </c>
    </row>
    <row r="3017" spans="1:17" ht="15" customHeight="1" x14ac:dyDescent="0.25">
      <c r="A3017" s="244"/>
      <c r="B3017" s="244"/>
      <c r="C3017" s="244"/>
      <c r="D3017" s="244"/>
      <c r="E3017" s="244"/>
      <c r="F3017" s="244"/>
      <c r="G3017" s="244"/>
      <c r="I3017" s="244"/>
      <c r="J3017" s="244"/>
      <c r="K3017" s="246" t="e">
        <f t="shared" si="329"/>
        <v>#VALUE!</v>
      </c>
      <c r="L3017" s="246" t="e">
        <f t="shared" si="330"/>
        <v>#VALUE!</v>
      </c>
      <c r="M3017" s="247" t="e">
        <f t="shared" si="331"/>
        <v>#VALUE!</v>
      </c>
      <c r="N3017" s="246" t="e">
        <f t="shared" si="332"/>
        <v>#VALUE!</v>
      </c>
      <c r="O3017" s="247" t="e">
        <f t="shared" si="333"/>
        <v>#VALUE!</v>
      </c>
      <c r="P3017" s="247">
        <f t="shared" si="334"/>
        <v>0</v>
      </c>
      <c r="Q3017" s="247" t="e">
        <f t="shared" si="335"/>
        <v>#VALUE!</v>
      </c>
    </row>
    <row r="3018" spans="1:17" ht="15" customHeight="1" x14ac:dyDescent="0.25">
      <c r="A3018" s="244"/>
      <c r="B3018" s="244"/>
      <c r="C3018" s="244"/>
      <c r="D3018" s="244"/>
      <c r="E3018" s="244"/>
      <c r="F3018" s="244"/>
      <c r="G3018" s="244"/>
      <c r="I3018" s="244"/>
      <c r="J3018" s="244"/>
      <c r="K3018" s="246" t="e">
        <f t="shared" si="329"/>
        <v>#VALUE!</v>
      </c>
      <c r="L3018" s="246" t="e">
        <f t="shared" si="330"/>
        <v>#VALUE!</v>
      </c>
      <c r="M3018" s="247" t="e">
        <f t="shared" si="331"/>
        <v>#VALUE!</v>
      </c>
      <c r="N3018" s="246" t="e">
        <f t="shared" si="332"/>
        <v>#VALUE!</v>
      </c>
      <c r="O3018" s="247" t="e">
        <f t="shared" si="333"/>
        <v>#VALUE!</v>
      </c>
      <c r="P3018" s="247">
        <f t="shared" si="334"/>
        <v>0</v>
      </c>
      <c r="Q3018" s="247" t="e">
        <f t="shared" si="335"/>
        <v>#VALUE!</v>
      </c>
    </row>
    <row r="3019" spans="1:17" ht="15" customHeight="1" x14ac:dyDescent="0.25">
      <c r="A3019" s="244"/>
      <c r="B3019" s="244"/>
      <c r="C3019" s="244"/>
      <c r="D3019" s="244"/>
      <c r="E3019" s="244"/>
      <c r="F3019" s="244"/>
      <c r="G3019" s="244"/>
      <c r="I3019" s="244"/>
      <c r="J3019" s="244"/>
      <c r="K3019" s="246" t="e">
        <f t="shared" si="329"/>
        <v>#VALUE!</v>
      </c>
      <c r="L3019" s="246" t="e">
        <f t="shared" si="330"/>
        <v>#VALUE!</v>
      </c>
      <c r="M3019" s="247" t="e">
        <f t="shared" si="331"/>
        <v>#VALUE!</v>
      </c>
      <c r="N3019" s="246" t="e">
        <f t="shared" si="332"/>
        <v>#VALUE!</v>
      </c>
      <c r="O3019" s="247" t="e">
        <f t="shared" si="333"/>
        <v>#VALUE!</v>
      </c>
      <c r="P3019" s="247">
        <f t="shared" si="334"/>
        <v>0</v>
      </c>
      <c r="Q3019" s="247" t="e">
        <f t="shared" si="335"/>
        <v>#VALUE!</v>
      </c>
    </row>
    <row r="3020" spans="1:17" ht="15" customHeight="1" x14ac:dyDescent="0.25">
      <c r="A3020" s="244"/>
      <c r="B3020" s="244"/>
      <c r="C3020" s="244"/>
      <c r="D3020" s="244"/>
      <c r="E3020" s="244"/>
      <c r="F3020" s="244"/>
      <c r="G3020" s="244"/>
      <c r="I3020" s="244"/>
      <c r="J3020" s="244"/>
      <c r="K3020" s="246" t="e">
        <f t="shared" si="329"/>
        <v>#VALUE!</v>
      </c>
      <c r="L3020" s="246" t="e">
        <f t="shared" si="330"/>
        <v>#VALUE!</v>
      </c>
      <c r="M3020" s="247" t="e">
        <f t="shared" si="331"/>
        <v>#VALUE!</v>
      </c>
      <c r="N3020" s="246" t="e">
        <f t="shared" si="332"/>
        <v>#VALUE!</v>
      </c>
      <c r="O3020" s="247" t="e">
        <f t="shared" si="333"/>
        <v>#VALUE!</v>
      </c>
      <c r="P3020" s="247">
        <f t="shared" si="334"/>
        <v>0</v>
      </c>
      <c r="Q3020" s="247" t="e">
        <f t="shared" si="335"/>
        <v>#VALUE!</v>
      </c>
    </row>
    <row r="3021" spans="1:17" ht="15" customHeight="1" x14ac:dyDescent="0.25">
      <c r="A3021" s="244"/>
      <c r="B3021" s="244"/>
      <c r="C3021" s="244"/>
      <c r="D3021" s="244"/>
      <c r="E3021" s="244"/>
      <c r="F3021" s="244"/>
      <c r="G3021" s="244"/>
      <c r="I3021" s="244"/>
      <c r="J3021" s="244"/>
      <c r="K3021" s="246" t="e">
        <f t="shared" si="329"/>
        <v>#VALUE!</v>
      </c>
      <c r="L3021" s="246" t="e">
        <f t="shared" si="330"/>
        <v>#VALUE!</v>
      </c>
      <c r="M3021" s="247" t="e">
        <f t="shared" si="331"/>
        <v>#VALUE!</v>
      </c>
      <c r="N3021" s="246" t="e">
        <f t="shared" si="332"/>
        <v>#VALUE!</v>
      </c>
      <c r="O3021" s="247" t="e">
        <f t="shared" si="333"/>
        <v>#VALUE!</v>
      </c>
      <c r="P3021" s="247">
        <f t="shared" si="334"/>
        <v>0</v>
      </c>
      <c r="Q3021" s="247" t="e">
        <f t="shared" si="335"/>
        <v>#VALUE!</v>
      </c>
    </row>
    <row r="3022" spans="1:17" ht="15" customHeight="1" x14ac:dyDescent="0.25">
      <c r="A3022" s="244"/>
      <c r="B3022" s="244"/>
      <c r="C3022" s="244"/>
      <c r="D3022" s="244"/>
      <c r="E3022" s="244"/>
      <c r="F3022" s="244"/>
      <c r="G3022" s="244"/>
      <c r="I3022" s="244"/>
      <c r="J3022" s="244"/>
      <c r="K3022" s="246" t="e">
        <f t="shared" si="329"/>
        <v>#VALUE!</v>
      </c>
      <c r="L3022" s="246" t="e">
        <f t="shared" si="330"/>
        <v>#VALUE!</v>
      </c>
      <c r="M3022" s="247" t="e">
        <f t="shared" si="331"/>
        <v>#VALUE!</v>
      </c>
      <c r="N3022" s="246" t="e">
        <f t="shared" si="332"/>
        <v>#VALUE!</v>
      </c>
      <c r="O3022" s="247" t="e">
        <f t="shared" si="333"/>
        <v>#VALUE!</v>
      </c>
      <c r="P3022" s="247">
        <f t="shared" si="334"/>
        <v>0</v>
      </c>
      <c r="Q3022" s="247" t="e">
        <f t="shared" si="335"/>
        <v>#VALUE!</v>
      </c>
    </row>
    <row r="3023" spans="1:17" ht="15" customHeight="1" x14ac:dyDescent="0.25">
      <c r="A3023" s="244"/>
      <c r="B3023" s="244"/>
      <c r="C3023" s="244"/>
      <c r="D3023" s="244"/>
      <c r="E3023" s="244"/>
      <c r="F3023" s="244"/>
      <c r="G3023" s="244"/>
      <c r="I3023" s="244"/>
      <c r="J3023" s="244"/>
      <c r="K3023" s="246" t="e">
        <f t="shared" si="329"/>
        <v>#VALUE!</v>
      </c>
      <c r="L3023" s="246" t="e">
        <f t="shared" si="330"/>
        <v>#VALUE!</v>
      </c>
      <c r="M3023" s="247" t="e">
        <f t="shared" si="331"/>
        <v>#VALUE!</v>
      </c>
      <c r="N3023" s="246" t="e">
        <f t="shared" si="332"/>
        <v>#VALUE!</v>
      </c>
      <c r="O3023" s="247" t="e">
        <f t="shared" si="333"/>
        <v>#VALUE!</v>
      </c>
      <c r="P3023" s="247">
        <f t="shared" si="334"/>
        <v>0</v>
      </c>
      <c r="Q3023" s="247" t="e">
        <f t="shared" si="335"/>
        <v>#VALUE!</v>
      </c>
    </row>
    <row r="3024" spans="1:17" ht="15" customHeight="1" x14ac:dyDescent="0.25">
      <c r="A3024" s="244"/>
      <c r="B3024" s="244"/>
      <c r="C3024" s="244"/>
      <c r="D3024" s="244"/>
      <c r="E3024" s="244"/>
      <c r="F3024" s="244"/>
      <c r="G3024" s="244"/>
      <c r="I3024" s="244"/>
      <c r="J3024" s="244"/>
      <c r="K3024" s="246" t="e">
        <f t="shared" si="329"/>
        <v>#VALUE!</v>
      </c>
      <c r="L3024" s="246" t="e">
        <f t="shared" si="330"/>
        <v>#VALUE!</v>
      </c>
      <c r="M3024" s="247" t="e">
        <f t="shared" si="331"/>
        <v>#VALUE!</v>
      </c>
      <c r="N3024" s="246" t="e">
        <f t="shared" si="332"/>
        <v>#VALUE!</v>
      </c>
      <c r="O3024" s="247" t="e">
        <f t="shared" si="333"/>
        <v>#VALUE!</v>
      </c>
      <c r="P3024" s="247">
        <f t="shared" si="334"/>
        <v>0</v>
      </c>
      <c r="Q3024" s="247" t="e">
        <f t="shared" si="335"/>
        <v>#VALUE!</v>
      </c>
    </row>
    <row r="3025" spans="1:17" ht="15" customHeight="1" x14ac:dyDescent="0.25">
      <c r="A3025" s="244"/>
      <c r="B3025" s="244"/>
      <c r="C3025" s="244"/>
      <c r="D3025" s="244"/>
      <c r="E3025" s="244"/>
      <c r="F3025" s="244"/>
      <c r="G3025" s="244"/>
      <c r="I3025" s="244"/>
      <c r="J3025" s="244"/>
      <c r="K3025" s="246" t="e">
        <f t="shared" si="329"/>
        <v>#VALUE!</v>
      </c>
      <c r="L3025" s="246" t="e">
        <f t="shared" si="330"/>
        <v>#VALUE!</v>
      </c>
      <c r="M3025" s="247" t="e">
        <f t="shared" si="331"/>
        <v>#VALUE!</v>
      </c>
      <c r="N3025" s="246" t="e">
        <f t="shared" si="332"/>
        <v>#VALUE!</v>
      </c>
      <c r="O3025" s="247" t="e">
        <f t="shared" si="333"/>
        <v>#VALUE!</v>
      </c>
      <c r="P3025" s="247">
        <f t="shared" si="334"/>
        <v>0</v>
      </c>
      <c r="Q3025" s="247" t="e">
        <f t="shared" si="335"/>
        <v>#VALUE!</v>
      </c>
    </row>
    <row r="3026" spans="1:17" ht="15" customHeight="1" x14ac:dyDescent="0.25">
      <c r="A3026" s="244"/>
      <c r="B3026" s="244"/>
      <c r="C3026" s="244"/>
      <c r="D3026" s="244"/>
      <c r="E3026" s="244"/>
      <c r="F3026" s="244"/>
      <c r="G3026" s="244"/>
      <c r="I3026" s="244"/>
      <c r="J3026" s="244"/>
      <c r="K3026" s="246" t="e">
        <f t="shared" si="329"/>
        <v>#VALUE!</v>
      </c>
      <c r="L3026" s="246" t="e">
        <f t="shared" si="330"/>
        <v>#VALUE!</v>
      </c>
      <c r="M3026" s="247" t="e">
        <f t="shared" si="331"/>
        <v>#VALUE!</v>
      </c>
      <c r="N3026" s="246" t="e">
        <f t="shared" si="332"/>
        <v>#VALUE!</v>
      </c>
      <c r="O3026" s="247" t="e">
        <f t="shared" si="333"/>
        <v>#VALUE!</v>
      </c>
      <c r="P3026" s="247">
        <f t="shared" si="334"/>
        <v>0</v>
      </c>
      <c r="Q3026" s="247" t="e">
        <f t="shared" si="335"/>
        <v>#VALUE!</v>
      </c>
    </row>
    <row r="3027" spans="1:17" ht="15" customHeight="1" x14ac:dyDescent="0.25">
      <c r="A3027" s="244"/>
      <c r="B3027" s="244"/>
      <c r="C3027" s="244"/>
      <c r="D3027" s="244"/>
      <c r="E3027" s="244"/>
      <c r="F3027" s="244"/>
      <c r="G3027" s="244"/>
      <c r="I3027" s="244"/>
      <c r="J3027" s="244"/>
      <c r="K3027" s="246" t="e">
        <f t="shared" si="329"/>
        <v>#VALUE!</v>
      </c>
      <c r="L3027" s="246" t="e">
        <f t="shared" si="330"/>
        <v>#VALUE!</v>
      </c>
      <c r="M3027" s="247" t="e">
        <f t="shared" si="331"/>
        <v>#VALUE!</v>
      </c>
      <c r="N3027" s="246" t="e">
        <f t="shared" si="332"/>
        <v>#VALUE!</v>
      </c>
      <c r="O3027" s="247" t="e">
        <f t="shared" si="333"/>
        <v>#VALUE!</v>
      </c>
      <c r="P3027" s="247">
        <f t="shared" si="334"/>
        <v>0</v>
      </c>
      <c r="Q3027" s="247" t="e">
        <f t="shared" si="335"/>
        <v>#VALUE!</v>
      </c>
    </row>
    <row r="3028" spans="1:17" ht="15" customHeight="1" x14ac:dyDescent="0.25">
      <c r="A3028" s="244"/>
      <c r="B3028" s="244"/>
      <c r="C3028" s="244"/>
      <c r="D3028" s="244"/>
      <c r="E3028" s="244"/>
      <c r="F3028" s="244"/>
      <c r="G3028" s="244"/>
      <c r="I3028" s="244"/>
      <c r="J3028" s="244"/>
      <c r="K3028" s="246" t="e">
        <f t="shared" si="329"/>
        <v>#VALUE!</v>
      </c>
      <c r="L3028" s="246" t="e">
        <f t="shared" si="330"/>
        <v>#VALUE!</v>
      </c>
      <c r="M3028" s="247" t="e">
        <f t="shared" si="331"/>
        <v>#VALUE!</v>
      </c>
      <c r="N3028" s="246" t="e">
        <f t="shared" si="332"/>
        <v>#VALUE!</v>
      </c>
      <c r="O3028" s="247" t="e">
        <f t="shared" si="333"/>
        <v>#VALUE!</v>
      </c>
      <c r="P3028" s="247">
        <f t="shared" si="334"/>
        <v>0</v>
      </c>
      <c r="Q3028" s="247" t="e">
        <f t="shared" si="335"/>
        <v>#VALUE!</v>
      </c>
    </row>
    <row r="3029" spans="1:17" ht="15" customHeight="1" x14ac:dyDescent="0.25">
      <c r="A3029" s="244"/>
      <c r="B3029" s="244"/>
      <c r="C3029" s="244"/>
      <c r="D3029" s="244"/>
      <c r="E3029" s="244"/>
      <c r="F3029" s="244"/>
      <c r="G3029" s="244"/>
      <c r="I3029" s="244"/>
      <c r="J3029" s="244"/>
      <c r="K3029" s="246" t="e">
        <f t="shared" si="329"/>
        <v>#VALUE!</v>
      </c>
      <c r="L3029" s="246" t="e">
        <f t="shared" si="330"/>
        <v>#VALUE!</v>
      </c>
      <c r="M3029" s="247" t="e">
        <f t="shared" si="331"/>
        <v>#VALUE!</v>
      </c>
      <c r="N3029" s="246" t="e">
        <f t="shared" si="332"/>
        <v>#VALUE!</v>
      </c>
      <c r="O3029" s="247" t="e">
        <f t="shared" si="333"/>
        <v>#VALUE!</v>
      </c>
      <c r="P3029" s="247">
        <f t="shared" si="334"/>
        <v>0</v>
      </c>
      <c r="Q3029" s="247" t="e">
        <f t="shared" si="335"/>
        <v>#VALUE!</v>
      </c>
    </row>
    <row r="3030" spans="1:17" ht="15" customHeight="1" x14ac:dyDescent="0.25">
      <c r="A3030" s="244"/>
      <c r="B3030" s="244"/>
      <c r="C3030" s="244"/>
      <c r="D3030" s="244"/>
      <c r="E3030" s="244"/>
      <c r="F3030" s="244"/>
      <c r="G3030" s="244"/>
      <c r="I3030" s="244"/>
      <c r="J3030" s="244"/>
      <c r="K3030" s="246" t="e">
        <f t="shared" si="329"/>
        <v>#VALUE!</v>
      </c>
      <c r="L3030" s="246" t="e">
        <f t="shared" si="330"/>
        <v>#VALUE!</v>
      </c>
      <c r="M3030" s="247" t="e">
        <f t="shared" si="331"/>
        <v>#VALUE!</v>
      </c>
      <c r="N3030" s="246" t="e">
        <f t="shared" si="332"/>
        <v>#VALUE!</v>
      </c>
      <c r="O3030" s="247" t="e">
        <f t="shared" si="333"/>
        <v>#VALUE!</v>
      </c>
      <c r="P3030" s="247">
        <f t="shared" si="334"/>
        <v>0</v>
      </c>
      <c r="Q3030" s="247" t="e">
        <f t="shared" si="335"/>
        <v>#VALUE!</v>
      </c>
    </row>
    <row r="3031" spans="1:17" ht="15" customHeight="1" x14ac:dyDescent="0.25">
      <c r="A3031" s="244"/>
      <c r="B3031" s="244"/>
      <c r="C3031" s="244"/>
      <c r="D3031" s="244"/>
      <c r="E3031" s="244"/>
      <c r="F3031" s="244"/>
      <c r="G3031" s="244"/>
      <c r="I3031" s="244"/>
      <c r="J3031" s="244"/>
      <c r="K3031" s="246" t="e">
        <f t="shared" si="329"/>
        <v>#VALUE!</v>
      </c>
      <c r="L3031" s="246" t="e">
        <f t="shared" si="330"/>
        <v>#VALUE!</v>
      </c>
      <c r="M3031" s="247" t="e">
        <f t="shared" si="331"/>
        <v>#VALUE!</v>
      </c>
      <c r="N3031" s="246" t="e">
        <f t="shared" si="332"/>
        <v>#VALUE!</v>
      </c>
      <c r="O3031" s="247" t="e">
        <f t="shared" si="333"/>
        <v>#VALUE!</v>
      </c>
      <c r="P3031" s="247">
        <f t="shared" si="334"/>
        <v>0</v>
      </c>
      <c r="Q3031" s="247" t="e">
        <f t="shared" si="335"/>
        <v>#VALUE!</v>
      </c>
    </row>
    <row r="3032" spans="1:17" ht="15" customHeight="1" x14ac:dyDescent="0.25">
      <c r="A3032" s="244"/>
      <c r="B3032" s="244"/>
      <c r="C3032" s="244"/>
      <c r="D3032" s="244"/>
      <c r="E3032" s="244"/>
      <c r="F3032" s="244"/>
      <c r="G3032" s="244"/>
      <c r="I3032" s="244"/>
      <c r="J3032" s="244"/>
      <c r="K3032" s="246" t="e">
        <f t="shared" si="329"/>
        <v>#VALUE!</v>
      </c>
      <c r="L3032" s="246" t="e">
        <f t="shared" si="330"/>
        <v>#VALUE!</v>
      </c>
      <c r="M3032" s="247" t="e">
        <f t="shared" si="331"/>
        <v>#VALUE!</v>
      </c>
      <c r="N3032" s="246" t="e">
        <f t="shared" si="332"/>
        <v>#VALUE!</v>
      </c>
      <c r="O3032" s="247" t="e">
        <f t="shared" si="333"/>
        <v>#VALUE!</v>
      </c>
      <c r="P3032" s="247">
        <f t="shared" si="334"/>
        <v>0</v>
      </c>
      <c r="Q3032" s="247" t="e">
        <f t="shared" si="335"/>
        <v>#VALUE!</v>
      </c>
    </row>
    <row r="3033" spans="1:17" ht="15" customHeight="1" x14ac:dyDescent="0.25">
      <c r="A3033" s="244"/>
      <c r="B3033" s="244"/>
      <c r="C3033" s="244"/>
      <c r="D3033" s="244"/>
      <c r="E3033" s="244"/>
      <c r="F3033" s="244"/>
      <c r="G3033" s="244"/>
      <c r="I3033" s="244"/>
      <c r="J3033" s="244"/>
      <c r="K3033" s="246" t="e">
        <f t="shared" si="329"/>
        <v>#VALUE!</v>
      </c>
      <c r="L3033" s="246" t="e">
        <f t="shared" si="330"/>
        <v>#VALUE!</v>
      </c>
      <c r="M3033" s="247" t="e">
        <f t="shared" si="331"/>
        <v>#VALUE!</v>
      </c>
      <c r="N3033" s="246" t="e">
        <f t="shared" si="332"/>
        <v>#VALUE!</v>
      </c>
      <c r="O3033" s="247" t="e">
        <f t="shared" si="333"/>
        <v>#VALUE!</v>
      </c>
      <c r="P3033" s="247">
        <f t="shared" si="334"/>
        <v>0</v>
      </c>
      <c r="Q3033" s="247" t="e">
        <f t="shared" si="335"/>
        <v>#VALUE!</v>
      </c>
    </row>
    <row r="3034" spans="1:17" ht="15" customHeight="1" x14ac:dyDescent="0.25">
      <c r="A3034" s="244"/>
      <c r="B3034" s="244"/>
      <c r="C3034" s="244"/>
      <c r="D3034" s="244"/>
      <c r="E3034" s="244"/>
      <c r="F3034" s="244"/>
      <c r="G3034" s="244"/>
      <c r="I3034" s="244"/>
      <c r="J3034" s="244"/>
      <c r="K3034" s="246" t="e">
        <f t="shared" si="329"/>
        <v>#VALUE!</v>
      </c>
      <c r="L3034" s="246" t="e">
        <f t="shared" si="330"/>
        <v>#VALUE!</v>
      </c>
      <c r="M3034" s="247" t="e">
        <f t="shared" si="331"/>
        <v>#VALUE!</v>
      </c>
      <c r="N3034" s="246" t="e">
        <f t="shared" si="332"/>
        <v>#VALUE!</v>
      </c>
      <c r="O3034" s="247" t="e">
        <f t="shared" si="333"/>
        <v>#VALUE!</v>
      </c>
      <c r="P3034" s="247">
        <f t="shared" si="334"/>
        <v>0</v>
      </c>
      <c r="Q3034" s="247" t="e">
        <f t="shared" si="335"/>
        <v>#VALUE!</v>
      </c>
    </row>
    <row r="3035" spans="1:17" ht="15" customHeight="1" x14ac:dyDescent="0.25">
      <c r="A3035" s="244"/>
      <c r="B3035" s="244"/>
      <c r="C3035" s="244"/>
      <c r="D3035" s="244"/>
      <c r="E3035" s="244"/>
      <c r="F3035" s="244"/>
      <c r="G3035" s="244"/>
      <c r="I3035" s="244"/>
      <c r="J3035" s="244"/>
      <c r="K3035" s="246" t="e">
        <f t="shared" si="329"/>
        <v>#VALUE!</v>
      </c>
      <c r="L3035" s="246" t="e">
        <f t="shared" si="330"/>
        <v>#VALUE!</v>
      </c>
      <c r="M3035" s="247" t="e">
        <f t="shared" si="331"/>
        <v>#VALUE!</v>
      </c>
      <c r="N3035" s="246" t="e">
        <f t="shared" si="332"/>
        <v>#VALUE!</v>
      </c>
      <c r="O3035" s="247" t="e">
        <f t="shared" si="333"/>
        <v>#VALUE!</v>
      </c>
      <c r="P3035" s="247">
        <f t="shared" si="334"/>
        <v>0</v>
      </c>
      <c r="Q3035" s="247" t="e">
        <f t="shared" si="335"/>
        <v>#VALUE!</v>
      </c>
    </row>
    <row r="3036" spans="1:17" ht="15" customHeight="1" x14ac:dyDescent="0.25">
      <c r="A3036" s="244"/>
      <c r="B3036" s="244"/>
      <c r="C3036" s="244"/>
      <c r="D3036" s="244"/>
      <c r="E3036" s="244"/>
      <c r="F3036" s="244"/>
      <c r="G3036" s="244"/>
      <c r="I3036" s="244"/>
      <c r="J3036" s="244"/>
      <c r="K3036" s="246" t="e">
        <f t="shared" si="329"/>
        <v>#VALUE!</v>
      </c>
      <c r="L3036" s="246" t="e">
        <f t="shared" si="330"/>
        <v>#VALUE!</v>
      </c>
      <c r="M3036" s="247" t="e">
        <f t="shared" si="331"/>
        <v>#VALUE!</v>
      </c>
      <c r="N3036" s="246" t="e">
        <f t="shared" si="332"/>
        <v>#VALUE!</v>
      </c>
      <c r="O3036" s="247" t="e">
        <f t="shared" si="333"/>
        <v>#VALUE!</v>
      </c>
      <c r="P3036" s="247">
        <f t="shared" si="334"/>
        <v>0</v>
      </c>
      <c r="Q3036" s="247" t="e">
        <f t="shared" si="335"/>
        <v>#VALUE!</v>
      </c>
    </row>
    <row r="3037" spans="1:17" ht="15" customHeight="1" x14ac:dyDescent="0.25">
      <c r="A3037" s="244"/>
      <c r="B3037" s="244"/>
      <c r="C3037" s="244"/>
      <c r="D3037" s="244"/>
      <c r="E3037" s="244"/>
      <c r="F3037" s="244"/>
      <c r="G3037" s="244"/>
      <c r="I3037" s="244"/>
      <c r="J3037" s="244"/>
      <c r="K3037" s="246" t="e">
        <f t="shared" si="329"/>
        <v>#VALUE!</v>
      </c>
      <c r="L3037" s="246" t="e">
        <f t="shared" si="330"/>
        <v>#VALUE!</v>
      </c>
      <c r="M3037" s="247" t="e">
        <f t="shared" si="331"/>
        <v>#VALUE!</v>
      </c>
      <c r="N3037" s="246" t="e">
        <f t="shared" si="332"/>
        <v>#VALUE!</v>
      </c>
      <c r="O3037" s="247" t="e">
        <f t="shared" si="333"/>
        <v>#VALUE!</v>
      </c>
      <c r="P3037" s="247">
        <f t="shared" si="334"/>
        <v>0</v>
      </c>
      <c r="Q3037" s="247" t="e">
        <f t="shared" si="335"/>
        <v>#VALUE!</v>
      </c>
    </row>
    <row r="3038" spans="1:17" ht="15" customHeight="1" x14ac:dyDescent="0.25">
      <c r="A3038" s="244"/>
      <c r="B3038" s="244"/>
      <c r="C3038" s="244"/>
      <c r="D3038" s="244"/>
      <c r="E3038" s="244"/>
      <c r="F3038" s="244"/>
      <c r="G3038" s="244"/>
      <c r="I3038" s="244"/>
      <c r="J3038" s="244"/>
      <c r="K3038" s="246" t="e">
        <f t="shared" si="329"/>
        <v>#VALUE!</v>
      </c>
      <c r="L3038" s="246" t="e">
        <f t="shared" si="330"/>
        <v>#VALUE!</v>
      </c>
      <c r="M3038" s="247" t="e">
        <f t="shared" si="331"/>
        <v>#VALUE!</v>
      </c>
      <c r="N3038" s="246" t="e">
        <f t="shared" si="332"/>
        <v>#VALUE!</v>
      </c>
      <c r="O3038" s="247" t="e">
        <f t="shared" si="333"/>
        <v>#VALUE!</v>
      </c>
      <c r="P3038" s="247">
        <f t="shared" si="334"/>
        <v>0</v>
      </c>
      <c r="Q3038" s="247" t="e">
        <f t="shared" si="335"/>
        <v>#VALUE!</v>
      </c>
    </row>
    <row r="3039" spans="1:17" ht="15" customHeight="1" x14ac:dyDescent="0.25">
      <c r="A3039" s="244"/>
      <c r="B3039" s="244"/>
      <c r="C3039" s="244"/>
      <c r="D3039" s="244"/>
      <c r="E3039" s="244"/>
      <c r="F3039" s="244"/>
      <c r="G3039" s="244"/>
      <c r="I3039" s="244"/>
      <c r="J3039" s="244"/>
      <c r="K3039" s="246" t="e">
        <f t="shared" si="329"/>
        <v>#VALUE!</v>
      </c>
      <c r="L3039" s="246" t="e">
        <f t="shared" si="330"/>
        <v>#VALUE!</v>
      </c>
      <c r="M3039" s="247" t="e">
        <f t="shared" si="331"/>
        <v>#VALUE!</v>
      </c>
      <c r="N3039" s="246" t="e">
        <f t="shared" si="332"/>
        <v>#VALUE!</v>
      </c>
      <c r="O3039" s="247" t="e">
        <f t="shared" si="333"/>
        <v>#VALUE!</v>
      </c>
      <c r="P3039" s="247">
        <f t="shared" si="334"/>
        <v>0</v>
      </c>
      <c r="Q3039" s="247" t="e">
        <f t="shared" si="335"/>
        <v>#VALUE!</v>
      </c>
    </row>
    <row r="3040" spans="1:17" ht="15" customHeight="1" x14ac:dyDescent="0.25">
      <c r="A3040" s="244"/>
      <c r="B3040" s="244"/>
      <c r="C3040" s="244"/>
      <c r="D3040" s="244"/>
      <c r="E3040" s="244"/>
      <c r="F3040" s="244"/>
      <c r="G3040" s="244"/>
      <c r="I3040" s="244"/>
      <c r="J3040" s="244"/>
      <c r="K3040" s="246" t="e">
        <f t="shared" si="329"/>
        <v>#VALUE!</v>
      </c>
      <c r="L3040" s="246" t="e">
        <f t="shared" si="330"/>
        <v>#VALUE!</v>
      </c>
      <c r="M3040" s="247" t="e">
        <f t="shared" si="331"/>
        <v>#VALUE!</v>
      </c>
      <c r="N3040" s="246" t="e">
        <f t="shared" si="332"/>
        <v>#VALUE!</v>
      </c>
      <c r="O3040" s="247" t="e">
        <f t="shared" si="333"/>
        <v>#VALUE!</v>
      </c>
      <c r="P3040" s="247">
        <f t="shared" si="334"/>
        <v>0</v>
      </c>
      <c r="Q3040" s="247" t="e">
        <f t="shared" si="335"/>
        <v>#VALUE!</v>
      </c>
    </row>
    <row r="3041" spans="1:17" ht="15" customHeight="1" x14ac:dyDescent="0.25">
      <c r="A3041" s="244"/>
      <c r="B3041" s="244"/>
      <c r="C3041" s="244"/>
      <c r="D3041" s="244"/>
      <c r="E3041" s="244"/>
      <c r="F3041" s="244"/>
      <c r="G3041" s="244"/>
      <c r="I3041" s="244"/>
      <c r="J3041" s="244"/>
      <c r="K3041" s="246" t="e">
        <f t="shared" si="329"/>
        <v>#VALUE!</v>
      </c>
      <c r="L3041" s="246" t="e">
        <f t="shared" si="330"/>
        <v>#VALUE!</v>
      </c>
      <c r="M3041" s="247" t="e">
        <f t="shared" si="331"/>
        <v>#VALUE!</v>
      </c>
      <c r="N3041" s="246" t="e">
        <f t="shared" si="332"/>
        <v>#VALUE!</v>
      </c>
      <c r="O3041" s="247" t="e">
        <f t="shared" si="333"/>
        <v>#VALUE!</v>
      </c>
      <c r="P3041" s="247">
        <f t="shared" si="334"/>
        <v>0</v>
      </c>
      <c r="Q3041" s="247" t="e">
        <f t="shared" si="335"/>
        <v>#VALUE!</v>
      </c>
    </row>
    <row r="3042" spans="1:17" ht="15" customHeight="1" x14ac:dyDescent="0.25">
      <c r="A3042" s="244"/>
      <c r="B3042" s="244"/>
      <c r="C3042" s="244"/>
      <c r="D3042" s="244"/>
      <c r="E3042" s="244"/>
      <c r="F3042" s="244"/>
      <c r="G3042" s="244"/>
      <c r="I3042" s="244"/>
      <c r="J3042" s="244"/>
      <c r="K3042" s="246" t="e">
        <f t="shared" si="329"/>
        <v>#VALUE!</v>
      </c>
      <c r="L3042" s="246" t="e">
        <f t="shared" si="330"/>
        <v>#VALUE!</v>
      </c>
      <c r="M3042" s="247" t="e">
        <f t="shared" si="331"/>
        <v>#VALUE!</v>
      </c>
      <c r="N3042" s="246" t="e">
        <f t="shared" si="332"/>
        <v>#VALUE!</v>
      </c>
      <c r="O3042" s="247" t="e">
        <f t="shared" si="333"/>
        <v>#VALUE!</v>
      </c>
      <c r="P3042" s="247">
        <f t="shared" si="334"/>
        <v>0</v>
      </c>
      <c r="Q3042" s="247" t="e">
        <f t="shared" si="335"/>
        <v>#VALUE!</v>
      </c>
    </row>
    <row r="3043" spans="1:17" ht="15" customHeight="1" x14ac:dyDescent="0.25">
      <c r="A3043" s="244"/>
      <c r="B3043" s="244"/>
      <c r="C3043" s="244"/>
      <c r="D3043" s="244"/>
      <c r="E3043" s="244"/>
      <c r="F3043" s="244"/>
      <c r="G3043" s="244"/>
      <c r="I3043" s="244"/>
      <c r="J3043" s="244"/>
      <c r="K3043" s="246" t="e">
        <f t="shared" si="329"/>
        <v>#VALUE!</v>
      </c>
      <c r="L3043" s="246" t="e">
        <f t="shared" si="330"/>
        <v>#VALUE!</v>
      </c>
      <c r="M3043" s="247" t="e">
        <f t="shared" si="331"/>
        <v>#VALUE!</v>
      </c>
      <c r="N3043" s="246" t="e">
        <f t="shared" si="332"/>
        <v>#VALUE!</v>
      </c>
      <c r="O3043" s="247" t="e">
        <f t="shared" si="333"/>
        <v>#VALUE!</v>
      </c>
      <c r="P3043" s="247">
        <f t="shared" si="334"/>
        <v>0</v>
      </c>
      <c r="Q3043" s="247" t="e">
        <f t="shared" si="335"/>
        <v>#VALUE!</v>
      </c>
    </row>
    <row r="3044" spans="1:17" ht="15" customHeight="1" x14ac:dyDescent="0.25">
      <c r="A3044" s="244"/>
      <c r="B3044" s="244"/>
      <c r="C3044" s="244"/>
      <c r="D3044" s="244"/>
      <c r="E3044" s="244"/>
      <c r="F3044" s="244"/>
      <c r="G3044" s="244"/>
      <c r="I3044" s="244"/>
      <c r="J3044" s="244"/>
      <c r="K3044" s="246" t="e">
        <f t="shared" si="329"/>
        <v>#VALUE!</v>
      </c>
      <c r="L3044" s="246" t="e">
        <f t="shared" si="330"/>
        <v>#VALUE!</v>
      </c>
      <c r="M3044" s="247" t="e">
        <f t="shared" si="331"/>
        <v>#VALUE!</v>
      </c>
      <c r="N3044" s="246" t="e">
        <f t="shared" si="332"/>
        <v>#VALUE!</v>
      </c>
      <c r="O3044" s="247" t="e">
        <f t="shared" si="333"/>
        <v>#VALUE!</v>
      </c>
      <c r="P3044" s="247">
        <f t="shared" si="334"/>
        <v>0</v>
      </c>
      <c r="Q3044" s="247" t="e">
        <f t="shared" si="335"/>
        <v>#VALUE!</v>
      </c>
    </row>
    <row r="3045" spans="1:17" ht="15" customHeight="1" x14ac:dyDescent="0.25">
      <c r="A3045" s="244"/>
      <c r="B3045" s="244"/>
      <c r="C3045" s="244"/>
      <c r="D3045" s="244"/>
      <c r="E3045" s="244"/>
      <c r="F3045" s="244"/>
      <c r="G3045" s="244"/>
      <c r="I3045" s="244"/>
      <c r="J3045" s="244"/>
      <c r="K3045" s="246" t="e">
        <f t="shared" si="329"/>
        <v>#VALUE!</v>
      </c>
      <c r="L3045" s="246" t="e">
        <f t="shared" si="330"/>
        <v>#VALUE!</v>
      </c>
      <c r="M3045" s="247" t="e">
        <f t="shared" si="331"/>
        <v>#VALUE!</v>
      </c>
      <c r="N3045" s="246" t="e">
        <f t="shared" si="332"/>
        <v>#VALUE!</v>
      </c>
      <c r="O3045" s="247" t="e">
        <f t="shared" si="333"/>
        <v>#VALUE!</v>
      </c>
      <c r="P3045" s="247">
        <f t="shared" si="334"/>
        <v>0</v>
      </c>
      <c r="Q3045" s="247" t="e">
        <f t="shared" si="335"/>
        <v>#VALUE!</v>
      </c>
    </row>
    <row r="3046" spans="1:17" ht="15" customHeight="1" x14ac:dyDescent="0.25">
      <c r="A3046" s="244"/>
      <c r="B3046" s="244"/>
      <c r="C3046" s="244"/>
      <c r="D3046" s="244"/>
      <c r="E3046" s="244"/>
      <c r="F3046" s="244"/>
      <c r="G3046" s="244"/>
      <c r="I3046" s="244"/>
      <c r="J3046" s="244"/>
      <c r="K3046" s="246" t="e">
        <f t="shared" si="329"/>
        <v>#VALUE!</v>
      </c>
      <c r="L3046" s="246" t="e">
        <f t="shared" si="330"/>
        <v>#VALUE!</v>
      </c>
      <c r="M3046" s="247" t="e">
        <f t="shared" si="331"/>
        <v>#VALUE!</v>
      </c>
      <c r="N3046" s="246" t="e">
        <f t="shared" si="332"/>
        <v>#VALUE!</v>
      </c>
      <c r="O3046" s="247" t="e">
        <f t="shared" si="333"/>
        <v>#VALUE!</v>
      </c>
      <c r="P3046" s="247">
        <f t="shared" si="334"/>
        <v>0</v>
      </c>
      <c r="Q3046" s="247" t="e">
        <f t="shared" si="335"/>
        <v>#VALUE!</v>
      </c>
    </row>
    <row r="3047" spans="1:17" ht="15" customHeight="1" x14ac:dyDescent="0.25">
      <c r="A3047" s="244"/>
      <c r="B3047" s="244"/>
      <c r="C3047" s="244"/>
      <c r="D3047" s="244"/>
      <c r="E3047" s="244"/>
      <c r="F3047" s="244"/>
      <c r="G3047" s="244"/>
      <c r="I3047" s="244"/>
      <c r="J3047" s="244"/>
      <c r="K3047" s="246" t="e">
        <f t="shared" si="329"/>
        <v>#VALUE!</v>
      </c>
      <c r="L3047" s="246" t="e">
        <f t="shared" si="330"/>
        <v>#VALUE!</v>
      </c>
      <c r="M3047" s="247" t="e">
        <f t="shared" si="331"/>
        <v>#VALUE!</v>
      </c>
      <c r="N3047" s="246" t="e">
        <f t="shared" si="332"/>
        <v>#VALUE!</v>
      </c>
      <c r="O3047" s="247" t="e">
        <f t="shared" si="333"/>
        <v>#VALUE!</v>
      </c>
      <c r="P3047" s="247">
        <f t="shared" si="334"/>
        <v>0</v>
      </c>
      <c r="Q3047" s="247" t="e">
        <f t="shared" si="335"/>
        <v>#VALUE!</v>
      </c>
    </row>
    <row r="3048" spans="1:17" ht="15" customHeight="1" x14ac:dyDescent="0.25">
      <c r="A3048" s="244"/>
      <c r="B3048" s="244"/>
      <c r="C3048" s="244"/>
      <c r="D3048" s="244"/>
      <c r="E3048" s="244"/>
      <c r="F3048" s="244"/>
      <c r="G3048" s="244"/>
      <c r="I3048" s="244"/>
      <c r="J3048" s="244"/>
      <c r="K3048" s="246" t="e">
        <f t="shared" si="329"/>
        <v>#VALUE!</v>
      </c>
      <c r="L3048" s="246" t="e">
        <f t="shared" si="330"/>
        <v>#VALUE!</v>
      </c>
      <c r="M3048" s="247" t="e">
        <f t="shared" si="331"/>
        <v>#VALUE!</v>
      </c>
      <c r="N3048" s="246" t="e">
        <f t="shared" si="332"/>
        <v>#VALUE!</v>
      </c>
      <c r="O3048" s="247" t="e">
        <f t="shared" si="333"/>
        <v>#VALUE!</v>
      </c>
      <c r="P3048" s="247">
        <f t="shared" si="334"/>
        <v>0</v>
      </c>
      <c r="Q3048" s="247" t="e">
        <f t="shared" si="335"/>
        <v>#VALUE!</v>
      </c>
    </row>
    <row r="3049" spans="1:17" ht="15" customHeight="1" x14ac:dyDescent="0.25">
      <c r="A3049" s="244"/>
      <c r="B3049" s="244"/>
      <c r="C3049" s="244"/>
      <c r="D3049" s="244"/>
      <c r="E3049" s="244"/>
      <c r="F3049" s="244"/>
      <c r="G3049" s="244"/>
      <c r="I3049" s="244"/>
      <c r="J3049" s="244"/>
      <c r="K3049" s="246" t="e">
        <f t="shared" si="329"/>
        <v>#VALUE!</v>
      </c>
      <c r="L3049" s="246" t="e">
        <f t="shared" si="330"/>
        <v>#VALUE!</v>
      </c>
      <c r="M3049" s="247" t="e">
        <f t="shared" si="331"/>
        <v>#VALUE!</v>
      </c>
      <c r="N3049" s="246" t="e">
        <f t="shared" si="332"/>
        <v>#VALUE!</v>
      </c>
      <c r="O3049" s="247" t="e">
        <f t="shared" si="333"/>
        <v>#VALUE!</v>
      </c>
      <c r="P3049" s="247">
        <f t="shared" si="334"/>
        <v>0</v>
      </c>
      <c r="Q3049" s="247" t="e">
        <f t="shared" si="335"/>
        <v>#VALUE!</v>
      </c>
    </row>
    <row r="3050" spans="1:17" ht="15" customHeight="1" x14ac:dyDescent="0.25">
      <c r="A3050" s="244"/>
      <c r="B3050" s="244"/>
      <c r="C3050" s="244"/>
      <c r="D3050" s="244"/>
      <c r="E3050" s="244"/>
      <c r="F3050" s="244"/>
      <c r="G3050" s="244"/>
      <c r="I3050" s="244"/>
      <c r="J3050" s="244"/>
      <c r="K3050" s="246" t="e">
        <f t="shared" si="329"/>
        <v>#VALUE!</v>
      </c>
      <c r="L3050" s="246" t="e">
        <f t="shared" si="330"/>
        <v>#VALUE!</v>
      </c>
      <c r="M3050" s="247" t="e">
        <f t="shared" si="331"/>
        <v>#VALUE!</v>
      </c>
      <c r="N3050" s="246" t="e">
        <f t="shared" si="332"/>
        <v>#VALUE!</v>
      </c>
      <c r="O3050" s="247" t="e">
        <f t="shared" si="333"/>
        <v>#VALUE!</v>
      </c>
      <c r="P3050" s="247">
        <f t="shared" si="334"/>
        <v>0</v>
      </c>
      <c r="Q3050" s="247" t="e">
        <f t="shared" si="335"/>
        <v>#VALUE!</v>
      </c>
    </row>
    <row r="3051" spans="1:17" ht="15" customHeight="1" x14ac:dyDescent="0.25">
      <c r="A3051" s="244"/>
      <c r="B3051" s="244"/>
      <c r="C3051" s="244"/>
      <c r="D3051" s="244"/>
      <c r="E3051" s="244"/>
      <c r="F3051" s="244"/>
      <c r="G3051" s="244"/>
      <c r="I3051" s="244"/>
      <c r="J3051" s="244"/>
      <c r="K3051" s="246" t="e">
        <f t="shared" si="329"/>
        <v>#VALUE!</v>
      </c>
      <c r="L3051" s="246" t="e">
        <f t="shared" si="330"/>
        <v>#VALUE!</v>
      </c>
      <c r="M3051" s="247" t="e">
        <f t="shared" si="331"/>
        <v>#VALUE!</v>
      </c>
      <c r="N3051" s="246" t="e">
        <f t="shared" si="332"/>
        <v>#VALUE!</v>
      </c>
      <c r="O3051" s="247" t="e">
        <f t="shared" si="333"/>
        <v>#VALUE!</v>
      </c>
      <c r="P3051" s="247">
        <f t="shared" si="334"/>
        <v>0</v>
      </c>
      <c r="Q3051" s="247" t="e">
        <f t="shared" si="335"/>
        <v>#VALUE!</v>
      </c>
    </row>
    <row r="3052" spans="1:17" ht="15" customHeight="1" x14ac:dyDescent="0.25">
      <c r="A3052" s="244"/>
      <c r="B3052" s="244"/>
      <c r="C3052" s="244"/>
      <c r="D3052" s="244"/>
      <c r="E3052" s="244"/>
      <c r="F3052" s="244"/>
      <c r="G3052" s="244"/>
      <c r="I3052" s="244"/>
      <c r="J3052" s="244"/>
      <c r="K3052" s="246" t="e">
        <f t="shared" si="329"/>
        <v>#VALUE!</v>
      </c>
      <c r="L3052" s="246" t="e">
        <f t="shared" si="330"/>
        <v>#VALUE!</v>
      </c>
      <c r="M3052" s="247" t="e">
        <f t="shared" si="331"/>
        <v>#VALUE!</v>
      </c>
      <c r="N3052" s="246" t="e">
        <f t="shared" si="332"/>
        <v>#VALUE!</v>
      </c>
      <c r="O3052" s="247" t="e">
        <f t="shared" si="333"/>
        <v>#VALUE!</v>
      </c>
      <c r="P3052" s="247">
        <f t="shared" si="334"/>
        <v>0</v>
      </c>
      <c r="Q3052" s="247" t="e">
        <f t="shared" si="335"/>
        <v>#VALUE!</v>
      </c>
    </row>
    <row r="3053" spans="1:17" ht="15" customHeight="1" x14ac:dyDescent="0.25">
      <c r="A3053" s="244"/>
      <c r="B3053" s="244"/>
      <c r="C3053" s="244"/>
      <c r="D3053" s="244"/>
      <c r="E3053" s="244"/>
      <c r="F3053" s="244"/>
      <c r="G3053" s="244"/>
      <c r="I3053" s="244"/>
      <c r="J3053" s="244"/>
      <c r="K3053" s="246" t="e">
        <f t="shared" si="329"/>
        <v>#VALUE!</v>
      </c>
      <c r="L3053" s="246" t="e">
        <f t="shared" si="330"/>
        <v>#VALUE!</v>
      </c>
      <c r="M3053" s="247" t="e">
        <f t="shared" si="331"/>
        <v>#VALUE!</v>
      </c>
      <c r="N3053" s="246" t="e">
        <f t="shared" si="332"/>
        <v>#VALUE!</v>
      </c>
      <c r="O3053" s="247" t="e">
        <f t="shared" si="333"/>
        <v>#VALUE!</v>
      </c>
      <c r="P3053" s="247">
        <f t="shared" si="334"/>
        <v>0</v>
      </c>
      <c r="Q3053" s="247" t="e">
        <f t="shared" si="335"/>
        <v>#VALUE!</v>
      </c>
    </row>
    <row r="3054" spans="1:17" ht="15" customHeight="1" x14ac:dyDescent="0.25">
      <c r="A3054" s="244"/>
      <c r="B3054" s="244"/>
      <c r="C3054" s="244"/>
      <c r="D3054" s="244"/>
      <c r="E3054" s="244"/>
      <c r="F3054" s="244"/>
      <c r="G3054" s="244"/>
      <c r="I3054" s="244"/>
      <c r="J3054" s="244"/>
      <c r="K3054" s="246" t="e">
        <f t="shared" si="329"/>
        <v>#VALUE!</v>
      </c>
      <c r="L3054" s="246" t="e">
        <f t="shared" si="330"/>
        <v>#VALUE!</v>
      </c>
      <c r="M3054" s="247" t="e">
        <f t="shared" si="331"/>
        <v>#VALUE!</v>
      </c>
      <c r="N3054" s="246" t="e">
        <f t="shared" si="332"/>
        <v>#VALUE!</v>
      </c>
      <c r="O3054" s="247" t="e">
        <f t="shared" si="333"/>
        <v>#VALUE!</v>
      </c>
      <c r="P3054" s="247">
        <f t="shared" si="334"/>
        <v>0</v>
      </c>
      <c r="Q3054" s="247" t="e">
        <f t="shared" si="335"/>
        <v>#VALUE!</v>
      </c>
    </row>
    <row r="3055" spans="1:17" ht="15" customHeight="1" x14ac:dyDescent="0.25">
      <c r="A3055" s="244"/>
      <c r="B3055" s="244"/>
      <c r="C3055" s="244"/>
      <c r="D3055" s="244"/>
      <c r="E3055" s="244"/>
      <c r="F3055" s="244"/>
      <c r="G3055" s="244"/>
      <c r="I3055" s="244"/>
      <c r="J3055" s="244"/>
      <c r="K3055" s="246" t="e">
        <f t="shared" si="329"/>
        <v>#VALUE!</v>
      </c>
      <c r="L3055" s="246" t="e">
        <f t="shared" si="330"/>
        <v>#VALUE!</v>
      </c>
      <c r="M3055" s="247" t="e">
        <f t="shared" si="331"/>
        <v>#VALUE!</v>
      </c>
      <c r="N3055" s="246" t="e">
        <f t="shared" si="332"/>
        <v>#VALUE!</v>
      </c>
      <c r="O3055" s="247" t="e">
        <f t="shared" si="333"/>
        <v>#VALUE!</v>
      </c>
      <c r="P3055" s="247">
        <f t="shared" si="334"/>
        <v>0</v>
      </c>
      <c r="Q3055" s="247" t="e">
        <f t="shared" si="335"/>
        <v>#VALUE!</v>
      </c>
    </row>
    <row r="3056" spans="1:17" ht="15" customHeight="1" x14ac:dyDescent="0.25">
      <c r="A3056" s="244"/>
      <c r="B3056" s="244"/>
      <c r="C3056" s="244"/>
      <c r="D3056" s="244"/>
      <c r="E3056" s="244"/>
      <c r="F3056" s="244"/>
      <c r="G3056" s="244"/>
      <c r="I3056" s="244"/>
      <c r="J3056" s="244"/>
      <c r="K3056" s="246" t="e">
        <f t="shared" si="329"/>
        <v>#VALUE!</v>
      </c>
      <c r="L3056" s="246" t="e">
        <f t="shared" si="330"/>
        <v>#VALUE!</v>
      </c>
      <c r="M3056" s="247" t="e">
        <f t="shared" si="331"/>
        <v>#VALUE!</v>
      </c>
      <c r="N3056" s="246" t="e">
        <f t="shared" si="332"/>
        <v>#VALUE!</v>
      </c>
      <c r="O3056" s="247" t="e">
        <f t="shared" si="333"/>
        <v>#VALUE!</v>
      </c>
      <c r="P3056" s="247">
        <f t="shared" si="334"/>
        <v>0</v>
      </c>
      <c r="Q3056" s="247" t="e">
        <f t="shared" si="335"/>
        <v>#VALUE!</v>
      </c>
    </row>
    <row r="3057" spans="1:17" ht="15" customHeight="1" x14ac:dyDescent="0.25">
      <c r="A3057" s="244"/>
      <c r="B3057" s="244"/>
      <c r="C3057" s="244"/>
      <c r="D3057" s="244"/>
      <c r="E3057" s="244"/>
      <c r="F3057" s="244"/>
      <c r="G3057" s="244"/>
      <c r="I3057" s="244"/>
      <c r="J3057" s="244"/>
      <c r="K3057" s="246" t="e">
        <f t="shared" si="329"/>
        <v>#VALUE!</v>
      </c>
      <c r="L3057" s="246" t="e">
        <f t="shared" si="330"/>
        <v>#VALUE!</v>
      </c>
      <c r="M3057" s="247" t="e">
        <f t="shared" si="331"/>
        <v>#VALUE!</v>
      </c>
      <c r="N3057" s="246" t="e">
        <f t="shared" si="332"/>
        <v>#VALUE!</v>
      </c>
      <c r="O3057" s="247" t="e">
        <f t="shared" si="333"/>
        <v>#VALUE!</v>
      </c>
      <c r="P3057" s="247">
        <f t="shared" si="334"/>
        <v>0</v>
      </c>
      <c r="Q3057" s="247" t="e">
        <f t="shared" si="335"/>
        <v>#VALUE!</v>
      </c>
    </row>
    <row r="3058" spans="1:17" ht="15" customHeight="1" x14ac:dyDescent="0.25">
      <c r="A3058" s="244"/>
      <c r="B3058" s="244"/>
      <c r="C3058" s="244"/>
      <c r="D3058" s="244"/>
      <c r="E3058" s="244"/>
      <c r="F3058" s="244"/>
      <c r="G3058" s="244"/>
      <c r="I3058" s="244"/>
      <c r="J3058" s="244"/>
      <c r="K3058" s="246" t="e">
        <f t="shared" si="329"/>
        <v>#VALUE!</v>
      </c>
      <c r="L3058" s="246" t="e">
        <f t="shared" si="330"/>
        <v>#VALUE!</v>
      </c>
      <c r="M3058" s="247" t="e">
        <f t="shared" si="331"/>
        <v>#VALUE!</v>
      </c>
      <c r="N3058" s="246" t="e">
        <f t="shared" si="332"/>
        <v>#VALUE!</v>
      </c>
      <c r="O3058" s="247" t="e">
        <f t="shared" si="333"/>
        <v>#VALUE!</v>
      </c>
      <c r="P3058" s="247">
        <f t="shared" si="334"/>
        <v>0</v>
      </c>
      <c r="Q3058" s="247" t="e">
        <f t="shared" si="335"/>
        <v>#VALUE!</v>
      </c>
    </row>
    <row r="3059" spans="1:17" ht="15" customHeight="1" x14ac:dyDescent="0.25">
      <c r="A3059" s="244"/>
      <c r="B3059" s="244"/>
      <c r="C3059" s="244"/>
      <c r="D3059" s="244"/>
      <c r="E3059" s="244"/>
      <c r="F3059" s="244"/>
      <c r="G3059" s="244"/>
      <c r="I3059" s="244"/>
      <c r="J3059" s="244"/>
      <c r="K3059" s="246" t="e">
        <f t="shared" si="329"/>
        <v>#VALUE!</v>
      </c>
      <c r="L3059" s="246" t="e">
        <f t="shared" si="330"/>
        <v>#VALUE!</v>
      </c>
      <c r="M3059" s="247" t="e">
        <f t="shared" si="331"/>
        <v>#VALUE!</v>
      </c>
      <c r="N3059" s="246" t="e">
        <f t="shared" si="332"/>
        <v>#VALUE!</v>
      </c>
      <c r="O3059" s="247" t="e">
        <f t="shared" si="333"/>
        <v>#VALUE!</v>
      </c>
      <c r="P3059" s="247">
        <f t="shared" si="334"/>
        <v>0</v>
      </c>
      <c r="Q3059" s="247" t="e">
        <f t="shared" si="335"/>
        <v>#VALUE!</v>
      </c>
    </row>
    <row r="3060" spans="1:17" ht="15" customHeight="1" x14ac:dyDescent="0.25">
      <c r="A3060" s="244"/>
      <c r="B3060" s="244"/>
      <c r="C3060" s="244"/>
      <c r="D3060" s="244"/>
      <c r="E3060" s="244"/>
      <c r="F3060" s="244"/>
      <c r="G3060" s="244"/>
      <c r="I3060" s="244"/>
      <c r="J3060" s="244"/>
      <c r="K3060" s="246" t="e">
        <f t="shared" si="329"/>
        <v>#VALUE!</v>
      </c>
      <c r="L3060" s="246" t="e">
        <f t="shared" si="330"/>
        <v>#VALUE!</v>
      </c>
      <c r="M3060" s="247" t="e">
        <f t="shared" si="331"/>
        <v>#VALUE!</v>
      </c>
      <c r="N3060" s="246" t="e">
        <f t="shared" si="332"/>
        <v>#VALUE!</v>
      </c>
      <c r="O3060" s="247" t="e">
        <f t="shared" si="333"/>
        <v>#VALUE!</v>
      </c>
      <c r="P3060" s="247">
        <f t="shared" si="334"/>
        <v>0</v>
      </c>
      <c r="Q3060" s="247" t="e">
        <f t="shared" si="335"/>
        <v>#VALUE!</v>
      </c>
    </row>
    <row r="3061" spans="1:17" ht="15" customHeight="1" x14ac:dyDescent="0.25">
      <c r="A3061" s="244"/>
      <c r="B3061" s="244"/>
      <c r="C3061" s="244"/>
      <c r="D3061" s="244"/>
      <c r="E3061" s="244"/>
      <c r="F3061" s="244"/>
      <c r="G3061" s="244"/>
      <c r="I3061" s="244"/>
      <c r="J3061" s="244"/>
      <c r="K3061" s="246" t="e">
        <f t="shared" si="329"/>
        <v>#VALUE!</v>
      </c>
      <c r="L3061" s="246" t="e">
        <f t="shared" si="330"/>
        <v>#VALUE!</v>
      </c>
      <c r="M3061" s="247" t="e">
        <f t="shared" si="331"/>
        <v>#VALUE!</v>
      </c>
      <c r="N3061" s="246" t="e">
        <f t="shared" si="332"/>
        <v>#VALUE!</v>
      </c>
      <c r="O3061" s="247" t="e">
        <f t="shared" si="333"/>
        <v>#VALUE!</v>
      </c>
      <c r="P3061" s="247">
        <f t="shared" si="334"/>
        <v>0</v>
      </c>
      <c r="Q3061" s="247" t="e">
        <f t="shared" si="335"/>
        <v>#VALUE!</v>
      </c>
    </row>
    <row r="3062" spans="1:17" ht="15" customHeight="1" x14ac:dyDescent="0.25">
      <c r="A3062" s="244"/>
      <c r="B3062" s="244"/>
      <c r="C3062" s="244"/>
      <c r="D3062" s="244"/>
      <c r="E3062" s="244"/>
      <c r="F3062" s="244"/>
      <c r="G3062" s="244"/>
      <c r="I3062" s="244"/>
      <c r="J3062" s="244"/>
      <c r="K3062" s="246" t="e">
        <f t="shared" si="329"/>
        <v>#VALUE!</v>
      </c>
      <c r="L3062" s="246" t="e">
        <f t="shared" si="330"/>
        <v>#VALUE!</v>
      </c>
      <c r="M3062" s="247" t="e">
        <f t="shared" si="331"/>
        <v>#VALUE!</v>
      </c>
      <c r="N3062" s="246" t="e">
        <f t="shared" si="332"/>
        <v>#VALUE!</v>
      </c>
      <c r="O3062" s="247" t="e">
        <f t="shared" si="333"/>
        <v>#VALUE!</v>
      </c>
      <c r="P3062" s="247">
        <f t="shared" si="334"/>
        <v>0</v>
      </c>
      <c r="Q3062" s="247" t="e">
        <f t="shared" si="335"/>
        <v>#VALUE!</v>
      </c>
    </row>
    <row r="3063" spans="1:17" ht="15" customHeight="1" x14ac:dyDescent="0.25">
      <c r="A3063" s="244"/>
      <c r="B3063" s="244"/>
      <c r="C3063" s="244"/>
      <c r="D3063" s="244"/>
      <c r="E3063" s="244"/>
      <c r="F3063" s="244"/>
      <c r="G3063" s="244"/>
      <c r="I3063" s="244"/>
      <c r="J3063" s="244"/>
      <c r="K3063" s="246" t="e">
        <f t="shared" si="329"/>
        <v>#VALUE!</v>
      </c>
      <c r="L3063" s="246" t="e">
        <f t="shared" si="330"/>
        <v>#VALUE!</v>
      </c>
      <c r="M3063" s="247" t="e">
        <f t="shared" si="331"/>
        <v>#VALUE!</v>
      </c>
      <c r="N3063" s="246" t="e">
        <f t="shared" si="332"/>
        <v>#VALUE!</v>
      </c>
      <c r="O3063" s="247" t="e">
        <f t="shared" si="333"/>
        <v>#VALUE!</v>
      </c>
      <c r="P3063" s="247">
        <f t="shared" si="334"/>
        <v>0</v>
      </c>
      <c r="Q3063" s="247" t="e">
        <f t="shared" si="335"/>
        <v>#VALUE!</v>
      </c>
    </row>
    <row r="3064" spans="1:17" ht="15" customHeight="1" x14ac:dyDescent="0.25">
      <c r="A3064" s="244"/>
      <c r="B3064" s="244"/>
      <c r="C3064" s="244"/>
      <c r="D3064" s="244"/>
      <c r="E3064" s="244"/>
      <c r="F3064" s="244"/>
      <c r="G3064" s="244"/>
      <c r="I3064" s="244"/>
      <c r="J3064" s="244"/>
      <c r="K3064" s="246" t="e">
        <f t="shared" si="329"/>
        <v>#VALUE!</v>
      </c>
      <c r="L3064" s="246" t="e">
        <f t="shared" si="330"/>
        <v>#VALUE!</v>
      </c>
      <c r="M3064" s="247" t="e">
        <f t="shared" si="331"/>
        <v>#VALUE!</v>
      </c>
      <c r="N3064" s="246" t="e">
        <f t="shared" si="332"/>
        <v>#VALUE!</v>
      </c>
      <c r="O3064" s="247" t="e">
        <f t="shared" si="333"/>
        <v>#VALUE!</v>
      </c>
      <c r="P3064" s="247">
        <f t="shared" si="334"/>
        <v>0</v>
      </c>
      <c r="Q3064" s="247" t="e">
        <f t="shared" si="335"/>
        <v>#VALUE!</v>
      </c>
    </row>
    <row r="3065" spans="1:17" ht="15" customHeight="1" x14ac:dyDescent="0.25">
      <c r="A3065" s="244"/>
      <c r="B3065" s="244"/>
      <c r="C3065" s="244"/>
      <c r="D3065" s="244"/>
      <c r="E3065" s="244"/>
      <c r="F3065" s="244"/>
      <c r="G3065" s="244"/>
      <c r="I3065" s="244"/>
      <c r="J3065" s="244"/>
      <c r="K3065" s="246" t="e">
        <f t="shared" si="329"/>
        <v>#VALUE!</v>
      </c>
      <c r="L3065" s="246" t="e">
        <f t="shared" si="330"/>
        <v>#VALUE!</v>
      </c>
      <c r="M3065" s="247" t="e">
        <f t="shared" si="331"/>
        <v>#VALUE!</v>
      </c>
      <c r="N3065" s="246" t="e">
        <f t="shared" si="332"/>
        <v>#VALUE!</v>
      </c>
      <c r="O3065" s="247" t="e">
        <f t="shared" si="333"/>
        <v>#VALUE!</v>
      </c>
      <c r="P3065" s="247">
        <f t="shared" si="334"/>
        <v>0</v>
      </c>
      <c r="Q3065" s="247" t="e">
        <f t="shared" si="335"/>
        <v>#VALUE!</v>
      </c>
    </row>
    <row r="3066" spans="1:17" ht="15" customHeight="1" x14ac:dyDescent="0.25">
      <c r="A3066" s="244"/>
      <c r="B3066" s="244"/>
      <c r="C3066" s="244"/>
      <c r="D3066" s="244"/>
      <c r="E3066" s="244"/>
      <c r="F3066" s="244"/>
      <c r="G3066" s="244"/>
      <c r="I3066" s="244"/>
      <c r="J3066" s="244"/>
      <c r="K3066" s="246" t="e">
        <f t="shared" si="329"/>
        <v>#VALUE!</v>
      </c>
      <c r="L3066" s="246" t="e">
        <f t="shared" si="330"/>
        <v>#VALUE!</v>
      </c>
      <c r="M3066" s="247" t="e">
        <f t="shared" si="331"/>
        <v>#VALUE!</v>
      </c>
      <c r="N3066" s="246" t="e">
        <f t="shared" si="332"/>
        <v>#VALUE!</v>
      </c>
      <c r="O3066" s="247" t="e">
        <f t="shared" si="333"/>
        <v>#VALUE!</v>
      </c>
      <c r="P3066" s="247">
        <f t="shared" si="334"/>
        <v>0</v>
      </c>
      <c r="Q3066" s="247" t="e">
        <f t="shared" si="335"/>
        <v>#VALUE!</v>
      </c>
    </row>
    <row r="3067" spans="1:17" ht="15" customHeight="1" x14ac:dyDescent="0.25">
      <c r="A3067" s="244"/>
      <c r="B3067" s="244"/>
      <c r="C3067" s="244"/>
      <c r="D3067" s="244"/>
      <c r="E3067" s="244"/>
      <c r="F3067" s="244"/>
      <c r="G3067" s="244"/>
      <c r="I3067" s="244"/>
      <c r="J3067" s="244"/>
      <c r="K3067" s="246" t="e">
        <f t="shared" si="329"/>
        <v>#VALUE!</v>
      </c>
      <c r="L3067" s="246" t="e">
        <f t="shared" si="330"/>
        <v>#VALUE!</v>
      </c>
      <c r="M3067" s="247" t="e">
        <f t="shared" si="331"/>
        <v>#VALUE!</v>
      </c>
      <c r="N3067" s="246" t="e">
        <f t="shared" si="332"/>
        <v>#VALUE!</v>
      </c>
      <c r="O3067" s="247" t="e">
        <f t="shared" si="333"/>
        <v>#VALUE!</v>
      </c>
      <c r="P3067" s="247">
        <f t="shared" si="334"/>
        <v>0</v>
      </c>
      <c r="Q3067" s="247" t="e">
        <f t="shared" si="335"/>
        <v>#VALUE!</v>
      </c>
    </row>
    <row r="3068" spans="1:17" ht="15" customHeight="1" x14ac:dyDescent="0.25">
      <c r="A3068" s="244"/>
      <c r="B3068" s="244"/>
      <c r="C3068" s="244"/>
      <c r="D3068" s="244"/>
      <c r="E3068" s="244"/>
      <c r="F3068" s="244"/>
      <c r="G3068" s="244"/>
      <c r="I3068" s="244"/>
      <c r="J3068" s="244"/>
      <c r="K3068" s="246" t="e">
        <f t="shared" si="329"/>
        <v>#VALUE!</v>
      </c>
      <c r="L3068" s="246" t="e">
        <f t="shared" si="330"/>
        <v>#VALUE!</v>
      </c>
      <c r="M3068" s="247" t="e">
        <f t="shared" si="331"/>
        <v>#VALUE!</v>
      </c>
      <c r="N3068" s="246" t="e">
        <f t="shared" si="332"/>
        <v>#VALUE!</v>
      </c>
      <c r="O3068" s="247" t="e">
        <f t="shared" si="333"/>
        <v>#VALUE!</v>
      </c>
      <c r="P3068" s="247">
        <f t="shared" si="334"/>
        <v>0</v>
      </c>
      <c r="Q3068" s="247" t="e">
        <f t="shared" si="335"/>
        <v>#VALUE!</v>
      </c>
    </row>
    <row r="3069" spans="1:17" ht="15" customHeight="1" x14ac:dyDescent="0.25">
      <c r="A3069" s="244"/>
      <c r="B3069" s="244"/>
      <c r="C3069" s="244"/>
      <c r="D3069" s="244"/>
      <c r="E3069" s="244"/>
      <c r="F3069" s="244"/>
      <c r="G3069" s="244"/>
      <c r="I3069" s="244"/>
      <c r="J3069" s="244"/>
      <c r="K3069" s="246" t="e">
        <f t="shared" si="329"/>
        <v>#VALUE!</v>
      </c>
      <c r="L3069" s="246" t="e">
        <f t="shared" si="330"/>
        <v>#VALUE!</v>
      </c>
      <c r="M3069" s="247" t="e">
        <f t="shared" si="331"/>
        <v>#VALUE!</v>
      </c>
      <c r="N3069" s="246" t="e">
        <f t="shared" si="332"/>
        <v>#VALUE!</v>
      </c>
      <c r="O3069" s="247" t="e">
        <f t="shared" si="333"/>
        <v>#VALUE!</v>
      </c>
      <c r="P3069" s="247">
        <f t="shared" si="334"/>
        <v>0</v>
      </c>
      <c r="Q3069" s="247" t="e">
        <f t="shared" si="335"/>
        <v>#VALUE!</v>
      </c>
    </row>
    <row r="3070" spans="1:17" ht="15" customHeight="1" x14ac:dyDescent="0.25">
      <c r="A3070" s="244"/>
      <c r="B3070" s="244"/>
      <c r="C3070" s="244"/>
      <c r="D3070" s="244"/>
      <c r="E3070" s="244"/>
      <c r="F3070" s="244"/>
      <c r="G3070" s="244"/>
      <c r="I3070" s="244"/>
      <c r="J3070" s="244"/>
      <c r="K3070" s="246" t="e">
        <f t="shared" si="329"/>
        <v>#VALUE!</v>
      </c>
      <c r="L3070" s="246" t="e">
        <f t="shared" si="330"/>
        <v>#VALUE!</v>
      </c>
      <c r="M3070" s="247" t="e">
        <f t="shared" si="331"/>
        <v>#VALUE!</v>
      </c>
      <c r="N3070" s="246" t="e">
        <f t="shared" si="332"/>
        <v>#VALUE!</v>
      </c>
      <c r="O3070" s="247" t="e">
        <f t="shared" si="333"/>
        <v>#VALUE!</v>
      </c>
      <c r="P3070" s="247">
        <f t="shared" si="334"/>
        <v>0</v>
      </c>
      <c r="Q3070" s="247" t="e">
        <f t="shared" si="335"/>
        <v>#VALUE!</v>
      </c>
    </row>
    <row r="3071" spans="1:17" ht="15" customHeight="1" x14ac:dyDescent="0.25">
      <c r="A3071" s="244"/>
      <c r="B3071" s="244"/>
      <c r="C3071" s="244"/>
      <c r="D3071" s="244"/>
      <c r="E3071" s="244"/>
      <c r="F3071" s="244"/>
      <c r="G3071" s="244"/>
      <c r="I3071" s="244"/>
      <c r="J3071" s="244"/>
      <c r="K3071" s="246" t="e">
        <f t="shared" si="329"/>
        <v>#VALUE!</v>
      </c>
      <c r="L3071" s="246" t="e">
        <f t="shared" si="330"/>
        <v>#VALUE!</v>
      </c>
      <c r="M3071" s="247" t="e">
        <f t="shared" si="331"/>
        <v>#VALUE!</v>
      </c>
      <c r="N3071" s="246" t="e">
        <f t="shared" si="332"/>
        <v>#VALUE!</v>
      </c>
      <c r="O3071" s="247" t="e">
        <f t="shared" si="333"/>
        <v>#VALUE!</v>
      </c>
      <c r="P3071" s="247">
        <f t="shared" si="334"/>
        <v>0</v>
      </c>
      <c r="Q3071" s="247" t="e">
        <f t="shared" si="335"/>
        <v>#VALUE!</v>
      </c>
    </row>
    <row r="3072" spans="1:17" ht="15" customHeight="1" x14ac:dyDescent="0.25">
      <c r="A3072" s="244"/>
      <c r="B3072" s="244"/>
      <c r="C3072" s="244"/>
      <c r="D3072" s="244"/>
      <c r="E3072" s="244"/>
      <c r="F3072" s="244"/>
      <c r="G3072" s="244"/>
      <c r="I3072" s="244"/>
      <c r="J3072" s="244"/>
      <c r="K3072" s="246" t="e">
        <f t="shared" si="329"/>
        <v>#VALUE!</v>
      </c>
      <c r="L3072" s="246" t="e">
        <f t="shared" si="330"/>
        <v>#VALUE!</v>
      </c>
      <c r="M3072" s="247" t="e">
        <f t="shared" si="331"/>
        <v>#VALUE!</v>
      </c>
      <c r="N3072" s="246" t="e">
        <f t="shared" si="332"/>
        <v>#VALUE!</v>
      </c>
      <c r="O3072" s="247" t="e">
        <f t="shared" si="333"/>
        <v>#VALUE!</v>
      </c>
      <c r="P3072" s="247">
        <f t="shared" si="334"/>
        <v>0</v>
      </c>
      <c r="Q3072" s="247" t="e">
        <f t="shared" si="335"/>
        <v>#VALUE!</v>
      </c>
    </row>
    <row r="3073" spans="1:17" ht="15" customHeight="1" x14ac:dyDescent="0.25">
      <c r="A3073" s="244"/>
      <c r="B3073" s="244"/>
      <c r="C3073" s="244"/>
      <c r="D3073" s="244"/>
      <c r="E3073" s="244"/>
      <c r="F3073" s="244"/>
      <c r="G3073" s="244"/>
      <c r="I3073" s="244"/>
      <c r="J3073" s="244"/>
      <c r="K3073" s="246" t="e">
        <f t="shared" si="329"/>
        <v>#VALUE!</v>
      </c>
      <c r="L3073" s="246" t="e">
        <f t="shared" si="330"/>
        <v>#VALUE!</v>
      </c>
      <c r="M3073" s="247" t="e">
        <f t="shared" si="331"/>
        <v>#VALUE!</v>
      </c>
      <c r="N3073" s="246" t="e">
        <f t="shared" si="332"/>
        <v>#VALUE!</v>
      </c>
      <c r="O3073" s="247" t="e">
        <f t="shared" si="333"/>
        <v>#VALUE!</v>
      </c>
      <c r="P3073" s="247">
        <f t="shared" si="334"/>
        <v>0</v>
      </c>
      <c r="Q3073" s="247" t="e">
        <f t="shared" si="335"/>
        <v>#VALUE!</v>
      </c>
    </row>
    <row r="3074" spans="1:17" ht="15" customHeight="1" x14ac:dyDescent="0.25">
      <c r="A3074" s="244"/>
      <c r="B3074" s="244"/>
      <c r="C3074" s="244"/>
      <c r="D3074" s="244"/>
      <c r="E3074" s="244"/>
      <c r="F3074" s="244"/>
      <c r="G3074" s="244"/>
      <c r="I3074" s="244"/>
      <c r="J3074" s="244"/>
      <c r="K3074" s="246" t="e">
        <f t="shared" ref="K3074:K3137" si="336">DATE(VALUE(LEFT(A3074,4)),VALUE(MID(A3074,5,2)),VALUE(RIGHT(A3074,2)))</f>
        <v>#VALUE!</v>
      </c>
      <c r="L3074" s="246" t="e">
        <f t="shared" ref="L3074:L3137" si="337">DATEVALUE(LEFT(F3074,10))</f>
        <v>#VALUE!</v>
      </c>
      <c r="M3074" s="247" t="e">
        <f t="shared" ref="M3074:M3137" si="338">TIMEVALUE(MID(F3074,12,8))</f>
        <v>#VALUE!</v>
      </c>
      <c r="N3074" s="246" t="e">
        <f t="shared" ref="N3074:N3137" si="339">DATEVALUE(LEFT(G3074,10))</f>
        <v>#VALUE!</v>
      </c>
      <c r="O3074" s="247" t="e">
        <f t="shared" ref="O3074:O3137" si="340">TIMEVALUE(MID(G3074,12,8))</f>
        <v>#VALUE!</v>
      </c>
      <c r="P3074" s="247">
        <f t="shared" ref="P3074:P3137" si="341">IFERROR(_xlfn.MINIFS($M:$M,$E:$E,$E3074,$K:$K,$K3074,$M:$M,"&gt;"&amp;$O3074),"")</f>
        <v>0</v>
      </c>
      <c r="Q3074" s="247" t="e">
        <f t="shared" ref="Q3074:Q3137" si="342">IF($P3074="","",$P3074-$O3074)</f>
        <v>#VALUE!</v>
      </c>
    </row>
    <row r="3075" spans="1:17" ht="15" customHeight="1" x14ac:dyDescent="0.25">
      <c r="A3075" s="244"/>
      <c r="B3075" s="244"/>
      <c r="C3075" s="244"/>
      <c r="D3075" s="244"/>
      <c r="E3075" s="244"/>
      <c r="F3075" s="244"/>
      <c r="G3075" s="244"/>
      <c r="I3075" s="244"/>
      <c r="J3075" s="244"/>
      <c r="K3075" s="246" t="e">
        <f t="shared" si="336"/>
        <v>#VALUE!</v>
      </c>
      <c r="L3075" s="246" t="e">
        <f t="shared" si="337"/>
        <v>#VALUE!</v>
      </c>
      <c r="M3075" s="247" t="e">
        <f t="shared" si="338"/>
        <v>#VALUE!</v>
      </c>
      <c r="N3075" s="246" t="e">
        <f t="shared" si="339"/>
        <v>#VALUE!</v>
      </c>
      <c r="O3075" s="247" t="e">
        <f t="shared" si="340"/>
        <v>#VALUE!</v>
      </c>
      <c r="P3075" s="247">
        <f t="shared" si="341"/>
        <v>0</v>
      </c>
      <c r="Q3075" s="247" t="e">
        <f t="shared" si="342"/>
        <v>#VALUE!</v>
      </c>
    </row>
    <row r="3076" spans="1:17" ht="15" customHeight="1" x14ac:dyDescent="0.25">
      <c r="A3076" s="244"/>
      <c r="B3076" s="244"/>
      <c r="C3076" s="244"/>
      <c r="D3076" s="244"/>
      <c r="E3076" s="244"/>
      <c r="F3076" s="244"/>
      <c r="G3076" s="244"/>
      <c r="I3076" s="244"/>
      <c r="J3076" s="244"/>
      <c r="K3076" s="246" t="e">
        <f t="shared" si="336"/>
        <v>#VALUE!</v>
      </c>
      <c r="L3076" s="246" t="e">
        <f t="shared" si="337"/>
        <v>#VALUE!</v>
      </c>
      <c r="M3076" s="247" t="e">
        <f t="shared" si="338"/>
        <v>#VALUE!</v>
      </c>
      <c r="N3076" s="246" t="e">
        <f t="shared" si="339"/>
        <v>#VALUE!</v>
      </c>
      <c r="O3076" s="247" t="e">
        <f t="shared" si="340"/>
        <v>#VALUE!</v>
      </c>
      <c r="P3076" s="247">
        <f t="shared" si="341"/>
        <v>0</v>
      </c>
      <c r="Q3076" s="247" t="e">
        <f t="shared" si="342"/>
        <v>#VALUE!</v>
      </c>
    </row>
    <row r="3077" spans="1:17" ht="15" customHeight="1" x14ac:dyDescent="0.25">
      <c r="A3077" s="244"/>
      <c r="B3077" s="244"/>
      <c r="C3077" s="244"/>
      <c r="D3077" s="244"/>
      <c r="E3077" s="244"/>
      <c r="F3077" s="244"/>
      <c r="G3077" s="244"/>
      <c r="I3077" s="244"/>
      <c r="J3077" s="244"/>
      <c r="K3077" s="246" t="e">
        <f t="shared" si="336"/>
        <v>#VALUE!</v>
      </c>
      <c r="L3077" s="246" t="e">
        <f t="shared" si="337"/>
        <v>#VALUE!</v>
      </c>
      <c r="M3077" s="247" t="e">
        <f t="shared" si="338"/>
        <v>#VALUE!</v>
      </c>
      <c r="N3077" s="246" t="e">
        <f t="shared" si="339"/>
        <v>#VALUE!</v>
      </c>
      <c r="O3077" s="247" t="e">
        <f t="shared" si="340"/>
        <v>#VALUE!</v>
      </c>
      <c r="P3077" s="247">
        <f t="shared" si="341"/>
        <v>0</v>
      </c>
      <c r="Q3077" s="247" t="e">
        <f t="shared" si="342"/>
        <v>#VALUE!</v>
      </c>
    </row>
    <row r="3078" spans="1:17" ht="15" customHeight="1" x14ac:dyDescent="0.25">
      <c r="A3078" s="244"/>
      <c r="B3078" s="244"/>
      <c r="C3078" s="244"/>
      <c r="D3078" s="244"/>
      <c r="E3078" s="244"/>
      <c r="F3078" s="244"/>
      <c r="G3078" s="244"/>
      <c r="I3078" s="244"/>
      <c r="J3078" s="244"/>
      <c r="K3078" s="246" t="e">
        <f t="shared" si="336"/>
        <v>#VALUE!</v>
      </c>
      <c r="L3078" s="246" t="e">
        <f t="shared" si="337"/>
        <v>#VALUE!</v>
      </c>
      <c r="M3078" s="247" t="e">
        <f t="shared" si="338"/>
        <v>#VALUE!</v>
      </c>
      <c r="N3078" s="246" t="e">
        <f t="shared" si="339"/>
        <v>#VALUE!</v>
      </c>
      <c r="O3078" s="247" t="e">
        <f t="shared" si="340"/>
        <v>#VALUE!</v>
      </c>
      <c r="P3078" s="247">
        <f t="shared" si="341"/>
        <v>0</v>
      </c>
      <c r="Q3078" s="247" t="e">
        <f t="shared" si="342"/>
        <v>#VALUE!</v>
      </c>
    </row>
    <row r="3079" spans="1:17" ht="15" customHeight="1" x14ac:dyDescent="0.25">
      <c r="A3079" s="244"/>
      <c r="B3079" s="244"/>
      <c r="C3079" s="244"/>
      <c r="D3079" s="244"/>
      <c r="E3079" s="244"/>
      <c r="F3079" s="244"/>
      <c r="G3079" s="244"/>
      <c r="I3079" s="244"/>
      <c r="J3079" s="244"/>
      <c r="K3079" s="246" t="e">
        <f t="shared" si="336"/>
        <v>#VALUE!</v>
      </c>
      <c r="L3079" s="246" t="e">
        <f t="shared" si="337"/>
        <v>#VALUE!</v>
      </c>
      <c r="M3079" s="247" t="e">
        <f t="shared" si="338"/>
        <v>#VALUE!</v>
      </c>
      <c r="N3079" s="246" t="e">
        <f t="shared" si="339"/>
        <v>#VALUE!</v>
      </c>
      <c r="O3079" s="247" t="e">
        <f t="shared" si="340"/>
        <v>#VALUE!</v>
      </c>
      <c r="P3079" s="247">
        <f t="shared" si="341"/>
        <v>0</v>
      </c>
      <c r="Q3079" s="247" t="e">
        <f t="shared" si="342"/>
        <v>#VALUE!</v>
      </c>
    </row>
    <row r="3080" spans="1:17" ht="15" customHeight="1" x14ac:dyDescent="0.25">
      <c r="A3080" s="244"/>
      <c r="B3080" s="244"/>
      <c r="C3080" s="244"/>
      <c r="D3080" s="244"/>
      <c r="E3080" s="244"/>
      <c r="F3080" s="244"/>
      <c r="G3080" s="244"/>
      <c r="I3080" s="244"/>
      <c r="J3080" s="244"/>
      <c r="K3080" s="246" t="e">
        <f t="shared" si="336"/>
        <v>#VALUE!</v>
      </c>
      <c r="L3080" s="246" t="e">
        <f t="shared" si="337"/>
        <v>#VALUE!</v>
      </c>
      <c r="M3080" s="247" t="e">
        <f t="shared" si="338"/>
        <v>#VALUE!</v>
      </c>
      <c r="N3080" s="246" t="e">
        <f t="shared" si="339"/>
        <v>#VALUE!</v>
      </c>
      <c r="O3080" s="247" t="e">
        <f t="shared" si="340"/>
        <v>#VALUE!</v>
      </c>
      <c r="P3080" s="247">
        <f t="shared" si="341"/>
        <v>0</v>
      </c>
      <c r="Q3080" s="247" t="e">
        <f t="shared" si="342"/>
        <v>#VALUE!</v>
      </c>
    </row>
    <row r="3081" spans="1:17" ht="15" customHeight="1" x14ac:dyDescent="0.25">
      <c r="A3081" s="244"/>
      <c r="B3081" s="244"/>
      <c r="C3081" s="244"/>
      <c r="D3081" s="244"/>
      <c r="E3081" s="244"/>
      <c r="F3081" s="244"/>
      <c r="G3081" s="244"/>
      <c r="I3081" s="244"/>
      <c r="J3081" s="244"/>
      <c r="K3081" s="246" t="e">
        <f t="shared" si="336"/>
        <v>#VALUE!</v>
      </c>
      <c r="L3081" s="246" t="e">
        <f t="shared" si="337"/>
        <v>#VALUE!</v>
      </c>
      <c r="M3081" s="247" t="e">
        <f t="shared" si="338"/>
        <v>#VALUE!</v>
      </c>
      <c r="N3081" s="246" t="e">
        <f t="shared" si="339"/>
        <v>#VALUE!</v>
      </c>
      <c r="O3081" s="247" t="e">
        <f t="shared" si="340"/>
        <v>#VALUE!</v>
      </c>
      <c r="P3081" s="247">
        <f t="shared" si="341"/>
        <v>0</v>
      </c>
      <c r="Q3081" s="247" t="e">
        <f t="shared" si="342"/>
        <v>#VALUE!</v>
      </c>
    </row>
    <row r="3082" spans="1:17" ht="15" customHeight="1" x14ac:dyDescent="0.25">
      <c r="A3082" s="244"/>
      <c r="B3082" s="244"/>
      <c r="C3082" s="244"/>
      <c r="D3082" s="244"/>
      <c r="E3082" s="244"/>
      <c r="F3082" s="244"/>
      <c r="G3082" s="244"/>
      <c r="I3082" s="244"/>
      <c r="J3082" s="244"/>
      <c r="K3082" s="246" t="e">
        <f t="shared" si="336"/>
        <v>#VALUE!</v>
      </c>
      <c r="L3082" s="246" t="e">
        <f t="shared" si="337"/>
        <v>#VALUE!</v>
      </c>
      <c r="M3082" s="247" t="e">
        <f t="shared" si="338"/>
        <v>#VALUE!</v>
      </c>
      <c r="N3082" s="246" t="e">
        <f t="shared" si="339"/>
        <v>#VALUE!</v>
      </c>
      <c r="O3082" s="247" t="e">
        <f t="shared" si="340"/>
        <v>#VALUE!</v>
      </c>
      <c r="P3082" s="247">
        <f t="shared" si="341"/>
        <v>0</v>
      </c>
      <c r="Q3082" s="247" t="e">
        <f t="shared" si="342"/>
        <v>#VALUE!</v>
      </c>
    </row>
    <row r="3083" spans="1:17" ht="15" customHeight="1" x14ac:dyDescent="0.25">
      <c r="A3083" s="244"/>
      <c r="B3083" s="244"/>
      <c r="C3083" s="244"/>
      <c r="D3083" s="244"/>
      <c r="E3083" s="244"/>
      <c r="F3083" s="244"/>
      <c r="G3083" s="244"/>
      <c r="I3083" s="244"/>
      <c r="J3083" s="244"/>
      <c r="K3083" s="246" t="e">
        <f t="shared" si="336"/>
        <v>#VALUE!</v>
      </c>
      <c r="L3083" s="246" t="e">
        <f t="shared" si="337"/>
        <v>#VALUE!</v>
      </c>
      <c r="M3083" s="247" t="e">
        <f t="shared" si="338"/>
        <v>#VALUE!</v>
      </c>
      <c r="N3083" s="246" t="e">
        <f t="shared" si="339"/>
        <v>#VALUE!</v>
      </c>
      <c r="O3083" s="247" t="e">
        <f t="shared" si="340"/>
        <v>#VALUE!</v>
      </c>
      <c r="P3083" s="247">
        <f t="shared" si="341"/>
        <v>0</v>
      </c>
      <c r="Q3083" s="247" t="e">
        <f t="shared" si="342"/>
        <v>#VALUE!</v>
      </c>
    </row>
    <row r="3084" spans="1:17" ht="15" customHeight="1" x14ac:dyDescent="0.25">
      <c r="A3084" s="244"/>
      <c r="B3084" s="244"/>
      <c r="C3084" s="244"/>
      <c r="D3084" s="244"/>
      <c r="E3084" s="244"/>
      <c r="F3084" s="244"/>
      <c r="G3084" s="244"/>
      <c r="I3084" s="244"/>
      <c r="J3084" s="244"/>
      <c r="K3084" s="246" t="e">
        <f t="shared" si="336"/>
        <v>#VALUE!</v>
      </c>
      <c r="L3084" s="246" t="e">
        <f t="shared" si="337"/>
        <v>#VALUE!</v>
      </c>
      <c r="M3084" s="247" t="e">
        <f t="shared" si="338"/>
        <v>#VALUE!</v>
      </c>
      <c r="N3084" s="246" t="e">
        <f t="shared" si="339"/>
        <v>#VALUE!</v>
      </c>
      <c r="O3084" s="247" t="e">
        <f t="shared" si="340"/>
        <v>#VALUE!</v>
      </c>
      <c r="P3084" s="247">
        <f t="shared" si="341"/>
        <v>0</v>
      </c>
      <c r="Q3084" s="247" t="e">
        <f t="shared" si="342"/>
        <v>#VALUE!</v>
      </c>
    </row>
    <row r="3085" spans="1:17" ht="15" customHeight="1" x14ac:dyDescent="0.25">
      <c r="A3085" s="244"/>
      <c r="B3085" s="244"/>
      <c r="C3085" s="244"/>
      <c r="D3085" s="244"/>
      <c r="E3085" s="244"/>
      <c r="F3085" s="244"/>
      <c r="G3085" s="244"/>
      <c r="I3085" s="244"/>
      <c r="J3085" s="244"/>
      <c r="K3085" s="246" t="e">
        <f t="shared" si="336"/>
        <v>#VALUE!</v>
      </c>
      <c r="L3085" s="246" t="e">
        <f t="shared" si="337"/>
        <v>#VALUE!</v>
      </c>
      <c r="M3085" s="247" t="e">
        <f t="shared" si="338"/>
        <v>#VALUE!</v>
      </c>
      <c r="N3085" s="246" t="e">
        <f t="shared" si="339"/>
        <v>#VALUE!</v>
      </c>
      <c r="O3085" s="247" t="e">
        <f t="shared" si="340"/>
        <v>#VALUE!</v>
      </c>
      <c r="P3085" s="247">
        <f t="shared" si="341"/>
        <v>0</v>
      </c>
      <c r="Q3085" s="247" t="e">
        <f t="shared" si="342"/>
        <v>#VALUE!</v>
      </c>
    </row>
    <row r="3086" spans="1:17" ht="15" customHeight="1" x14ac:dyDescent="0.25">
      <c r="A3086" s="244"/>
      <c r="B3086" s="244"/>
      <c r="C3086" s="244"/>
      <c r="D3086" s="244"/>
      <c r="E3086" s="244"/>
      <c r="F3086" s="244"/>
      <c r="G3086" s="244"/>
      <c r="I3086" s="244"/>
      <c r="J3086" s="244"/>
      <c r="K3086" s="246" t="e">
        <f t="shared" si="336"/>
        <v>#VALUE!</v>
      </c>
      <c r="L3086" s="246" t="e">
        <f t="shared" si="337"/>
        <v>#VALUE!</v>
      </c>
      <c r="M3086" s="247" t="e">
        <f t="shared" si="338"/>
        <v>#VALUE!</v>
      </c>
      <c r="N3086" s="246" t="e">
        <f t="shared" si="339"/>
        <v>#VALUE!</v>
      </c>
      <c r="O3086" s="247" t="e">
        <f t="shared" si="340"/>
        <v>#VALUE!</v>
      </c>
      <c r="P3086" s="247">
        <f t="shared" si="341"/>
        <v>0</v>
      </c>
      <c r="Q3086" s="247" t="e">
        <f t="shared" si="342"/>
        <v>#VALUE!</v>
      </c>
    </row>
    <row r="3087" spans="1:17" ht="15" customHeight="1" x14ac:dyDescent="0.25">
      <c r="A3087" s="244"/>
      <c r="B3087" s="244"/>
      <c r="C3087" s="244"/>
      <c r="D3087" s="244"/>
      <c r="E3087" s="244"/>
      <c r="F3087" s="244"/>
      <c r="G3087" s="244"/>
      <c r="I3087" s="244"/>
      <c r="J3087" s="244"/>
      <c r="K3087" s="246" t="e">
        <f t="shared" si="336"/>
        <v>#VALUE!</v>
      </c>
      <c r="L3087" s="246" t="e">
        <f t="shared" si="337"/>
        <v>#VALUE!</v>
      </c>
      <c r="M3087" s="247" t="e">
        <f t="shared" si="338"/>
        <v>#VALUE!</v>
      </c>
      <c r="N3087" s="246" t="e">
        <f t="shared" si="339"/>
        <v>#VALUE!</v>
      </c>
      <c r="O3087" s="247" t="e">
        <f t="shared" si="340"/>
        <v>#VALUE!</v>
      </c>
      <c r="P3087" s="247">
        <f t="shared" si="341"/>
        <v>0</v>
      </c>
      <c r="Q3087" s="247" t="e">
        <f t="shared" si="342"/>
        <v>#VALUE!</v>
      </c>
    </row>
    <row r="3088" spans="1:17" ht="15" customHeight="1" x14ac:dyDescent="0.25">
      <c r="A3088" s="244"/>
      <c r="B3088" s="244"/>
      <c r="C3088" s="244"/>
      <c r="D3088" s="244"/>
      <c r="E3088" s="244"/>
      <c r="F3088" s="244"/>
      <c r="G3088" s="244"/>
      <c r="I3088" s="244"/>
      <c r="J3088" s="244"/>
      <c r="K3088" s="246" t="e">
        <f t="shared" si="336"/>
        <v>#VALUE!</v>
      </c>
      <c r="L3088" s="246" t="e">
        <f t="shared" si="337"/>
        <v>#VALUE!</v>
      </c>
      <c r="M3088" s="247" t="e">
        <f t="shared" si="338"/>
        <v>#VALUE!</v>
      </c>
      <c r="N3088" s="246" t="e">
        <f t="shared" si="339"/>
        <v>#VALUE!</v>
      </c>
      <c r="O3088" s="247" t="e">
        <f t="shared" si="340"/>
        <v>#VALUE!</v>
      </c>
      <c r="P3088" s="247">
        <f t="shared" si="341"/>
        <v>0</v>
      </c>
      <c r="Q3088" s="247" t="e">
        <f t="shared" si="342"/>
        <v>#VALUE!</v>
      </c>
    </row>
    <row r="3089" spans="1:17" ht="15" customHeight="1" x14ac:dyDescent="0.25">
      <c r="A3089" s="244"/>
      <c r="B3089" s="244"/>
      <c r="C3089" s="244"/>
      <c r="D3089" s="244"/>
      <c r="E3089" s="244"/>
      <c r="F3089" s="244"/>
      <c r="G3089" s="244"/>
      <c r="I3089" s="244"/>
      <c r="J3089" s="244"/>
      <c r="K3089" s="246" t="e">
        <f t="shared" si="336"/>
        <v>#VALUE!</v>
      </c>
      <c r="L3089" s="246" t="e">
        <f t="shared" si="337"/>
        <v>#VALUE!</v>
      </c>
      <c r="M3089" s="247" t="e">
        <f t="shared" si="338"/>
        <v>#VALUE!</v>
      </c>
      <c r="N3089" s="246" t="e">
        <f t="shared" si="339"/>
        <v>#VALUE!</v>
      </c>
      <c r="O3089" s="247" t="e">
        <f t="shared" si="340"/>
        <v>#VALUE!</v>
      </c>
      <c r="P3089" s="247">
        <f t="shared" si="341"/>
        <v>0</v>
      </c>
      <c r="Q3089" s="247" t="e">
        <f t="shared" si="342"/>
        <v>#VALUE!</v>
      </c>
    </row>
    <row r="3090" spans="1:17" ht="15" customHeight="1" x14ac:dyDescent="0.25">
      <c r="A3090" s="244"/>
      <c r="B3090" s="244"/>
      <c r="C3090" s="244"/>
      <c r="D3090" s="244"/>
      <c r="E3090" s="244"/>
      <c r="F3090" s="244"/>
      <c r="G3090" s="244"/>
      <c r="I3090" s="244"/>
      <c r="J3090" s="244"/>
      <c r="K3090" s="246" t="e">
        <f t="shared" si="336"/>
        <v>#VALUE!</v>
      </c>
      <c r="L3090" s="246" t="e">
        <f t="shared" si="337"/>
        <v>#VALUE!</v>
      </c>
      <c r="M3090" s="247" t="e">
        <f t="shared" si="338"/>
        <v>#VALUE!</v>
      </c>
      <c r="N3090" s="246" t="e">
        <f t="shared" si="339"/>
        <v>#VALUE!</v>
      </c>
      <c r="O3090" s="247" t="e">
        <f t="shared" si="340"/>
        <v>#VALUE!</v>
      </c>
      <c r="P3090" s="247">
        <f t="shared" si="341"/>
        <v>0</v>
      </c>
      <c r="Q3090" s="247" t="e">
        <f t="shared" si="342"/>
        <v>#VALUE!</v>
      </c>
    </row>
    <row r="3091" spans="1:17" ht="15" customHeight="1" x14ac:dyDescent="0.25">
      <c r="A3091" s="244"/>
      <c r="B3091" s="244"/>
      <c r="C3091" s="244"/>
      <c r="D3091" s="244"/>
      <c r="E3091" s="244"/>
      <c r="F3091" s="244"/>
      <c r="G3091" s="244"/>
      <c r="I3091" s="244"/>
      <c r="J3091" s="244"/>
      <c r="K3091" s="246" t="e">
        <f t="shared" si="336"/>
        <v>#VALUE!</v>
      </c>
      <c r="L3091" s="246" t="e">
        <f t="shared" si="337"/>
        <v>#VALUE!</v>
      </c>
      <c r="M3091" s="247" t="e">
        <f t="shared" si="338"/>
        <v>#VALUE!</v>
      </c>
      <c r="N3091" s="246" t="e">
        <f t="shared" si="339"/>
        <v>#VALUE!</v>
      </c>
      <c r="O3091" s="247" t="e">
        <f t="shared" si="340"/>
        <v>#VALUE!</v>
      </c>
      <c r="P3091" s="247">
        <f t="shared" si="341"/>
        <v>0</v>
      </c>
      <c r="Q3091" s="247" t="e">
        <f t="shared" si="342"/>
        <v>#VALUE!</v>
      </c>
    </row>
    <row r="3092" spans="1:17" ht="15" customHeight="1" x14ac:dyDescent="0.25">
      <c r="A3092" s="244"/>
      <c r="B3092" s="244"/>
      <c r="C3092" s="244"/>
      <c r="D3092" s="244"/>
      <c r="E3092" s="244"/>
      <c r="F3092" s="244"/>
      <c r="G3092" s="244"/>
      <c r="I3092" s="244"/>
      <c r="J3092" s="244"/>
      <c r="K3092" s="246" t="e">
        <f t="shared" si="336"/>
        <v>#VALUE!</v>
      </c>
      <c r="L3092" s="246" t="e">
        <f t="shared" si="337"/>
        <v>#VALUE!</v>
      </c>
      <c r="M3092" s="247" t="e">
        <f t="shared" si="338"/>
        <v>#VALUE!</v>
      </c>
      <c r="N3092" s="246" t="e">
        <f t="shared" si="339"/>
        <v>#VALUE!</v>
      </c>
      <c r="O3092" s="247" t="e">
        <f t="shared" si="340"/>
        <v>#VALUE!</v>
      </c>
      <c r="P3092" s="247">
        <f t="shared" si="341"/>
        <v>0</v>
      </c>
      <c r="Q3092" s="247" t="e">
        <f t="shared" si="342"/>
        <v>#VALUE!</v>
      </c>
    </row>
    <row r="3093" spans="1:17" ht="15" customHeight="1" x14ac:dyDescent="0.25">
      <c r="A3093" s="244"/>
      <c r="B3093" s="244"/>
      <c r="C3093" s="244"/>
      <c r="D3093" s="244"/>
      <c r="E3093" s="244"/>
      <c r="F3093" s="244"/>
      <c r="G3093" s="244"/>
      <c r="I3093" s="244"/>
      <c r="J3093" s="244"/>
      <c r="K3093" s="246" t="e">
        <f t="shared" si="336"/>
        <v>#VALUE!</v>
      </c>
      <c r="L3093" s="246" t="e">
        <f t="shared" si="337"/>
        <v>#VALUE!</v>
      </c>
      <c r="M3093" s="247" t="e">
        <f t="shared" si="338"/>
        <v>#VALUE!</v>
      </c>
      <c r="N3093" s="246" t="e">
        <f t="shared" si="339"/>
        <v>#VALUE!</v>
      </c>
      <c r="O3093" s="247" t="e">
        <f t="shared" si="340"/>
        <v>#VALUE!</v>
      </c>
      <c r="P3093" s="247">
        <f t="shared" si="341"/>
        <v>0</v>
      </c>
      <c r="Q3093" s="247" t="e">
        <f t="shared" si="342"/>
        <v>#VALUE!</v>
      </c>
    </row>
    <row r="3094" spans="1:17" ht="15" customHeight="1" x14ac:dyDescent="0.25">
      <c r="A3094" s="244"/>
      <c r="B3094" s="244"/>
      <c r="C3094" s="244"/>
      <c r="D3094" s="244"/>
      <c r="E3094" s="244"/>
      <c r="F3094" s="244"/>
      <c r="G3094" s="244"/>
      <c r="I3094" s="244"/>
      <c r="J3094" s="244"/>
      <c r="K3094" s="246" t="e">
        <f t="shared" si="336"/>
        <v>#VALUE!</v>
      </c>
      <c r="L3094" s="246" t="e">
        <f t="shared" si="337"/>
        <v>#VALUE!</v>
      </c>
      <c r="M3094" s="247" t="e">
        <f t="shared" si="338"/>
        <v>#VALUE!</v>
      </c>
      <c r="N3094" s="246" t="e">
        <f t="shared" si="339"/>
        <v>#VALUE!</v>
      </c>
      <c r="O3094" s="247" t="e">
        <f t="shared" si="340"/>
        <v>#VALUE!</v>
      </c>
      <c r="P3094" s="247">
        <f t="shared" si="341"/>
        <v>0</v>
      </c>
      <c r="Q3094" s="247" t="e">
        <f t="shared" si="342"/>
        <v>#VALUE!</v>
      </c>
    </row>
    <row r="3095" spans="1:17" ht="15" customHeight="1" x14ac:dyDescent="0.25">
      <c r="A3095" s="244"/>
      <c r="B3095" s="244"/>
      <c r="C3095" s="244"/>
      <c r="D3095" s="244"/>
      <c r="E3095" s="244"/>
      <c r="F3095" s="244"/>
      <c r="G3095" s="244"/>
      <c r="I3095" s="244"/>
      <c r="J3095" s="244"/>
      <c r="K3095" s="246" t="e">
        <f t="shared" si="336"/>
        <v>#VALUE!</v>
      </c>
      <c r="L3095" s="246" t="e">
        <f t="shared" si="337"/>
        <v>#VALUE!</v>
      </c>
      <c r="M3095" s="247" t="e">
        <f t="shared" si="338"/>
        <v>#VALUE!</v>
      </c>
      <c r="N3095" s="246" t="e">
        <f t="shared" si="339"/>
        <v>#VALUE!</v>
      </c>
      <c r="O3095" s="247" t="e">
        <f t="shared" si="340"/>
        <v>#VALUE!</v>
      </c>
      <c r="P3095" s="247">
        <f t="shared" si="341"/>
        <v>0</v>
      </c>
      <c r="Q3095" s="247" t="e">
        <f t="shared" si="342"/>
        <v>#VALUE!</v>
      </c>
    </row>
    <row r="3096" spans="1:17" ht="15" customHeight="1" x14ac:dyDescent="0.25">
      <c r="A3096" s="244"/>
      <c r="B3096" s="244"/>
      <c r="C3096" s="244"/>
      <c r="D3096" s="244"/>
      <c r="E3096" s="244"/>
      <c r="F3096" s="244"/>
      <c r="G3096" s="244"/>
      <c r="I3096" s="244"/>
      <c r="J3096" s="244"/>
      <c r="K3096" s="246" t="e">
        <f t="shared" si="336"/>
        <v>#VALUE!</v>
      </c>
      <c r="L3096" s="246" t="e">
        <f t="shared" si="337"/>
        <v>#VALUE!</v>
      </c>
      <c r="M3096" s="247" t="e">
        <f t="shared" si="338"/>
        <v>#VALUE!</v>
      </c>
      <c r="N3096" s="246" t="e">
        <f t="shared" si="339"/>
        <v>#VALUE!</v>
      </c>
      <c r="O3096" s="247" t="e">
        <f t="shared" si="340"/>
        <v>#VALUE!</v>
      </c>
      <c r="P3096" s="247">
        <f t="shared" si="341"/>
        <v>0</v>
      </c>
      <c r="Q3096" s="247" t="e">
        <f t="shared" si="342"/>
        <v>#VALUE!</v>
      </c>
    </row>
    <row r="3097" spans="1:17" ht="15" customHeight="1" x14ac:dyDescent="0.25">
      <c r="A3097" s="244"/>
      <c r="B3097" s="244"/>
      <c r="C3097" s="244"/>
      <c r="D3097" s="244"/>
      <c r="E3097" s="244"/>
      <c r="F3097" s="244"/>
      <c r="G3097" s="244"/>
      <c r="I3097" s="244"/>
      <c r="J3097" s="244"/>
      <c r="K3097" s="246" t="e">
        <f t="shared" si="336"/>
        <v>#VALUE!</v>
      </c>
      <c r="L3097" s="246" t="e">
        <f t="shared" si="337"/>
        <v>#VALUE!</v>
      </c>
      <c r="M3097" s="247" t="e">
        <f t="shared" si="338"/>
        <v>#VALUE!</v>
      </c>
      <c r="N3097" s="246" t="e">
        <f t="shared" si="339"/>
        <v>#VALUE!</v>
      </c>
      <c r="O3097" s="247" t="e">
        <f t="shared" si="340"/>
        <v>#VALUE!</v>
      </c>
      <c r="P3097" s="247">
        <f t="shared" si="341"/>
        <v>0</v>
      </c>
      <c r="Q3097" s="247" t="e">
        <f t="shared" si="342"/>
        <v>#VALUE!</v>
      </c>
    </row>
    <row r="3098" spans="1:17" ht="15" customHeight="1" x14ac:dyDescent="0.25">
      <c r="A3098" s="244"/>
      <c r="B3098" s="244"/>
      <c r="C3098" s="244"/>
      <c r="D3098" s="244"/>
      <c r="E3098" s="244"/>
      <c r="F3098" s="244"/>
      <c r="G3098" s="244"/>
      <c r="I3098" s="244"/>
      <c r="J3098" s="244"/>
      <c r="K3098" s="246" t="e">
        <f t="shared" si="336"/>
        <v>#VALUE!</v>
      </c>
      <c r="L3098" s="246" t="e">
        <f t="shared" si="337"/>
        <v>#VALUE!</v>
      </c>
      <c r="M3098" s="247" t="e">
        <f t="shared" si="338"/>
        <v>#VALUE!</v>
      </c>
      <c r="N3098" s="246" t="e">
        <f t="shared" si="339"/>
        <v>#VALUE!</v>
      </c>
      <c r="O3098" s="247" t="e">
        <f t="shared" si="340"/>
        <v>#VALUE!</v>
      </c>
      <c r="P3098" s="247">
        <f t="shared" si="341"/>
        <v>0</v>
      </c>
      <c r="Q3098" s="247" t="e">
        <f t="shared" si="342"/>
        <v>#VALUE!</v>
      </c>
    </row>
    <row r="3099" spans="1:17" ht="15" customHeight="1" x14ac:dyDescent="0.25">
      <c r="A3099" s="244"/>
      <c r="B3099" s="244"/>
      <c r="C3099" s="244"/>
      <c r="D3099" s="244"/>
      <c r="E3099" s="244"/>
      <c r="F3099" s="244"/>
      <c r="G3099" s="244"/>
      <c r="I3099" s="244"/>
      <c r="J3099" s="244"/>
      <c r="K3099" s="246" t="e">
        <f t="shared" si="336"/>
        <v>#VALUE!</v>
      </c>
      <c r="L3099" s="246" t="e">
        <f t="shared" si="337"/>
        <v>#VALUE!</v>
      </c>
      <c r="M3099" s="247" t="e">
        <f t="shared" si="338"/>
        <v>#VALUE!</v>
      </c>
      <c r="N3099" s="246" t="e">
        <f t="shared" si="339"/>
        <v>#VALUE!</v>
      </c>
      <c r="O3099" s="247" t="e">
        <f t="shared" si="340"/>
        <v>#VALUE!</v>
      </c>
      <c r="P3099" s="247">
        <f t="shared" si="341"/>
        <v>0</v>
      </c>
      <c r="Q3099" s="247" t="e">
        <f t="shared" si="342"/>
        <v>#VALUE!</v>
      </c>
    </row>
    <row r="3100" spans="1:17" ht="15" customHeight="1" x14ac:dyDescent="0.25">
      <c r="A3100" s="244"/>
      <c r="B3100" s="244"/>
      <c r="C3100" s="244"/>
      <c r="D3100" s="244"/>
      <c r="E3100" s="244"/>
      <c r="F3100" s="244"/>
      <c r="G3100" s="244"/>
      <c r="I3100" s="244"/>
      <c r="J3100" s="244"/>
      <c r="K3100" s="246" t="e">
        <f t="shared" si="336"/>
        <v>#VALUE!</v>
      </c>
      <c r="L3100" s="246" t="e">
        <f t="shared" si="337"/>
        <v>#VALUE!</v>
      </c>
      <c r="M3100" s="247" t="e">
        <f t="shared" si="338"/>
        <v>#VALUE!</v>
      </c>
      <c r="N3100" s="246" t="e">
        <f t="shared" si="339"/>
        <v>#VALUE!</v>
      </c>
      <c r="O3100" s="247" t="e">
        <f t="shared" si="340"/>
        <v>#VALUE!</v>
      </c>
      <c r="P3100" s="247">
        <f t="shared" si="341"/>
        <v>0</v>
      </c>
      <c r="Q3100" s="247" t="e">
        <f t="shared" si="342"/>
        <v>#VALUE!</v>
      </c>
    </row>
    <row r="3101" spans="1:17" ht="15" customHeight="1" x14ac:dyDescent="0.25">
      <c r="A3101" s="244"/>
      <c r="B3101" s="244"/>
      <c r="C3101" s="244"/>
      <c r="D3101" s="244"/>
      <c r="E3101" s="244"/>
      <c r="F3101" s="244"/>
      <c r="G3101" s="244"/>
      <c r="I3101" s="244"/>
      <c r="J3101" s="244"/>
      <c r="K3101" s="246" t="e">
        <f t="shared" si="336"/>
        <v>#VALUE!</v>
      </c>
      <c r="L3101" s="246" t="e">
        <f t="shared" si="337"/>
        <v>#VALUE!</v>
      </c>
      <c r="M3101" s="247" t="e">
        <f t="shared" si="338"/>
        <v>#VALUE!</v>
      </c>
      <c r="N3101" s="246" t="e">
        <f t="shared" si="339"/>
        <v>#VALUE!</v>
      </c>
      <c r="O3101" s="247" t="e">
        <f t="shared" si="340"/>
        <v>#VALUE!</v>
      </c>
      <c r="P3101" s="247">
        <f t="shared" si="341"/>
        <v>0</v>
      </c>
      <c r="Q3101" s="247" t="e">
        <f t="shared" si="342"/>
        <v>#VALUE!</v>
      </c>
    </row>
    <row r="3102" spans="1:17" ht="15" customHeight="1" x14ac:dyDescent="0.25">
      <c r="A3102" s="244"/>
      <c r="B3102" s="244"/>
      <c r="C3102" s="244"/>
      <c r="D3102" s="244"/>
      <c r="E3102" s="244"/>
      <c r="F3102" s="244"/>
      <c r="G3102" s="244"/>
      <c r="I3102" s="244"/>
      <c r="J3102" s="244"/>
      <c r="K3102" s="246" t="e">
        <f t="shared" si="336"/>
        <v>#VALUE!</v>
      </c>
      <c r="L3102" s="246" t="e">
        <f t="shared" si="337"/>
        <v>#VALUE!</v>
      </c>
      <c r="M3102" s="247" t="e">
        <f t="shared" si="338"/>
        <v>#VALUE!</v>
      </c>
      <c r="N3102" s="246" t="e">
        <f t="shared" si="339"/>
        <v>#VALUE!</v>
      </c>
      <c r="O3102" s="247" t="e">
        <f t="shared" si="340"/>
        <v>#VALUE!</v>
      </c>
      <c r="P3102" s="247">
        <f t="shared" si="341"/>
        <v>0</v>
      </c>
      <c r="Q3102" s="247" t="e">
        <f t="shared" si="342"/>
        <v>#VALUE!</v>
      </c>
    </row>
    <row r="3103" spans="1:17" ht="15" customHeight="1" x14ac:dyDescent="0.25">
      <c r="A3103" s="244"/>
      <c r="B3103" s="244"/>
      <c r="C3103" s="244"/>
      <c r="D3103" s="244"/>
      <c r="E3103" s="244"/>
      <c r="F3103" s="244"/>
      <c r="G3103" s="244"/>
      <c r="I3103" s="244"/>
      <c r="J3103" s="244"/>
      <c r="K3103" s="246" t="e">
        <f t="shared" si="336"/>
        <v>#VALUE!</v>
      </c>
      <c r="L3103" s="246" t="e">
        <f t="shared" si="337"/>
        <v>#VALUE!</v>
      </c>
      <c r="M3103" s="247" t="e">
        <f t="shared" si="338"/>
        <v>#VALUE!</v>
      </c>
      <c r="N3103" s="246" t="e">
        <f t="shared" si="339"/>
        <v>#VALUE!</v>
      </c>
      <c r="O3103" s="247" t="e">
        <f t="shared" si="340"/>
        <v>#VALUE!</v>
      </c>
      <c r="P3103" s="247">
        <f t="shared" si="341"/>
        <v>0</v>
      </c>
      <c r="Q3103" s="247" t="e">
        <f t="shared" si="342"/>
        <v>#VALUE!</v>
      </c>
    </row>
    <row r="3104" spans="1:17" ht="15" customHeight="1" x14ac:dyDescent="0.25">
      <c r="A3104" s="244"/>
      <c r="B3104" s="244"/>
      <c r="C3104" s="244"/>
      <c r="D3104" s="244"/>
      <c r="E3104" s="244"/>
      <c r="F3104" s="244"/>
      <c r="G3104" s="244"/>
      <c r="I3104" s="244"/>
      <c r="J3104" s="244"/>
      <c r="K3104" s="246" t="e">
        <f t="shared" si="336"/>
        <v>#VALUE!</v>
      </c>
      <c r="L3104" s="246" t="e">
        <f t="shared" si="337"/>
        <v>#VALUE!</v>
      </c>
      <c r="M3104" s="247" t="e">
        <f t="shared" si="338"/>
        <v>#VALUE!</v>
      </c>
      <c r="N3104" s="246" t="e">
        <f t="shared" si="339"/>
        <v>#VALUE!</v>
      </c>
      <c r="O3104" s="247" t="e">
        <f t="shared" si="340"/>
        <v>#VALUE!</v>
      </c>
      <c r="P3104" s="247">
        <f t="shared" si="341"/>
        <v>0</v>
      </c>
      <c r="Q3104" s="247" t="e">
        <f t="shared" si="342"/>
        <v>#VALUE!</v>
      </c>
    </row>
    <row r="3105" spans="1:17" ht="15" customHeight="1" x14ac:dyDescent="0.25">
      <c r="A3105" s="244"/>
      <c r="B3105" s="244"/>
      <c r="C3105" s="244"/>
      <c r="D3105" s="244"/>
      <c r="E3105" s="244"/>
      <c r="F3105" s="244"/>
      <c r="G3105" s="244"/>
      <c r="I3105" s="244"/>
      <c r="J3105" s="244"/>
      <c r="K3105" s="246" t="e">
        <f t="shared" si="336"/>
        <v>#VALUE!</v>
      </c>
      <c r="L3105" s="246" t="e">
        <f t="shared" si="337"/>
        <v>#VALUE!</v>
      </c>
      <c r="M3105" s="247" t="e">
        <f t="shared" si="338"/>
        <v>#VALUE!</v>
      </c>
      <c r="N3105" s="246" t="e">
        <f t="shared" si="339"/>
        <v>#VALUE!</v>
      </c>
      <c r="O3105" s="247" t="e">
        <f t="shared" si="340"/>
        <v>#VALUE!</v>
      </c>
      <c r="P3105" s="247">
        <f t="shared" si="341"/>
        <v>0</v>
      </c>
      <c r="Q3105" s="247" t="e">
        <f t="shared" si="342"/>
        <v>#VALUE!</v>
      </c>
    </row>
    <row r="3106" spans="1:17" ht="15" customHeight="1" x14ac:dyDescent="0.25">
      <c r="A3106" s="244"/>
      <c r="B3106" s="244"/>
      <c r="C3106" s="244"/>
      <c r="D3106" s="244"/>
      <c r="E3106" s="244"/>
      <c r="F3106" s="244"/>
      <c r="G3106" s="244"/>
      <c r="I3106" s="244"/>
      <c r="J3106" s="244"/>
      <c r="K3106" s="246" t="e">
        <f t="shared" si="336"/>
        <v>#VALUE!</v>
      </c>
      <c r="L3106" s="246" t="e">
        <f t="shared" si="337"/>
        <v>#VALUE!</v>
      </c>
      <c r="M3106" s="247" t="e">
        <f t="shared" si="338"/>
        <v>#VALUE!</v>
      </c>
      <c r="N3106" s="246" t="e">
        <f t="shared" si="339"/>
        <v>#VALUE!</v>
      </c>
      <c r="O3106" s="247" t="e">
        <f t="shared" si="340"/>
        <v>#VALUE!</v>
      </c>
      <c r="P3106" s="247">
        <f t="shared" si="341"/>
        <v>0</v>
      </c>
      <c r="Q3106" s="247" t="e">
        <f t="shared" si="342"/>
        <v>#VALUE!</v>
      </c>
    </row>
    <row r="3107" spans="1:17" ht="15" customHeight="1" x14ac:dyDescent="0.25">
      <c r="A3107" s="244"/>
      <c r="B3107" s="244"/>
      <c r="C3107" s="244"/>
      <c r="D3107" s="244"/>
      <c r="E3107" s="244"/>
      <c r="F3107" s="244"/>
      <c r="G3107" s="244"/>
      <c r="I3107" s="244"/>
      <c r="J3107" s="244"/>
      <c r="K3107" s="246" t="e">
        <f t="shared" si="336"/>
        <v>#VALUE!</v>
      </c>
      <c r="L3107" s="246" t="e">
        <f t="shared" si="337"/>
        <v>#VALUE!</v>
      </c>
      <c r="M3107" s="247" t="e">
        <f t="shared" si="338"/>
        <v>#VALUE!</v>
      </c>
      <c r="N3107" s="246" t="e">
        <f t="shared" si="339"/>
        <v>#VALUE!</v>
      </c>
      <c r="O3107" s="247" t="e">
        <f t="shared" si="340"/>
        <v>#VALUE!</v>
      </c>
      <c r="P3107" s="247">
        <f t="shared" si="341"/>
        <v>0</v>
      </c>
      <c r="Q3107" s="247" t="e">
        <f t="shared" si="342"/>
        <v>#VALUE!</v>
      </c>
    </row>
    <row r="3108" spans="1:17" ht="15" customHeight="1" x14ac:dyDescent="0.25">
      <c r="A3108" s="244"/>
      <c r="B3108" s="244"/>
      <c r="C3108" s="244"/>
      <c r="D3108" s="244"/>
      <c r="E3108" s="244"/>
      <c r="F3108" s="244"/>
      <c r="G3108" s="244"/>
      <c r="I3108" s="244"/>
      <c r="J3108" s="244"/>
      <c r="K3108" s="246" t="e">
        <f t="shared" si="336"/>
        <v>#VALUE!</v>
      </c>
      <c r="L3108" s="246" t="e">
        <f t="shared" si="337"/>
        <v>#VALUE!</v>
      </c>
      <c r="M3108" s="247" t="e">
        <f t="shared" si="338"/>
        <v>#VALUE!</v>
      </c>
      <c r="N3108" s="246" t="e">
        <f t="shared" si="339"/>
        <v>#VALUE!</v>
      </c>
      <c r="O3108" s="247" t="e">
        <f t="shared" si="340"/>
        <v>#VALUE!</v>
      </c>
      <c r="P3108" s="247">
        <f t="shared" si="341"/>
        <v>0</v>
      </c>
      <c r="Q3108" s="247" t="e">
        <f t="shared" si="342"/>
        <v>#VALUE!</v>
      </c>
    </row>
    <row r="3109" spans="1:17" ht="15" customHeight="1" x14ac:dyDescent="0.25">
      <c r="A3109" s="244"/>
      <c r="B3109" s="244"/>
      <c r="C3109" s="244"/>
      <c r="D3109" s="244"/>
      <c r="E3109" s="244"/>
      <c r="F3109" s="244"/>
      <c r="G3109" s="244"/>
      <c r="I3109" s="244"/>
      <c r="J3109" s="244"/>
      <c r="K3109" s="246" t="e">
        <f t="shared" si="336"/>
        <v>#VALUE!</v>
      </c>
      <c r="L3109" s="246" t="e">
        <f t="shared" si="337"/>
        <v>#VALUE!</v>
      </c>
      <c r="M3109" s="247" t="e">
        <f t="shared" si="338"/>
        <v>#VALUE!</v>
      </c>
      <c r="N3109" s="246" t="e">
        <f t="shared" si="339"/>
        <v>#VALUE!</v>
      </c>
      <c r="O3109" s="247" t="e">
        <f t="shared" si="340"/>
        <v>#VALUE!</v>
      </c>
      <c r="P3109" s="247">
        <f t="shared" si="341"/>
        <v>0</v>
      </c>
      <c r="Q3109" s="247" t="e">
        <f t="shared" si="342"/>
        <v>#VALUE!</v>
      </c>
    </row>
    <row r="3110" spans="1:17" ht="15" customHeight="1" x14ac:dyDescent="0.25">
      <c r="A3110" s="244"/>
      <c r="B3110" s="244"/>
      <c r="C3110" s="244"/>
      <c r="D3110" s="244"/>
      <c r="E3110" s="244"/>
      <c r="F3110" s="244"/>
      <c r="G3110" s="244"/>
      <c r="I3110" s="244"/>
      <c r="J3110" s="244"/>
      <c r="K3110" s="246" t="e">
        <f t="shared" si="336"/>
        <v>#VALUE!</v>
      </c>
      <c r="L3110" s="246" t="e">
        <f t="shared" si="337"/>
        <v>#VALUE!</v>
      </c>
      <c r="M3110" s="247" t="e">
        <f t="shared" si="338"/>
        <v>#VALUE!</v>
      </c>
      <c r="N3110" s="246" t="e">
        <f t="shared" si="339"/>
        <v>#VALUE!</v>
      </c>
      <c r="O3110" s="247" t="e">
        <f t="shared" si="340"/>
        <v>#VALUE!</v>
      </c>
      <c r="P3110" s="247">
        <f t="shared" si="341"/>
        <v>0</v>
      </c>
      <c r="Q3110" s="247" t="e">
        <f t="shared" si="342"/>
        <v>#VALUE!</v>
      </c>
    </row>
    <row r="3111" spans="1:17" ht="15" customHeight="1" x14ac:dyDescent="0.25">
      <c r="A3111" s="244"/>
      <c r="B3111" s="244"/>
      <c r="C3111" s="244"/>
      <c r="D3111" s="244"/>
      <c r="E3111" s="244"/>
      <c r="F3111" s="244"/>
      <c r="G3111" s="244"/>
      <c r="I3111" s="244"/>
      <c r="J3111" s="244"/>
      <c r="K3111" s="246" t="e">
        <f t="shared" si="336"/>
        <v>#VALUE!</v>
      </c>
      <c r="L3111" s="246" t="e">
        <f t="shared" si="337"/>
        <v>#VALUE!</v>
      </c>
      <c r="M3111" s="247" t="e">
        <f t="shared" si="338"/>
        <v>#VALUE!</v>
      </c>
      <c r="N3111" s="246" t="e">
        <f t="shared" si="339"/>
        <v>#VALUE!</v>
      </c>
      <c r="O3111" s="247" t="e">
        <f t="shared" si="340"/>
        <v>#VALUE!</v>
      </c>
      <c r="P3111" s="247">
        <f t="shared" si="341"/>
        <v>0</v>
      </c>
      <c r="Q3111" s="247" t="e">
        <f t="shared" si="342"/>
        <v>#VALUE!</v>
      </c>
    </row>
    <row r="3112" spans="1:17" ht="15" customHeight="1" x14ac:dyDescent="0.25">
      <c r="A3112" s="244"/>
      <c r="B3112" s="244"/>
      <c r="C3112" s="244"/>
      <c r="D3112" s="244"/>
      <c r="E3112" s="244"/>
      <c r="F3112" s="244"/>
      <c r="G3112" s="244"/>
      <c r="I3112" s="244"/>
      <c r="J3112" s="244"/>
      <c r="K3112" s="246" t="e">
        <f t="shared" si="336"/>
        <v>#VALUE!</v>
      </c>
      <c r="L3112" s="246" t="e">
        <f t="shared" si="337"/>
        <v>#VALUE!</v>
      </c>
      <c r="M3112" s="247" t="e">
        <f t="shared" si="338"/>
        <v>#VALUE!</v>
      </c>
      <c r="N3112" s="246" t="e">
        <f t="shared" si="339"/>
        <v>#VALUE!</v>
      </c>
      <c r="O3112" s="247" t="e">
        <f t="shared" si="340"/>
        <v>#VALUE!</v>
      </c>
      <c r="P3112" s="247">
        <f t="shared" si="341"/>
        <v>0</v>
      </c>
      <c r="Q3112" s="247" t="e">
        <f t="shared" si="342"/>
        <v>#VALUE!</v>
      </c>
    </row>
    <row r="3113" spans="1:17" ht="15" customHeight="1" x14ac:dyDescent="0.25">
      <c r="A3113" s="244"/>
      <c r="B3113" s="244"/>
      <c r="C3113" s="244"/>
      <c r="D3113" s="244"/>
      <c r="E3113" s="244"/>
      <c r="F3113" s="244"/>
      <c r="G3113" s="244"/>
      <c r="I3113" s="244"/>
      <c r="J3113" s="244"/>
      <c r="K3113" s="246" t="e">
        <f t="shared" si="336"/>
        <v>#VALUE!</v>
      </c>
      <c r="L3113" s="246" t="e">
        <f t="shared" si="337"/>
        <v>#VALUE!</v>
      </c>
      <c r="M3113" s="247" t="e">
        <f t="shared" si="338"/>
        <v>#VALUE!</v>
      </c>
      <c r="N3113" s="246" t="e">
        <f t="shared" si="339"/>
        <v>#VALUE!</v>
      </c>
      <c r="O3113" s="247" t="e">
        <f t="shared" si="340"/>
        <v>#VALUE!</v>
      </c>
      <c r="P3113" s="247">
        <f t="shared" si="341"/>
        <v>0</v>
      </c>
      <c r="Q3113" s="247" t="e">
        <f t="shared" si="342"/>
        <v>#VALUE!</v>
      </c>
    </row>
    <row r="3114" spans="1:17" ht="15" customHeight="1" x14ac:dyDescent="0.25">
      <c r="A3114" s="244"/>
      <c r="B3114" s="244"/>
      <c r="C3114" s="244"/>
      <c r="D3114" s="244"/>
      <c r="E3114" s="244"/>
      <c r="F3114" s="244"/>
      <c r="G3114" s="244"/>
      <c r="I3114" s="244"/>
      <c r="J3114" s="244"/>
      <c r="K3114" s="246" t="e">
        <f t="shared" si="336"/>
        <v>#VALUE!</v>
      </c>
      <c r="L3114" s="246" t="e">
        <f t="shared" si="337"/>
        <v>#VALUE!</v>
      </c>
      <c r="M3114" s="247" t="e">
        <f t="shared" si="338"/>
        <v>#VALUE!</v>
      </c>
      <c r="N3114" s="246" t="e">
        <f t="shared" si="339"/>
        <v>#VALUE!</v>
      </c>
      <c r="O3114" s="247" t="e">
        <f t="shared" si="340"/>
        <v>#VALUE!</v>
      </c>
      <c r="P3114" s="247">
        <f t="shared" si="341"/>
        <v>0</v>
      </c>
      <c r="Q3114" s="247" t="e">
        <f t="shared" si="342"/>
        <v>#VALUE!</v>
      </c>
    </row>
    <row r="3115" spans="1:17" ht="15" customHeight="1" x14ac:dyDescent="0.25">
      <c r="A3115" s="244"/>
      <c r="B3115" s="244"/>
      <c r="C3115" s="244"/>
      <c r="D3115" s="244"/>
      <c r="E3115" s="244"/>
      <c r="F3115" s="244"/>
      <c r="G3115" s="244"/>
      <c r="I3115" s="244"/>
      <c r="J3115" s="244"/>
      <c r="K3115" s="246" t="e">
        <f t="shared" si="336"/>
        <v>#VALUE!</v>
      </c>
      <c r="L3115" s="246" t="e">
        <f t="shared" si="337"/>
        <v>#VALUE!</v>
      </c>
      <c r="M3115" s="247" t="e">
        <f t="shared" si="338"/>
        <v>#VALUE!</v>
      </c>
      <c r="N3115" s="246" t="e">
        <f t="shared" si="339"/>
        <v>#VALUE!</v>
      </c>
      <c r="O3115" s="247" t="e">
        <f t="shared" si="340"/>
        <v>#VALUE!</v>
      </c>
      <c r="P3115" s="247">
        <f t="shared" si="341"/>
        <v>0</v>
      </c>
      <c r="Q3115" s="247" t="e">
        <f t="shared" si="342"/>
        <v>#VALUE!</v>
      </c>
    </row>
    <row r="3116" spans="1:17" ht="15" customHeight="1" x14ac:dyDescent="0.25">
      <c r="A3116" s="244"/>
      <c r="B3116" s="244"/>
      <c r="C3116" s="244"/>
      <c r="D3116" s="244"/>
      <c r="E3116" s="244"/>
      <c r="F3116" s="244"/>
      <c r="G3116" s="244"/>
      <c r="I3116" s="244"/>
      <c r="J3116" s="244"/>
      <c r="K3116" s="246" t="e">
        <f t="shared" si="336"/>
        <v>#VALUE!</v>
      </c>
      <c r="L3116" s="246" t="e">
        <f t="shared" si="337"/>
        <v>#VALUE!</v>
      </c>
      <c r="M3116" s="247" t="e">
        <f t="shared" si="338"/>
        <v>#VALUE!</v>
      </c>
      <c r="N3116" s="246" t="e">
        <f t="shared" si="339"/>
        <v>#VALUE!</v>
      </c>
      <c r="O3116" s="247" t="e">
        <f t="shared" si="340"/>
        <v>#VALUE!</v>
      </c>
      <c r="P3116" s="247">
        <f t="shared" si="341"/>
        <v>0</v>
      </c>
      <c r="Q3116" s="247" t="e">
        <f t="shared" si="342"/>
        <v>#VALUE!</v>
      </c>
    </row>
    <row r="3117" spans="1:17" ht="15" customHeight="1" x14ac:dyDescent="0.25">
      <c r="A3117" s="244"/>
      <c r="B3117" s="244"/>
      <c r="C3117" s="244"/>
      <c r="D3117" s="244"/>
      <c r="E3117" s="244"/>
      <c r="F3117" s="244"/>
      <c r="G3117" s="244"/>
      <c r="I3117" s="244"/>
      <c r="J3117" s="244"/>
      <c r="K3117" s="246" t="e">
        <f t="shared" si="336"/>
        <v>#VALUE!</v>
      </c>
      <c r="L3117" s="246" t="e">
        <f t="shared" si="337"/>
        <v>#VALUE!</v>
      </c>
      <c r="M3117" s="247" t="e">
        <f t="shared" si="338"/>
        <v>#VALUE!</v>
      </c>
      <c r="N3117" s="246" t="e">
        <f t="shared" si="339"/>
        <v>#VALUE!</v>
      </c>
      <c r="O3117" s="247" t="e">
        <f t="shared" si="340"/>
        <v>#VALUE!</v>
      </c>
      <c r="P3117" s="247">
        <f t="shared" si="341"/>
        <v>0</v>
      </c>
      <c r="Q3117" s="247" t="e">
        <f t="shared" si="342"/>
        <v>#VALUE!</v>
      </c>
    </row>
    <row r="3118" spans="1:17" ht="15" customHeight="1" x14ac:dyDescent="0.25">
      <c r="A3118" s="244"/>
      <c r="B3118" s="244"/>
      <c r="C3118" s="244"/>
      <c r="D3118" s="244"/>
      <c r="E3118" s="244"/>
      <c r="F3118" s="244"/>
      <c r="G3118" s="244"/>
      <c r="I3118" s="244"/>
      <c r="J3118" s="244"/>
      <c r="K3118" s="246" t="e">
        <f t="shared" si="336"/>
        <v>#VALUE!</v>
      </c>
      <c r="L3118" s="246" t="e">
        <f t="shared" si="337"/>
        <v>#VALUE!</v>
      </c>
      <c r="M3118" s="247" t="e">
        <f t="shared" si="338"/>
        <v>#VALUE!</v>
      </c>
      <c r="N3118" s="246" t="e">
        <f t="shared" si="339"/>
        <v>#VALUE!</v>
      </c>
      <c r="O3118" s="247" t="e">
        <f t="shared" si="340"/>
        <v>#VALUE!</v>
      </c>
      <c r="P3118" s="247">
        <f t="shared" si="341"/>
        <v>0</v>
      </c>
      <c r="Q3118" s="247" t="e">
        <f t="shared" si="342"/>
        <v>#VALUE!</v>
      </c>
    </row>
    <row r="3119" spans="1:17" ht="15" customHeight="1" x14ac:dyDescent="0.25">
      <c r="A3119" s="244"/>
      <c r="B3119" s="244"/>
      <c r="C3119" s="244"/>
      <c r="D3119" s="244"/>
      <c r="E3119" s="244"/>
      <c r="F3119" s="244"/>
      <c r="G3119" s="244"/>
      <c r="I3119" s="244"/>
      <c r="J3119" s="244"/>
      <c r="K3119" s="246" t="e">
        <f t="shared" si="336"/>
        <v>#VALUE!</v>
      </c>
      <c r="L3119" s="246" t="e">
        <f t="shared" si="337"/>
        <v>#VALUE!</v>
      </c>
      <c r="M3119" s="247" t="e">
        <f t="shared" si="338"/>
        <v>#VALUE!</v>
      </c>
      <c r="N3119" s="246" t="e">
        <f t="shared" si="339"/>
        <v>#VALUE!</v>
      </c>
      <c r="O3119" s="247" t="e">
        <f t="shared" si="340"/>
        <v>#VALUE!</v>
      </c>
      <c r="P3119" s="247">
        <f t="shared" si="341"/>
        <v>0</v>
      </c>
      <c r="Q3119" s="247" t="e">
        <f t="shared" si="342"/>
        <v>#VALUE!</v>
      </c>
    </row>
    <row r="3120" spans="1:17" ht="15" customHeight="1" x14ac:dyDescent="0.25">
      <c r="A3120" s="244"/>
      <c r="B3120" s="244"/>
      <c r="C3120" s="244"/>
      <c r="D3120" s="244"/>
      <c r="E3120" s="244"/>
      <c r="F3120" s="244"/>
      <c r="G3120" s="244"/>
      <c r="I3120" s="244"/>
      <c r="J3120" s="244"/>
      <c r="K3120" s="246" t="e">
        <f t="shared" si="336"/>
        <v>#VALUE!</v>
      </c>
      <c r="L3120" s="246" t="e">
        <f t="shared" si="337"/>
        <v>#VALUE!</v>
      </c>
      <c r="M3120" s="247" t="e">
        <f t="shared" si="338"/>
        <v>#VALUE!</v>
      </c>
      <c r="N3120" s="246" t="e">
        <f t="shared" si="339"/>
        <v>#VALUE!</v>
      </c>
      <c r="O3120" s="247" t="e">
        <f t="shared" si="340"/>
        <v>#VALUE!</v>
      </c>
      <c r="P3120" s="247">
        <f t="shared" si="341"/>
        <v>0</v>
      </c>
      <c r="Q3120" s="247" t="e">
        <f t="shared" si="342"/>
        <v>#VALUE!</v>
      </c>
    </row>
    <row r="3121" spans="1:17" ht="15" customHeight="1" x14ac:dyDescent="0.25">
      <c r="A3121" s="244"/>
      <c r="B3121" s="244"/>
      <c r="C3121" s="244"/>
      <c r="D3121" s="244"/>
      <c r="E3121" s="244"/>
      <c r="F3121" s="244"/>
      <c r="G3121" s="244"/>
      <c r="I3121" s="244"/>
      <c r="J3121" s="244"/>
      <c r="K3121" s="246" t="e">
        <f t="shared" si="336"/>
        <v>#VALUE!</v>
      </c>
      <c r="L3121" s="246" t="e">
        <f t="shared" si="337"/>
        <v>#VALUE!</v>
      </c>
      <c r="M3121" s="247" t="e">
        <f t="shared" si="338"/>
        <v>#VALUE!</v>
      </c>
      <c r="N3121" s="246" t="e">
        <f t="shared" si="339"/>
        <v>#VALUE!</v>
      </c>
      <c r="O3121" s="247" t="e">
        <f t="shared" si="340"/>
        <v>#VALUE!</v>
      </c>
      <c r="P3121" s="247">
        <f t="shared" si="341"/>
        <v>0</v>
      </c>
      <c r="Q3121" s="247" t="e">
        <f t="shared" si="342"/>
        <v>#VALUE!</v>
      </c>
    </row>
    <row r="3122" spans="1:17" ht="15" customHeight="1" x14ac:dyDescent="0.25">
      <c r="A3122" s="244"/>
      <c r="B3122" s="244"/>
      <c r="C3122" s="244"/>
      <c r="D3122" s="244"/>
      <c r="E3122" s="244"/>
      <c r="F3122" s="244"/>
      <c r="G3122" s="244"/>
      <c r="I3122" s="244"/>
      <c r="J3122" s="244"/>
      <c r="K3122" s="246" t="e">
        <f t="shared" si="336"/>
        <v>#VALUE!</v>
      </c>
      <c r="L3122" s="246" t="e">
        <f t="shared" si="337"/>
        <v>#VALUE!</v>
      </c>
      <c r="M3122" s="247" t="e">
        <f t="shared" si="338"/>
        <v>#VALUE!</v>
      </c>
      <c r="N3122" s="246" t="e">
        <f t="shared" si="339"/>
        <v>#VALUE!</v>
      </c>
      <c r="O3122" s="247" t="e">
        <f t="shared" si="340"/>
        <v>#VALUE!</v>
      </c>
      <c r="P3122" s="247">
        <f t="shared" si="341"/>
        <v>0</v>
      </c>
      <c r="Q3122" s="247" t="e">
        <f t="shared" si="342"/>
        <v>#VALUE!</v>
      </c>
    </row>
    <row r="3123" spans="1:17" ht="15" customHeight="1" x14ac:dyDescent="0.25">
      <c r="A3123" s="244"/>
      <c r="B3123" s="244"/>
      <c r="C3123" s="244"/>
      <c r="D3123" s="244"/>
      <c r="E3123" s="244"/>
      <c r="F3123" s="244"/>
      <c r="G3123" s="244"/>
      <c r="I3123" s="244"/>
      <c r="J3123" s="244"/>
      <c r="K3123" s="246" t="e">
        <f t="shared" si="336"/>
        <v>#VALUE!</v>
      </c>
      <c r="L3123" s="246" t="e">
        <f t="shared" si="337"/>
        <v>#VALUE!</v>
      </c>
      <c r="M3123" s="247" t="e">
        <f t="shared" si="338"/>
        <v>#VALUE!</v>
      </c>
      <c r="N3123" s="246" t="e">
        <f t="shared" si="339"/>
        <v>#VALUE!</v>
      </c>
      <c r="O3123" s="247" t="e">
        <f t="shared" si="340"/>
        <v>#VALUE!</v>
      </c>
      <c r="P3123" s="247">
        <f t="shared" si="341"/>
        <v>0</v>
      </c>
      <c r="Q3123" s="247" t="e">
        <f t="shared" si="342"/>
        <v>#VALUE!</v>
      </c>
    </row>
    <row r="3124" spans="1:17" ht="15" customHeight="1" x14ac:dyDescent="0.25">
      <c r="A3124" s="244"/>
      <c r="B3124" s="244"/>
      <c r="C3124" s="244"/>
      <c r="D3124" s="244"/>
      <c r="E3124" s="244"/>
      <c r="F3124" s="244"/>
      <c r="G3124" s="244"/>
      <c r="I3124" s="244"/>
      <c r="J3124" s="244"/>
      <c r="K3124" s="246" t="e">
        <f t="shared" si="336"/>
        <v>#VALUE!</v>
      </c>
      <c r="L3124" s="246" t="e">
        <f t="shared" si="337"/>
        <v>#VALUE!</v>
      </c>
      <c r="M3124" s="247" t="e">
        <f t="shared" si="338"/>
        <v>#VALUE!</v>
      </c>
      <c r="N3124" s="246" t="e">
        <f t="shared" si="339"/>
        <v>#VALUE!</v>
      </c>
      <c r="O3124" s="247" t="e">
        <f t="shared" si="340"/>
        <v>#VALUE!</v>
      </c>
      <c r="P3124" s="247">
        <f t="shared" si="341"/>
        <v>0</v>
      </c>
      <c r="Q3124" s="247" t="e">
        <f t="shared" si="342"/>
        <v>#VALUE!</v>
      </c>
    </row>
    <row r="3125" spans="1:17" ht="15" customHeight="1" x14ac:dyDescent="0.25">
      <c r="A3125" s="244"/>
      <c r="B3125" s="244"/>
      <c r="C3125" s="244"/>
      <c r="D3125" s="244"/>
      <c r="E3125" s="244"/>
      <c r="F3125" s="244"/>
      <c r="G3125" s="244"/>
      <c r="I3125" s="244"/>
      <c r="J3125" s="244"/>
      <c r="K3125" s="246" t="e">
        <f t="shared" si="336"/>
        <v>#VALUE!</v>
      </c>
      <c r="L3125" s="246" t="e">
        <f t="shared" si="337"/>
        <v>#VALUE!</v>
      </c>
      <c r="M3125" s="247" t="e">
        <f t="shared" si="338"/>
        <v>#VALUE!</v>
      </c>
      <c r="N3125" s="246" t="e">
        <f t="shared" si="339"/>
        <v>#VALUE!</v>
      </c>
      <c r="O3125" s="247" t="e">
        <f t="shared" si="340"/>
        <v>#VALUE!</v>
      </c>
      <c r="P3125" s="247">
        <f t="shared" si="341"/>
        <v>0</v>
      </c>
      <c r="Q3125" s="247" t="e">
        <f t="shared" si="342"/>
        <v>#VALUE!</v>
      </c>
    </row>
    <row r="3126" spans="1:17" ht="15" customHeight="1" x14ac:dyDescent="0.25">
      <c r="A3126" s="244"/>
      <c r="B3126" s="244"/>
      <c r="C3126" s="244"/>
      <c r="D3126" s="244"/>
      <c r="E3126" s="244"/>
      <c r="F3126" s="244"/>
      <c r="G3126" s="244"/>
      <c r="I3126" s="244"/>
      <c r="J3126" s="244"/>
      <c r="K3126" s="246" t="e">
        <f t="shared" si="336"/>
        <v>#VALUE!</v>
      </c>
      <c r="L3126" s="246" t="e">
        <f t="shared" si="337"/>
        <v>#VALUE!</v>
      </c>
      <c r="M3126" s="247" t="e">
        <f t="shared" si="338"/>
        <v>#VALUE!</v>
      </c>
      <c r="N3126" s="246" t="e">
        <f t="shared" si="339"/>
        <v>#VALUE!</v>
      </c>
      <c r="O3126" s="247" t="e">
        <f t="shared" si="340"/>
        <v>#VALUE!</v>
      </c>
      <c r="P3126" s="247">
        <f t="shared" si="341"/>
        <v>0</v>
      </c>
      <c r="Q3126" s="247" t="e">
        <f t="shared" si="342"/>
        <v>#VALUE!</v>
      </c>
    </row>
    <row r="3127" spans="1:17" ht="15" customHeight="1" x14ac:dyDescent="0.25">
      <c r="A3127" s="244"/>
      <c r="B3127" s="244"/>
      <c r="C3127" s="244"/>
      <c r="D3127" s="244"/>
      <c r="E3127" s="244"/>
      <c r="F3127" s="244"/>
      <c r="G3127" s="244"/>
      <c r="I3127" s="244"/>
      <c r="J3127" s="244"/>
      <c r="K3127" s="246" t="e">
        <f t="shared" si="336"/>
        <v>#VALUE!</v>
      </c>
      <c r="L3127" s="246" t="e">
        <f t="shared" si="337"/>
        <v>#VALUE!</v>
      </c>
      <c r="M3127" s="247" t="e">
        <f t="shared" si="338"/>
        <v>#VALUE!</v>
      </c>
      <c r="N3127" s="246" t="e">
        <f t="shared" si="339"/>
        <v>#VALUE!</v>
      </c>
      <c r="O3127" s="247" t="e">
        <f t="shared" si="340"/>
        <v>#VALUE!</v>
      </c>
      <c r="P3127" s="247">
        <f t="shared" si="341"/>
        <v>0</v>
      </c>
      <c r="Q3127" s="247" t="e">
        <f t="shared" si="342"/>
        <v>#VALUE!</v>
      </c>
    </row>
    <row r="3128" spans="1:17" ht="15" customHeight="1" x14ac:dyDescent="0.25">
      <c r="A3128" s="244"/>
      <c r="B3128" s="244"/>
      <c r="C3128" s="244"/>
      <c r="D3128" s="244"/>
      <c r="E3128" s="244"/>
      <c r="F3128" s="244"/>
      <c r="G3128" s="244"/>
      <c r="I3128" s="244"/>
      <c r="J3128" s="244"/>
      <c r="K3128" s="246" t="e">
        <f t="shared" si="336"/>
        <v>#VALUE!</v>
      </c>
      <c r="L3128" s="246" t="e">
        <f t="shared" si="337"/>
        <v>#VALUE!</v>
      </c>
      <c r="M3128" s="247" t="e">
        <f t="shared" si="338"/>
        <v>#VALUE!</v>
      </c>
      <c r="N3128" s="246" t="e">
        <f t="shared" si="339"/>
        <v>#VALUE!</v>
      </c>
      <c r="O3128" s="247" t="e">
        <f t="shared" si="340"/>
        <v>#VALUE!</v>
      </c>
      <c r="P3128" s="247">
        <f t="shared" si="341"/>
        <v>0</v>
      </c>
      <c r="Q3128" s="247" t="e">
        <f t="shared" si="342"/>
        <v>#VALUE!</v>
      </c>
    </row>
    <row r="3129" spans="1:17" ht="15" customHeight="1" x14ac:dyDescent="0.25">
      <c r="A3129" s="244"/>
      <c r="B3129" s="244"/>
      <c r="C3129" s="244"/>
      <c r="D3129" s="244"/>
      <c r="E3129" s="244"/>
      <c r="F3129" s="244"/>
      <c r="G3129" s="244"/>
      <c r="I3129" s="244"/>
      <c r="J3129" s="244"/>
      <c r="K3129" s="246" t="e">
        <f t="shared" si="336"/>
        <v>#VALUE!</v>
      </c>
      <c r="L3129" s="246" t="e">
        <f t="shared" si="337"/>
        <v>#VALUE!</v>
      </c>
      <c r="M3129" s="247" t="e">
        <f t="shared" si="338"/>
        <v>#VALUE!</v>
      </c>
      <c r="N3129" s="246" t="e">
        <f t="shared" si="339"/>
        <v>#VALUE!</v>
      </c>
      <c r="O3129" s="247" t="e">
        <f t="shared" si="340"/>
        <v>#VALUE!</v>
      </c>
      <c r="P3129" s="247">
        <f t="shared" si="341"/>
        <v>0</v>
      </c>
      <c r="Q3129" s="247" t="e">
        <f t="shared" si="342"/>
        <v>#VALUE!</v>
      </c>
    </row>
    <row r="3130" spans="1:17" ht="15" customHeight="1" x14ac:dyDescent="0.25">
      <c r="A3130" s="244"/>
      <c r="B3130" s="244"/>
      <c r="C3130" s="244"/>
      <c r="D3130" s="244"/>
      <c r="E3130" s="244"/>
      <c r="F3130" s="244"/>
      <c r="G3130" s="244"/>
      <c r="I3130" s="244"/>
      <c r="J3130" s="244"/>
      <c r="K3130" s="246" t="e">
        <f t="shared" si="336"/>
        <v>#VALUE!</v>
      </c>
      <c r="L3130" s="246" t="e">
        <f t="shared" si="337"/>
        <v>#VALUE!</v>
      </c>
      <c r="M3130" s="247" t="e">
        <f t="shared" si="338"/>
        <v>#VALUE!</v>
      </c>
      <c r="N3130" s="246" t="e">
        <f t="shared" si="339"/>
        <v>#VALUE!</v>
      </c>
      <c r="O3130" s="247" t="e">
        <f t="shared" si="340"/>
        <v>#VALUE!</v>
      </c>
      <c r="P3130" s="247">
        <f t="shared" si="341"/>
        <v>0</v>
      </c>
      <c r="Q3130" s="247" t="e">
        <f t="shared" si="342"/>
        <v>#VALUE!</v>
      </c>
    </row>
    <row r="3131" spans="1:17" ht="15" customHeight="1" x14ac:dyDescent="0.25">
      <c r="A3131" s="244"/>
      <c r="B3131" s="244"/>
      <c r="C3131" s="244"/>
      <c r="D3131" s="244"/>
      <c r="E3131" s="244"/>
      <c r="F3131" s="244"/>
      <c r="G3131" s="244"/>
      <c r="I3131" s="244"/>
      <c r="J3131" s="244"/>
      <c r="K3131" s="246" t="e">
        <f t="shared" si="336"/>
        <v>#VALUE!</v>
      </c>
      <c r="L3131" s="246" t="e">
        <f t="shared" si="337"/>
        <v>#VALUE!</v>
      </c>
      <c r="M3131" s="247" t="e">
        <f t="shared" si="338"/>
        <v>#VALUE!</v>
      </c>
      <c r="N3131" s="246" t="e">
        <f t="shared" si="339"/>
        <v>#VALUE!</v>
      </c>
      <c r="O3131" s="247" t="e">
        <f t="shared" si="340"/>
        <v>#VALUE!</v>
      </c>
      <c r="P3131" s="247">
        <f t="shared" si="341"/>
        <v>0</v>
      </c>
      <c r="Q3131" s="247" t="e">
        <f t="shared" si="342"/>
        <v>#VALUE!</v>
      </c>
    </row>
    <row r="3132" spans="1:17" ht="15" customHeight="1" x14ac:dyDescent="0.25">
      <c r="A3132" s="244"/>
      <c r="B3132" s="244"/>
      <c r="C3132" s="244"/>
      <c r="D3132" s="244"/>
      <c r="E3132" s="244"/>
      <c r="F3132" s="244"/>
      <c r="G3132" s="244"/>
      <c r="I3132" s="244"/>
      <c r="J3132" s="244"/>
      <c r="K3132" s="246" t="e">
        <f t="shared" si="336"/>
        <v>#VALUE!</v>
      </c>
      <c r="L3132" s="246" t="e">
        <f t="shared" si="337"/>
        <v>#VALUE!</v>
      </c>
      <c r="M3132" s="247" t="e">
        <f t="shared" si="338"/>
        <v>#VALUE!</v>
      </c>
      <c r="N3132" s="246" t="e">
        <f t="shared" si="339"/>
        <v>#VALUE!</v>
      </c>
      <c r="O3132" s="247" t="e">
        <f t="shared" si="340"/>
        <v>#VALUE!</v>
      </c>
      <c r="P3132" s="247">
        <f t="shared" si="341"/>
        <v>0</v>
      </c>
      <c r="Q3132" s="247" t="e">
        <f t="shared" si="342"/>
        <v>#VALUE!</v>
      </c>
    </row>
    <row r="3133" spans="1:17" ht="15" customHeight="1" x14ac:dyDescent="0.25">
      <c r="A3133" s="244"/>
      <c r="B3133" s="244"/>
      <c r="C3133" s="244"/>
      <c r="D3133" s="244"/>
      <c r="E3133" s="244"/>
      <c r="F3133" s="244"/>
      <c r="G3133" s="244"/>
      <c r="I3133" s="244"/>
      <c r="J3133" s="244"/>
      <c r="K3133" s="246" t="e">
        <f t="shared" si="336"/>
        <v>#VALUE!</v>
      </c>
      <c r="L3133" s="246" t="e">
        <f t="shared" si="337"/>
        <v>#VALUE!</v>
      </c>
      <c r="M3133" s="247" t="e">
        <f t="shared" si="338"/>
        <v>#VALUE!</v>
      </c>
      <c r="N3133" s="246" t="e">
        <f t="shared" si="339"/>
        <v>#VALUE!</v>
      </c>
      <c r="O3133" s="247" t="e">
        <f t="shared" si="340"/>
        <v>#VALUE!</v>
      </c>
      <c r="P3133" s="247">
        <f t="shared" si="341"/>
        <v>0</v>
      </c>
      <c r="Q3133" s="247" t="e">
        <f t="shared" si="342"/>
        <v>#VALUE!</v>
      </c>
    </row>
    <row r="3134" spans="1:17" ht="15" customHeight="1" x14ac:dyDescent="0.25">
      <c r="A3134" s="244"/>
      <c r="B3134" s="244"/>
      <c r="C3134" s="244"/>
      <c r="D3134" s="244"/>
      <c r="E3134" s="244"/>
      <c r="F3134" s="244"/>
      <c r="G3134" s="244"/>
      <c r="I3134" s="244"/>
      <c r="J3134" s="244"/>
      <c r="K3134" s="246" t="e">
        <f t="shared" si="336"/>
        <v>#VALUE!</v>
      </c>
      <c r="L3134" s="246" t="e">
        <f t="shared" si="337"/>
        <v>#VALUE!</v>
      </c>
      <c r="M3134" s="247" t="e">
        <f t="shared" si="338"/>
        <v>#VALUE!</v>
      </c>
      <c r="N3134" s="246" t="e">
        <f t="shared" si="339"/>
        <v>#VALUE!</v>
      </c>
      <c r="O3134" s="247" t="e">
        <f t="shared" si="340"/>
        <v>#VALUE!</v>
      </c>
      <c r="P3134" s="247">
        <f t="shared" si="341"/>
        <v>0</v>
      </c>
      <c r="Q3134" s="247" t="e">
        <f t="shared" si="342"/>
        <v>#VALUE!</v>
      </c>
    </row>
    <row r="3135" spans="1:17" ht="15" customHeight="1" x14ac:dyDescent="0.25">
      <c r="A3135" s="244"/>
      <c r="B3135" s="244"/>
      <c r="C3135" s="244"/>
      <c r="D3135" s="244"/>
      <c r="E3135" s="244"/>
      <c r="F3135" s="244"/>
      <c r="G3135" s="244"/>
      <c r="I3135" s="244"/>
      <c r="J3135" s="244"/>
      <c r="K3135" s="246" t="e">
        <f t="shared" si="336"/>
        <v>#VALUE!</v>
      </c>
      <c r="L3135" s="246" t="e">
        <f t="shared" si="337"/>
        <v>#VALUE!</v>
      </c>
      <c r="M3135" s="247" t="e">
        <f t="shared" si="338"/>
        <v>#VALUE!</v>
      </c>
      <c r="N3135" s="246" t="e">
        <f t="shared" si="339"/>
        <v>#VALUE!</v>
      </c>
      <c r="O3135" s="247" t="e">
        <f t="shared" si="340"/>
        <v>#VALUE!</v>
      </c>
      <c r="P3135" s="247">
        <f t="shared" si="341"/>
        <v>0</v>
      </c>
      <c r="Q3135" s="247" t="e">
        <f t="shared" si="342"/>
        <v>#VALUE!</v>
      </c>
    </row>
    <row r="3136" spans="1:17" ht="15" customHeight="1" x14ac:dyDescent="0.25">
      <c r="A3136" s="244"/>
      <c r="B3136" s="244"/>
      <c r="C3136" s="244"/>
      <c r="D3136" s="244"/>
      <c r="E3136" s="244"/>
      <c r="F3136" s="244"/>
      <c r="G3136" s="244"/>
      <c r="I3136" s="244"/>
      <c r="J3136" s="244"/>
      <c r="K3136" s="246" t="e">
        <f t="shared" si="336"/>
        <v>#VALUE!</v>
      </c>
      <c r="L3136" s="246" t="e">
        <f t="shared" si="337"/>
        <v>#VALUE!</v>
      </c>
      <c r="M3136" s="247" t="e">
        <f t="shared" si="338"/>
        <v>#VALUE!</v>
      </c>
      <c r="N3136" s="246" t="e">
        <f t="shared" si="339"/>
        <v>#VALUE!</v>
      </c>
      <c r="O3136" s="247" t="e">
        <f t="shared" si="340"/>
        <v>#VALUE!</v>
      </c>
      <c r="P3136" s="247">
        <f t="shared" si="341"/>
        <v>0</v>
      </c>
      <c r="Q3136" s="247" t="e">
        <f t="shared" si="342"/>
        <v>#VALUE!</v>
      </c>
    </row>
    <row r="3137" spans="1:17" ht="15" customHeight="1" x14ac:dyDescent="0.25">
      <c r="A3137" s="244"/>
      <c r="B3137" s="244"/>
      <c r="C3137" s="244"/>
      <c r="D3137" s="244"/>
      <c r="E3137" s="244"/>
      <c r="F3137" s="244"/>
      <c r="G3137" s="244"/>
      <c r="I3137" s="244"/>
      <c r="J3137" s="244"/>
      <c r="K3137" s="246" t="e">
        <f t="shared" si="336"/>
        <v>#VALUE!</v>
      </c>
      <c r="L3137" s="246" t="e">
        <f t="shared" si="337"/>
        <v>#VALUE!</v>
      </c>
      <c r="M3137" s="247" t="e">
        <f t="shared" si="338"/>
        <v>#VALUE!</v>
      </c>
      <c r="N3137" s="246" t="e">
        <f t="shared" si="339"/>
        <v>#VALUE!</v>
      </c>
      <c r="O3137" s="247" t="e">
        <f t="shared" si="340"/>
        <v>#VALUE!</v>
      </c>
      <c r="P3137" s="247">
        <f t="shared" si="341"/>
        <v>0</v>
      </c>
      <c r="Q3137" s="247" t="e">
        <f t="shared" si="342"/>
        <v>#VALUE!</v>
      </c>
    </row>
    <row r="3138" spans="1:17" ht="15" customHeight="1" x14ac:dyDescent="0.25">
      <c r="A3138" s="244"/>
      <c r="B3138" s="244"/>
      <c r="C3138" s="244"/>
      <c r="D3138" s="244"/>
      <c r="E3138" s="244"/>
      <c r="F3138" s="244"/>
      <c r="G3138" s="244"/>
      <c r="I3138" s="244"/>
      <c r="J3138" s="244"/>
      <c r="K3138" s="246" t="e">
        <f t="shared" ref="K3138:K3201" si="343">DATE(VALUE(LEFT(A3138,4)),VALUE(MID(A3138,5,2)),VALUE(RIGHT(A3138,2)))</f>
        <v>#VALUE!</v>
      </c>
      <c r="L3138" s="246" t="e">
        <f t="shared" ref="L3138:L3201" si="344">DATEVALUE(LEFT(F3138,10))</f>
        <v>#VALUE!</v>
      </c>
      <c r="M3138" s="247" t="e">
        <f t="shared" ref="M3138:M3201" si="345">TIMEVALUE(MID(F3138,12,8))</f>
        <v>#VALUE!</v>
      </c>
      <c r="N3138" s="246" t="e">
        <f t="shared" ref="N3138:N3201" si="346">DATEVALUE(LEFT(G3138,10))</f>
        <v>#VALUE!</v>
      </c>
      <c r="O3138" s="247" t="e">
        <f t="shared" ref="O3138:O3201" si="347">TIMEVALUE(MID(G3138,12,8))</f>
        <v>#VALUE!</v>
      </c>
      <c r="P3138" s="247">
        <f t="shared" ref="P3138:P3201" si="348">IFERROR(_xlfn.MINIFS($M:$M,$E:$E,$E3138,$K:$K,$K3138,$M:$M,"&gt;"&amp;$O3138),"")</f>
        <v>0</v>
      </c>
      <c r="Q3138" s="247" t="e">
        <f t="shared" ref="Q3138:Q3201" si="349">IF($P3138="","",$P3138-$O3138)</f>
        <v>#VALUE!</v>
      </c>
    </row>
    <row r="3139" spans="1:17" ht="15" customHeight="1" x14ac:dyDescent="0.25">
      <c r="A3139" s="244"/>
      <c r="B3139" s="244"/>
      <c r="C3139" s="244"/>
      <c r="D3139" s="244"/>
      <c r="E3139" s="244"/>
      <c r="F3139" s="244"/>
      <c r="G3139" s="244"/>
      <c r="I3139" s="244"/>
      <c r="J3139" s="244"/>
      <c r="K3139" s="246" t="e">
        <f t="shared" si="343"/>
        <v>#VALUE!</v>
      </c>
      <c r="L3139" s="246" t="e">
        <f t="shared" si="344"/>
        <v>#VALUE!</v>
      </c>
      <c r="M3139" s="247" t="e">
        <f t="shared" si="345"/>
        <v>#VALUE!</v>
      </c>
      <c r="N3139" s="246" t="e">
        <f t="shared" si="346"/>
        <v>#VALUE!</v>
      </c>
      <c r="O3139" s="247" t="e">
        <f t="shared" si="347"/>
        <v>#VALUE!</v>
      </c>
      <c r="P3139" s="247">
        <f t="shared" si="348"/>
        <v>0</v>
      </c>
      <c r="Q3139" s="247" t="e">
        <f t="shared" si="349"/>
        <v>#VALUE!</v>
      </c>
    </row>
    <row r="3140" spans="1:17" ht="15" customHeight="1" x14ac:dyDescent="0.25">
      <c r="A3140" s="244"/>
      <c r="B3140" s="244"/>
      <c r="C3140" s="244"/>
      <c r="D3140" s="244"/>
      <c r="E3140" s="244"/>
      <c r="F3140" s="244"/>
      <c r="G3140" s="244"/>
      <c r="I3140" s="244"/>
      <c r="J3140" s="244"/>
      <c r="K3140" s="246" t="e">
        <f t="shared" si="343"/>
        <v>#VALUE!</v>
      </c>
      <c r="L3140" s="246" t="e">
        <f t="shared" si="344"/>
        <v>#VALUE!</v>
      </c>
      <c r="M3140" s="247" t="e">
        <f t="shared" si="345"/>
        <v>#VALUE!</v>
      </c>
      <c r="N3140" s="246" t="e">
        <f t="shared" si="346"/>
        <v>#VALUE!</v>
      </c>
      <c r="O3140" s="247" t="e">
        <f t="shared" si="347"/>
        <v>#VALUE!</v>
      </c>
      <c r="P3140" s="247">
        <f t="shared" si="348"/>
        <v>0</v>
      </c>
      <c r="Q3140" s="247" t="e">
        <f t="shared" si="349"/>
        <v>#VALUE!</v>
      </c>
    </row>
    <row r="3141" spans="1:17" ht="15" customHeight="1" x14ac:dyDescent="0.25">
      <c r="A3141" s="244"/>
      <c r="B3141" s="244"/>
      <c r="C3141" s="244"/>
      <c r="D3141" s="244"/>
      <c r="E3141" s="244"/>
      <c r="F3141" s="244"/>
      <c r="G3141" s="244"/>
      <c r="I3141" s="244"/>
      <c r="J3141" s="244"/>
      <c r="K3141" s="246" t="e">
        <f t="shared" si="343"/>
        <v>#VALUE!</v>
      </c>
      <c r="L3141" s="246" t="e">
        <f t="shared" si="344"/>
        <v>#VALUE!</v>
      </c>
      <c r="M3141" s="247" t="e">
        <f t="shared" si="345"/>
        <v>#VALUE!</v>
      </c>
      <c r="N3141" s="246" t="e">
        <f t="shared" si="346"/>
        <v>#VALUE!</v>
      </c>
      <c r="O3141" s="247" t="e">
        <f t="shared" si="347"/>
        <v>#VALUE!</v>
      </c>
      <c r="P3141" s="247">
        <f t="shared" si="348"/>
        <v>0</v>
      </c>
      <c r="Q3141" s="247" t="e">
        <f t="shared" si="349"/>
        <v>#VALUE!</v>
      </c>
    </row>
    <row r="3142" spans="1:17" ht="15" customHeight="1" x14ac:dyDescent="0.25">
      <c r="A3142" s="244"/>
      <c r="B3142" s="244"/>
      <c r="C3142" s="244"/>
      <c r="D3142" s="244"/>
      <c r="E3142" s="244"/>
      <c r="F3142" s="244"/>
      <c r="G3142" s="244"/>
      <c r="I3142" s="244"/>
      <c r="J3142" s="244"/>
      <c r="K3142" s="246" t="e">
        <f t="shared" si="343"/>
        <v>#VALUE!</v>
      </c>
      <c r="L3142" s="246" t="e">
        <f t="shared" si="344"/>
        <v>#VALUE!</v>
      </c>
      <c r="M3142" s="247" t="e">
        <f t="shared" si="345"/>
        <v>#VALUE!</v>
      </c>
      <c r="N3142" s="246" t="e">
        <f t="shared" si="346"/>
        <v>#VALUE!</v>
      </c>
      <c r="O3142" s="247" t="e">
        <f t="shared" si="347"/>
        <v>#VALUE!</v>
      </c>
      <c r="P3142" s="247">
        <f t="shared" si="348"/>
        <v>0</v>
      </c>
      <c r="Q3142" s="247" t="e">
        <f t="shared" si="349"/>
        <v>#VALUE!</v>
      </c>
    </row>
    <row r="3143" spans="1:17" ht="15" customHeight="1" x14ac:dyDescent="0.25">
      <c r="A3143" s="244"/>
      <c r="B3143" s="244"/>
      <c r="C3143" s="244"/>
      <c r="D3143" s="244"/>
      <c r="E3143" s="244"/>
      <c r="F3143" s="244"/>
      <c r="G3143" s="244"/>
      <c r="I3143" s="244"/>
      <c r="J3143" s="244"/>
      <c r="K3143" s="246" t="e">
        <f t="shared" si="343"/>
        <v>#VALUE!</v>
      </c>
      <c r="L3143" s="246" t="e">
        <f t="shared" si="344"/>
        <v>#VALUE!</v>
      </c>
      <c r="M3143" s="247" t="e">
        <f t="shared" si="345"/>
        <v>#VALUE!</v>
      </c>
      <c r="N3143" s="246" t="e">
        <f t="shared" si="346"/>
        <v>#VALUE!</v>
      </c>
      <c r="O3143" s="247" t="e">
        <f t="shared" si="347"/>
        <v>#VALUE!</v>
      </c>
      <c r="P3143" s="247">
        <f t="shared" si="348"/>
        <v>0</v>
      </c>
      <c r="Q3143" s="247" t="e">
        <f t="shared" si="349"/>
        <v>#VALUE!</v>
      </c>
    </row>
    <row r="3144" spans="1:17" ht="15" customHeight="1" x14ac:dyDescent="0.25">
      <c r="A3144" s="244"/>
      <c r="B3144" s="244"/>
      <c r="C3144" s="244"/>
      <c r="D3144" s="244"/>
      <c r="E3144" s="244"/>
      <c r="F3144" s="244"/>
      <c r="G3144" s="244"/>
      <c r="I3144" s="244"/>
      <c r="J3144" s="244"/>
      <c r="K3144" s="246" t="e">
        <f t="shared" si="343"/>
        <v>#VALUE!</v>
      </c>
      <c r="L3144" s="246" t="e">
        <f t="shared" si="344"/>
        <v>#VALUE!</v>
      </c>
      <c r="M3144" s="247" t="e">
        <f t="shared" si="345"/>
        <v>#VALUE!</v>
      </c>
      <c r="N3144" s="246" t="e">
        <f t="shared" si="346"/>
        <v>#VALUE!</v>
      </c>
      <c r="O3144" s="247" t="e">
        <f t="shared" si="347"/>
        <v>#VALUE!</v>
      </c>
      <c r="P3144" s="247">
        <f t="shared" si="348"/>
        <v>0</v>
      </c>
      <c r="Q3144" s="247" t="e">
        <f t="shared" si="349"/>
        <v>#VALUE!</v>
      </c>
    </row>
    <row r="3145" spans="1:17" ht="15" customHeight="1" x14ac:dyDescent="0.25">
      <c r="A3145" s="244"/>
      <c r="B3145" s="244"/>
      <c r="C3145" s="244"/>
      <c r="D3145" s="244"/>
      <c r="E3145" s="244"/>
      <c r="F3145" s="244"/>
      <c r="G3145" s="244"/>
      <c r="I3145" s="244"/>
      <c r="J3145" s="244"/>
      <c r="K3145" s="246" t="e">
        <f t="shared" si="343"/>
        <v>#VALUE!</v>
      </c>
      <c r="L3145" s="246" t="e">
        <f t="shared" si="344"/>
        <v>#VALUE!</v>
      </c>
      <c r="M3145" s="247" t="e">
        <f t="shared" si="345"/>
        <v>#VALUE!</v>
      </c>
      <c r="N3145" s="246" t="e">
        <f t="shared" si="346"/>
        <v>#VALUE!</v>
      </c>
      <c r="O3145" s="247" t="e">
        <f t="shared" si="347"/>
        <v>#VALUE!</v>
      </c>
      <c r="P3145" s="247">
        <f t="shared" si="348"/>
        <v>0</v>
      </c>
      <c r="Q3145" s="247" t="e">
        <f t="shared" si="349"/>
        <v>#VALUE!</v>
      </c>
    </row>
    <row r="3146" spans="1:17" ht="15" customHeight="1" x14ac:dyDescent="0.25">
      <c r="A3146" s="244"/>
      <c r="B3146" s="244"/>
      <c r="C3146" s="244"/>
      <c r="D3146" s="244"/>
      <c r="E3146" s="244"/>
      <c r="F3146" s="244"/>
      <c r="G3146" s="244"/>
      <c r="I3146" s="244"/>
      <c r="J3146" s="244"/>
      <c r="K3146" s="246" t="e">
        <f t="shared" si="343"/>
        <v>#VALUE!</v>
      </c>
      <c r="L3146" s="246" t="e">
        <f t="shared" si="344"/>
        <v>#VALUE!</v>
      </c>
      <c r="M3146" s="247" t="e">
        <f t="shared" si="345"/>
        <v>#VALUE!</v>
      </c>
      <c r="N3146" s="246" t="e">
        <f t="shared" si="346"/>
        <v>#VALUE!</v>
      </c>
      <c r="O3146" s="247" t="e">
        <f t="shared" si="347"/>
        <v>#VALUE!</v>
      </c>
      <c r="P3146" s="247">
        <f t="shared" si="348"/>
        <v>0</v>
      </c>
      <c r="Q3146" s="247" t="e">
        <f t="shared" si="349"/>
        <v>#VALUE!</v>
      </c>
    </row>
    <row r="3147" spans="1:17" ht="15" customHeight="1" x14ac:dyDescent="0.25">
      <c r="A3147" s="244"/>
      <c r="B3147" s="244"/>
      <c r="C3147" s="244"/>
      <c r="D3147" s="244"/>
      <c r="E3147" s="244"/>
      <c r="F3147" s="244"/>
      <c r="G3147" s="244"/>
      <c r="I3147" s="244"/>
      <c r="J3147" s="244"/>
      <c r="K3147" s="246" t="e">
        <f t="shared" si="343"/>
        <v>#VALUE!</v>
      </c>
      <c r="L3147" s="246" t="e">
        <f t="shared" si="344"/>
        <v>#VALUE!</v>
      </c>
      <c r="M3147" s="247" t="e">
        <f t="shared" si="345"/>
        <v>#VALUE!</v>
      </c>
      <c r="N3147" s="246" t="e">
        <f t="shared" si="346"/>
        <v>#VALUE!</v>
      </c>
      <c r="O3147" s="247" t="e">
        <f t="shared" si="347"/>
        <v>#VALUE!</v>
      </c>
      <c r="P3147" s="247">
        <f t="shared" si="348"/>
        <v>0</v>
      </c>
      <c r="Q3147" s="247" t="e">
        <f t="shared" si="349"/>
        <v>#VALUE!</v>
      </c>
    </row>
    <row r="3148" spans="1:17" ht="15" customHeight="1" x14ac:dyDescent="0.25">
      <c r="A3148" s="244"/>
      <c r="B3148" s="244"/>
      <c r="C3148" s="244"/>
      <c r="D3148" s="244"/>
      <c r="E3148" s="244"/>
      <c r="F3148" s="244"/>
      <c r="G3148" s="244"/>
      <c r="I3148" s="244"/>
      <c r="J3148" s="244"/>
      <c r="K3148" s="246" t="e">
        <f t="shared" si="343"/>
        <v>#VALUE!</v>
      </c>
      <c r="L3148" s="246" t="e">
        <f t="shared" si="344"/>
        <v>#VALUE!</v>
      </c>
      <c r="M3148" s="247" t="e">
        <f t="shared" si="345"/>
        <v>#VALUE!</v>
      </c>
      <c r="N3148" s="246" t="e">
        <f t="shared" si="346"/>
        <v>#VALUE!</v>
      </c>
      <c r="O3148" s="247" t="e">
        <f t="shared" si="347"/>
        <v>#VALUE!</v>
      </c>
      <c r="P3148" s="247">
        <f t="shared" si="348"/>
        <v>0</v>
      </c>
      <c r="Q3148" s="247" t="e">
        <f t="shared" si="349"/>
        <v>#VALUE!</v>
      </c>
    </row>
    <row r="3149" spans="1:17" ht="15" customHeight="1" x14ac:dyDescent="0.25">
      <c r="A3149" s="244"/>
      <c r="B3149" s="244"/>
      <c r="C3149" s="244"/>
      <c r="D3149" s="244"/>
      <c r="E3149" s="244"/>
      <c r="F3149" s="244"/>
      <c r="G3149" s="244"/>
      <c r="I3149" s="244"/>
      <c r="J3149" s="244"/>
      <c r="K3149" s="246" t="e">
        <f t="shared" si="343"/>
        <v>#VALUE!</v>
      </c>
      <c r="L3149" s="246" t="e">
        <f t="shared" si="344"/>
        <v>#VALUE!</v>
      </c>
      <c r="M3149" s="247" t="e">
        <f t="shared" si="345"/>
        <v>#VALUE!</v>
      </c>
      <c r="N3149" s="246" t="e">
        <f t="shared" si="346"/>
        <v>#VALUE!</v>
      </c>
      <c r="O3149" s="247" t="e">
        <f t="shared" si="347"/>
        <v>#VALUE!</v>
      </c>
      <c r="P3149" s="247">
        <f t="shared" si="348"/>
        <v>0</v>
      </c>
      <c r="Q3149" s="247" t="e">
        <f t="shared" si="349"/>
        <v>#VALUE!</v>
      </c>
    </row>
    <row r="3150" spans="1:17" ht="15" customHeight="1" x14ac:dyDescent="0.25">
      <c r="A3150" s="244"/>
      <c r="B3150" s="244"/>
      <c r="C3150" s="244"/>
      <c r="D3150" s="244"/>
      <c r="E3150" s="244"/>
      <c r="F3150" s="244"/>
      <c r="G3150" s="244"/>
      <c r="I3150" s="244"/>
      <c r="J3150" s="244"/>
      <c r="K3150" s="246" t="e">
        <f t="shared" si="343"/>
        <v>#VALUE!</v>
      </c>
      <c r="L3150" s="246" t="e">
        <f t="shared" si="344"/>
        <v>#VALUE!</v>
      </c>
      <c r="M3150" s="247" t="e">
        <f t="shared" si="345"/>
        <v>#VALUE!</v>
      </c>
      <c r="N3150" s="246" t="e">
        <f t="shared" si="346"/>
        <v>#VALUE!</v>
      </c>
      <c r="O3150" s="247" t="e">
        <f t="shared" si="347"/>
        <v>#VALUE!</v>
      </c>
      <c r="P3150" s="247">
        <f t="shared" si="348"/>
        <v>0</v>
      </c>
      <c r="Q3150" s="247" t="e">
        <f t="shared" si="349"/>
        <v>#VALUE!</v>
      </c>
    </row>
    <row r="3151" spans="1:17" ht="15" customHeight="1" x14ac:dyDescent="0.25">
      <c r="A3151" s="244"/>
      <c r="B3151" s="244"/>
      <c r="C3151" s="244"/>
      <c r="D3151" s="244"/>
      <c r="E3151" s="244"/>
      <c r="F3151" s="244"/>
      <c r="G3151" s="244"/>
      <c r="I3151" s="244"/>
      <c r="J3151" s="244"/>
      <c r="K3151" s="246" t="e">
        <f t="shared" si="343"/>
        <v>#VALUE!</v>
      </c>
      <c r="L3151" s="246" t="e">
        <f t="shared" si="344"/>
        <v>#VALUE!</v>
      </c>
      <c r="M3151" s="247" t="e">
        <f t="shared" si="345"/>
        <v>#VALUE!</v>
      </c>
      <c r="N3151" s="246" t="e">
        <f t="shared" si="346"/>
        <v>#VALUE!</v>
      </c>
      <c r="O3151" s="247" t="e">
        <f t="shared" si="347"/>
        <v>#VALUE!</v>
      </c>
      <c r="P3151" s="247">
        <f t="shared" si="348"/>
        <v>0</v>
      </c>
      <c r="Q3151" s="247" t="e">
        <f t="shared" si="349"/>
        <v>#VALUE!</v>
      </c>
    </row>
    <row r="3152" spans="1:17" ht="15" customHeight="1" x14ac:dyDescent="0.25">
      <c r="A3152" s="244"/>
      <c r="B3152" s="244"/>
      <c r="C3152" s="244"/>
      <c r="D3152" s="244"/>
      <c r="E3152" s="244"/>
      <c r="F3152" s="244"/>
      <c r="G3152" s="244"/>
      <c r="I3152" s="244"/>
      <c r="J3152" s="244"/>
      <c r="K3152" s="246" t="e">
        <f t="shared" si="343"/>
        <v>#VALUE!</v>
      </c>
      <c r="L3152" s="246" t="e">
        <f t="shared" si="344"/>
        <v>#VALUE!</v>
      </c>
      <c r="M3152" s="247" t="e">
        <f t="shared" si="345"/>
        <v>#VALUE!</v>
      </c>
      <c r="N3152" s="246" t="e">
        <f t="shared" si="346"/>
        <v>#VALUE!</v>
      </c>
      <c r="O3152" s="247" t="e">
        <f t="shared" si="347"/>
        <v>#VALUE!</v>
      </c>
      <c r="P3152" s="247">
        <f t="shared" si="348"/>
        <v>0</v>
      </c>
      <c r="Q3152" s="247" t="e">
        <f t="shared" si="349"/>
        <v>#VALUE!</v>
      </c>
    </row>
    <row r="3153" spans="1:17" ht="15" customHeight="1" x14ac:dyDescent="0.25">
      <c r="A3153" s="244"/>
      <c r="B3153" s="244"/>
      <c r="C3153" s="244"/>
      <c r="D3153" s="244"/>
      <c r="E3153" s="244"/>
      <c r="F3153" s="244"/>
      <c r="G3153" s="244"/>
      <c r="I3153" s="244"/>
      <c r="J3153" s="244"/>
      <c r="K3153" s="246" t="e">
        <f t="shared" si="343"/>
        <v>#VALUE!</v>
      </c>
      <c r="L3153" s="246" t="e">
        <f t="shared" si="344"/>
        <v>#VALUE!</v>
      </c>
      <c r="M3153" s="247" t="e">
        <f t="shared" si="345"/>
        <v>#VALUE!</v>
      </c>
      <c r="N3153" s="246" t="e">
        <f t="shared" si="346"/>
        <v>#VALUE!</v>
      </c>
      <c r="O3153" s="247" t="e">
        <f t="shared" si="347"/>
        <v>#VALUE!</v>
      </c>
      <c r="P3153" s="247">
        <f t="shared" si="348"/>
        <v>0</v>
      </c>
      <c r="Q3153" s="247" t="e">
        <f t="shared" si="349"/>
        <v>#VALUE!</v>
      </c>
    </row>
    <row r="3154" spans="1:17" ht="15" customHeight="1" x14ac:dyDescent="0.25">
      <c r="A3154" s="244"/>
      <c r="B3154" s="244"/>
      <c r="C3154" s="244"/>
      <c r="D3154" s="244"/>
      <c r="E3154" s="244"/>
      <c r="F3154" s="244"/>
      <c r="G3154" s="244"/>
      <c r="I3154" s="244"/>
      <c r="J3154" s="244"/>
      <c r="K3154" s="246" t="e">
        <f t="shared" si="343"/>
        <v>#VALUE!</v>
      </c>
      <c r="L3154" s="246" t="e">
        <f t="shared" si="344"/>
        <v>#VALUE!</v>
      </c>
      <c r="M3154" s="247" t="e">
        <f t="shared" si="345"/>
        <v>#VALUE!</v>
      </c>
      <c r="N3154" s="246" t="e">
        <f t="shared" si="346"/>
        <v>#VALUE!</v>
      </c>
      <c r="O3154" s="247" t="e">
        <f t="shared" si="347"/>
        <v>#VALUE!</v>
      </c>
      <c r="P3154" s="247">
        <f t="shared" si="348"/>
        <v>0</v>
      </c>
      <c r="Q3154" s="247" t="e">
        <f t="shared" si="349"/>
        <v>#VALUE!</v>
      </c>
    </row>
    <row r="3155" spans="1:17" ht="15" customHeight="1" x14ac:dyDescent="0.25">
      <c r="A3155" s="244"/>
      <c r="B3155" s="244"/>
      <c r="C3155" s="244"/>
      <c r="D3155" s="244"/>
      <c r="E3155" s="244"/>
      <c r="F3155" s="244"/>
      <c r="G3155" s="244"/>
      <c r="I3155" s="244"/>
      <c r="J3155" s="244"/>
      <c r="K3155" s="246" t="e">
        <f t="shared" si="343"/>
        <v>#VALUE!</v>
      </c>
      <c r="L3155" s="246" t="e">
        <f t="shared" si="344"/>
        <v>#VALUE!</v>
      </c>
      <c r="M3155" s="247" t="e">
        <f t="shared" si="345"/>
        <v>#VALUE!</v>
      </c>
      <c r="N3155" s="246" t="e">
        <f t="shared" si="346"/>
        <v>#VALUE!</v>
      </c>
      <c r="O3155" s="247" t="e">
        <f t="shared" si="347"/>
        <v>#VALUE!</v>
      </c>
      <c r="P3155" s="247">
        <f t="shared" si="348"/>
        <v>0</v>
      </c>
      <c r="Q3155" s="247" t="e">
        <f t="shared" si="349"/>
        <v>#VALUE!</v>
      </c>
    </row>
    <row r="3156" spans="1:17" ht="15" customHeight="1" x14ac:dyDescent="0.25">
      <c r="A3156" s="244"/>
      <c r="B3156" s="244"/>
      <c r="C3156" s="244"/>
      <c r="D3156" s="244"/>
      <c r="E3156" s="244"/>
      <c r="F3156" s="244"/>
      <c r="G3156" s="244"/>
      <c r="I3156" s="244"/>
      <c r="J3156" s="244"/>
      <c r="K3156" s="246" t="e">
        <f t="shared" si="343"/>
        <v>#VALUE!</v>
      </c>
      <c r="L3156" s="246" t="e">
        <f t="shared" si="344"/>
        <v>#VALUE!</v>
      </c>
      <c r="M3156" s="247" t="e">
        <f t="shared" si="345"/>
        <v>#VALUE!</v>
      </c>
      <c r="N3156" s="246" t="e">
        <f t="shared" si="346"/>
        <v>#VALUE!</v>
      </c>
      <c r="O3156" s="247" t="e">
        <f t="shared" si="347"/>
        <v>#VALUE!</v>
      </c>
      <c r="P3156" s="247">
        <f t="shared" si="348"/>
        <v>0</v>
      </c>
      <c r="Q3156" s="247" t="e">
        <f t="shared" si="349"/>
        <v>#VALUE!</v>
      </c>
    </row>
    <row r="3157" spans="1:17" ht="15" customHeight="1" x14ac:dyDescent="0.25">
      <c r="A3157" s="244"/>
      <c r="B3157" s="244"/>
      <c r="C3157" s="244"/>
      <c r="D3157" s="244"/>
      <c r="E3157" s="244"/>
      <c r="F3157" s="244"/>
      <c r="G3157" s="244"/>
      <c r="I3157" s="244"/>
      <c r="J3157" s="244"/>
      <c r="K3157" s="246" t="e">
        <f t="shared" si="343"/>
        <v>#VALUE!</v>
      </c>
      <c r="L3157" s="246" t="e">
        <f t="shared" si="344"/>
        <v>#VALUE!</v>
      </c>
      <c r="M3157" s="247" t="e">
        <f t="shared" si="345"/>
        <v>#VALUE!</v>
      </c>
      <c r="N3157" s="246" t="e">
        <f t="shared" si="346"/>
        <v>#VALUE!</v>
      </c>
      <c r="O3157" s="247" t="e">
        <f t="shared" si="347"/>
        <v>#VALUE!</v>
      </c>
      <c r="P3157" s="247">
        <f t="shared" si="348"/>
        <v>0</v>
      </c>
      <c r="Q3157" s="247" t="e">
        <f t="shared" si="349"/>
        <v>#VALUE!</v>
      </c>
    </row>
    <row r="3158" spans="1:17" ht="15" customHeight="1" x14ac:dyDescent="0.25">
      <c r="A3158" s="244"/>
      <c r="B3158" s="244"/>
      <c r="C3158" s="244"/>
      <c r="D3158" s="244"/>
      <c r="E3158" s="244"/>
      <c r="F3158" s="244"/>
      <c r="G3158" s="244"/>
      <c r="I3158" s="244"/>
      <c r="J3158" s="244"/>
      <c r="K3158" s="246" t="e">
        <f t="shared" si="343"/>
        <v>#VALUE!</v>
      </c>
      <c r="L3158" s="246" t="e">
        <f t="shared" si="344"/>
        <v>#VALUE!</v>
      </c>
      <c r="M3158" s="247" t="e">
        <f t="shared" si="345"/>
        <v>#VALUE!</v>
      </c>
      <c r="N3158" s="246" t="e">
        <f t="shared" si="346"/>
        <v>#VALUE!</v>
      </c>
      <c r="O3158" s="247" t="e">
        <f t="shared" si="347"/>
        <v>#VALUE!</v>
      </c>
      <c r="P3158" s="247">
        <f t="shared" si="348"/>
        <v>0</v>
      </c>
      <c r="Q3158" s="247" t="e">
        <f t="shared" si="349"/>
        <v>#VALUE!</v>
      </c>
    </row>
    <row r="3159" spans="1:17" ht="15" customHeight="1" x14ac:dyDescent="0.25">
      <c r="A3159" s="244"/>
      <c r="B3159" s="244"/>
      <c r="C3159" s="244"/>
      <c r="D3159" s="244"/>
      <c r="E3159" s="244"/>
      <c r="F3159" s="244"/>
      <c r="G3159" s="244"/>
      <c r="I3159" s="244"/>
      <c r="J3159" s="244"/>
      <c r="K3159" s="246" t="e">
        <f t="shared" si="343"/>
        <v>#VALUE!</v>
      </c>
      <c r="L3159" s="246" t="e">
        <f t="shared" si="344"/>
        <v>#VALUE!</v>
      </c>
      <c r="M3159" s="247" t="e">
        <f t="shared" si="345"/>
        <v>#VALUE!</v>
      </c>
      <c r="N3159" s="246" t="e">
        <f t="shared" si="346"/>
        <v>#VALUE!</v>
      </c>
      <c r="O3159" s="247" t="e">
        <f t="shared" si="347"/>
        <v>#VALUE!</v>
      </c>
      <c r="P3159" s="247">
        <f t="shared" si="348"/>
        <v>0</v>
      </c>
      <c r="Q3159" s="247" t="e">
        <f t="shared" si="349"/>
        <v>#VALUE!</v>
      </c>
    </row>
    <row r="3160" spans="1:17" ht="15" customHeight="1" x14ac:dyDescent="0.25">
      <c r="A3160" s="244"/>
      <c r="B3160" s="244"/>
      <c r="C3160" s="244"/>
      <c r="D3160" s="244"/>
      <c r="E3160" s="244"/>
      <c r="F3160" s="244"/>
      <c r="G3160" s="244"/>
      <c r="I3160" s="244"/>
      <c r="J3160" s="244"/>
      <c r="K3160" s="246" t="e">
        <f t="shared" si="343"/>
        <v>#VALUE!</v>
      </c>
      <c r="L3160" s="246" t="e">
        <f t="shared" si="344"/>
        <v>#VALUE!</v>
      </c>
      <c r="M3160" s="247" t="e">
        <f t="shared" si="345"/>
        <v>#VALUE!</v>
      </c>
      <c r="N3160" s="246" t="e">
        <f t="shared" si="346"/>
        <v>#VALUE!</v>
      </c>
      <c r="O3160" s="247" t="e">
        <f t="shared" si="347"/>
        <v>#VALUE!</v>
      </c>
      <c r="P3160" s="247">
        <f t="shared" si="348"/>
        <v>0</v>
      </c>
      <c r="Q3160" s="247" t="e">
        <f t="shared" si="349"/>
        <v>#VALUE!</v>
      </c>
    </row>
    <row r="3161" spans="1:17" ht="15" customHeight="1" x14ac:dyDescent="0.25">
      <c r="A3161" s="244"/>
      <c r="B3161" s="244"/>
      <c r="C3161" s="244"/>
      <c r="D3161" s="244"/>
      <c r="E3161" s="244"/>
      <c r="F3161" s="244"/>
      <c r="G3161" s="244"/>
      <c r="I3161" s="244"/>
      <c r="J3161" s="244"/>
      <c r="K3161" s="246" t="e">
        <f t="shared" si="343"/>
        <v>#VALUE!</v>
      </c>
      <c r="L3161" s="246" t="e">
        <f t="shared" si="344"/>
        <v>#VALUE!</v>
      </c>
      <c r="M3161" s="247" t="e">
        <f t="shared" si="345"/>
        <v>#VALUE!</v>
      </c>
      <c r="N3161" s="246" t="e">
        <f t="shared" si="346"/>
        <v>#VALUE!</v>
      </c>
      <c r="O3161" s="247" t="e">
        <f t="shared" si="347"/>
        <v>#VALUE!</v>
      </c>
      <c r="P3161" s="247">
        <f t="shared" si="348"/>
        <v>0</v>
      </c>
      <c r="Q3161" s="247" t="e">
        <f t="shared" si="349"/>
        <v>#VALUE!</v>
      </c>
    </row>
    <row r="3162" spans="1:17" ht="15" customHeight="1" x14ac:dyDescent="0.25">
      <c r="A3162" s="244"/>
      <c r="B3162" s="244"/>
      <c r="C3162" s="244"/>
      <c r="D3162" s="244"/>
      <c r="E3162" s="244"/>
      <c r="F3162" s="244"/>
      <c r="G3162" s="244"/>
      <c r="I3162" s="244"/>
      <c r="J3162" s="244"/>
      <c r="K3162" s="246" t="e">
        <f t="shared" si="343"/>
        <v>#VALUE!</v>
      </c>
      <c r="L3162" s="246" t="e">
        <f t="shared" si="344"/>
        <v>#VALUE!</v>
      </c>
      <c r="M3162" s="247" t="e">
        <f t="shared" si="345"/>
        <v>#VALUE!</v>
      </c>
      <c r="N3162" s="246" t="e">
        <f t="shared" si="346"/>
        <v>#VALUE!</v>
      </c>
      <c r="O3162" s="247" t="e">
        <f t="shared" si="347"/>
        <v>#VALUE!</v>
      </c>
      <c r="P3162" s="247">
        <f t="shared" si="348"/>
        <v>0</v>
      </c>
      <c r="Q3162" s="247" t="e">
        <f t="shared" si="349"/>
        <v>#VALUE!</v>
      </c>
    </row>
    <row r="3163" spans="1:17" ht="15" customHeight="1" x14ac:dyDescent="0.25">
      <c r="A3163" s="244"/>
      <c r="B3163" s="244"/>
      <c r="C3163" s="244"/>
      <c r="D3163" s="244"/>
      <c r="E3163" s="244"/>
      <c r="F3163" s="244"/>
      <c r="G3163" s="244"/>
      <c r="I3163" s="244"/>
      <c r="J3163" s="244"/>
      <c r="K3163" s="246" t="e">
        <f t="shared" si="343"/>
        <v>#VALUE!</v>
      </c>
      <c r="L3163" s="246" t="e">
        <f t="shared" si="344"/>
        <v>#VALUE!</v>
      </c>
      <c r="M3163" s="247" t="e">
        <f t="shared" si="345"/>
        <v>#VALUE!</v>
      </c>
      <c r="N3163" s="246" t="e">
        <f t="shared" si="346"/>
        <v>#VALUE!</v>
      </c>
      <c r="O3163" s="247" t="e">
        <f t="shared" si="347"/>
        <v>#VALUE!</v>
      </c>
      <c r="P3163" s="247">
        <f t="shared" si="348"/>
        <v>0</v>
      </c>
      <c r="Q3163" s="247" t="e">
        <f t="shared" si="349"/>
        <v>#VALUE!</v>
      </c>
    </row>
    <row r="3164" spans="1:17" ht="15" customHeight="1" x14ac:dyDescent="0.25">
      <c r="A3164" s="244"/>
      <c r="B3164" s="244"/>
      <c r="C3164" s="244"/>
      <c r="D3164" s="244"/>
      <c r="E3164" s="244"/>
      <c r="F3164" s="244"/>
      <c r="G3164" s="244"/>
      <c r="I3164" s="244"/>
      <c r="J3164" s="244"/>
      <c r="K3164" s="246" t="e">
        <f t="shared" si="343"/>
        <v>#VALUE!</v>
      </c>
      <c r="L3164" s="246" t="e">
        <f t="shared" si="344"/>
        <v>#VALUE!</v>
      </c>
      <c r="M3164" s="247" t="e">
        <f t="shared" si="345"/>
        <v>#VALUE!</v>
      </c>
      <c r="N3164" s="246" t="e">
        <f t="shared" si="346"/>
        <v>#VALUE!</v>
      </c>
      <c r="O3164" s="247" t="e">
        <f t="shared" si="347"/>
        <v>#VALUE!</v>
      </c>
      <c r="P3164" s="247">
        <f t="shared" si="348"/>
        <v>0</v>
      </c>
      <c r="Q3164" s="247" t="e">
        <f t="shared" si="349"/>
        <v>#VALUE!</v>
      </c>
    </row>
    <row r="3165" spans="1:17" ht="15" customHeight="1" x14ac:dyDescent="0.25">
      <c r="A3165" s="244"/>
      <c r="B3165" s="244"/>
      <c r="C3165" s="244"/>
      <c r="D3165" s="244"/>
      <c r="E3165" s="244"/>
      <c r="F3165" s="244"/>
      <c r="G3165" s="244"/>
      <c r="I3165" s="244"/>
      <c r="J3165" s="244"/>
      <c r="K3165" s="246" t="e">
        <f t="shared" si="343"/>
        <v>#VALUE!</v>
      </c>
      <c r="L3165" s="246" t="e">
        <f t="shared" si="344"/>
        <v>#VALUE!</v>
      </c>
      <c r="M3165" s="247" t="e">
        <f t="shared" si="345"/>
        <v>#VALUE!</v>
      </c>
      <c r="N3165" s="246" t="e">
        <f t="shared" si="346"/>
        <v>#VALUE!</v>
      </c>
      <c r="O3165" s="247" t="e">
        <f t="shared" si="347"/>
        <v>#VALUE!</v>
      </c>
      <c r="P3165" s="247">
        <f t="shared" si="348"/>
        <v>0</v>
      </c>
      <c r="Q3165" s="247" t="e">
        <f t="shared" si="349"/>
        <v>#VALUE!</v>
      </c>
    </row>
    <row r="3166" spans="1:17" ht="15" customHeight="1" x14ac:dyDescent="0.25">
      <c r="A3166" s="244"/>
      <c r="B3166" s="244"/>
      <c r="C3166" s="244"/>
      <c r="D3166" s="244"/>
      <c r="E3166" s="244"/>
      <c r="F3166" s="244"/>
      <c r="G3166" s="244"/>
      <c r="I3166" s="244"/>
      <c r="J3166" s="244"/>
      <c r="K3166" s="246" t="e">
        <f t="shared" si="343"/>
        <v>#VALUE!</v>
      </c>
      <c r="L3166" s="246" t="e">
        <f t="shared" si="344"/>
        <v>#VALUE!</v>
      </c>
      <c r="M3166" s="247" t="e">
        <f t="shared" si="345"/>
        <v>#VALUE!</v>
      </c>
      <c r="N3166" s="246" t="e">
        <f t="shared" si="346"/>
        <v>#VALUE!</v>
      </c>
      <c r="O3166" s="247" t="e">
        <f t="shared" si="347"/>
        <v>#VALUE!</v>
      </c>
      <c r="P3166" s="247">
        <f t="shared" si="348"/>
        <v>0</v>
      </c>
      <c r="Q3166" s="247" t="e">
        <f t="shared" si="349"/>
        <v>#VALUE!</v>
      </c>
    </row>
    <row r="3167" spans="1:17" ht="15" customHeight="1" x14ac:dyDescent="0.25">
      <c r="A3167" s="244"/>
      <c r="B3167" s="244"/>
      <c r="C3167" s="244"/>
      <c r="D3167" s="244"/>
      <c r="E3167" s="244"/>
      <c r="F3167" s="244"/>
      <c r="G3167" s="244"/>
      <c r="I3167" s="244"/>
      <c r="J3167" s="244"/>
      <c r="K3167" s="246" t="e">
        <f t="shared" si="343"/>
        <v>#VALUE!</v>
      </c>
      <c r="L3167" s="246" t="e">
        <f t="shared" si="344"/>
        <v>#VALUE!</v>
      </c>
      <c r="M3167" s="247" t="e">
        <f t="shared" si="345"/>
        <v>#VALUE!</v>
      </c>
      <c r="N3167" s="246" t="e">
        <f t="shared" si="346"/>
        <v>#VALUE!</v>
      </c>
      <c r="O3167" s="247" t="e">
        <f t="shared" si="347"/>
        <v>#VALUE!</v>
      </c>
      <c r="P3167" s="247">
        <f t="shared" si="348"/>
        <v>0</v>
      </c>
      <c r="Q3167" s="247" t="e">
        <f t="shared" si="349"/>
        <v>#VALUE!</v>
      </c>
    </row>
    <row r="3168" spans="1:17" ht="15" customHeight="1" x14ac:dyDescent="0.25">
      <c r="A3168" s="244"/>
      <c r="B3168" s="244"/>
      <c r="C3168" s="244"/>
      <c r="D3168" s="244"/>
      <c r="E3168" s="244"/>
      <c r="F3168" s="244"/>
      <c r="G3168" s="244"/>
      <c r="I3168" s="244"/>
      <c r="J3168" s="244"/>
      <c r="K3168" s="246" t="e">
        <f t="shared" si="343"/>
        <v>#VALUE!</v>
      </c>
      <c r="L3168" s="246" t="e">
        <f t="shared" si="344"/>
        <v>#VALUE!</v>
      </c>
      <c r="M3168" s="247" t="e">
        <f t="shared" si="345"/>
        <v>#VALUE!</v>
      </c>
      <c r="N3168" s="246" t="e">
        <f t="shared" si="346"/>
        <v>#VALUE!</v>
      </c>
      <c r="O3168" s="247" t="e">
        <f t="shared" si="347"/>
        <v>#VALUE!</v>
      </c>
      <c r="P3168" s="247">
        <f t="shared" si="348"/>
        <v>0</v>
      </c>
      <c r="Q3168" s="247" t="e">
        <f t="shared" si="349"/>
        <v>#VALUE!</v>
      </c>
    </row>
    <row r="3169" spans="1:17" ht="15" customHeight="1" x14ac:dyDescent="0.25">
      <c r="A3169" s="244"/>
      <c r="B3169" s="244"/>
      <c r="C3169" s="244"/>
      <c r="D3169" s="244"/>
      <c r="E3169" s="244"/>
      <c r="F3169" s="244"/>
      <c r="G3169" s="244"/>
      <c r="I3169" s="244"/>
      <c r="J3169" s="244"/>
      <c r="K3169" s="246" t="e">
        <f t="shared" si="343"/>
        <v>#VALUE!</v>
      </c>
      <c r="L3169" s="246" t="e">
        <f t="shared" si="344"/>
        <v>#VALUE!</v>
      </c>
      <c r="M3169" s="247" t="e">
        <f t="shared" si="345"/>
        <v>#VALUE!</v>
      </c>
      <c r="N3169" s="246" t="e">
        <f t="shared" si="346"/>
        <v>#VALUE!</v>
      </c>
      <c r="O3169" s="247" t="e">
        <f t="shared" si="347"/>
        <v>#VALUE!</v>
      </c>
      <c r="P3169" s="247">
        <f t="shared" si="348"/>
        <v>0</v>
      </c>
      <c r="Q3169" s="247" t="e">
        <f t="shared" si="349"/>
        <v>#VALUE!</v>
      </c>
    </row>
    <row r="3170" spans="1:17" ht="15" customHeight="1" x14ac:dyDescent="0.25">
      <c r="A3170" s="244"/>
      <c r="B3170" s="244"/>
      <c r="C3170" s="244"/>
      <c r="D3170" s="244"/>
      <c r="E3170" s="244"/>
      <c r="F3170" s="244"/>
      <c r="G3170" s="244"/>
      <c r="I3170" s="244"/>
      <c r="J3170" s="244"/>
      <c r="K3170" s="246" t="e">
        <f t="shared" si="343"/>
        <v>#VALUE!</v>
      </c>
      <c r="L3170" s="246" t="e">
        <f t="shared" si="344"/>
        <v>#VALUE!</v>
      </c>
      <c r="M3170" s="247" t="e">
        <f t="shared" si="345"/>
        <v>#VALUE!</v>
      </c>
      <c r="N3170" s="246" t="e">
        <f t="shared" si="346"/>
        <v>#VALUE!</v>
      </c>
      <c r="O3170" s="247" t="e">
        <f t="shared" si="347"/>
        <v>#VALUE!</v>
      </c>
      <c r="P3170" s="247">
        <f t="shared" si="348"/>
        <v>0</v>
      </c>
      <c r="Q3170" s="247" t="e">
        <f t="shared" si="349"/>
        <v>#VALUE!</v>
      </c>
    </row>
    <row r="3171" spans="1:17" ht="15" customHeight="1" x14ac:dyDescent="0.25">
      <c r="A3171" s="244"/>
      <c r="B3171" s="244"/>
      <c r="C3171" s="244"/>
      <c r="D3171" s="244"/>
      <c r="E3171" s="244"/>
      <c r="F3171" s="244"/>
      <c r="G3171" s="244"/>
      <c r="I3171" s="244"/>
      <c r="J3171" s="244"/>
      <c r="K3171" s="246" t="e">
        <f t="shared" si="343"/>
        <v>#VALUE!</v>
      </c>
      <c r="L3171" s="246" t="e">
        <f t="shared" si="344"/>
        <v>#VALUE!</v>
      </c>
      <c r="M3171" s="247" t="e">
        <f t="shared" si="345"/>
        <v>#VALUE!</v>
      </c>
      <c r="N3171" s="246" t="e">
        <f t="shared" si="346"/>
        <v>#VALUE!</v>
      </c>
      <c r="O3171" s="247" t="e">
        <f t="shared" si="347"/>
        <v>#VALUE!</v>
      </c>
      <c r="P3171" s="247">
        <f t="shared" si="348"/>
        <v>0</v>
      </c>
      <c r="Q3171" s="247" t="e">
        <f t="shared" si="349"/>
        <v>#VALUE!</v>
      </c>
    </row>
    <row r="3172" spans="1:17" ht="15" customHeight="1" x14ac:dyDescent="0.25">
      <c r="A3172" s="244"/>
      <c r="B3172" s="244"/>
      <c r="C3172" s="244"/>
      <c r="D3172" s="244"/>
      <c r="E3172" s="244"/>
      <c r="F3172" s="244"/>
      <c r="G3172" s="244"/>
      <c r="I3172" s="244"/>
      <c r="J3172" s="244"/>
      <c r="K3172" s="246" t="e">
        <f t="shared" si="343"/>
        <v>#VALUE!</v>
      </c>
      <c r="L3172" s="246" t="e">
        <f t="shared" si="344"/>
        <v>#VALUE!</v>
      </c>
      <c r="M3172" s="247" t="e">
        <f t="shared" si="345"/>
        <v>#VALUE!</v>
      </c>
      <c r="N3172" s="246" t="e">
        <f t="shared" si="346"/>
        <v>#VALUE!</v>
      </c>
      <c r="O3172" s="247" t="e">
        <f t="shared" si="347"/>
        <v>#VALUE!</v>
      </c>
      <c r="P3172" s="247">
        <f t="shared" si="348"/>
        <v>0</v>
      </c>
      <c r="Q3172" s="247" t="e">
        <f t="shared" si="349"/>
        <v>#VALUE!</v>
      </c>
    </row>
    <row r="3173" spans="1:17" ht="15" customHeight="1" x14ac:dyDescent="0.25">
      <c r="A3173" s="244"/>
      <c r="B3173" s="244"/>
      <c r="C3173" s="244"/>
      <c r="D3173" s="244"/>
      <c r="E3173" s="244"/>
      <c r="F3173" s="244"/>
      <c r="G3173" s="244"/>
      <c r="I3173" s="244"/>
      <c r="J3173" s="244"/>
      <c r="K3173" s="246" t="e">
        <f t="shared" si="343"/>
        <v>#VALUE!</v>
      </c>
      <c r="L3173" s="246" t="e">
        <f t="shared" si="344"/>
        <v>#VALUE!</v>
      </c>
      <c r="M3173" s="247" t="e">
        <f t="shared" si="345"/>
        <v>#VALUE!</v>
      </c>
      <c r="N3173" s="246" t="e">
        <f t="shared" si="346"/>
        <v>#VALUE!</v>
      </c>
      <c r="O3173" s="247" t="e">
        <f t="shared" si="347"/>
        <v>#VALUE!</v>
      </c>
      <c r="P3173" s="247">
        <f t="shared" si="348"/>
        <v>0</v>
      </c>
      <c r="Q3173" s="247" t="e">
        <f t="shared" si="349"/>
        <v>#VALUE!</v>
      </c>
    </row>
    <row r="3174" spans="1:17" ht="15" customHeight="1" x14ac:dyDescent="0.25">
      <c r="A3174" s="244"/>
      <c r="B3174" s="244"/>
      <c r="C3174" s="244"/>
      <c r="D3174" s="244"/>
      <c r="E3174" s="244"/>
      <c r="F3174" s="244"/>
      <c r="G3174" s="244"/>
      <c r="I3174" s="244"/>
      <c r="J3174" s="244"/>
      <c r="K3174" s="246" t="e">
        <f t="shared" si="343"/>
        <v>#VALUE!</v>
      </c>
      <c r="L3174" s="246" t="e">
        <f t="shared" si="344"/>
        <v>#VALUE!</v>
      </c>
      <c r="M3174" s="247" t="e">
        <f t="shared" si="345"/>
        <v>#VALUE!</v>
      </c>
      <c r="N3174" s="246" t="e">
        <f t="shared" si="346"/>
        <v>#VALUE!</v>
      </c>
      <c r="O3174" s="247" t="e">
        <f t="shared" si="347"/>
        <v>#VALUE!</v>
      </c>
      <c r="P3174" s="247">
        <f t="shared" si="348"/>
        <v>0</v>
      </c>
      <c r="Q3174" s="247" t="e">
        <f t="shared" si="349"/>
        <v>#VALUE!</v>
      </c>
    </row>
    <row r="3175" spans="1:17" ht="15" customHeight="1" x14ac:dyDescent="0.25">
      <c r="A3175" s="244"/>
      <c r="B3175" s="244"/>
      <c r="C3175" s="244"/>
      <c r="D3175" s="244"/>
      <c r="E3175" s="244"/>
      <c r="F3175" s="244"/>
      <c r="G3175" s="244"/>
      <c r="I3175" s="244"/>
      <c r="J3175" s="244"/>
      <c r="K3175" s="246" t="e">
        <f t="shared" si="343"/>
        <v>#VALUE!</v>
      </c>
      <c r="L3175" s="246" t="e">
        <f t="shared" si="344"/>
        <v>#VALUE!</v>
      </c>
      <c r="M3175" s="247" t="e">
        <f t="shared" si="345"/>
        <v>#VALUE!</v>
      </c>
      <c r="N3175" s="246" t="e">
        <f t="shared" si="346"/>
        <v>#VALUE!</v>
      </c>
      <c r="O3175" s="247" t="e">
        <f t="shared" si="347"/>
        <v>#VALUE!</v>
      </c>
      <c r="P3175" s="247">
        <f t="shared" si="348"/>
        <v>0</v>
      </c>
      <c r="Q3175" s="247" t="e">
        <f t="shared" si="349"/>
        <v>#VALUE!</v>
      </c>
    </row>
    <row r="3176" spans="1:17" ht="15" customHeight="1" x14ac:dyDescent="0.25">
      <c r="A3176" s="244"/>
      <c r="B3176" s="244"/>
      <c r="C3176" s="244"/>
      <c r="D3176" s="244"/>
      <c r="E3176" s="244"/>
      <c r="F3176" s="244"/>
      <c r="G3176" s="244"/>
      <c r="I3176" s="244"/>
      <c r="J3176" s="244"/>
      <c r="K3176" s="246" t="e">
        <f t="shared" si="343"/>
        <v>#VALUE!</v>
      </c>
      <c r="L3176" s="246" t="e">
        <f t="shared" si="344"/>
        <v>#VALUE!</v>
      </c>
      <c r="M3176" s="247" t="e">
        <f t="shared" si="345"/>
        <v>#VALUE!</v>
      </c>
      <c r="N3176" s="246" t="e">
        <f t="shared" si="346"/>
        <v>#VALUE!</v>
      </c>
      <c r="O3176" s="247" t="e">
        <f t="shared" si="347"/>
        <v>#VALUE!</v>
      </c>
      <c r="P3176" s="247">
        <f t="shared" si="348"/>
        <v>0</v>
      </c>
      <c r="Q3176" s="247" t="e">
        <f t="shared" si="349"/>
        <v>#VALUE!</v>
      </c>
    </row>
    <row r="3177" spans="1:17" ht="15" customHeight="1" x14ac:dyDescent="0.25">
      <c r="A3177" s="244"/>
      <c r="B3177" s="244"/>
      <c r="C3177" s="244"/>
      <c r="D3177" s="244"/>
      <c r="E3177" s="244"/>
      <c r="F3177" s="244"/>
      <c r="G3177" s="244"/>
      <c r="I3177" s="244"/>
      <c r="J3177" s="244"/>
      <c r="K3177" s="246" t="e">
        <f t="shared" si="343"/>
        <v>#VALUE!</v>
      </c>
      <c r="L3177" s="246" t="e">
        <f t="shared" si="344"/>
        <v>#VALUE!</v>
      </c>
      <c r="M3177" s="247" t="e">
        <f t="shared" si="345"/>
        <v>#VALUE!</v>
      </c>
      <c r="N3177" s="246" t="e">
        <f t="shared" si="346"/>
        <v>#VALUE!</v>
      </c>
      <c r="O3177" s="247" t="e">
        <f t="shared" si="347"/>
        <v>#VALUE!</v>
      </c>
      <c r="P3177" s="247">
        <f t="shared" si="348"/>
        <v>0</v>
      </c>
      <c r="Q3177" s="247" t="e">
        <f t="shared" si="349"/>
        <v>#VALUE!</v>
      </c>
    </row>
    <row r="3178" spans="1:17" ht="15" customHeight="1" x14ac:dyDescent="0.25">
      <c r="A3178" s="244"/>
      <c r="B3178" s="244"/>
      <c r="C3178" s="244"/>
      <c r="D3178" s="244"/>
      <c r="E3178" s="244"/>
      <c r="F3178" s="244"/>
      <c r="G3178" s="244"/>
      <c r="I3178" s="244"/>
      <c r="J3178" s="244"/>
      <c r="K3178" s="246" t="e">
        <f t="shared" si="343"/>
        <v>#VALUE!</v>
      </c>
      <c r="L3178" s="246" t="e">
        <f t="shared" si="344"/>
        <v>#VALUE!</v>
      </c>
      <c r="M3178" s="247" t="e">
        <f t="shared" si="345"/>
        <v>#VALUE!</v>
      </c>
      <c r="N3178" s="246" t="e">
        <f t="shared" si="346"/>
        <v>#VALUE!</v>
      </c>
      <c r="O3178" s="247" t="e">
        <f t="shared" si="347"/>
        <v>#VALUE!</v>
      </c>
      <c r="P3178" s="247">
        <f t="shared" si="348"/>
        <v>0</v>
      </c>
      <c r="Q3178" s="247" t="e">
        <f t="shared" si="349"/>
        <v>#VALUE!</v>
      </c>
    </row>
    <row r="3179" spans="1:17" ht="15" customHeight="1" x14ac:dyDescent="0.25">
      <c r="A3179" s="244"/>
      <c r="B3179" s="244"/>
      <c r="C3179" s="244"/>
      <c r="D3179" s="244"/>
      <c r="E3179" s="244"/>
      <c r="F3179" s="244"/>
      <c r="G3179" s="244"/>
      <c r="I3179" s="244"/>
      <c r="J3179" s="244"/>
      <c r="K3179" s="246" t="e">
        <f t="shared" si="343"/>
        <v>#VALUE!</v>
      </c>
      <c r="L3179" s="246" t="e">
        <f t="shared" si="344"/>
        <v>#VALUE!</v>
      </c>
      <c r="M3179" s="247" t="e">
        <f t="shared" si="345"/>
        <v>#VALUE!</v>
      </c>
      <c r="N3179" s="246" t="e">
        <f t="shared" si="346"/>
        <v>#VALUE!</v>
      </c>
      <c r="O3179" s="247" t="e">
        <f t="shared" si="347"/>
        <v>#VALUE!</v>
      </c>
      <c r="P3179" s="247">
        <f t="shared" si="348"/>
        <v>0</v>
      </c>
      <c r="Q3179" s="247" t="e">
        <f t="shared" si="349"/>
        <v>#VALUE!</v>
      </c>
    </row>
    <row r="3180" spans="1:17" ht="15" customHeight="1" x14ac:dyDescent="0.25">
      <c r="A3180" s="244"/>
      <c r="B3180" s="244"/>
      <c r="C3180" s="244"/>
      <c r="D3180" s="244"/>
      <c r="E3180" s="244"/>
      <c r="F3180" s="244"/>
      <c r="G3180" s="244"/>
      <c r="I3180" s="244"/>
      <c r="J3180" s="244"/>
      <c r="K3180" s="246" t="e">
        <f t="shared" si="343"/>
        <v>#VALUE!</v>
      </c>
      <c r="L3180" s="246" t="e">
        <f t="shared" si="344"/>
        <v>#VALUE!</v>
      </c>
      <c r="M3180" s="247" t="e">
        <f t="shared" si="345"/>
        <v>#VALUE!</v>
      </c>
      <c r="N3180" s="246" t="e">
        <f t="shared" si="346"/>
        <v>#VALUE!</v>
      </c>
      <c r="O3180" s="247" t="e">
        <f t="shared" si="347"/>
        <v>#VALUE!</v>
      </c>
      <c r="P3180" s="247">
        <f t="shared" si="348"/>
        <v>0</v>
      </c>
      <c r="Q3180" s="247" t="e">
        <f t="shared" si="349"/>
        <v>#VALUE!</v>
      </c>
    </row>
    <row r="3181" spans="1:17" ht="15" customHeight="1" x14ac:dyDescent="0.25">
      <c r="A3181" s="244"/>
      <c r="B3181" s="244"/>
      <c r="C3181" s="244"/>
      <c r="D3181" s="244"/>
      <c r="E3181" s="244"/>
      <c r="F3181" s="244"/>
      <c r="G3181" s="244"/>
      <c r="I3181" s="244"/>
      <c r="J3181" s="244"/>
      <c r="K3181" s="246" t="e">
        <f t="shared" si="343"/>
        <v>#VALUE!</v>
      </c>
      <c r="L3181" s="246" t="e">
        <f t="shared" si="344"/>
        <v>#VALUE!</v>
      </c>
      <c r="M3181" s="247" t="e">
        <f t="shared" si="345"/>
        <v>#VALUE!</v>
      </c>
      <c r="N3181" s="246" t="e">
        <f t="shared" si="346"/>
        <v>#VALUE!</v>
      </c>
      <c r="O3181" s="247" t="e">
        <f t="shared" si="347"/>
        <v>#VALUE!</v>
      </c>
      <c r="P3181" s="247">
        <f t="shared" si="348"/>
        <v>0</v>
      </c>
      <c r="Q3181" s="247" t="e">
        <f t="shared" si="349"/>
        <v>#VALUE!</v>
      </c>
    </row>
    <row r="3182" spans="1:17" ht="15" customHeight="1" x14ac:dyDescent="0.25">
      <c r="A3182" s="244"/>
      <c r="B3182" s="244"/>
      <c r="C3182" s="244"/>
      <c r="D3182" s="244"/>
      <c r="E3182" s="244"/>
      <c r="F3182" s="244"/>
      <c r="G3182" s="244"/>
      <c r="I3182" s="244"/>
      <c r="J3182" s="244"/>
      <c r="K3182" s="246" t="e">
        <f t="shared" si="343"/>
        <v>#VALUE!</v>
      </c>
      <c r="L3182" s="246" t="e">
        <f t="shared" si="344"/>
        <v>#VALUE!</v>
      </c>
      <c r="M3182" s="247" t="e">
        <f t="shared" si="345"/>
        <v>#VALUE!</v>
      </c>
      <c r="N3182" s="246" t="e">
        <f t="shared" si="346"/>
        <v>#VALUE!</v>
      </c>
      <c r="O3182" s="247" t="e">
        <f t="shared" si="347"/>
        <v>#VALUE!</v>
      </c>
      <c r="P3182" s="247">
        <f t="shared" si="348"/>
        <v>0</v>
      </c>
      <c r="Q3182" s="247" t="e">
        <f t="shared" si="349"/>
        <v>#VALUE!</v>
      </c>
    </row>
    <row r="3183" spans="1:17" ht="15" customHeight="1" x14ac:dyDescent="0.25">
      <c r="A3183" s="244"/>
      <c r="B3183" s="244"/>
      <c r="C3183" s="244"/>
      <c r="D3183" s="244"/>
      <c r="E3183" s="244"/>
      <c r="F3183" s="244"/>
      <c r="G3183" s="244"/>
      <c r="I3183" s="244"/>
      <c r="J3183" s="244"/>
      <c r="K3183" s="246" t="e">
        <f t="shared" si="343"/>
        <v>#VALUE!</v>
      </c>
      <c r="L3183" s="246" t="e">
        <f t="shared" si="344"/>
        <v>#VALUE!</v>
      </c>
      <c r="M3183" s="247" t="e">
        <f t="shared" si="345"/>
        <v>#VALUE!</v>
      </c>
      <c r="N3183" s="246" t="e">
        <f t="shared" si="346"/>
        <v>#VALUE!</v>
      </c>
      <c r="O3183" s="247" t="e">
        <f t="shared" si="347"/>
        <v>#VALUE!</v>
      </c>
      <c r="P3183" s="247">
        <f t="shared" si="348"/>
        <v>0</v>
      </c>
      <c r="Q3183" s="247" t="e">
        <f t="shared" si="349"/>
        <v>#VALUE!</v>
      </c>
    </row>
    <row r="3184" spans="1:17" ht="15" customHeight="1" x14ac:dyDescent="0.25">
      <c r="A3184" s="244"/>
      <c r="B3184" s="244"/>
      <c r="C3184" s="244"/>
      <c r="D3184" s="244"/>
      <c r="E3184" s="244"/>
      <c r="F3184" s="244"/>
      <c r="G3184" s="244"/>
      <c r="I3184" s="244"/>
      <c r="J3184" s="244"/>
      <c r="K3184" s="246" t="e">
        <f t="shared" si="343"/>
        <v>#VALUE!</v>
      </c>
      <c r="L3184" s="246" t="e">
        <f t="shared" si="344"/>
        <v>#VALUE!</v>
      </c>
      <c r="M3184" s="247" t="e">
        <f t="shared" si="345"/>
        <v>#VALUE!</v>
      </c>
      <c r="N3184" s="246" t="e">
        <f t="shared" si="346"/>
        <v>#VALUE!</v>
      </c>
      <c r="O3184" s="247" t="e">
        <f t="shared" si="347"/>
        <v>#VALUE!</v>
      </c>
      <c r="P3184" s="247">
        <f t="shared" si="348"/>
        <v>0</v>
      </c>
      <c r="Q3184" s="247" t="e">
        <f t="shared" si="349"/>
        <v>#VALUE!</v>
      </c>
    </row>
    <row r="3185" spans="1:17" ht="15" customHeight="1" x14ac:dyDescent="0.25">
      <c r="A3185" s="244"/>
      <c r="B3185" s="244"/>
      <c r="C3185" s="244"/>
      <c r="D3185" s="244"/>
      <c r="E3185" s="244"/>
      <c r="F3185" s="244"/>
      <c r="G3185" s="244"/>
      <c r="I3185" s="244"/>
      <c r="J3185" s="244"/>
      <c r="K3185" s="246" t="e">
        <f t="shared" si="343"/>
        <v>#VALUE!</v>
      </c>
      <c r="L3185" s="246" t="e">
        <f t="shared" si="344"/>
        <v>#VALUE!</v>
      </c>
      <c r="M3185" s="247" t="e">
        <f t="shared" si="345"/>
        <v>#VALUE!</v>
      </c>
      <c r="N3185" s="246" t="e">
        <f t="shared" si="346"/>
        <v>#VALUE!</v>
      </c>
      <c r="O3185" s="247" t="e">
        <f t="shared" si="347"/>
        <v>#VALUE!</v>
      </c>
      <c r="P3185" s="247">
        <f t="shared" si="348"/>
        <v>0</v>
      </c>
      <c r="Q3185" s="247" t="e">
        <f t="shared" si="349"/>
        <v>#VALUE!</v>
      </c>
    </row>
    <row r="3186" spans="1:17" ht="15" customHeight="1" x14ac:dyDescent="0.25">
      <c r="A3186" s="244"/>
      <c r="B3186" s="244"/>
      <c r="C3186" s="244"/>
      <c r="D3186" s="244"/>
      <c r="E3186" s="244"/>
      <c r="F3186" s="244"/>
      <c r="G3186" s="244"/>
      <c r="I3186" s="244"/>
      <c r="J3186" s="244"/>
      <c r="K3186" s="246" t="e">
        <f t="shared" si="343"/>
        <v>#VALUE!</v>
      </c>
      <c r="L3186" s="246" t="e">
        <f t="shared" si="344"/>
        <v>#VALUE!</v>
      </c>
      <c r="M3186" s="247" t="e">
        <f t="shared" si="345"/>
        <v>#VALUE!</v>
      </c>
      <c r="N3186" s="246" t="e">
        <f t="shared" si="346"/>
        <v>#VALUE!</v>
      </c>
      <c r="O3186" s="247" t="e">
        <f t="shared" si="347"/>
        <v>#VALUE!</v>
      </c>
      <c r="P3186" s="247">
        <f t="shared" si="348"/>
        <v>0</v>
      </c>
      <c r="Q3186" s="247" t="e">
        <f t="shared" si="349"/>
        <v>#VALUE!</v>
      </c>
    </row>
    <row r="3187" spans="1:17" ht="15" customHeight="1" x14ac:dyDescent="0.25">
      <c r="A3187" s="244"/>
      <c r="B3187" s="244"/>
      <c r="C3187" s="244"/>
      <c r="D3187" s="244"/>
      <c r="E3187" s="244"/>
      <c r="F3187" s="244"/>
      <c r="G3187" s="244"/>
      <c r="I3187" s="244"/>
      <c r="J3187" s="244"/>
      <c r="K3187" s="246" t="e">
        <f t="shared" si="343"/>
        <v>#VALUE!</v>
      </c>
      <c r="L3187" s="246" t="e">
        <f t="shared" si="344"/>
        <v>#VALUE!</v>
      </c>
      <c r="M3187" s="247" t="e">
        <f t="shared" si="345"/>
        <v>#VALUE!</v>
      </c>
      <c r="N3187" s="246" t="e">
        <f t="shared" si="346"/>
        <v>#VALUE!</v>
      </c>
      <c r="O3187" s="247" t="e">
        <f t="shared" si="347"/>
        <v>#VALUE!</v>
      </c>
      <c r="P3187" s="247">
        <f t="shared" si="348"/>
        <v>0</v>
      </c>
      <c r="Q3187" s="247" t="e">
        <f t="shared" si="349"/>
        <v>#VALUE!</v>
      </c>
    </row>
    <row r="3188" spans="1:17" ht="15" customHeight="1" x14ac:dyDescent="0.25">
      <c r="A3188" s="244"/>
      <c r="B3188" s="244"/>
      <c r="C3188" s="244"/>
      <c r="D3188" s="244"/>
      <c r="E3188" s="244"/>
      <c r="F3188" s="244"/>
      <c r="G3188" s="244"/>
      <c r="I3188" s="244"/>
      <c r="J3188" s="244"/>
      <c r="K3188" s="246" t="e">
        <f t="shared" si="343"/>
        <v>#VALUE!</v>
      </c>
      <c r="L3188" s="246" t="e">
        <f t="shared" si="344"/>
        <v>#VALUE!</v>
      </c>
      <c r="M3188" s="247" t="e">
        <f t="shared" si="345"/>
        <v>#VALUE!</v>
      </c>
      <c r="N3188" s="246" t="e">
        <f t="shared" si="346"/>
        <v>#VALUE!</v>
      </c>
      <c r="O3188" s="247" t="e">
        <f t="shared" si="347"/>
        <v>#VALUE!</v>
      </c>
      <c r="P3188" s="247">
        <f t="shared" si="348"/>
        <v>0</v>
      </c>
      <c r="Q3188" s="247" t="e">
        <f t="shared" si="349"/>
        <v>#VALUE!</v>
      </c>
    </row>
    <row r="3189" spans="1:17" ht="15" customHeight="1" x14ac:dyDescent="0.25">
      <c r="A3189" s="244"/>
      <c r="B3189" s="244"/>
      <c r="C3189" s="244"/>
      <c r="D3189" s="244"/>
      <c r="E3189" s="244"/>
      <c r="F3189" s="244"/>
      <c r="G3189" s="244"/>
      <c r="I3189" s="244"/>
      <c r="J3189" s="244"/>
      <c r="K3189" s="246" t="e">
        <f t="shared" si="343"/>
        <v>#VALUE!</v>
      </c>
      <c r="L3189" s="246" t="e">
        <f t="shared" si="344"/>
        <v>#VALUE!</v>
      </c>
      <c r="M3189" s="247" t="e">
        <f t="shared" si="345"/>
        <v>#VALUE!</v>
      </c>
      <c r="N3189" s="246" t="e">
        <f t="shared" si="346"/>
        <v>#VALUE!</v>
      </c>
      <c r="O3189" s="247" t="e">
        <f t="shared" si="347"/>
        <v>#VALUE!</v>
      </c>
      <c r="P3189" s="247">
        <f t="shared" si="348"/>
        <v>0</v>
      </c>
      <c r="Q3189" s="247" t="e">
        <f t="shared" si="349"/>
        <v>#VALUE!</v>
      </c>
    </row>
    <row r="3190" spans="1:17" ht="15" customHeight="1" x14ac:dyDescent="0.25">
      <c r="A3190" s="244"/>
      <c r="B3190" s="244"/>
      <c r="C3190" s="244"/>
      <c r="D3190" s="244"/>
      <c r="E3190" s="244"/>
      <c r="F3190" s="244"/>
      <c r="G3190" s="244"/>
      <c r="I3190" s="244"/>
      <c r="J3190" s="244"/>
      <c r="K3190" s="246" t="e">
        <f t="shared" si="343"/>
        <v>#VALUE!</v>
      </c>
      <c r="L3190" s="246" t="e">
        <f t="shared" si="344"/>
        <v>#VALUE!</v>
      </c>
      <c r="M3190" s="247" t="e">
        <f t="shared" si="345"/>
        <v>#VALUE!</v>
      </c>
      <c r="N3190" s="246" t="e">
        <f t="shared" si="346"/>
        <v>#VALUE!</v>
      </c>
      <c r="O3190" s="247" t="e">
        <f t="shared" si="347"/>
        <v>#VALUE!</v>
      </c>
      <c r="P3190" s="247">
        <f t="shared" si="348"/>
        <v>0</v>
      </c>
      <c r="Q3190" s="247" t="e">
        <f t="shared" si="349"/>
        <v>#VALUE!</v>
      </c>
    </row>
    <row r="3191" spans="1:17" ht="15" customHeight="1" x14ac:dyDescent="0.25">
      <c r="A3191" s="244"/>
      <c r="B3191" s="244"/>
      <c r="C3191" s="244"/>
      <c r="D3191" s="244"/>
      <c r="E3191" s="244"/>
      <c r="F3191" s="244"/>
      <c r="G3191" s="244"/>
      <c r="I3191" s="244"/>
      <c r="J3191" s="244"/>
      <c r="K3191" s="246" t="e">
        <f t="shared" si="343"/>
        <v>#VALUE!</v>
      </c>
      <c r="L3191" s="246" t="e">
        <f t="shared" si="344"/>
        <v>#VALUE!</v>
      </c>
      <c r="M3191" s="247" t="e">
        <f t="shared" si="345"/>
        <v>#VALUE!</v>
      </c>
      <c r="N3191" s="246" t="e">
        <f t="shared" si="346"/>
        <v>#VALUE!</v>
      </c>
      <c r="O3191" s="247" t="e">
        <f t="shared" si="347"/>
        <v>#VALUE!</v>
      </c>
      <c r="P3191" s="247">
        <f t="shared" si="348"/>
        <v>0</v>
      </c>
      <c r="Q3191" s="247" t="e">
        <f t="shared" si="349"/>
        <v>#VALUE!</v>
      </c>
    </row>
    <row r="3192" spans="1:17" ht="15" customHeight="1" x14ac:dyDescent="0.25">
      <c r="A3192" s="244"/>
      <c r="B3192" s="244"/>
      <c r="C3192" s="244"/>
      <c r="D3192" s="244"/>
      <c r="E3192" s="244"/>
      <c r="F3192" s="244"/>
      <c r="G3192" s="244"/>
      <c r="I3192" s="244"/>
      <c r="J3192" s="244"/>
      <c r="K3192" s="246" t="e">
        <f t="shared" si="343"/>
        <v>#VALUE!</v>
      </c>
      <c r="L3192" s="246" t="e">
        <f t="shared" si="344"/>
        <v>#VALUE!</v>
      </c>
      <c r="M3192" s="247" t="e">
        <f t="shared" si="345"/>
        <v>#VALUE!</v>
      </c>
      <c r="N3192" s="246" t="e">
        <f t="shared" si="346"/>
        <v>#VALUE!</v>
      </c>
      <c r="O3192" s="247" t="e">
        <f t="shared" si="347"/>
        <v>#VALUE!</v>
      </c>
      <c r="P3192" s="247">
        <f t="shared" si="348"/>
        <v>0</v>
      </c>
      <c r="Q3192" s="247" t="e">
        <f t="shared" si="349"/>
        <v>#VALUE!</v>
      </c>
    </row>
    <row r="3193" spans="1:17" ht="15" customHeight="1" x14ac:dyDescent="0.25">
      <c r="A3193" s="244"/>
      <c r="B3193" s="244"/>
      <c r="C3193" s="244"/>
      <c r="D3193" s="244"/>
      <c r="E3193" s="244"/>
      <c r="F3193" s="244"/>
      <c r="G3193" s="244"/>
      <c r="I3193" s="244"/>
      <c r="J3193" s="244"/>
      <c r="K3193" s="246" t="e">
        <f t="shared" si="343"/>
        <v>#VALUE!</v>
      </c>
      <c r="L3193" s="246" t="e">
        <f t="shared" si="344"/>
        <v>#VALUE!</v>
      </c>
      <c r="M3193" s="247" t="e">
        <f t="shared" si="345"/>
        <v>#VALUE!</v>
      </c>
      <c r="N3193" s="246" t="e">
        <f t="shared" si="346"/>
        <v>#VALUE!</v>
      </c>
      <c r="O3193" s="247" t="e">
        <f t="shared" si="347"/>
        <v>#VALUE!</v>
      </c>
      <c r="P3193" s="247">
        <f t="shared" si="348"/>
        <v>0</v>
      </c>
      <c r="Q3193" s="247" t="e">
        <f t="shared" si="349"/>
        <v>#VALUE!</v>
      </c>
    </row>
    <row r="3194" spans="1:17" ht="15" customHeight="1" x14ac:dyDescent="0.25">
      <c r="A3194" s="244"/>
      <c r="B3194" s="244"/>
      <c r="C3194" s="244"/>
      <c r="D3194" s="244"/>
      <c r="E3194" s="244"/>
      <c r="F3194" s="244"/>
      <c r="G3194" s="244"/>
      <c r="I3194" s="244"/>
      <c r="J3194" s="244"/>
      <c r="K3194" s="246" t="e">
        <f t="shared" si="343"/>
        <v>#VALUE!</v>
      </c>
      <c r="L3194" s="246" t="e">
        <f t="shared" si="344"/>
        <v>#VALUE!</v>
      </c>
      <c r="M3194" s="247" t="e">
        <f t="shared" si="345"/>
        <v>#VALUE!</v>
      </c>
      <c r="N3194" s="246" t="e">
        <f t="shared" si="346"/>
        <v>#VALUE!</v>
      </c>
      <c r="O3194" s="247" t="e">
        <f t="shared" si="347"/>
        <v>#VALUE!</v>
      </c>
      <c r="P3194" s="247">
        <f t="shared" si="348"/>
        <v>0</v>
      </c>
      <c r="Q3194" s="247" t="e">
        <f t="shared" si="349"/>
        <v>#VALUE!</v>
      </c>
    </row>
    <row r="3195" spans="1:17" ht="15" customHeight="1" x14ac:dyDescent="0.25">
      <c r="A3195" s="244"/>
      <c r="B3195" s="244"/>
      <c r="C3195" s="244"/>
      <c r="D3195" s="244"/>
      <c r="E3195" s="244"/>
      <c r="F3195" s="244"/>
      <c r="G3195" s="244"/>
      <c r="I3195" s="244"/>
      <c r="J3195" s="244"/>
      <c r="K3195" s="246" t="e">
        <f t="shared" si="343"/>
        <v>#VALUE!</v>
      </c>
      <c r="L3195" s="246" t="e">
        <f t="shared" si="344"/>
        <v>#VALUE!</v>
      </c>
      <c r="M3195" s="247" t="e">
        <f t="shared" si="345"/>
        <v>#VALUE!</v>
      </c>
      <c r="N3195" s="246" t="e">
        <f t="shared" si="346"/>
        <v>#VALUE!</v>
      </c>
      <c r="O3195" s="247" t="e">
        <f t="shared" si="347"/>
        <v>#VALUE!</v>
      </c>
      <c r="P3195" s="247">
        <f t="shared" si="348"/>
        <v>0</v>
      </c>
      <c r="Q3195" s="247" t="e">
        <f t="shared" si="349"/>
        <v>#VALUE!</v>
      </c>
    </row>
    <row r="3196" spans="1:17" ht="15" customHeight="1" x14ac:dyDescent="0.25">
      <c r="A3196" s="244"/>
      <c r="B3196" s="244"/>
      <c r="C3196" s="244"/>
      <c r="D3196" s="244"/>
      <c r="E3196" s="244"/>
      <c r="F3196" s="244"/>
      <c r="G3196" s="244"/>
      <c r="I3196" s="244"/>
      <c r="J3196" s="244"/>
      <c r="K3196" s="246" t="e">
        <f t="shared" si="343"/>
        <v>#VALUE!</v>
      </c>
      <c r="L3196" s="246" t="e">
        <f t="shared" si="344"/>
        <v>#VALUE!</v>
      </c>
      <c r="M3196" s="247" t="e">
        <f t="shared" si="345"/>
        <v>#VALUE!</v>
      </c>
      <c r="N3196" s="246" t="e">
        <f t="shared" si="346"/>
        <v>#VALUE!</v>
      </c>
      <c r="O3196" s="247" t="e">
        <f t="shared" si="347"/>
        <v>#VALUE!</v>
      </c>
      <c r="P3196" s="247">
        <f t="shared" si="348"/>
        <v>0</v>
      </c>
      <c r="Q3196" s="247" t="e">
        <f t="shared" si="349"/>
        <v>#VALUE!</v>
      </c>
    </row>
    <row r="3197" spans="1:17" ht="15" customHeight="1" x14ac:dyDescent="0.25">
      <c r="A3197" s="244"/>
      <c r="B3197" s="244"/>
      <c r="C3197" s="244"/>
      <c r="D3197" s="244"/>
      <c r="E3197" s="244"/>
      <c r="F3197" s="244"/>
      <c r="G3197" s="244"/>
      <c r="I3197" s="244"/>
      <c r="J3197" s="244"/>
      <c r="K3197" s="246" t="e">
        <f t="shared" si="343"/>
        <v>#VALUE!</v>
      </c>
      <c r="L3197" s="246" t="e">
        <f t="shared" si="344"/>
        <v>#VALUE!</v>
      </c>
      <c r="M3197" s="247" t="e">
        <f t="shared" si="345"/>
        <v>#VALUE!</v>
      </c>
      <c r="N3197" s="246" t="e">
        <f t="shared" si="346"/>
        <v>#VALUE!</v>
      </c>
      <c r="O3197" s="247" t="e">
        <f t="shared" si="347"/>
        <v>#VALUE!</v>
      </c>
      <c r="P3197" s="247">
        <f t="shared" si="348"/>
        <v>0</v>
      </c>
      <c r="Q3197" s="247" t="e">
        <f t="shared" si="349"/>
        <v>#VALUE!</v>
      </c>
    </row>
    <row r="3198" spans="1:17" ht="15" customHeight="1" x14ac:dyDescent="0.25">
      <c r="A3198" s="244"/>
      <c r="B3198" s="244"/>
      <c r="C3198" s="244"/>
      <c r="D3198" s="244"/>
      <c r="E3198" s="244"/>
      <c r="F3198" s="244"/>
      <c r="G3198" s="244"/>
      <c r="I3198" s="244"/>
      <c r="J3198" s="244"/>
      <c r="K3198" s="246" t="e">
        <f t="shared" si="343"/>
        <v>#VALUE!</v>
      </c>
      <c r="L3198" s="246" t="e">
        <f t="shared" si="344"/>
        <v>#VALUE!</v>
      </c>
      <c r="M3198" s="247" t="e">
        <f t="shared" si="345"/>
        <v>#VALUE!</v>
      </c>
      <c r="N3198" s="246" t="e">
        <f t="shared" si="346"/>
        <v>#VALUE!</v>
      </c>
      <c r="O3198" s="247" t="e">
        <f t="shared" si="347"/>
        <v>#VALUE!</v>
      </c>
      <c r="P3198" s="247">
        <f t="shared" si="348"/>
        <v>0</v>
      </c>
      <c r="Q3198" s="247" t="e">
        <f t="shared" si="349"/>
        <v>#VALUE!</v>
      </c>
    </row>
    <row r="3199" spans="1:17" ht="15" customHeight="1" x14ac:dyDescent="0.25">
      <c r="A3199" s="244"/>
      <c r="B3199" s="244"/>
      <c r="C3199" s="244"/>
      <c r="D3199" s="244"/>
      <c r="E3199" s="244"/>
      <c r="F3199" s="244"/>
      <c r="G3199" s="244"/>
      <c r="I3199" s="244"/>
      <c r="J3199" s="244"/>
      <c r="K3199" s="246" t="e">
        <f t="shared" si="343"/>
        <v>#VALUE!</v>
      </c>
      <c r="L3199" s="246" t="e">
        <f t="shared" si="344"/>
        <v>#VALUE!</v>
      </c>
      <c r="M3199" s="247" t="e">
        <f t="shared" si="345"/>
        <v>#VALUE!</v>
      </c>
      <c r="N3199" s="246" t="e">
        <f t="shared" si="346"/>
        <v>#VALUE!</v>
      </c>
      <c r="O3199" s="247" t="e">
        <f t="shared" si="347"/>
        <v>#VALUE!</v>
      </c>
      <c r="P3199" s="247">
        <f t="shared" si="348"/>
        <v>0</v>
      </c>
      <c r="Q3199" s="247" t="e">
        <f t="shared" si="349"/>
        <v>#VALUE!</v>
      </c>
    </row>
    <row r="3200" spans="1:17" ht="15" customHeight="1" x14ac:dyDescent="0.25">
      <c r="A3200" s="244"/>
      <c r="B3200" s="244"/>
      <c r="C3200" s="244"/>
      <c r="D3200" s="244"/>
      <c r="E3200" s="244"/>
      <c r="F3200" s="244"/>
      <c r="G3200" s="244"/>
      <c r="I3200" s="244"/>
      <c r="J3200" s="244"/>
      <c r="K3200" s="246" t="e">
        <f t="shared" si="343"/>
        <v>#VALUE!</v>
      </c>
      <c r="L3200" s="246" t="e">
        <f t="shared" si="344"/>
        <v>#VALUE!</v>
      </c>
      <c r="M3200" s="247" t="e">
        <f t="shared" si="345"/>
        <v>#VALUE!</v>
      </c>
      <c r="N3200" s="246" t="e">
        <f t="shared" si="346"/>
        <v>#VALUE!</v>
      </c>
      <c r="O3200" s="247" t="e">
        <f t="shared" si="347"/>
        <v>#VALUE!</v>
      </c>
      <c r="P3200" s="247">
        <f t="shared" si="348"/>
        <v>0</v>
      </c>
      <c r="Q3200" s="247" t="e">
        <f t="shared" si="349"/>
        <v>#VALUE!</v>
      </c>
    </row>
    <row r="3201" spans="1:17" ht="15" customHeight="1" x14ac:dyDescent="0.25">
      <c r="A3201" s="244"/>
      <c r="B3201" s="244"/>
      <c r="C3201" s="244"/>
      <c r="D3201" s="244"/>
      <c r="E3201" s="244"/>
      <c r="F3201" s="244"/>
      <c r="G3201" s="244"/>
      <c r="I3201" s="244"/>
      <c r="J3201" s="244"/>
      <c r="K3201" s="246" t="e">
        <f t="shared" si="343"/>
        <v>#VALUE!</v>
      </c>
      <c r="L3201" s="246" t="e">
        <f t="shared" si="344"/>
        <v>#VALUE!</v>
      </c>
      <c r="M3201" s="247" t="e">
        <f t="shared" si="345"/>
        <v>#VALUE!</v>
      </c>
      <c r="N3201" s="246" t="e">
        <f t="shared" si="346"/>
        <v>#VALUE!</v>
      </c>
      <c r="O3201" s="247" t="e">
        <f t="shared" si="347"/>
        <v>#VALUE!</v>
      </c>
      <c r="P3201" s="247">
        <f t="shared" si="348"/>
        <v>0</v>
      </c>
      <c r="Q3201" s="247" t="e">
        <f t="shared" si="349"/>
        <v>#VALUE!</v>
      </c>
    </row>
    <row r="3202" spans="1:17" ht="15" customHeight="1" x14ac:dyDescent="0.25">
      <c r="A3202" s="244"/>
      <c r="B3202" s="244"/>
      <c r="C3202" s="244"/>
      <c r="D3202" s="244"/>
      <c r="E3202" s="244"/>
      <c r="F3202" s="244"/>
      <c r="G3202" s="244"/>
      <c r="I3202" s="244"/>
      <c r="J3202" s="244"/>
      <c r="K3202" s="246" t="e">
        <f t="shared" ref="K3202:K3265" si="350">DATE(VALUE(LEFT(A3202,4)),VALUE(MID(A3202,5,2)),VALUE(RIGHT(A3202,2)))</f>
        <v>#VALUE!</v>
      </c>
      <c r="L3202" s="246" t="e">
        <f t="shared" ref="L3202:L3265" si="351">DATEVALUE(LEFT(F3202,10))</f>
        <v>#VALUE!</v>
      </c>
      <c r="M3202" s="247" t="e">
        <f t="shared" ref="M3202:M3265" si="352">TIMEVALUE(MID(F3202,12,8))</f>
        <v>#VALUE!</v>
      </c>
      <c r="N3202" s="246" t="e">
        <f t="shared" ref="N3202:N3265" si="353">DATEVALUE(LEFT(G3202,10))</f>
        <v>#VALUE!</v>
      </c>
      <c r="O3202" s="247" t="e">
        <f t="shared" ref="O3202:O3265" si="354">TIMEVALUE(MID(G3202,12,8))</f>
        <v>#VALUE!</v>
      </c>
      <c r="P3202" s="247">
        <f t="shared" ref="P3202:P3265" si="355">IFERROR(_xlfn.MINIFS($M:$M,$E:$E,$E3202,$K:$K,$K3202,$M:$M,"&gt;"&amp;$O3202),"")</f>
        <v>0</v>
      </c>
      <c r="Q3202" s="247" t="e">
        <f t="shared" ref="Q3202:Q3265" si="356">IF($P3202="","",$P3202-$O3202)</f>
        <v>#VALUE!</v>
      </c>
    </row>
    <row r="3203" spans="1:17" ht="15" customHeight="1" x14ac:dyDescent="0.25">
      <c r="A3203" s="244"/>
      <c r="B3203" s="244"/>
      <c r="C3203" s="244"/>
      <c r="D3203" s="244"/>
      <c r="E3203" s="244"/>
      <c r="F3203" s="244"/>
      <c r="G3203" s="244"/>
      <c r="I3203" s="244"/>
      <c r="J3203" s="244"/>
      <c r="K3203" s="246" t="e">
        <f t="shared" si="350"/>
        <v>#VALUE!</v>
      </c>
      <c r="L3203" s="246" t="e">
        <f t="shared" si="351"/>
        <v>#VALUE!</v>
      </c>
      <c r="M3203" s="247" t="e">
        <f t="shared" si="352"/>
        <v>#VALUE!</v>
      </c>
      <c r="N3203" s="246" t="e">
        <f t="shared" si="353"/>
        <v>#VALUE!</v>
      </c>
      <c r="O3203" s="247" t="e">
        <f t="shared" si="354"/>
        <v>#VALUE!</v>
      </c>
      <c r="P3203" s="247">
        <f t="shared" si="355"/>
        <v>0</v>
      </c>
      <c r="Q3203" s="247" t="e">
        <f t="shared" si="356"/>
        <v>#VALUE!</v>
      </c>
    </row>
    <row r="3204" spans="1:17" ht="15" customHeight="1" x14ac:dyDescent="0.25">
      <c r="A3204" s="244"/>
      <c r="B3204" s="244"/>
      <c r="C3204" s="244"/>
      <c r="D3204" s="244"/>
      <c r="E3204" s="244"/>
      <c r="F3204" s="244"/>
      <c r="G3204" s="244"/>
      <c r="I3204" s="244"/>
      <c r="J3204" s="244"/>
      <c r="K3204" s="246" t="e">
        <f t="shared" si="350"/>
        <v>#VALUE!</v>
      </c>
      <c r="L3204" s="246" t="e">
        <f t="shared" si="351"/>
        <v>#VALUE!</v>
      </c>
      <c r="M3204" s="247" t="e">
        <f t="shared" si="352"/>
        <v>#VALUE!</v>
      </c>
      <c r="N3204" s="246" t="e">
        <f t="shared" si="353"/>
        <v>#VALUE!</v>
      </c>
      <c r="O3204" s="247" t="e">
        <f t="shared" si="354"/>
        <v>#VALUE!</v>
      </c>
      <c r="P3204" s="247">
        <f t="shared" si="355"/>
        <v>0</v>
      </c>
      <c r="Q3204" s="247" t="e">
        <f t="shared" si="356"/>
        <v>#VALUE!</v>
      </c>
    </row>
    <row r="3205" spans="1:17" ht="15" customHeight="1" x14ac:dyDescent="0.25">
      <c r="A3205" s="244"/>
      <c r="B3205" s="244"/>
      <c r="C3205" s="244"/>
      <c r="D3205" s="244"/>
      <c r="E3205" s="244"/>
      <c r="F3205" s="244"/>
      <c r="G3205" s="244"/>
      <c r="I3205" s="244"/>
      <c r="J3205" s="244"/>
      <c r="K3205" s="246" t="e">
        <f t="shared" si="350"/>
        <v>#VALUE!</v>
      </c>
      <c r="L3205" s="246" t="e">
        <f t="shared" si="351"/>
        <v>#VALUE!</v>
      </c>
      <c r="M3205" s="247" t="e">
        <f t="shared" si="352"/>
        <v>#VALUE!</v>
      </c>
      <c r="N3205" s="246" t="e">
        <f t="shared" si="353"/>
        <v>#VALUE!</v>
      </c>
      <c r="O3205" s="247" t="e">
        <f t="shared" si="354"/>
        <v>#VALUE!</v>
      </c>
      <c r="P3205" s="247">
        <f t="shared" si="355"/>
        <v>0</v>
      </c>
      <c r="Q3205" s="247" t="e">
        <f t="shared" si="356"/>
        <v>#VALUE!</v>
      </c>
    </row>
    <row r="3206" spans="1:17" ht="15" customHeight="1" x14ac:dyDescent="0.25">
      <c r="A3206" s="244"/>
      <c r="B3206" s="244"/>
      <c r="C3206" s="244"/>
      <c r="D3206" s="244"/>
      <c r="E3206" s="244"/>
      <c r="F3206" s="244"/>
      <c r="G3206" s="244"/>
      <c r="I3206" s="244"/>
      <c r="J3206" s="244"/>
      <c r="K3206" s="246" t="e">
        <f t="shared" si="350"/>
        <v>#VALUE!</v>
      </c>
      <c r="L3206" s="246" t="e">
        <f t="shared" si="351"/>
        <v>#VALUE!</v>
      </c>
      <c r="M3206" s="247" t="e">
        <f t="shared" si="352"/>
        <v>#VALUE!</v>
      </c>
      <c r="N3206" s="246" t="e">
        <f t="shared" si="353"/>
        <v>#VALUE!</v>
      </c>
      <c r="O3206" s="247" t="e">
        <f t="shared" si="354"/>
        <v>#VALUE!</v>
      </c>
      <c r="P3206" s="247">
        <f t="shared" si="355"/>
        <v>0</v>
      </c>
      <c r="Q3206" s="247" t="e">
        <f t="shared" si="356"/>
        <v>#VALUE!</v>
      </c>
    </row>
    <row r="3207" spans="1:17" ht="15" customHeight="1" x14ac:dyDescent="0.25">
      <c r="A3207" s="244"/>
      <c r="B3207" s="244"/>
      <c r="C3207" s="244"/>
      <c r="D3207" s="244"/>
      <c r="E3207" s="244"/>
      <c r="F3207" s="244"/>
      <c r="G3207" s="244"/>
      <c r="I3207" s="244"/>
      <c r="J3207" s="244"/>
      <c r="K3207" s="246" t="e">
        <f t="shared" si="350"/>
        <v>#VALUE!</v>
      </c>
      <c r="L3207" s="246" t="e">
        <f t="shared" si="351"/>
        <v>#VALUE!</v>
      </c>
      <c r="M3207" s="247" t="e">
        <f t="shared" si="352"/>
        <v>#VALUE!</v>
      </c>
      <c r="N3207" s="246" t="e">
        <f t="shared" si="353"/>
        <v>#VALUE!</v>
      </c>
      <c r="O3207" s="247" t="e">
        <f t="shared" si="354"/>
        <v>#VALUE!</v>
      </c>
      <c r="P3207" s="247">
        <f t="shared" si="355"/>
        <v>0</v>
      </c>
      <c r="Q3207" s="247" t="e">
        <f t="shared" si="356"/>
        <v>#VALUE!</v>
      </c>
    </row>
    <row r="3208" spans="1:17" ht="15" customHeight="1" x14ac:dyDescent="0.25">
      <c r="A3208" s="244"/>
      <c r="B3208" s="244"/>
      <c r="C3208" s="244"/>
      <c r="D3208" s="244"/>
      <c r="E3208" s="244"/>
      <c r="F3208" s="244"/>
      <c r="G3208" s="244"/>
      <c r="I3208" s="244"/>
      <c r="J3208" s="244"/>
      <c r="K3208" s="246" t="e">
        <f t="shared" si="350"/>
        <v>#VALUE!</v>
      </c>
      <c r="L3208" s="246" t="e">
        <f t="shared" si="351"/>
        <v>#VALUE!</v>
      </c>
      <c r="M3208" s="247" t="e">
        <f t="shared" si="352"/>
        <v>#VALUE!</v>
      </c>
      <c r="N3208" s="246" t="e">
        <f t="shared" si="353"/>
        <v>#VALUE!</v>
      </c>
      <c r="O3208" s="247" t="e">
        <f t="shared" si="354"/>
        <v>#VALUE!</v>
      </c>
      <c r="P3208" s="247">
        <f t="shared" si="355"/>
        <v>0</v>
      </c>
      <c r="Q3208" s="247" t="e">
        <f t="shared" si="356"/>
        <v>#VALUE!</v>
      </c>
    </row>
    <row r="3209" spans="1:17" ht="15" customHeight="1" x14ac:dyDescent="0.25">
      <c r="A3209" s="244"/>
      <c r="B3209" s="244"/>
      <c r="C3209" s="244"/>
      <c r="D3209" s="244"/>
      <c r="E3209" s="244"/>
      <c r="F3209" s="244"/>
      <c r="G3209" s="244"/>
      <c r="I3209" s="244"/>
      <c r="J3209" s="244"/>
      <c r="K3209" s="246" t="e">
        <f t="shared" si="350"/>
        <v>#VALUE!</v>
      </c>
      <c r="L3209" s="246" t="e">
        <f t="shared" si="351"/>
        <v>#VALUE!</v>
      </c>
      <c r="M3209" s="247" t="e">
        <f t="shared" si="352"/>
        <v>#VALUE!</v>
      </c>
      <c r="N3209" s="246" t="e">
        <f t="shared" si="353"/>
        <v>#VALUE!</v>
      </c>
      <c r="O3209" s="247" t="e">
        <f t="shared" si="354"/>
        <v>#VALUE!</v>
      </c>
      <c r="P3209" s="247">
        <f t="shared" si="355"/>
        <v>0</v>
      </c>
      <c r="Q3209" s="247" t="e">
        <f t="shared" si="356"/>
        <v>#VALUE!</v>
      </c>
    </row>
    <row r="3210" spans="1:17" ht="15" customHeight="1" x14ac:dyDescent="0.25">
      <c r="A3210" s="244"/>
      <c r="B3210" s="244"/>
      <c r="C3210" s="244"/>
      <c r="D3210" s="244"/>
      <c r="E3210" s="244"/>
      <c r="F3210" s="244"/>
      <c r="G3210" s="244"/>
      <c r="I3210" s="244"/>
      <c r="J3210" s="244"/>
      <c r="K3210" s="246" t="e">
        <f t="shared" si="350"/>
        <v>#VALUE!</v>
      </c>
      <c r="L3210" s="246" t="e">
        <f t="shared" si="351"/>
        <v>#VALUE!</v>
      </c>
      <c r="M3210" s="247" t="e">
        <f t="shared" si="352"/>
        <v>#VALUE!</v>
      </c>
      <c r="N3210" s="246" t="e">
        <f t="shared" si="353"/>
        <v>#VALUE!</v>
      </c>
      <c r="O3210" s="247" t="e">
        <f t="shared" si="354"/>
        <v>#VALUE!</v>
      </c>
      <c r="P3210" s="247">
        <f t="shared" si="355"/>
        <v>0</v>
      </c>
      <c r="Q3210" s="247" t="e">
        <f t="shared" si="356"/>
        <v>#VALUE!</v>
      </c>
    </row>
    <row r="3211" spans="1:17" ht="15" customHeight="1" x14ac:dyDescent="0.25">
      <c r="A3211" s="244"/>
      <c r="B3211" s="244"/>
      <c r="C3211" s="244"/>
      <c r="D3211" s="244"/>
      <c r="E3211" s="244"/>
      <c r="F3211" s="244"/>
      <c r="G3211" s="244"/>
      <c r="I3211" s="244"/>
      <c r="J3211" s="244"/>
      <c r="K3211" s="246" t="e">
        <f t="shared" si="350"/>
        <v>#VALUE!</v>
      </c>
      <c r="L3211" s="246" t="e">
        <f t="shared" si="351"/>
        <v>#VALUE!</v>
      </c>
      <c r="M3211" s="247" t="e">
        <f t="shared" si="352"/>
        <v>#VALUE!</v>
      </c>
      <c r="N3211" s="246" t="e">
        <f t="shared" si="353"/>
        <v>#VALUE!</v>
      </c>
      <c r="O3211" s="247" t="e">
        <f t="shared" si="354"/>
        <v>#VALUE!</v>
      </c>
      <c r="P3211" s="247">
        <f t="shared" si="355"/>
        <v>0</v>
      </c>
      <c r="Q3211" s="247" t="e">
        <f t="shared" si="356"/>
        <v>#VALUE!</v>
      </c>
    </row>
    <row r="3212" spans="1:17" ht="15" customHeight="1" x14ac:dyDescent="0.25">
      <c r="A3212" s="244"/>
      <c r="B3212" s="244"/>
      <c r="C3212" s="244"/>
      <c r="D3212" s="244"/>
      <c r="E3212" s="244"/>
      <c r="F3212" s="244"/>
      <c r="G3212" s="244"/>
      <c r="I3212" s="244"/>
      <c r="J3212" s="244"/>
      <c r="K3212" s="246" t="e">
        <f t="shared" si="350"/>
        <v>#VALUE!</v>
      </c>
      <c r="L3212" s="246" t="e">
        <f t="shared" si="351"/>
        <v>#VALUE!</v>
      </c>
      <c r="M3212" s="247" t="e">
        <f t="shared" si="352"/>
        <v>#VALUE!</v>
      </c>
      <c r="N3212" s="246" t="e">
        <f t="shared" si="353"/>
        <v>#VALUE!</v>
      </c>
      <c r="O3212" s="247" t="e">
        <f t="shared" si="354"/>
        <v>#VALUE!</v>
      </c>
      <c r="P3212" s="247">
        <f t="shared" si="355"/>
        <v>0</v>
      </c>
      <c r="Q3212" s="247" t="e">
        <f t="shared" si="356"/>
        <v>#VALUE!</v>
      </c>
    </row>
    <row r="3213" spans="1:17" ht="15" customHeight="1" x14ac:dyDescent="0.25">
      <c r="A3213" s="244"/>
      <c r="B3213" s="244"/>
      <c r="C3213" s="244"/>
      <c r="D3213" s="244"/>
      <c r="E3213" s="244"/>
      <c r="F3213" s="244"/>
      <c r="G3213" s="244"/>
      <c r="I3213" s="244"/>
      <c r="J3213" s="244"/>
      <c r="K3213" s="246" t="e">
        <f t="shared" si="350"/>
        <v>#VALUE!</v>
      </c>
      <c r="L3213" s="246" t="e">
        <f t="shared" si="351"/>
        <v>#VALUE!</v>
      </c>
      <c r="M3213" s="247" t="e">
        <f t="shared" si="352"/>
        <v>#VALUE!</v>
      </c>
      <c r="N3213" s="246" t="e">
        <f t="shared" si="353"/>
        <v>#VALUE!</v>
      </c>
      <c r="O3213" s="247" t="e">
        <f t="shared" si="354"/>
        <v>#VALUE!</v>
      </c>
      <c r="P3213" s="247">
        <f t="shared" si="355"/>
        <v>0</v>
      </c>
      <c r="Q3213" s="247" t="e">
        <f t="shared" si="356"/>
        <v>#VALUE!</v>
      </c>
    </row>
    <row r="3214" spans="1:17" ht="15" customHeight="1" x14ac:dyDescent="0.25">
      <c r="A3214" s="244"/>
      <c r="B3214" s="244"/>
      <c r="C3214" s="244"/>
      <c r="D3214" s="244"/>
      <c r="E3214" s="244"/>
      <c r="F3214" s="244"/>
      <c r="G3214" s="244"/>
      <c r="I3214" s="244"/>
      <c r="J3214" s="244"/>
      <c r="K3214" s="246" t="e">
        <f t="shared" si="350"/>
        <v>#VALUE!</v>
      </c>
      <c r="L3214" s="246" t="e">
        <f t="shared" si="351"/>
        <v>#VALUE!</v>
      </c>
      <c r="M3214" s="247" t="e">
        <f t="shared" si="352"/>
        <v>#VALUE!</v>
      </c>
      <c r="N3214" s="246" t="e">
        <f t="shared" si="353"/>
        <v>#VALUE!</v>
      </c>
      <c r="O3214" s="247" t="e">
        <f t="shared" si="354"/>
        <v>#VALUE!</v>
      </c>
      <c r="P3214" s="247">
        <f t="shared" si="355"/>
        <v>0</v>
      </c>
      <c r="Q3214" s="247" t="e">
        <f t="shared" si="356"/>
        <v>#VALUE!</v>
      </c>
    </row>
    <row r="3215" spans="1:17" ht="15" customHeight="1" x14ac:dyDescent="0.25">
      <c r="A3215" s="244"/>
      <c r="B3215" s="244"/>
      <c r="C3215" s="244"/>
      <c r="D3215" s="244"/>
      <c r="E3215" s="244"/>
      <c r="F3215" s="244"/>
      <c r="G3215" s="244"/>
      <c r="I3215" s="244"/>
      <c r="J3215" s="244"/>
      <c r="K3215" s="246" t="e">
        <f t="shared" si="350"/>
        <v>#VALUE!</v>
      </c>
      <c r="L3215" s="246" t="e">
        <f t="shared" si="351"/>
        <v>#VALUE!</v>
      </c>
      <c r="M3215" s="247" t="e">
        <f t="shared" si="352"/>
        <v>#VALUE!</v>
      </c>
      <c r="N3215" s="246" t="e">
        <f t="shared" si="353"/>
        <v>#VALUE!</v>
      </c>
      <c r="O3215" s="247" t="e">
        <f t="shared" si="354"/>
        <v>#VALUE!</v>
      </c>
      <c r="P3215" s="247">
        <f t="shared" si="355"/>
        <v>0</v>
      </c>
      <c r="Q3215" s="247" t="e">
        <f t="shared" si="356"/>
        <v>#VALUE!</v>
      </c>
    </row>
    <row r="3216" spans="1:17" ht="15" customHeight="1" x14ac:dyDescent="0.25">
      <c r="A3216" s="244"/>
      <c r="B3216" s="244"/>
      <c r="C3216" s="244"/>
      <c r="D3216" s="244"/>
      <c r="E3216" s="244"/>
      <c r="F3216" s="244"/>
      <c r="G3216" s="244"/>
      <c r="I3216" s="244"/>
      <c r="J3216" s="244"/>
      <c r="K3216" s="246" t="e">
        <f t="shared" si="350"/>
        <v>#VALUE!</v>
      </c>
      <c r="L3216" s="246" t="e">
        <f t="shared" si="351"/>
        <v>#VALUE!</v>
      </c>
      <c r="M3216" s="247" t="e">
        <f t="shared" si="352"/>
        <v>#VALUE!</v>
      </c>
      <c r="N3216" s="246" t="e">
        <f t="shared" si="353"/>
        <v>#VALUE!</v>
      </c>
      <c r="O3216" s="247" t="e">
        <f t="shared" si="354"/>
        <v>#VALUE!</v>
      </c>
      <c r="P3216" s="247">
        <f t="shared" si="355"/>
        <v>0</v>
      </c>
      <c r="Q3216" s="247" t="e">
        <f t="shared" si="356"/>
        <v>#VALUE!</v>
      </c>
    </row>
    <row r="3217" spans="1:17" ht="15" customHeight="1" x14ac:dyDescent="0.25">
      <c r="A3217" s="244"/>
      <c r="B3217" s="244"/>
      <c r="C3217" s="244"/>
      <c r="D3217" s="244"/>
      <c r="E3217" s="244"/>
      <c r="F3217" s="244"/>
      <c r="G3217" s="244"/>
      <c r="I3217" s="244"/>
      <c r="J3217" s="244"/>
      <c r="K3217" s="246" t="e">
        <f t="shared" si="350"/>
        <v>#VALUE!</v>
      </c>
      <c r="L3217" s="246" t="e">
        <f t="shared" si="351"/>
        <v>#VALUE!</v>
      </c>
      <c r="M3217" s="247" t="e">
        <f t="shared" si="352"/>
        <v>#VALUE!</v>
      </c>
      <c r="N3217" s="246" t="e">
        <f t="shared" si="353"/>
        <v>#VALUE!</v>
      </c>
      <c r="O3217" s="247" t="e">
        <f t="shared" si="354"/>
        <v>#VALUE!</v>
      </c>
      <c r="P3217" s="247">
        <f t="shared" si="355"/>
        <v>0</v>
      </c>
      <c r="Q3217" s="247" t="e">
        <f t="shared" si="356"/>
        <v>#VALUE!</v>
      </c>
    </row>
    <row r="3218" spans="1:17" ht="15" customHeight="1" x14ac:dyDescent="0.25">
      <c r="A3218" s="244"/>
      <c r="B3218" s="244"/>
      <c r="C3218" s="244"/>
      <c r="D3218" s="244"/>
      <c r="E3218" s="244"/>
      <c r="F3218" s="244"/>
      <c r="G3218" s="244"/>
      <c r="I3218" s="244"/>
      <c r="J3218" s="244"/>
      <c r="K3218" s="246" t="e">
        <f t="shared" si="350"/>
        <v>#VALUE!</v>
      </c>
      <c r="L3218" s="246" t="e">
        <f t="shared" si="351"/>
        <v>#VALUE!</v>
      </c>
      <c r="M3218" s="247" t="e">
        <f t="shared" si="352"/>
        <v>#VALUE!</v>
      </c>
      <c r="N3218" s="246" t="e">
        <f t="shared" si="353"/>
        <v>#VALUE!</v>
      </c>
      <c r="O3218" s="247" t="e">
        <f t="shared" si="354"/>
        <v>#VALUE!</v>
      </c>
      <c r="P3218" s="247">
        <f t="shared" si="355"/>
        <v>0</v>
      </c>
      <c r="Q3218" s="247" t="e">
        <f t="shared" si="356"/>
        <v>#VALUE!</v>
      </c>
    </row>
    <row r="3219" spans="1:17" ht="15" customHeight="1" x14ac:dyDescent="0.25">
      <c r="A3219" s="244"/>
      <c r="B3219" s="244"/>
      <c r="C3219" s="244"/>
      <c r="D3219" s="244"/>
      <c r="E3219" s="244"/>
      <c r="F3219" s="244"/>
      <c r="G3219" s="244"/>
      <c r="I3219" s="244"/>
      <c r="J3219" s="244"/>
      <c r="K3219" s="246" t="e">
        <f t="shared" si="350"/>
        <v>#VALUE!</v>
      </c>
      <c r="L3219" s="246" t="e">
        <f t="shared" si="351"/>
        <v>#VALUE!</v>
      </c>
      <c r="M3219" s="247" t="e">
        <f t="shared" si="352"/>
        <v>#VALUE!</v>
      </c>
      <c r="N3219" s="246" t="e">
        <f t="shared" si="353"/>
        <v>#VALUE!</v>
      </c>
      <c r="O3219" s="247" t="e">
        <f t="shared" si="354"/>
        <v>#VALUE!</v>
      </c>
      <c r="P3219" s="247">
        <f t="shared" si="355"/>
        <v>0</v>
      </c>
      <c r="Q3219" s="247" t="e">
        <f t="shared" si="356"/>
        <v>#VALUE!</v>
      </c>
    </row>
    <row r="3220" spans="1:17" ht="15" customHeight="1" x14ac:dyDescent="0.25">
      <c r="A3220" s="244"/>
      <c r="B3220" s="244"/>
      <c r="C3220" s="244"/>
      <c r="D3220" s="244"/>
      <c r="E3220" s="244"/>
      <c r="F3220" s="244"/>
      <c r="G3220" s="244"/>
      <c r="I3220" s="244"/>
      <c r="J3220" s="244"/>
      <c r="K3220" s="246" t="e">
        <f t="shared" si="350"/>
        <v>#VALUE!</v>
      </c>
      <c r="L3220" s="246" t="e">
        <f t="shared" si="351"/>
        <v>#VALUE!</v>
      </c>
      <c r="M3220" s="247" t="e">
        <f t="shared" si="352"/>
        <v>#VALUE!</v>
      </c>
      <c r="N3220" s="246" t="e">
        <f t="shared" si="353"/>
        <v>#VALUE!</v>
      </c>
      <c r="O3220" s="247" t="e">
        <f t="shared" si="354"/>
        <v>#VALUE!</v>
      </c>
      <c r="P3220" s="247">
        <f t="shared" si="355"/>
        <v>0</v>
      </c>
      <c r="Q3220" s="247" t="e">
        <f t="shared" si="356"/>
        <v>#VALUE!</v>
      </c>
    </row>
    <row r="3221" spans="1:17" ht="15" customHeight="1" x14ac:dyDescent="0.25">
      <c r="A3221" s="244"/>
      <c r="B3221" s="244"/>
      <c r="C3221" s="244"/>
      <c r="D3221" s="244"/>
      <c r="E3221" s="244"/>
      <c r="F3221" s="244"/>
      <c r="G3221" s="244"/>
      <c r="I3221" s="244"/>
      <c r="J3221" s="244"/>
      <c r="K3221" s="246" t="e">
        <f t="shared" si="350"/>
        <v>#VALUE!</v>
      </c>
      <c r="L3221" s="246" t="e">
        <f t="shared" si="351"/>
        <v>#VALUE!</v>
      </c>
      <c r="M3221" s="247" t="e">
        <f t="shared" si="352"/>
        <v>#VALUE!</v>
      </c>
      <c r="N3221" s="246" t="e">
        <f t="shared" si="353"/>
        <v>#VALUE!</v>
      </c>
      <c r="O3221" s="247" t="e">
        <f t="shared" si="354"/>
        <v>#VALUE!</v>
      </c>
      <c r="P3221" s="247">
        <f t="shared" si="355"/>
        <v>0</v>
      </c>
      <c r="Q3221" s="247" t="e">
        <f t="shared" si="356"/>
        <v>#VALUE!</v>
      </c>
    </row>
    <row r="3222" spans="1:17" ht="15" customHeight="1" x14ac:dyDescent="0.25">
      <c r="A3222" s="244"/>
      <c r="B3222" s="244"/>
      <c r="C3222" s="244"/>
      <c r="D3222" s="244"/>
      <c r="E3222" s="244"/>
      <c r="F3222" s="244"/>
      <c r="G3222" s="244"/>
      <c r="I3222" s="244"/>
      <c r="J3222" s="244"/>
      <c r="K3222" s="246" t="e">
        <f t="shared" si="350"/>
        <v>#VALUE!</v>
      </c>
      <c r="L3222" s="246" t="e">
        <f t="shared" si="351"/>
        <v>#VALUE!</v>
      </c>
      <c r="M3222" s="247" t="e">
        <f t="shared" si="352"/>
        <v>#VALUE!</v>
      </c>
      <c r="N3222" s="246" t="e">
        <f t="shared" si="353"/>
        <v>#VALUE!</v>
      </c>
      <c r="O3222" s="247" t="e">
        <f t="shared" si="354"/>
        <v>#VALUE!</v>
      </c>
      <c r="P3222" s="247">
        <f t="shared" si="355"/>
        <v>0</v>
      </c>
      <c r="Q3222" s="247" t="e">
        <f t="shared" si="356"/>
        <v>#VALUE!</v>
      </c>
    </row>
    <row r="3223" spans="1:17" ht="15" customHeight="1" x14ac:dyDescent="0.25">
      <c r="A3223" s="244"/>
      <c r="B3223" s="244"/>
      <c r="C3223" s="244"/>
      <c r="D3223" s="244"/>
      <c r="E3223" s="244"/>
      <c r="F3223" s="244"/>
      <c r="G3223" s="244"/>
      <c r="I3223" s="244"/>
      <c r="J3223" s="244"/>
      <c r="K3223" s="246" t="e">
        <f t="shared" si="350"/>
        <v>#VALUE!</v>
      </c>
      <c r="L3223" s="246" t="e">
        <f t="shared" si="351"/>
        <v>#VALUE!</v>
      </c>
      <c r="M3223" s="247" t="e">
        <f t="shared" si="352"/>
        <v>#VALUE!</v>
      </c>
      <c r="N3223" s="246" t="e">
        <f t="shared" si="353"/>
        <v>#VALUE!</v>
      </c>
      <c r="O3223" s="247" t="e">
        <f t="shared" si="354"/>
        <v>#VALUE!</v>
      </c>
      <c r="P3223" s="247">
        <f t="shared" si="355"/>
        <v>0</v>
      </c>
      <c r="Q3223" s="247" t="e">
        <f t="shared" si="356"/>
        <v>#VALUE!</v>
      </c>
    </row>
    <row r="3224" spans="1:17" ht="15" customHeight="1" x14ac:dyDescent="0.25">
      <c r="A3224" s="244"/>
      <c r="B3224" s="244"/>
      <c r="C3224" s="244"/>
      <c r="D3224" s="244"/>
      <c r="E3224" s="244"/>
      <c r="F3224" s="244"/>
      <c r="G3224" s="244"/>
      <c r="I3224" s="244"/>
      <c r="J3224" s="244"/>
      <c r="K3224" s="246" t="e">
        <f t="shared" si="350"/>
        <v>#VALUE!</v>
      </c>
      <c r="L3224" s="246" t="e">
        <f t="shared" si="351"/>
        <v>#VALUE!</v>
      </c>
      <c r="M3224" s="247" t="e">
        <f t="shared" si="352"/>
        <v>#VALUE!</v>
      </c>
      <c r="N3224" s="246" t="e">
        <f t="shared" si="353"/>
        <v>#VALUE!</v>
      </c>
      <c r="O3224" s="247" t="e">
        <f t="shared" si="354"/>
        <v>#VALUE!</v>
      </c>
      <c r="P3224" s="247">
        <f t="shared" si="355"/>
        <v>0</v>
      </c>
      <c r="Q3224" s="247" t="e">
        <f t="shared" si="356"/>
        <v>#VALUE!</v>
      </c>
    </row>
    <row r="3225" spans="1:17" ht="15" customHeight="1" x14ac:dyDescent="0.25">
      <c r="A3225" s="244"/>
      <c r="B3225" s="244"/>
      <c r="C3225" s="244"/>
      <c r="D3225" s="244"/>
      <c r="E3225" s="244"/>
      <c r="F3225" s="244"/>
      <c r="G3225" s="244"/>
      <c r="I3225" s="244"/>
      <c r="J3225" s="244"/>
      <c r="K3225" s="246" t="e">
        <f t="shared" si="350"/>
        <v>#VALUE!</v>
      </c>
      <c r="L3225" s="246" t="e">
        <f t="shared" si="351"/>
        <v>#VALUE!</v>
      </c>
      <c r="M3225" s="247" t="e">
        <f t="shared" si="352"/>
        <v>#VALUE!</v>
      </c>
      <c r="N3225" s="246" t="e">
        <f t="shared" si="353"/>
        <v>#VALUE!</v>
      </c>
      <c r="O3225" s="247" t="e">
        <f t="shared" si="354"/>
        <v>#VALUE!</v>
      </c>
      <c r="P3225" s="247">
        <f t="shared" si="355"/>
        <v>0</v>
      </c>
      <c r="Q3225" s="247" t="e">
        <f t="shared" si="356"/>
        <v>#VALUE!</v>
      </c>
    </row>
    <row r="3226" spans="1:17" ht="15" customHeight="1" x14ac:dyDescent="0.25">
      <c r="A3226" s="244"/>
      <c r="B3226" s="244"/>
      <c r="C3226" s="244"/>
      <c r="D3226" s="244"/>
      <c r="E3226" s="244"/>
      <c r="F3226" s="244"/>
      <c r="G3226" s="244"/>
      <c r="I3226" s="244"/>
      <c r="J3226" s="244"/>
      <c r="K3226" s="246" t="e">
        <f t="shared" si="350"/>
        <v>#VALUE!</v>
      </c>
      <c r="L3226" s="246" t="e">
        <f t="shared" si="351"/>
        <v>#VALUE!</v>
      </c>
      <c r="M3226" s="247" t="e">
        <f t="shared" si="352"/>
        <v>#VALUE!</v>
      </c>
      <c r="N3226" s="246" t="e">
        <f t="shared" si="353"/>
        <v>#VALUE!</v>
      </c>
      <c r="O3226" s="247" t="e">
        <f t="shared" si="354"/>
        <v>#VALUE!</v>
      </c>
      <c r="P3226" s="247">
        <f t="shared" si="355"/>
        <v>0</v>
      </c>
      <c r="Q3226" s="247" t="e">
        <f t="shared" si="356"/>
        <v>#VALUE!</v>
      </c>
    </row>
    <row r="3227" spans="1:17" ht="15" customHeight="1" x14ac:dyDescent="0.25">
      <c r="A3227" s="244"/>
      <c r="B3227" s="244"/>
      <c r="C3227" s="244"/>
      <c r="D3227" s="244"/>
      <c r="E3227" s="244"/>
      <c r="F3227" s="244"/>
      <c r="G3227" s="244"/>
      <c r="I3227" s="244"/>
      <c r="J3227" s="244"/>
      <c r="K3227" s="246" t="e">
        <f t="shared" si="350"/>
        <v>#VALUE!</v>
      </c>
      <c r="L3227" s="246" t="e">
        <f t="shared" si="351"/>
        <v>#VALUE!</v>
      </c>
      <c r="M3227" s="247" t="e">
        <f t="shared" si="352"/>
        <v>#VALUE!</v>
      </c>
      <c r="N3227" s="246" t="e">
        <f t="shared" si="353"/>
        <v>#VALUE!</v>
      </c>
      <c r="O3227" s="247" t="e">
        <f t="shared" si="354"/>
        <v>#VALUE!</v>
      </c>
      <c r="P3227" s="247">
        <f t="shared" si="355"/>
        <v>0</v>
      </c>
      <c r="Q3227" s="247" t="e">
        <f t="shared" si="356"/>
        <v>#VALUE!</v>
      </c>
    </row>
    <row r="3228" spans="1:17" ht="15" customHeight="1" x14ac:dyDescent="0.25">
      <c r="A3228" s="244"/>
      <c r="B3228" s="244"/>
      <c r="C3228" s="244"/>
      <c r="D3228" s="244"/>
      <c r="E3228" s="244"/>
      <c r="F3228" s="244"/>
      <c r="G3228" s="244"/>
      <c r="I3228" s="244"/>
      <c r="J3228" s="244"/>
      <c r="K3228" s="246" t="e">
        <f t="shared" si="350"/>
        <v>#VALUE!</v>
      </c>
      <c r="L3228" s="246" t="e">
        <f t="shared" si="351"/>
        <v>#VALUE!</v>
      </c>
      <c r="M3228" s="247" t="e">
        <f t="shared" si="352"/>
        <v>#VALUE!</v>
      </c>
      <c r="N3228" s="246" t="e">
        <f t="shared" si="353"/>
        <v>#VALUE!</v>
      </c>
      <c r="O3228" s="247" t="e">
        <f t="shared" si="354"/>
        <v>#VALUE!</v>
      </c>
      <c r="P3228" s="247">
        <f t="shared" si="355"/>
        <v>0</v>
      </c>
      <c r="Q3228" s="247" t="e">
        <f t="shared" si="356"/>
        <v>#VALUE!</v>
      </c>
    </row>
    <row r="3229" spans="1:17" ht="15" customHeight="1" x14ac:dyDescent="0.25">
      <c r="A3229" s="244"/>
      <c r="B3229" s="244"/>
      <c r="C3229" s="244"/>
      <c r="D3229" s="244"/>
      <c r="E3229" s="244"/>
      <c r="F3229" s="244"/>
      <c r="G3229" s="244"/>
      <c r="I3229" s="244"/>
      <c r="J3229" s="244"/>
      <c r="K3229" s="246" t="e">
        <f t="shared" si="350"/>
        <v>#VALUE!</v>
      </c>
      <c r="L3229" s="246" t="e">
        <f t="shared" si="351"/>
        <v>#VALUE!</v>
      </c>
      <c r="M3229" s="247" t="e">
        <f t="shared" si="352"/>
        <v>#VALUE!</v>
      </c>
      <c r="N3229" s="246" t="e">
        <f t="shared" si="353"/>
        <v>#VALUE!</v>
      </c>
      <c r="O3229" s="247" t="e">
        <f t="shared" si="354"/>
        <v>#VALUE!</v>
      </c>
      <c r="P3229" s="247">
        <f t="shared" si="355"/>
        <v>0</v>
      </c>
      <c r="Q3229" s="247" t="e">
        <f t="shared" si="356"/>
        <v>#VALUE!</v>
      </c>
    </row>
    <row r="3230" spans="1:17" ht="15" customHeight="1" x14ac:dyDescent="0.25">
      <c r="A3230" s="244"/>
      <c r="B3230" s="244"/>
      <c r="C3230" s="244"/>
      <c r="D3230" s="244"/>
      <c r="E3230" s="244"/>
      <c r="F3230" s="244"/>
      <c r="G3230" s="244"/>
      <c r="I3230" s="244"/>
      <c r="J3230" s="244"/>
      <c r="K3230" s="246" t="e">
        <f t="shared" si="350"/>
        <v>#VALUE!</v>
      </c>
      <c r="L3230" s="246" t="e">
        <f t="shared" si="351"/>
        <v>#VALUE!</v>
      </c>
      <c r="M3230" s="247" t="e">
        <f t="shared" si="352"/>
        <v>#VALUE!</v>
      </c>
      <c r="N3230" s="246" t="e">
        <f t="shared" si="353"/>
        <v>#VALUE!</v>
      </c>
      <c r="O3230" s="247" t="e">
        <f t="shared" si="354"/>
        <v>#VALUE!</v>
      </c>
      <c r="P3230" s="247">
        <f t="shared" si="355"/>
        <v>0</v>
      </c>
      <c r="Q3230" s="247" t="e">
        <f t="shared" si="356"/>
        <v>#VALUE!</v>
      </c>
    </row>
    <row r="3231" spans="1:17" ht="15" customHeight="1" x14ac:dyDescent="0.25">
      <c r="A3231" s="244"/>
      <c r="B3231" s="244"/>
      <c r="C3231" s="244"/>
      <c r="D3231" s="244"/>
      <c r="E3231" s="244"/>
      <c r="F3231" s="244"/>
      <c r="G3231" s="244"/>
      <c r="I3231" s="244"/>
      <c r="J3231" s="244"/>
      <c r="K3231" s="246" t="e">
        <f t="shared" si="350"/>
        <v>#VALUE!</v>
      </c>
      <c r="L3231" s="246" t="e">
        <f t="shared" si="351"/>
        <v>#VALUE!</v>
      </c>
      <c r="M3231" s="247" t="e">
        <f t="shared" si="352"/>
        <v>#VALUE!</v>
      </c>
      <c r="N3231" s="246" t="e">
        <f t="shared" si="353"/>
        <v>#VALUE!</v>
      </c>
      <c r="O3231" s="247" t="e">
        <f t="shared" si="354"/>
        <v>#VALUE!</v>
      </c>
      <c r="P3231" s="247">
        <f t="shared" si="355"/>
        <v>0</v>
      </c>
      <c r="Q3231" s="247" t="e">
        <f t="shared" si="356"/>
        <v>#VALUE!</v>
      </c>
    </row>
    <row r="3232" spans="1:17" ht="15" customHeight="1" x14ac:dyDescent="0.25">
      <c r="A3232" s="244"/>
      <c r="B3232" s="244"/>
      <c r="C3232" s="244"/>
      <c r="D3232" s="244"/>
      <c r="E3232" s="244"/>
      <c r="F3232" s="244"/>
      <c r="G3232" s="244"/>
      <c r="I3232" s="244"/>
      <c r="J3232" s="244"/>
      <c r="K3232" s="246" t="e">
        <f t="shared" si="350"/>
        <v>#VALUE!</v>
      </c>
      <c r="L3232" s="246" t="e">
        <f t="shared" si="351"/>
        <v>#VALUE!</v>
      </c>
      <c r="M3232" s="247" t="e">
        <f t="shared" si="352"/>
        <v>#VALUE!</v>
      </c>
      <c r="N3232" s="246" t="e">
        <f t="shared" si="353"/>
        <v>#VALUE!</v>
      </c>
      <c r="O3232" s="247" t="e">
        <f t="shared" si="354"/>
        <v>#VALUE!</v>
      </c>
      <c r="P3232" s="247">
        <f t="shared" si="355"/>
        <v>0</v>
      </c>
      <c r="Q3232" s="247" t="e">
        <f t="shared" si="356"/>
        <v>#VALUE!</v>
      </c>
    </row>
    <row r="3233" spans="1:17" ht="15" customHeight="1" x14ac:dyDescent="0.25">
      <c r="A3233" s="244"/>
      <c r="B3233" s="244"/>
      <c r="C3233" s="244"/>
      <c r="D3233" s="244"/>
      <c r="E3233" s="244"/>
      <c r="F3233" s="244"/>
      <c r="G3233" s="244"/>
      <c r="I3233" s="244"/>
      <c r="J3233" s="244"/>
      <c r="K3233" s="246" t="e">
        <f t="shared" si="350"/>
        <v>#VALUE!</v>
      </c>
      <c r="L3233" s="246" t="e">
        <f t="shared" si="351"/>
        <v>#VALUE!</v>
      </c>
      <c r="M3233" s="247" t="e">
        <f t="shared" si="352"/>
        <v>#VALUE!</v>
      </c>
      <c r="N3233" s="246" t="e">
        <f t="shared" si="353"/>
        <v>#VALUE!</v>
      </c>
      <c r="O3233" s="247" t="e">
        <f t="shared" si="354"/>
        <v>#VALUE!</v>
      </c>
      <c r="P3233" s="247">
        <f t="shared" si="355"/>
        <v>0</v>
      </c>
      <c r="Q3233" s="247" t="e">
        <f t="shared" si="356"/>
        <v>#VALUE!</v>
      </c>
    </row>
    <row r="3234" spans="1:17" ht="15" customHeight="1" x14ac:dyDescent="0.25">
      <c r="A3234" s="244"/>
      <c r="B3234" s="244"/>
      <c r="C3234" s="244"/>
      <c r="D3234" s="244"/>
      <c r="E3234" s="244"/>
      <c r="F3234" s="244"/>
      <c r="G3234" s="244"/>
      <c r="I3234" s="244"/>
      <c r="J3234" s="244"/>
      <c r="K3234" s="246" t="e">
        <f t="shared" si="350"/>
        <v>#VALUE!</v>
      </c>
      <c r="L3234" s="246" t="e">
        <f t="shared" si="351"/>
        <v>#VALUE!</v>
      </c>
      <c r="M3234" s="247" t="e">
        <f t="shared" si="352"/>
        <v>#VALUE!</v>
      </c>
      <c r="N3234" s="246" t="e">
        <f t="shared" si="353"/>
        <v>#VALUE!</v>
      </c>
      <c r="O3234" s="247" t="e">
        <f t="shared" si="354"/>
        <v>#VALUE!</v>
      </c>
      <c r="P3234" s="247">
        <f t="shared" si="355"/>
        <v>0</v>
      </c>
      <c r="Q3234" s="247" t="e">
        <f t="shared" si="356"/>
        <v>#VALUE!</v>
      </c>
    </row>
    <row r="3235" spans="1:17" ht="15" customHeight="1" x14ac:dyDescent="0.25">
      <c r="A3235" s="244"/>
      <c r="B3235" s="244"/>
      <c r="C3235" s="244"/>
      <c r="D3235" s="244"/>
      <c r="E3235" s="244"/>
      <c r="F3235" s="244"/>
      <c r="G3235" s="244"/>
      <c r="I3235" s="244"/>
      <c r="J3235" s="244"/>
      <c r="K3235" s="246" t="e">
        <f t="shared" si="350"/>
        <v>#VALUE!</v>
      </c>
      <c r="L3235" s="246" t="e">
        <f t="shared" si="351"/>
        <v>#VALUE!</v>
      </c>
      <c r="M3235" s="247" t="e">
        <f t="shared" si="352"/>
        <v>#VALUE!</v>
      </c>
      <c r="N3235" s="246" t="e">
        <f t="shared" si="353"/>
        <v>#VALUE!</v>
      </c>
      <c r="O3235" s="247" t="e">
        <f t="shared" si="354"/>
        <v>#VALUE!</v>
      </c>
      <c r="P3235" s="247">
        <f t="shared" si="355"/>
        <v>0</v>
      </c>
      <c r="Q3235" s="247" t="e">
        <f t="shared" si="356"/>
        <v>#VALUE!</v>
      </c>
    </row>
    <row r="3236" spans="1:17" ht="15" customHeight="1" x14ac:dyDescent="0.25">
      <c r="A3236" s="244"/>
      <c r="B3236" s="244"/>
      <c r="C3236" s="244"/>
      <c r="D3236" s="244"/>
      <c r="E3236" s="244"/>
      <c r="F3236" s="244"/>
      <c r="G3236" s="244"/>
      <c r="I3236" s="244"/>
      <c r="J3236" s="244"/>
      <c r="K3236" s="246" t="e">
        <f t="shared" si="350"/>
        <v>#VALUE!</v>
      </c>
      <c r="L3236" s="246" t="e">
        <f t="shared" si="351"/>
        <v>#VALUE!</v>
      </c>
      <c r="M3236" s="247" t="e">
        <f t="shared" si="352"/>
        <v>#VALUE!</v>
      </c>
      <c r="N3236" s="246" t="e">
        <f t="shared" si="353"/>
        <v>#VALUE!</v>
      </c>
      <c r="O3236" s="247" t="e">
        <f t="shared" si="354"/>
        <v>#VALUE!</v>
      </c>
      <c r="P3236" s="247">
        <f t="shared" si="355"/>
        <v>0</v>
      </c>
      <c r="Q3236" s="247" t="e">
        <f t="shared" si="356"/>
        <v>#VALUE!</v>
      </c>
    </row>
    <row r="3237" spans="1:17" ht="15" customHeight="1" x14ac:dyDescent="0.25">
      <c r="A3237" s="244"/>
      <c r="B3237" s="244"/>
      <c r="C3237" s="244"/>
      <c r="D3237" s="244"/>
      <c r="E3237" s="244"/>
      <c r="F3237" s="244"/>
      <c r="G3237" s="244"/>
      <c r="I3237" s="244"/>
      <c r="J3237" s="244"/>
      <c r="K3237" s="246" t="e">
        <f t="shared" si="350"/>
        <v>#VALUE!</v>
      </c>
      <c r="L3237" s="246" t="e">
        <f t="shared" si="351"/>
        <v>#VALUE!</v>
      </c>
      <c r="M3237" s="247" t="e">
        <f t="shared" si="352"/>
        <v>#VALUE!</v>
      </c>
      <c r="N3237" s="246" t="e">
        <f t="shared" si="353"/>
        <v>#VALUE!</v>
      </c>
      <c r="O3237" s="247" t="e">
        <f t="shared" si="354"/>
        <v>#VALUE!</v>
      </c>
      <c r="P3237" s="247">
        <f t="shared" si="355"/>
        <v>0</v>
      </c>
      <c r="Q3237" s="247" t="e">
        <f t="shared" si="356"/>
        <v>#VALUE!</v>
      </c>
    </row>
    <row r="3238" spans="1:17" ht="15" customHeight="1" x14ac:dyDescent="0.25">
      <c r="A3238" s="244"/>
      <c r="B3238" s="244"/>
      <c r="C3238" s="244"/>
      <c r="D3238" s="244"/>
      <c r="E3238" s="244"/>
      <c r="F3238" s="244"/>
      <c r="G3238" s="244"/>
      <c r="I3238" s="244"/>
      <c r="J3238" s="244"/>
      <c r="K3238" s="246" t="e">
        <f t="shared" si="350"/>
        <v>#VALUE!</v>
      </c>
      <c r="L3238" s="246" t="e">
        <f t="shared" si="351"/>
        <v>#VALUE!</v>
      </c>
      <c r="M3238" s="247" t="e">
        <f t="shared" si="352"/>
        <v>#VALUE!</v>
      </c>
      <c r="N3238" s="246" t="e">
        <f t="shared" si="353"/>
        <v>#VALUE!</v>
      </c>
      <c r="O3238" s="247" t="e">
        <f t="shared" si="354"/>
        <v>#VALUE!</v>
      </c>
      <c r="P3238" s="247">
        <f t="shared" si="355"/>
        <v>0</v>
      </c>
      <c r="Q3238" s="247" t="e">
        <f t="shared" si="356"/>
        <v>#VALUE!</v>
      </c>
    </row>
    <row r="3239" spans="1:17" ht="15" customHeight="1" x14ac:dyDescent="0.25">
      <c r="A3239" s="244"/>
      <c r="B3239" s="244"/>
      <c r="C3239" s="244"/>
      <c r="D3239" s="244"/>
      <c r="E3239" s="244"/>
      <c r="F3239" s="244"/>
      <c r="G3239" s="244"/>
      <c r="I3239" s="244"/>
      <c r="J3239" s="244"/>
      <c r="K3239" s="246" t="e">
        <f t="shared" si="350"/>
        <v>#VALUE!</v>
      </c>
      <c r="L3239" s="246" t="e">
        <f t="shared" si="351"/>
        <v>#VALUE!</v>
      </c>
      <c r="M3239" s="247" t="e">
        <f t="shared" si="352"/>
        <v>#VALUE!</v>
      </c>
      <c r="N3239" s="246" t="e">
        <f t="shared" si="353"/>
        <v>#VALUE!</v>
      </c>
      <c r="O3239" s="247" t="e">
        <f t="shared" si="354"/>
        <v>#VALUE!</v>
      </c>
      <c r="P3239" s="247">
        <f t="shared" si="355"/>
        <v>0</v>
      </c>
      <c r="Q3239" s="247" t="e">
        <f t="shared" si="356"/>
        <v>#VALUE!</v>
      </c>
    </row>
    <row r="3240" spans="1:17" ht="15" customHeight="1" x14ac:dyDescent="0.25">
      <c r="A3240" s="244"/>
      <c r="B3240" s="244"/>
      <c r="C3240" s="244"/>
      <c r="D3240" s="244"/>
      <c r="E3240" s="244"/>
      <c r="F3240" s="244"/>
      <c r="G3240" s="244"/>
      <c r="I3240" s="244"/>
      <c r="J3240" s="244"/>
      <c r="K3240" s="246" t="e">
        <f t="shared" si="350"/>
        <v>#VALUE!</v>
      </c>
      <c r="L3240" s="246" t="e">
        <f t="shared" si="351"/>
        <v>#VALUE!</v>
      </c>
      <c r="M3240" s="247" t="e">
        <f t="shared" si="352"/>
        <v>#VALUE!</v>
      </c>
      <c r="N3240" s="246" t="e">
        <f t="shared" si="353"/>
        <v>#VALUE!</v>
      </c>
      <c r="O3240" s="247" t="e">
        <f t="shared" si="354"/>
        <v>#VALUE!</v>
      </c>
      <c r="P3240" s="247">
        <f t="shared" si="355"/>
        <v>0</v>
      </c>
      <c r="Q3240" s="247" t="e">
        <f t="shared" si="356"/>
        <v>#VALUE!</v>
      </c>
    </row>
    <row r="3241" spans="1:17" ht="15" customHeight="1" x14ac:dyDescent="0.25">
      <c r="A3241" s="244"/>
      <c r="B3241" s="244"/>
      <c r="C3241" s="244"/>
      <c r="D3241" s="244"/>
      <c r="E3241" s="244"/>
      <c r="F3241" s="244"/>
      <c r="G3241" s="244"/>
      <c r="I3241" s="244"/>
      <c r="J3241" s="244"/>
      <c r="K3241" s="246" t="e">
        <f t="shared" si="350"/>
        <v>#VALUE!</v>
      </c>
      <c r="L3241" s="246" t="e">
        <f t="shared" si="351"/>
        <v>#VALUE!</v>
      </c>
      <c r="M3241" s="247" t="e">
        <f t="shared" si="352"/>
        <v>#VALUE!</v>
      </c>
      <c r="N3241" s="246" t="e">
        <f t="shared" si="353"/>
        <v>#VALUE!</v>
      </c>
      <c r="O3241" s="247" t="e">
        <f t="shared" si="354"/>
        <v>#VALUE!</v>
      </c>
      <c r="P3241" s="247">
        <f t="shared" si="355"/>
        <v>0</v>
      </c>
      <c r="Q3241" s="247" t="e">
        <f t="shared" si="356"/>
        <v>#VALUE!</v>
      </c>
    </row>
    <row r="3242" spans="1:17" ht="15" customHeight="1" x14ac:dyDescent="0.25">
      <c r="A3242" s="244"/>
      <c r="B3242" s="244"/>
      <c r="C3242" s="244"/>
      <c r="D3242" s="244"/>
      <c r="E3242" s="244"/>
      <c r="F3242" s="244"/>
      <c r="G3242" s="244"/>
      <c r="I3242" s="244"/>
      <c r="J3242" s="244"/>
      <c r="K3242" s="246" t="e">
        <f t="shared" si="350"/>
        <v>#VALUE!</v>
      </c>
      <c r="L3242" s="246" t="e">
        <f t="shared" si="351"/>
        <v>#VALUE!</v>
      </c>
      <c r="M3242" s="247" t="e">
        <f t="shared" si="352"/>
        <v>#VALUE!</v>
      </c>
      <c r="N3242" s="246" t="e">
        <f t="shared" si="353"/>
        <v>#VALUE!</v>
      </c>
      <c r="O3242" s="247" t="e">
        <f t="shared" si="354"/>
        <v>#VALUE!</v>
      </c>
      <c r="P3242" s="247">
        <f t="shared" si="355"/>
        <v>0</v>
      </c>
      <c r="Q3242" s="247" t="e">
        <f t="shared" si="356"/>
        <v>#VALUE!</v>
      </c>
    </row>
    <row r="3243" spans="1:17" ht="15" customHeight="1" x14ac:dyDescent="0.25">
      <c r="A3243" s="244"/>
      <c r="B3243" s="244"/>
      <c r="C3243" s="244"/>
      <c r="D3243" s="244"/>
      <c r="E3243" s="244"/>
      <c r="F3243" s="244"/>
      <c r="G3243" s="244"/>
      <c r="I3243" s="244"/>
      <c r="J3243" s="244"/>
      <c r="K3243" s="246" t="e">
        <f t="shared" si="350"/>
        <v>#VALUE!</v>
      </c>
      <c r="L3243" s="246" t="e">
        <f t="shared" si="351"/>
        <v>#VALUE!</v>
      </c>
      <c r="M3243" s="247" t="e">
        <f t="shared" si="352"/>
        <v>#VALUE!</v>
      </c>
      <c r="N3243" s="246" t="e">
        <f t="shared" si="353"/>
        <v>#VALUE!</v>
      </c>
      <c r="O3243" s="247" t="e">
        <f t="shared" si="354"/>
        <v>#VALUE!</v>
      </c>
      <c r="P3243" s="247">
        <f t="shared" si="355"/>
        <v>0</v>
      </c>
      <c r="Q3243" s="247" t="e">
        <f t="shared" si="356"/>
        <v>#VALUE!</v>
      </c>
    </row>
    <row r="3244" spans="1:17" ht="15" customHeight="1" x14ac:dyDescent="0.25">
      <c r="A3244" s="244"/>
      <c r="B3244" s="244"/>
      <c r="C3244" s="244"/>
      <c r="D3244" s="244"/>
      <c r="E3244" s="244"/>
      <c r="F3244" s="244"/>
      <c r="G3244" s="244"/>
      <c r="I3244" s="244"/>
      <c r="J3244" s="244"/>
      <c r="K3244" s="246" t="e">
        <f t="shared" si="350"/>
        <v>#VALUE!</v>
      </c>
      <c r="L3244" s="246" t="e">
        <f t="shared" si="351"/>
        <v>#VALUE!</v>
      </c>
      <c r="M3244" s="247" t="e">
        <f t="shared" si="352"/>
        <v>#VALUE!</v>
      </c>
      <c r="N3244" s="246" t="e">
        <f t="shared" si="353"/>
        <v>#VALUE!</v>
      </c>
      <c r="O3244" s="247" t="e">
        <f t="shared" si="354"/>
        <v>#VALUE!</v>
      </c>
      <c r="P3244" s="247">
        <f t="shared" si="355"/>
        <v>0</v>
      </c>
      <c r="Q3244" s="247" t="e">
        <f t="shared" si="356"/>
        <v>#VALUE!</v>
      </c>
    </row>
    <row r="3245" spans="1:17" ht="15" customHeight="1" x14ac:dyDescent="0.25">
      <c r="A3245" s="244"/>
      <c r="B3245" s="244"/>
      <c r="C3245" s="244"/>
      <c r="D3245" s="244"/>
      <c r="E3245" s="244"/>
      <c r="F3245" s="244"/>
      <c r="G3245" s="244"/>
      <c r="I3245" s="244"/>
      <c r="J3245" s="244"/>
      <c r="K3245" s="246" t="e">
        <f t="shared" si="350"/>
        <v>#VALUE!</v>
      </c>
      <c r="L3245" s="246" t="e">
        <f t="shared" si="351"/>
        <v>#VALUE!</v>
      </c>
      <c r="M3245" s="247" t="e">
        <f t="shared" si="352"/>
        <v>#VALUE!</v>
      </c>
      <c r="N3245" s="246" t="e">
        <f t="shared" si="353"/>
        <v>#VALUE!</v>
      </c>
      <c r="O3245" s="247" t="e">
        <f t="shared" si="354"/>
        <v>#VALUE!</v>
      </c>
      <c r="P3245" s="247">
        <f t="shared" si="355"/>
        <v>0</v>
      </c>
      <c r="Q3245" s="247" t="e">
        <f t="shared" si="356"/>
        <v>#VALUE!</v>
      </c>
    </row>
    <row r="3246" spans="1:17" ht="15" customHeight="1" x14ac:dyDescent="0.25">
      <c r="A3246" s="244"/>
      <c r="B3246" s="244"/>
      <c r="C3246" s="244"/>
      <c r="D3246" s="244"/>
      <c r="E3246" s="244"/>
      <c r="F3246" s="244"/>
      <c r="G3246" s="244"/>
      <c r="I3246" s="244"/>
      <c r="J3246" s="244"/>
      <c r="K3246" s="246" t="e">
        <f t="shared" si="350"/>
        <v>#VALUE!</v>
      </c>
      <c r="L3246" s="246" t="e">
        <f t="shared" si="351"/>
        <v>#VALUE!</v>
      </c>
      <c r="M3246" s="247" t="e">
        <f t="shared" si="352"/>
        <v>#VALUE!</v>
      </c>
      <c r="N3246" s="246" t="e">
        <f t="shared" si="353"/>
        <v>#VALUE!</v>
      </c>
      <c r="O3246" s="247" t="e">
        <f t="shared" si="354"/>
        <v>#VALUE!</v>
      </c>
      <c r="P3246" s="247">
        <f t="shared" si="355"/>
        <v>0</v>
      </c>
      <c r="Q3246" s="247" t="e">
        <f t="shared" si="356"/>
        <v>#VALUE!</v>
      </c>
    </row>
    <row r="3247" spans="1:17" ht="15" customHeight="1" x14ac:dyDescent="0.25">
      <c r="A3247" s="244"/>
      <c r="B3247" s="244"/>
      <c r="C3247" s="244"/>
      <c r="D3247" s="244"/>
      <c r="E3247" s="244"/>
      <c r="F3247" s="244"/>
      <c r="G3247" s="244"/>
      <c r="I3247" s="244"/>
      <c r="J3247" s="244"/>
      <c r="K3247" s="246" t="e">
        <f t="shared" si="350"/>
        <v>#VALUE!</v>
      </c>
      <c r="L3247" s="246" t="e">
        <f t="shared" si="351"/>
        <v>#VALUE!</v>
      </c>
      <c r="M3247" s="247" t="e">
        <f t="shared" si="352"/>
        <v>#VALUE!</v>
      </c>
      <c r="N3247" s="246" t="e">
        <f t="shared" si="353"/>
        <v>#VALUE!</v>
      </c>
      <c r="O3247" s="247" t="e">
        <f t="shared" si="354"/>
        <v>#VALUE!</v>
      </c>
      <c r="P3247" s="247">
        <f t="shared" si="355"/>
        <v>0</v>
      </c>
      <c r="Q3247" s="247" t="e">
        <f t="shared" si="356"/>
        <v>#VALUE!</v>
      </c>
    </row>
    <row r="3248" spans="1:17" ht="15" customHeight="1" x14ac:dyDescent="0.25">
      <c r="A3248" s="244"/>
      <c r="B3248" s="244"/>
      <c r="C3248" s="244"/>
      <c r="D3248" s="244"/>
      <c r="E3248" s="244"/>
      <c r="F3248" s="244"/>
      <c r="G3248" s="244"/>
      <c r="I3248" s="244"/>
      <c r="J3248" s="244"/>
      <c r="K3248" s="246" t="e">
        <f t="shared" si="350"/>
        <v>#VALUE!</v>
      </c>
      <c r="L3248" s="246" t="e">
        <f t="shared" si="351"/>
        <v>#VALUE!</v>
      </c>
      <c r="M3248" s="247" t="e">
        <f t="shared" si="352"/>
        <v>#VALUE!</v>
      </c>
      <c r="N3248" s="246" t="e">
        <f t="shared" si="353"/>
        <v>#VALUE!</v>
      </c>
      <c r="O3248" s="247" t="e">
        <f t="shared" si="354"/>
        <v>#VALUE!</v>
      </c>
      <c r="P3248" s="247">
        <f t="shared" si="355"/>
        <v>0</v>
      </c>
      <c r="Q3248" s="247" t="e">
        <f t="shared" si="356"/>
        <v>#VALUE!</v>
      </c>
    </row>
    <row r="3249" spans="1:17" ht="15" customHeight="1" x14ac:dyDescent="0.25">
      <c r="A3249" s="244"/>
      <c r="B3249" s="244"/>
      <c r="C3249" s="244"/>
      <c r="D3249" s="244"/>
      <c r="E3249" s="244"/>
      <c r="F3249" s="244"/>
      <c r="G3249" s="244"/>
      <c r="I3249" s="244"/>
      <c r="J3249" s="244"/>
      <c r="K3249" s="246" t="e">
        <f t="shared" si="350"/>
        <v>#VALUE!</v>
      </c>
      <c r="L3249" s="246" t="e">
        <f t="shared" si="351"/>
        <v>#VALUE!</v>
      </c>
      <c r="M3249" s="247" t="e">
        <f t="shared" si="352"/>
        <v>#VALUE!</v>
      </c>
      <c r="N3249" s="246" t="e">
        <f t="shared" si="353"/>
        <v>#VALUE!</v>
      </c>
      <c r="O3249" s="247" t="e">
        <f t="shared" si="354"/>
        <v>#VALUE!</v>
      </c>
      <c r="P3249" s="247">
        <f t="shared" si="355"/>
        <v>0</v>
      </c>
      <c r="Q3249" s="247" t="e">
        <f t="shared" si="356"/>
        <v>#VALUE!</v>
      </c>
    </row>
    <row r="3250" spans="1:17" ht="15" customHeight="1" x14ac:dyDescent="0.25">
      <c r="A3250" s="244"/>
      <c r="B3250" s="244"/>
      <c r="C3250" s="244"/>
      <c r="D3250" s="244"/>
      <c r="E3250" s="244"/>
      <c r="F3250" s="244"/>
      <c r="G3250" s="244"/>
      <c r="I3250" s="244"/>
      <c r="J3250" s="244"/>
      <c r="K3250" s="246" t="e">
        <f t="shared" si="350"/>
        <v>#VALUE!</v>
      </c>
      <c r="L3250" s="246" t="e">
        <f t="shared" si="351"/>
        <v>#VALUE!</v>
      </c>
      <c r="M3250" s="247" t="e">
        <f t="shared" si="352"/>
        <v>#VALUE!</v>
      </c>
      <c r="N3250" s="246" t="e">
        <f t="shared" si="353"/>
        <v>#VALUE!</v>
      </c>
      <c r="O3250" s="247" t="e">
        <f t="shared" si="354"/>
        <v>#VALUE!</v>
      </c>
      <c r="P3250" s="247">
        <f t="shared" si="355"/>
        <v>0</v>
      </c>
      <c r="Q3250" s="247" t="e">
        <f t="shared" si="356"/>
        <v>#VALUE!</v>
      </c>
    </row>
    <row r="3251" spans="1:17" ht="15" customHeight="1" x14ac:dyDescent="0.25">
      <c r="A3251" s="244"/>
      <c r="B3251" s="244"/>
      <c r="C3251" s="244"/>
      <c r="D3251" s="244"/>
      <c r="E3251" s="244"/>
      <c r="F3251" s="244"/>
      <c r="G3251" s="244"/>
      <c r="I3251" s="244"/>
      <c r="J3251" s="244"/>
      <c r="K3251" s="246" t="e">
        <f t="shared" si="350"/>
        <v>#VALUE!</v>
      </c>
      <c r="L3251" s="246" t="e">
        <f t="shared" si="351"/>
        <v>#VALUE!</v>
      </c>
      <c r="M3251" s="247" t="e">
        <f t="shared" si="352"/>
        <v>#VALUE!</v>
      </c>
      <c r="N3251" s="246" t="e">
        <f t="shared" si="353"/>
        <v>#VALUE!</v>
      </c>
      <c r="O3251" s="247" t="e">
        <f t="shared" si="354"/>
        <v>#VALUE!</v>
      </c>
      <c r="P3251" s="247">
        <f t="shared" si="355"/>
        <v>0</v>
      </c>
      <c r="Q3251" s="247" t="e">
        <f t="shared" si="356"/>
        <v>#VALUE!</v>
      </c>
    </row>
    <row r="3252" spans="1:17" ht="15" customHeight="1" x14ac:dyDescent="0.25">
      <c r="A3252" s="244"/>
      <c r="B3252" s="244"/>
      <c r="C3252" s="244"/>
      <c r="D3252" s="244"/>
      <c r="E3252" s="244"/>
      <c r="F3252" s="244"/>
      <c r="G3252" s="244"/>
      <c r="I3252" s="244"/>
      <c r="J3252" s="244"/>
      <c r="K3252" s="246" t="e">
        <f t="shared" si="350"/>
        <v>#VALUE!</v>
      </c>
      <c r="L3252" s="246" t="e">
        <f t="shared" si="351"/>
        <v>#VALUE!</v>
      </c>
      <c r="M3252" s="247" t="e">
        <f t="shared" si="352"/>
        <v>#VALUE!</v>
      </c>
      <c r="N3252" s="246" t="e">
        <f t="shared" si="353"/>
        <v>#VALUE!</v>
      </c>
      <c r="O3252" s="247" t="e">
        <f t="shared" si="354"/>
        <v>#VALUE!</v>
      </c>
      <c r="P3252" s="247">
        <f t="shared" si="355"/>
        <v>0</v>
      </c>
      <c r="Q3252" s="247" t="e">
        <f t="shared" si="356"/>
        <v>#VALUE!</v>
      </c>
    </row>
    <row r="3253" spans="1:17" ht="15" customHeight="1" x14ac:dyDescent="0.25">
      <c r="A3253" s="244"/>
      <c r="B3253" s="244"/>
      <c r="C3253" s="244"/>
      <c r="D3253" s="244"/>
      <c r="E3253" s="244"/>
      <c r="F3253" s="244"/>
      <c r="G3253" s="244"/>
      <c r="I3253" s="244"/>
      <c r="J3253" s="244"/>
      <c r="K3253" s="246" t="e">
        <f t="shared" si="350"/>
        <v>#VALUE!</v>
      </c>
      <c r="L3253" s="246" t="e">
        <f t="shared" si="351"/>
        <v>#VALUE!</v>
      </c>
      <c r="M3253" s="247" t="e">
        <f t="shared" si="352"/>
        <v>#VALUE!</v>
      </c>
      <c r="N3253" s="246" t="e">
        <f t="shared" si="353"/>
        <v>#VALUE!</v>
      </c>
      <c r="O3253" s="247" t="e">
        <f t="shared" si="354"/>
        <v>#VALUE!</v>
      </c>
      <c r="P3253" s="247">
        <f t="shared" si="355"/>
        <v>0</v>
      </c>
      <c r="Q3253" s="247" t="e">
        <f t="shared" si="356"/>
        <v>#VALUE!</v>
      </c>
    </row>
    <row r="3254" spans="1:17" ht="15" customHeight="1" x14ac:dyDescent="0.25">
      <c r="A3254" s="244"/>
      <c r="B3254" s="244"/>
      <c r="C3254" s="244"/>
      <c r="D3254" s="244"/>
      <c r="E3254" s="244"/>
      <c r="F3254" s="244"/>
      <c r="G3254" s="244"/>
      <c r="I3254" s="244"/>
      <c r="J3254" s="244"/>
      <c r="K3254" s="246" t="e">
        <f t="shared" si="350"/>
        <v>#VALUE!</v>
      </c>
      <c r="L3254" s="246" t="e">
        <f t="shared" si="351"/>
        <v>#VALUE!</v>
      </c>
      <c r="M3254" s="247" t="e">
        <f t="shared" si="352"/>
        <v>#VALUE!</v>
      </c>
      <c r="N3254" s="246" t="e">
        <f t="shared" si="353"/>
        <v>#VALUE!</v>
      </c>
      <c r="O3254" s="247" t="e">
        <f t="shared" si="354"/>
        <v>#VALUE!</v>
      </c>
      <c r="P3254" s="247">
        <f t="shared" si="355"/>
        <v>0</v>
      </c>
      <c r="Q3254" s="247" t="e">
        <f t="shared" si="356"/>
        <v>#VALUE!</v>
      </c>
    </row>
    <row r="3255" spans="1:17" ht="15" customHeight="1" x14ac:dyDescent="0.25">
      <c r="A3255" s="244"/>
      <c r="B3255" s="244"/>
      <c r="C3255" s="244"/>
      <c r="D3255" s="244"/>
      <c r="E3255" s="244"/>
      <c r="F3255" s="244"/>
      <c r="G3255" s="244"/>
      <c r="I3255" s="244"/>
      <c r="J3255" s="244"/>
      <c r="K3255" s="246" t="e">
        <f t="shared" si="350"/>
        <v>#VALUE!</v>
      </c>
      <c r="L3255" s="246" t="e">
        <f t="shared" si="351"/>
        <v>#VALUE!</v>
      </c>
      <c r="M3255" s="247" t="e">
        <f t="shared" si="352"/>
        <v>#VALUE!</v>
      </c>
      <c r="N3255" s="246" t="e">
        <f t="shared" si="353"/>
        <v>#VALUE!</v>
      </c>
      <c r="O3255" s="247" t="e">
        <f t="shared" si="354"/>
        <v>#VALUE!</v>
      </c>
      <c r="P3255" s="247">
        <f t="shared" si="355"/>
        <v>0</v>
      </c>
      <c r="Q3255" s="247" t="e">
        <f t="shared" si="356"/>
        <v>#VALUE!</v>
      </c>
    </row>
    <row r="3256" spans="1:17" ht="15" customHeight="1" x14ac:dyDescent="0.25">
      <c r="A3256" s="244"/>
      <c r="B3256" s="244"/>
      <c r="C3256" s="244"/>
      <c r="D3256" s="244"/>
      <c r="E3256" s="244"/>
      <c r="F3256" s="244"/>
      <c r="G3256" s="244"/>
      <c r="I3256" s="244"/>
      <c r="J3256" s="244"/>
      <c r="K3256" s="246" t="e">
        <f t="shared" si="350"/>
        <v>#VALUE!</v>
      </c>
      <c r="L3256" s="246" t="e">
        <f t="shared" si="351"/>
        <v>#VALUE!</v>
      </c>
      <c r="M3256" s="247" t="e">
        <f t="shared" si="352"/>
        <v>#VALUE!</v>
      </c>
      <c r="N3256" s="246" t="e">
        <f t="shared" si="353"/>
        <v>#VALUE!</v>
      </c>
      <c r="O3256" s="247" t="e">
        <f t="shared" si="354"/>
        <v>#VALUE!</v>
      </c>
      <c r="P3256" s="247">
        <f t="shared" si="355"/>
        <v>0</v>
      </c>
      <c r="Q3256" s="247" t="e">
        <f t="shared" si="356"/>
        <v>#VALUE!</v>
      </c>
    </row>
    <row r="3257" spans="1:17" ht="15" customHeight="1" x14ac:dyDescent="0.25">
      <c r="A3257" s="244"/>
      <c r="B3257" s="244"/>
      <c r="C3257" s="244"/>
      <c r="D3257" s="244"/>
      <c r="E3257" s="244"/>
      <c r="F3257" s="244"/>
      <c r="G3257" s="244"/>
      <c r="I3257" s="244"/>
      <c r="J3257" s="244"/>
      <c r="K3257" s="246" t="e">
        <f t="shared" si="350"/>
        <v>#VALUE!</v>
      </c>
      <c r="L3257" s="246" t="e">
        <f t="shared" si="351"/>
        <v>#VALUE!</v>
      </c>
      <c r="M3257" s="247" t="e">
        <f t="shared" si="352"/>
        <v>#VALUE!</v>
      </c>
      <c r="N3257" s="246" t="e">
        <f t="shared" si="353"/>
        <v>#VALUE!</v>
      </c>
      <c r="O3257" s="247" t="e">
        <f t="shared" si="354"/>
        <v>#VALUE!</v>
      </c>
      <c r="P3257" s="247">
        <f t="shared" si="355"/>
        <v>0</v>
      </c>
      <c r="Q3257" s="247" t="e">
        <f t="shared" si="356"/>
        <v>#VALUE!</v>
      </c>
    </row>
    <row r="3258" spans="1:17" ht="15" customHeight="1" x14ac:dyDescent="0.25">
      <c r="A3258" s="244"/>
      <c r="B3258" s="244"/>
      <c r="C3258" s="244"/>
      <c r="D3258" s="244"/>
      <c r="E3258" s="244"/>
      <c r="F3258" s="244"/>
      <c r="G3258" s="244"/>
      <c r="I3258" s="244"/>
      <c r="J3258" s="244"/>
      <c r="K3258" s="246" t="e">
        <f t="shared" si="350"/>
        <v>#VALUE!</v>
      </c>
      <c r="L3258" s="246" t="e">
        <f t="shared" si="351"/>
        <v>#VALUE!</v>
      </c>
      <c r="M3258" s="247" t="e">
        <f t="shared" si="352"/>
        <v>#VALUE!</v>
      </c>
      <c r="N3258" s="246" t="e">
        <f t="shared" si="353"/>
        <v>#VALUE!</v>
      </c>
      <c r="O3258" s="247" t="e">
        <f t="shared" si="354"/>
        <v>#VALUE!</v>
      </c>
      <c r="P3258" s="247">
        <f t="shared" si="355"/>
        <v>0</v>
      </c>
      <c r="Q3258" s="247" t="e">
        <f t="shared" si="356"/>
        <v>#VALUE!</v>
      </c>
    </row>
    <row r="3259" spans="1:17" ht="15" customHeight="1" x14ac:dyDescent="0.25">
      <c r="A3259" s="244"/>
      <c r="B3259" s="244"/>
      <c r="C3259" s="244"/>
      <c r="D3259" s="244"/>
      <c r="E3259" s="244"/>
      <c r="F3259" s="244"/>
      <c r="G3259" s="244"/>
      <c r="I3259" s="244"/>
      <c r="J3259" s="244"/>
      <c r="K3259" s="246" t="e">
        <f t="shared" si="350"/>
        <v>#VALUE!</v>
      </c>
      <c r="L3259" s="246" t="e">
        <f t="shared" si="351"/>
        <v>#VALUE!</v>
      </c>
      <c r="M3259" s="247" t="e">
        <f t="shared" si="352"/>
        <v>#VALUE!</v>
      </c>
      <c r="N3259" s="246" t="e">
        <f t="shared" si="353"/>
        <v>#VALUE!</v>
      </c>
      <c r="O3259" s="247" t="e">
        <f t="shared" si="354"/>
        <v>#VALUE!</v>
      </c>
      <c r="P3259" s="247">
        <f t="shared" si="355"/>
        <v>0</v>
      </c>
      <c r="Q3259" s="247" t="e">
        <f t="shared" si="356"/>
        <v>#VALUE!</v>
      </c>
    </row>
    <row r="3260" spans="1:17" ht="15" customHeight="1" x14ac:dyDescent="0.25">
      <c r="A3260" s="244"/>
      <c r="B3260" s="244"/>
      <c r="C3260" s="244"/>
      <c r="D3260" s="244"/>
      <c r="E3260" s="244"/>
      <c r="F3260" s="244"/>
      <c r="G3260" s="244"/>
      <c r="I3260" s="244"/>
      <c r="J3260" s="244"/>
      <c r="K3260" s="246" t="e">
        <f t="shared" si="350"/>
        <v>#VALUE!</v>
      </c>
      <c r="L3260" s="246" t="e">
        <f t="shared" si="351"/>
        <v>#VALUE!</v>
      </c>
      <c r="M3260" s="247" t="e">
        <f t="shared" si="352"/>
        <v>#VALUE!</v>
      </c>
      <c r="N3260" s="246" t="e">
        <f t="shared" si="353"/>
        <v>#VALUE!</v>
      </c>
      <c r="O3260" s="247" t="e">
        <f t="shared" si="354"/>
        <v>#VALUE!</v>
      </c>
      <c r="P3260" s="247">
        <f t="shared" si="355"/>
        <v>0</v>
      </c>
      <c r="Q3260" s="247" t="e">
        <f t="shared" si="356"/>
        <v>#VALUE!</v>
      </c>
    </row>
    <row r="3261" spans="1:17" ht="15" customHeight="1" x14ac:dyDescent="0.25">
      <c r="A3261" s="244"/>
      <c r="B3261" s="244"/>
      <c r="C3261" s="244"/>
      <c r="D3261" s="244"/>
      <c r="E3261" s="244"/>
      <c r="F3261" s="244"/>
      <c r="G3261" s="244"/>
      <c r="I3261" s="244"/>
      <c r="J3261" s="244"/>
      <c r="K3261" s="246" t="e">
        <f t="shared" si="350"/>
        <v>#VALUE!</v>
      </c>
      <c r="L3261" s="246" t="e">
        <f t="shared" si="351"/>
        <v>#VALUE!</v>
      </c>
      <c r="M3261" s="247" t="e">
        <f t="shared" si="352"/>
        <v>#VALUE!</v>
      </c>
      <c r="N3261" s="246" t="e">
        <f t="shared" si="353"/>
        <v>#VALUE!</v>
      </c>
      <c r="O3261" s="247" t="e">
        <f t="shared" si="354"/>
        <v>#VALUE!</v>
      </c>
      <c r="P3261" s="247">
        <f t="shared" si="355"/>
        <v>0</v>
      </c>
      <c r="Q3261" s="247" t="e">
        <f t="shared" si="356"/>
        <v>#VALUE!</v>
      </c>
    </row>
    <row r="3262" spans="1:17" ht="15" customHeight="1" x14ac:dyDescent="0.25">
      <c r="A3262" s="244"/>
      <c r="B3262" s="244"/>
      <c r="C3262" s="244"/>
      <c r="D3262" s="244"/>
      <c r="E3262" s="244"/>
      <c r="F3262" s="244"/>
      <c r="G3262" s="244"/>
      <c r="I3262" s="244"/>
      <c r="J3262" s="244"/>
      <c r="K3262" s="246" t="e">
        <f t="shared" si="350"/>
        <v>#VALUE!</v>
      </c>
      <c r="L3262" s="246" t="e">
        <f t="shared" si="351"/>
        <v>#VALUE!</v>
      </c>
      <c r="M3262" s="247" t="e">
        <f t="shared" si="352"/>
        <v>#VALUE!</v>
      </c>
      <c r="N3262" s="246" t="e">
        <f t="shared" si="353"/>
        <v>#VALUE!</v>
      </c>
      <c r="O3262" s="247" t="e">
        <f t="shared" si="354"/>
        <v>#VALUE!</v>
      </c>
      <c r="P3262" s="247">
        <f t="shared" si="355"/>
        <v>0</v>
      </c>
      <c r="Q3262" s="247" t="e">
        <f t="shared" si="356"/>
        <v>#VALUE!</v>
      </c>
    </row>
    <row r="3263" spans="1:17" ht="15" customHeight="1" x14ac:dyDescent="0.25">
      <c r="A3263" s="244"/>
      <c r="B3263" s="244"/>
      <c r="C3263" s="244"/>
      <c r="D3263" s="244"/>
      <c r="E3263" s="244"/>
      <c r="F3263" s="244"/>
      <c r="G3263" s="244"/>
      <c r="I3263" s="244"/>
      <c r="J3263" s="244"/>
      <c r="K3263" s="246" t="e">
        <f t="shared" si="350"/>
        <v>#VALUE!</v>
      </c>
      <c r="L3263" s="246" t="e">
        <f t="shared" si="351"/>
        <v>#VALUE!</v>
      </c>
      <c r="M3263" s="247" t="e">
        <f t="shared" si="352"/>
        <v>#VALUE!</v>
      </c>
      <c r="N3263" s="246" t="e">
        <f t="shared" si="353"/>
        <v>#VALUE!</v>
      </c>
      <c r="O3263" s="247" t="e">
        <f t="shared" si="354"/>
        <v>#VALUE!</v>
      </c>
      <c r="P3263" s="247">
        <f t="shared" si="355"/>
        <v>0</v>
      </c>
      <c r="Q3263" s="247" t="e">
        <f t="shared" si="356"/>
        <v>#VALUE!</v>
      </c>
    </row>
    <row r="3264" spans="1:17" ht="15" customHeight="1" x14ac:dyDescent="0.25">
      <c r="A3264" s="244"/>
      <c r="B3264" s="244"/>
      <c r="C3264" s="244"/>
      <c r="D3264" s="244"/>
      <c r="E3264" s="244"/>
      <c r="F3264" s="244"/>
      <c r="G3264" s="244"/>
      <c r="I3264" s="244"/>
      <c r="J3264" s="244"/>
      <c r="K3264" s="246" t="e">
        <f t="shared" si="350"/>
        <v>#VALUE!</v>
      </c>
      <c r="L3264" s="246" t="e">
        <f t="shared" si="351"/>
        <v>#VALUE!</v>
      </c>
      <c r="M3264" s="247" t="e">
        <f t="shared" si="352"/>
        <v>#VALUE!</v>
      </c>
      <c r="N3264" s="246" t="e">
        <f t="shared" si="353"/>
        <v>#VALUE!</v>
      </c>
      <c r="O3264" s="247" t="e">
        <f t="shared" si="354"/>
        <v>#VALUE!</v>
      </c>
      <c r="P3264" s="247">
        <f t="shared" si="355"/>
        <v>0</v>
      </c>
      <c r="Q3264" s="247" t="e">
        <f t="shared" si="356"/>
        <v>#VALUE!</v>
      </c>
    </row>
    <row r="3265" spans="1:17" ht="15" customHeight="1" x14ac:dyDescent="0.25">
      <c r="A3265" s="244"/>
      <c r="B3265" s="244"/>
      <c r="C3265" s="244"/>
      <c r="D3265" s="244"/>
      <c r="E3265" s="244"/>
      <c r="F3265" s="244"/>
      <c r="G3265" s="244"/>
      <c r="I3265" s="244"/>
      <c r="J3265" s="244"/>
      <c r="K3265" s="246" t="e">
        <f t="shared" si="350"/>
        <v>#VALUE!</v>
      </c>
      <c r="L3265" s="246" t="e">
        <f t="shared" si="351"/>
        <v>#VALUE!</v>
      </c>
      <c r="M3265" s="247" t="e">
        <f t="shared" si="352"/>
        <v>#VALUE!</v>
      </c>
      <c r="N3265" s="246" t="e">
        <f t="shared" si="353"/>
        <v>#VALUE!</v>
      </c>
      <c r="O3265" s="247" t="e">
        <f t="shared" si="354"/>
        <v>#VALUE!</v>
      </c>
      <c r="P3265" s="247">
        <f t="shared" si="355"/>
        <v>0</v>
      </c>
      <c r="Q3265" s="247" t="e">
        <f t="shared" si="356"/>
        <v>#VALUE!</v>
      </c>
    </row>
    <row r="3266" spans="1:17" ht="15" customHeight="1" x14ac:dyDescent="0.25">
      <c r="A3266" s="244"/>
      <c r="B3266" s="244"/>
      <c r="C3266" s="244"/>
      <c r="D3266" s="244"/>
      <c r="E3266" s="244"/>
      <c r="F3266" s="244"/>
      <c r="G3266" s="244"/>
      <c r="I3266" s="244"/>
      <c r="J3266" s="244"/>
      <c r="K3266" s="246" t="e">
        <f t="shared" ref="K3266:K3329" si="357">DATE(VALUE(LEFT(A3266,4)),VALUE(MID(A3266,5,2)),VALUE(RIGHT(A3266,2)))</f>
        <v>#VALUE!</v>
      </c>
      <c r="L3266" s="246" t="e">
        <f t="shared" ref="L3266:L3329" si="358">DATEVALUE(LEFT(F3266,10))</f>
        <v>#VALUE!</v>
      </c>
      <c r="M3266" s="247" t="e">
        <f t="shared" ref="M3266:M3329" si="359">TIMEVALUE(MID(F3266,12,8))</f>
        <v>#VALUE!</v>
      </c>
      <c r="N3266" s="246" t="e">
        <f t="shared" ref="N3266:N3329" si="360">DATEVALUE(LEFT(G3266,10))</f>
        <v>#VALUE!</v>
      </c>
      <c r="O3266" s="247" t="e">
        <f t="shared" ref="O3266:O3329" si="361">TIMEVALUE(MID(G3266,12,8))</f>
        <v>#VALUE!</v>
      </c>
      <c r="P3266" s="247">
        <f t="shared" ref="P3266:P3329" si="362">IFERROR(_xlfn.MINIFS($M:$M,$E:$E,$E3266,$K:$K,$K3266,$M:$M,"&gt;"&amp;$O3266),"")</f>
        <v>0</v>
      </c>
      <c r="Q3266" s="247" t="e">
        <f t="shared" ref="Q3266:Q3329" si="363">IF($P3266="","",$P3266-$O3266)</f>
        <v>#VALUE!</v>
      </c>
    </row>
    <row r="3267" spans="1:17" ht="15" customHeight="1" x14ac:dyDescent="0.25">
      <c r="A3267" s="244"/>
      <c r="B3267" s="244"/>
      <c r="C3267" s="244"/>
      <c r="D3267" s="244"/>
      <c r="E3267" s="244"/>
      <c r="F3267" s="244"/>
      <c r="G3267" s="244"/>
      <c r="I3267" s="244"/>
      <c r="J3267" s="244"/>
      <c r="K3267" s="246" t="e">
        <f t="shared" si="357"/>
        <v>#VALUE!</v>
      </c>
      <c r="L3267" s="246" t="e">
        <f t="shared" si="358"/>
        <v>#VALUE!</v>
      </c>
      <c r="M3267" s="247" t="e">
        <f t="shared" si="359"/>
        <v>#VALUE!</v>
      </c>
      <c r="N3267" s="246" t="e">
        <f t="shared" si="360"/>
        <v>#VALUE!</v>
      </c>
      <c r="O3267" s="247" t="e">
        <f t="shared" si="361"/>
        <v>#VALUE!</v>
      </c>
      <c r="P3267" s="247">
        <f t="shared" si="362"/>
        <v>0</v>
      </c>
      <c r="Q3267" s="247" t="e">
        <f t="shared" si="363"/>
        <v>#VALUE!</v>
      </c>
    </row>
    <row r="3268" spans="1:17" ht="15" customHeight="1" x14ac:dyDescent="0.25">
      <c r="A3268" s="244"/>
      <c r="B3268" s="244"/>
      <c r="C3268" s="244"/>
      <c r="D3268" s="244"/>
      <c r="E3268" s="244"/>
      <c r="F3268" s="244"/>
      <c r="G3268" s="244"/>
      <c r="I3268" s="244"/>
      <c r="J3268" s="244"/>
      <c r="K3268" s="246" t="e">
        <f t="shared" si="357"/>
        <v>#VALUE!</v>
      </c>
      <c r="L3268" s="246" t="e">
        <f t="shared" si="358"/>
        <v>#VALUE!</v>
      </c>
      <c r="M3268" s="247" t="e">
        <f t="shared" si="359"/>
        <v>#VALUE!</v>
      </c>
      <c r="N3268" s="246" t="e">
        <f t="shared" si="360"/>
        <v>#VALUE!</v>
      </c>
      <c r="O3268" s="247" t="e">
        <f t="shared" si="361"/>
        <v>#VALUE!</v>
      </c>
      <c r="P3268" s="247">
        <f t="shared" si="362"/>
        <v>0</v>
      </c>
      <c r="Q3268" s="247" t="e">
        <f t="shared" si="363"/>
        <v>#VALUE!</v>
      </c>
    </row>
    <row r="3269" spans="1:17" ht="15" customHeight="1" x14ac:dyDescent="0.25">
      <c r="A3269" s="244"/>
      <c r="B3269" s="244"/>
      <c r="C3269" s="244"/>
      <c r="D3269" s="244"/>
      <c r="E3269" s="244"/>
      <c r="F3269" s="244"/>
      <c r="G3269" s="244"/>
      <c r="I3269" s="244"/>
      <c r="J3269" s="244"/>
      <c r="K3269" s="246" t="e">
        <f t="shared" si="357"/>
        <v>#VALUE!</v>
      </c>
      <c r="L3269" s="246" t="e">
        <f t="shared" si="358"/>
        <v>#VALUE!</v>
      </c>
      <c r="M3269" s="247" t="e">
        <f t="shared" si="359"/>
        <v>#VALUE!</v>
      </c>
      <c r="N3269" s="246" t="e">
        <f t="shared" si="360"/>
        <v>#VALUE!</v>
      </c>
      <c r="O3269" s="247" t="e">
        <f t="shared" si="361"/>
        <v>#VALUE!</v>
      </c>
      <c r="P3269" s="247">
        <f t="shared" si="362"/>
        <v>0</v>
      </c>
      <c r="Q3269" s="247" t="e">
        <f t="shared" si="363"/>
        <v>#VALUE!</v>
      </c>
    </row>
    <row r="3270" spans="1:17" ht="15" customHeight="1" x14ac:dyDescent="0.25">
      <c r="A3270" s="244"/>
      <c r="B3270" s="244"/>
      <c r="C3270" s="244"/>
      <c r="D3270" s="244"/>
      <c r="E3270" s="244"/>
      <c r="F3270" s="244"/>
      <c r="G3270" s="244"/>
      <c r="I3270" s="244"/>
      <c r="J3270" s="244"/>
      <c r="K3270" s="246" t="e">
        <f t="shared" si="357"/>
        <v>#VALUE!</v>
      </c>
      <c r="L3270" s="246" t="e">
        <f t="shared" si="358"/>
        <v>#VALUE!</v>
      </c>
      <c r="M3270" s="247" t="e">
        <f t="shared" si="359"/>
        <v>#VALUE!</v>
      </c>
      <c r="N3270" s="246" t="e">
        <f t="shared" si="360"/>
        <v>#VALUE!</v>
      </c>
      <c r="O3270" s="247" t="e">
        <f t="shared" si="361"/>
        <v>#VALUE!</v>
      </c>
      <c r="P3270" s="247">
        <f t="shared" si="362"/>
        <v>0</v>
      </c>
      <c r="Q3270" s="247" t="e">
        <f t="shared" si="363"/>
        <v>#VALUE!</v>
      </c>
    </row>
    <row r="3271" spans="1:17" ht="15" customHeight="1" x14ac:dyDescent="0.25">
      <c r="A3271" s="244"/>
      <c r="B3271" s="244"/>
      <c r="C3271" s="244"/>
      <c r="D3271" s="244"/>
      <c r="E3271" s="244"/>
      <c r="F3271" s="244"/>
      <c r="G3271" s="244"/>
      <c r="I3271" s="244"/>
      <c r="J3271" s="244"/>
      <c r="K3271" s="246" t="e">
        <f t="shared" si="357"/>
        <v>#VALUE!</v>
      </c>
      <c r="L3271" s="246" t="e">
        <f t="shared" si="358"/>
        <v>#VALUE!</v>
      </c>
      <c r="M3271" s="247" t="e">
        <f t="shared" si="359"/>
        <v>#VALUE!</v>
      </c>
      <c r="N3271" s="246" t="e">
        <f t="shared" si="360"/>
        <v>#VALUE!</v>
      </c>
      <c r="O3271" s="247" t="e">
        <f t="shared" si="361"/>
        <v>#VALUE!</v>
      </c>
      <c r="P3271" s="247">
        <f t="shared" si="362"/>
        <v>0</v>
      </c>
      <c r="Q3271" s="247" t="e">
        <f t="shared" si="363"/>
        <v>#VALUE!</v>
      </c>
    </row>
    <row r="3272" spans="1:17" ht="15" customHeight="1" x14ac:dyDescent="0.25">
      <c r="A3272" s="244"/>
      <c r="B3272" s="244"/>
      <c r="C3272" s="244"/>
      <c r="D3272" s="244"/>
      <c r="E3272" s="244"/>
      <c r="F3272" s="244"/>
      <c r="G3272" s="244"/>
      <c r="I3272" s="244"/>
      <c r="J3272" s="244"/>
      <c r="K3272" s="246" t="e">
        <f t="shared" si="357"/>
        <v>#VALUE!</v>
      </c>
      <c r="L3272" s="246" t="e">
        <f t="shared" si="358"/>
        <v>#VALUE!</v>
      </c>
      <c r="M3272" s="247" t="e">
        <f t="shared" si="359"/>
        <v>#VALUE!</v>
      </c>
      <c r="N3272" s="246" t="e">
        <f t="shared" si="360"/>
        <v>#VALUE!</v>
      </c>
      <c r="O3272" s="247" t="e">
        <f t="shared" si="361"/>
        <v>#VALUE!</v>
      </c>
      <c r="P3272" s="247">
        <f t="shared" si="362"/>
        <v>0</v>
      </c>
      <c r="Q3272" s="247" t="e">
        <f t="shared" si="363"/>
        <v>#VALUE!</v>
      </c>
    </row>
    <row r="3273" spans="1:17" ht="15" customHeight="1" x14ac:dyDescent="0.25">
      <c r="A3273" s="244"/>
      <c r="B3273" s="244"/>
      <c r="C3273" s="244"/>
      <c r="D3273" s="244"/>
      <c r="E3273" s="244"/>
      <c r="F3273" s="244"/>
      <c r="G3273" s="244"/>
      <c r="I3273" s="244"/>
      <c r="J3273" s="244"/>
      <c r="K3273" s="246" t="e">
        <f t="shared" si="357"/>
        <v>#VALUE!</v>
      </c>
      <c r="L3273" s="246" t="e">
        <f t="shared" si="358"/>
        <v>#VALUE!</v>
      </c>
      <c r="M3273" s="247" t="e">
        <f t="shared" si="359"/>
        <v>#VALUE!</v>
      </c>
      <c r="N3273" s="246" t="e">
        <f t="shared" si="360"/>
        <v>#VALUE!</v>
      </c>
      <c r="O3273" s="247" t="e">
        <f t="shared" si="361"/>
        <v>#VALUE!</v>
      </c>
      <c r="P3273" s="247">
        <f t="shared" si="362"/>
        <v>0</v>
      </c>
      <c r="Q3273" s="247" t="e">
        <f t="shared" si="363"/>
        <v>#VALUE!</v>
      </c>
    </row>
    <row r="3274" spans="1:17" ht="15" customHeight="1" x14ac:dyDescent="0.25">
      <c r="A3274" s="244"/>
      <c r="B3274" s="244"/>
      <c r="C3274" s="244"/>
      <c r="D3274" s="244"/>
      <c r="E3274" s="244"/>
      <c r="F3274" s="244"/>
      <c r="G3274" s="244"/>
      <c r="I3274" s="244"/>
      <c r="J3274" s="244"/>
      <c r="K3274" s="246" t="e">
        <f t="shared" si="357"/>
        <v>#VALUE!</v>
      </c>
      <c r="L3274" s="246" t="e">
        <f t="shared" si="358"/>
        <v>#VALUE!</v>
      </c>
      <c r="M3274" s="247" t="e">
        <f t="shared" si="359"/>
        <v>#VALUE!</v>
      </c>
      <c r="N3274" s="246" t="e">
        <f t="shared" si="360"/>
        <v>#VALUE!</v>
      </c>
      <c r="O3274" s="247" t="e">
        <f t="shared" si="361"/>
        <v>#VALUE!</v>
      </c>
      <c r="P3274" s="247">
        <f t="shared" si="362"/>
        <v>0</v>
      </c>
      <c r="Q3274" s="247" t="e">
        <f t="shared" si="363"/>
        <v>#VALUE!</v>
      </c>
    </row>
    <row r="3275" spans="1:17" ht="15" customHeight="1" x14ac:dyDescent="0.25">
      <c r="A3275" s="244"/>
      <c r="B3275" s="244"/>
      <c r="C3275" s="244"/>
      <c r="D3275" s="244"/>
      <c r="E3275" s="244"/>
      <c r="F3275" s="244"/>
      <c r="G3275" s="244"/>
      <c r="I3275" s="244"/>
      <c r="J3275" s="244"/>
      <c r="K3275" s="246" t="e">
        <f t="shared" si="357"/>
        <v>#VALUE!</v>
      </c>
      <c r="L3275" s="246" t="e">
        <f t="shared" si="358"/>
        <v>#VALUE!</v>
      </c>
      <c r="M3275" s="247" t="e">
        <f t="shared" si="359"/>
        <v>#VALUE!</v>
      </c>
      <c r="N3275" s="246" t="e">
        <f t="shared" si="360"/>
        <v>#VALUE!</v>
      </c>
      <c r="O3275" s="247" t="e">
        <f t="shared" si="361"/>
        <v>#VALUE!</v>
      </c>
      <c r="P3275" s="247">
        <f t="shared" si="362"/>
        <v>0</v>
      </c>
      <c r="Q3275" s="247" t="e">
        <f t="shared" si="363"/>
        <v>#VALUE!</v>
      </c>
    </row>
    <row r="3276" spans="1:17" ht="15" customHeight="1" x14ac:dyDescent="0.25">
      <c r="A3276" s="244"/>
      <c r="B3276" s="244"/>
      <c r="C3276" s="244"/>
      <c r="D3276" s="244"/>
      <c r="E3276" s="244"/>
      <c r="F3276" s="244"/>
      <c r="G3276" s="244"/>
      <c r="I3276" s="244"/>
      <c r="J3276" s="244"/>
      <c r="K3276" s="246" t="e">
        <f t="shared" si="357"/>
        <v>#VALUE!</v>
      </c>
      <c r="L3276" s="246" t="e">
        <f t="shared" si="358"/>
        <v>#VALUE!</v>
      </c>
      <c r="M3276" s="247" t="e">
        <f t="shared" si="359"/>
        <v>#VALUE!</v>
      </c>
      <c r="N3276" s="246" t="e">
        <f t="shared" si="360"/>
        <v>#VALUE!</v>
      </c>
      <c r="O3276" s="247" t="e">
        <f t="shared" si="361"/>
        <v>#VALUE!</v>
      </c>
      <c r="P3276" s="247">
        <f t="shared" si="362"/>
        <v>0</v>
      </c>
      <c r="Q3276" s="247" t="e">
        <f t="shared" si="363"/>
        <v>#VALUE!</v>
      </c>
    </row>
    <row r="3277" spans="1:17" ht="15" customHeight="1" x14ac:dyDescent="0.25">
      <c r="A3277" s="244"/>
      <c r="B3277" s="244"/>
      <c r="C3277" s="244"/>
      <c r="D3277" s="244"/>
      <c r="E3277" s="244"/>
      <c r="F3277" s="244"/>
      <c r="G3277" s="244"/>
      <c r="I3277" s="244"/>
      <c r="J3277" s="244"/>
      <c r="K3277" s="246" t="e">
        <f t="shared" si="357"/>
        <v>#VALUE!</v>
      </c>
      <c r="L3277" s="246" t="e">
        <f t="shared" si="358"/>
        <v>#VALUE!</v>
      </c>
      <c r="M3277" s="247" t="e">
        <f t="shared" si="359"/>
        <v>#VALUE!</v>
      </c>
      <c r="N3277" s="246" t="e">
        <f t="shared" si="360"/>
        <v>#VALUE!</v>
      </c>
      <c r="O3277" s="247" t="e">
        <f t="shared" si="361"/>
        <v>#VALUE!</v>
      </c>
      <c r="P3277" s="247">
        <f t="shared" si="362"/>
        <v>0</v>
      </c>
      <c r="Q3277" s="247" t="e">
        <f t="shared" si="363"/>
        <v>#VALUE!</v>
      </c>
    </row>
    <row r="3278" spans="1:17" ht="15" customHeight="1" x14ac:dyDescent="0.25">
      <c r="A3278" s="244"/>
      <c r="B3278" s="244"/>
      <c r="C3278" s="244"/>
      <c r="D3278" s="244"/>
      <c r="E3278" s="244"/>
      <c r="F3278" s="244"/>
      <c r="G3278" s="244"/>
      <c r="I3278" s="244"/>
      <c r="J3278" s="244"/>
      <c r="K3278" s="246" t="e">
        <f t="shared" si="357"/>
        <v>#VALUE!</v>
      </c>
      <c r="L3278" s="246" t="e">
        <f t="shared" si="358"/>
        <v>#VALUE!</v>
      </c>
      <c r="M3278" s="247" t="e">
        <f t="shared" si="359"/>
        <v>#VALUE!</v>
      </c>
      <c r="N3278" s="246" t="e">
        <f t="shared" si="360"/>
        <v>#VALUE!</v>
      </c>
      <c r="O3278" s="247" t="e">
        <f t="shared" si="361"/>
        <v>#VALUE!</v>
      </c>
      <c r="P3278" s="247">
        <f t="shared" si="362"/>
        <v>0</v>
      </c>
      <c r="Q3278" s="247" t="e">
        <f t="shared" si="363"/>
        <v>#VALUE!</v>
      </c>
    </row>
    <row r="3279" spans="1:17" ht="15" customHeight="1" x14ac:dyDescent="0.25">
      <c r="A3279" s="244"/>
      <c r="B3279" s="244"/>
      <c r="C3279" s="244"/>
      <c r="D3279" s="244"/>
      <c r="E3279" s="244"/>
      <c r="F3279" s="244"/>
      <c r="G3279" s="244"/>
      <c r="I3279" s="244"/>
      <c r="J3279" s="244"/>
      <c r="K3279" s="246" t="e">
        <f t="shared" si="357"/>
        <v>#VALUE!</v>
      </c>
      <c r="L3279" s="246" t="e">
        <f t="shared" si="358"/>
        <v>#VALUE!</v>
      </c>
      <c r="M3279" s="247" t="e">
        <f t="shared" si="359"/>
        <v>#VALUE!</v>
      </c>
      <c r="N3279" s="246" t="e">
        <f t="shared" si="360"/>
        <v>#VALUE!</v>
      </c>
      <c r="O3279" s="247" t="e">
        <f t="shared" si="361"/>
        <v>#VALUE!</v>
      </c>
      <c r="P3279" s="247">
        <f t="shared" si="362"/>
        <v>0</v>
      </c>
      <c r="Q3279" s="247" t="e">
        <f t="shared" si="363"/>
        <v>#VALUE!</v>
      </c>
    </row>
    <row r="3280" spans="1:17" ht="15" customHeight="1" x14ac:dyDescent="0.25">
      <c r="A3280" s="244"/>
      <c r="B3280" s="244"/>
      <c r="C3280" s="244"/>
      <c r="D3280" s="244"/>
      <c r="E3280" s="244"/>
      <c r="F3280" s="244"/>
      <c r="G3280" s="244"/>
      <c r="I3280" s="244"/>
      <c r="J3280" s="244"/>
      <c r="K3280" s="246" t="e">
        <f t="shared" si="357"/>
        <v>#VALUE!</v>
      </c>
      <c r="L3280" s="246" t="e">
        <f t="shared" si="358"/>
        <v>#VALUE!</v>
      </c>
      <c r="M3280" s="247" t="e">
        <f t="shared" si="359"/>
        <v>#VALUE!</v>
      </c>
      <c r="N3280" s="246" t="e">
        <f t="shared" si="360"/>
        <v>#VALUE!</v>
      </c>
      <c r="O3280" s="247" t="e">
        <f t="shared" si="361"/>
        <v>#VALUE!</v>
      </c>
      <c r="P3280" s="247">
        <f t="shared" si="362"/>
        <v>0</v>
      </c>
      <c r="Q3280" s="247" t="e">
        <f t="shared" si="363"/>
        <v>#VALUE!</v>
      </c>
    </row>
    <row r="3281" spans="1:17" ht="15" customHeight="1" x14ac:dyDescent="0.25">
      <c r="A3281" s="244"/>
      <c r="B3281" s="244"/>
      <c r="C3281" s="244"/>
      <c r="D3281" s="244"/>
      <c r="E3281" s="244"/>
      <c r="F3281" s="244"/>
      <c r="G3281" s="244"/>
      <c r="I3281" s="244"/>
      <c r="J3281" s="244"/>
      <c r="K3281" s="246" t="e">
        <f t="shared" si="357"/>
        <v>#VALUE!</v>
      </c>
      <c r="L3281" s="246" t="e">
        <f t="shared" si="358"/>
        <v>#VALUE!</v>
      </c>
      <c r="M3281" s="247" t="e">
        <f t="shared" si="359"/>
        <v>#VALUE!</v>
      </c>
      <c r="N3281" s="246" t="e">
        <f t="shared" si="360"/>
        <v>#VALUE!</v>
      </c>
      <c r="O3281" s="247" t="e">
        <f t="shared" si="361"/>
        <v>#VALUE!</v>
      </c>
      <c r="P3281" s="247">
        <f t="shared" si="362"/>
        <v>0</v>
      </c>
      <c r="Q3281" s="247" t="e">
        <f t="shared" si="363"/>
        <v>#VALUE!</v>
      </c>
    </row>
    <row r="3282" spans="1:17" ht="15" customHeight="1" x14ac:dyDescent="0.25">
      <c r="A3282" s="244"/>
      <c r="B3282" s="244"/>
      <c r="C3282" s="244"/>
      <c r="D3282" s="244"/>
      <c r="E3282" s="244"/>
      <c r="F3282" s="244"/>
      <c r="G3282" s="244"/>
      <c r="I3282" s="244"/>
      <c r="J3282" s="244"/>
      <c r="K3282" s="246" t="e">
        <f t="shared" si="357"/>
        <v>#VALUE!</v>
      </c>
      <c r="L3282" s="246" t="e">
        <f t="shared" si="358"/>
        <v>#VALUE!</v>
      </c>
      <c r="M3282" s="247" t="e">
        <f t="shared" si="359"/>
        <v>#VALUE!</v>
      </c>
      <c r="N3282" s="246" t="e">
        <f t="shared" si="360"/>
        <v>#VALUE!</v>
      </c>
      <c r="O3282" s="247" t="e">
        <f t="shared" si="361"/>
        <v>#VALUE!</v>
      </c>
      <c r="P3282" s="247">
        <f t="shared" si="362"/>
        <v>0</v>
      </c>
      <c r="Q3282" s="247" t="e">
        <f t="shared" si="363"/>
        <v>#VALUE!</v>
      </c>
    </row>
    <row r="3283" spans="1:17" ht="15" customHeight="1" x14ac:dyDescent="0.25">
      <c r="A3283" s="244"/>
      <c r="B3283" s="244"/>
      <c r="C3283" s="244"/>
      <c r="D3283" s="244"/>
      <c r="E3283" s="244"/>
      <c r="F3283" s="244"/>
      <c r="G3283" s="244"/>
      <c r="I3283" s="244"/>
      <c r="J3283" s="244"/>
      <c r="K3283" s="246" t="e">
        <f t="shared" si="357"/>
        <v>#VALUE!</v>
      </c>
      <c r="L3283" s="246" t="e">
        <f t="shared" si="358"/>
        <v>#VALUE!</v>
      </c>
      <c r="M3283" s="247" t="e">
        <f t="shared" si="359"/>
        <v>#VALUE!</v>
      </c>
      <c r="N3283" s="246" t="e">
        <f t="shared" si="360"/>
        <v>#VALUE!</v>
      </c>
      <c r="O3283" s="247" t="e">
        <f t="shared" si="361"/>
        <v>#VALUE!</v>
      </c>
      <c r="P3283" s="247">
        <f t="shared" si="362"/>
        <v>0</v>
      </c>
      <c r="Q3283" s="247" t="e">
        <f t="shared" si="363"/>
        <v>#VALUE!</v>
      </c>
    </row>
    <row r="3284" spans="1:17" ht="15" customHeight="1" x14ac:dyDescent="0.25">
      <c r="A3284" s="244"/>
      <c r="B3284" s="244"/>
      <c r="C3284" s="244"/>
      <c r="D3284" s="244"/>
      <c r="E3284" s="244"/>
      <c r="F3284" s="244"/>
      <c r="G3284" s="244"/>
      <c r="I3284" s="244"/>
      <c r="J3284" s="244"/>
      <c r="K3284" s="246" t="e">
        <f t="shared" si="357"/>
        <v>#VALUE!</v>
      </c>
      <c r="L3284" s="246" t="e">
        <f t="shared" si="358"/>
        <v>#VALUE!</v>
      </c>
      <c r="M3284" s="247" t="e">
        <f t="shared" si="359"/>
        <v>#VALUE!</v>
      </c>
      <c r="N3284" s="246" t="e">
        <f t="shared" si="360"/>
        <v>#VALUE!</v>
      </c>
      <c r="O3284" s="247" t="e">
        <f t="shared" si="361"/>
        <v>#VALUE!</v>
      </c>
      <c r="P3284" s="247">
        <f t="shared" si="362"/>
        <v>0</v>
      </c>
      <c r="Q3284" s="247" t="e">
        <f t="shared" si="363"/>
        <v>#VALUE!</v>
      </c>
    </row>
    <row r="3285" spans="1:17" ht="15" customHeight="1" x14ac:dyDescent="0.25">
      <c r="A3285" s="244"/>
      <c r="B3285" s="244"/>
      <c r="C3285" s="244"/>
      <c r="D3285" s="244"/>
      <c r="E3285" s="244"/>
      <c r="F3285" s="244"/>
      <c r="G3285" s="244"/>
      <c r="I3285" s="244"/>
      <c r="J3285" s="244"/>
      <c r="K3285" s="246" t="e">
        <f t="shared" si="357"/>
        <v>#VALUE!</v>
      </c>
      <c r="L3285" s="246" t="e">
        <f t="shared" si="358"/>
        <v>#VALUE!</v>
      </c>
      <c r="M3285" s="247" t="e">
        <f t="shared" si="359"/>
        <v>#VALUE!</v>
      </c>
      <c r="N3285" s="246" t="e">
        <f t="shared" si="360"/>
        <v>#VALUE!</v>
      </c>
      <c r="O3285" s="247" t="e">
        <f t="shared" si="361"/>
        <v>#VALUE!</v>
      </c>
      <c r="P3285" s="247">
        <f t="shared" si="362"/>
        <v>0</v>
      </c>
      <c r="Q3285" s="247" t="e">
        <f t="shared" si="363"/>
        <v>#VALUE!</v>
      </c>
    </row>
    <row r="3286" spans="1:17" ht="15" customHeight="1" x14ac:dyDescent="0.25">
      <c r="A3286" s="244"/>
      <c r="B3286" s="244"/>
      <c r="C3286" s="244"/>
      <c r="D3286" s="244"/>
      <c r="E3286" s="244"/>
      <c r="F3286" s="244"/>
      <c r="G3286" s="244"/>
      <c r="I3286" s="244"/>
      <c r="J3286" s="244"/>
      <c r="K3286" s="246" t="e">
        <f t="shared" si="357"/>
        <v>#VALUE!</v>
      </c>
      <c r="L3286" s="246" t="e">
        <f t="shared" si="358"/>
        <v>#VALUE!</v>
      </c>
      <c r="M3286" s="247" t="e">
        <f t="shared" si="359"/>
        <v>#VALUE!</v>
      </c>
      <c r="N3286" s="246" t="e">
        <f t="shared" si="360"/>
        <v>#VALUE!</v>
      </c>
      <c r="O3286" s="247" t="e">
        <f t="shared" si="361"/>
        <v>#VALUE!</v>
      </c>
      <c r="P3286" s="247">
        <f t="shared" si="362"/>
        <v>0</v>
      </c>
      <c r="Q3286" s="247" t="e">
        <f t="shared" si="363"/>
        <v>#VALUE!</v>
      </c>
    </row>
    <row r="3287" spans="1:17" ht="15" customHeight="1" x14ac:dyDescent="0.25">
      <c r="A3287" s="244"/>
      <c r="B3287" s="244"/>
      <c r="C3287" s="244"/>
      <c r="D3287" s="244"/>
      <c r="E3287" s="244"/>
      <c r="F3287" s="244"/>
      <c r="G3287" s="244"/>
      <c r="I3287" s="244"/>
      <c r="J3287" s="244"/>
      <c r="K3287" s="246" t="e">
        <f t="shared" si="357"/>
        <v>#VALUE!</v>
      </c>
      <c r="L3287" s="246" t="e">
        <f t="shared" si="358"/>
        <v>#VALUE!</v>
      </c>
      <c r="M3287" s="247" t="e">
        <f t="shared" si="359"/>
        <v>#VALUE!</v>
      </c>
      <c r="N3287" s="246" t="e">
        <f t="shared" si="360"/>
        <v>#VALUE!</v>
      </c>
      <c r="O3287" s="247" t="e">
        <f t="shared" si="361"/>
        <v>#VALUE!</v>
      </c>
      <c r="P3287" s="247">
        <f t="shared" si="362"/>
        <v>0</v>
      </c>
      <c r="Q3287" s="247" t="e">
        <f t="shared" si="363"/>
        <v>#VALUE!</v>
      </c>
    </row>
    <row r="3288" spans="1:17" ht="15" customHeight="1" x14ac:dyDescent="0.25">
      <c r="A3288" s="244"/>
      <c r="B3288" s="244"/>
      <c r="C3288" s="244"/>
      <c r="D3288" s="244"/>
      <c r="E3288" s="244"/>
      <c r="F3288" s="244"/>
      <c r="G3288" s="244"/>
      <c r="I3288" s="244"/>
      <c r="J3288" s="244"/>
      <c r="K3288" s="246" t="e">
        <f t="shared" si="357"/>
        <v>#VALUE!</v>
      </c>
      <c r="L3288" s="246" t="e">
        <f t="shared" si="358"/>
        <v>#VALUE!</v>
      </c>
      <c r="M3288" s="247" t="e">
        <f t="shared" si="359"/>
        <v>#VALUE!</v>
      </c>
      <c r="N3288" s="246" t="e">
        <f t="shared" si="360"/>
        <v>#VALUE!</v>
      </c>
      <c r="O3288" s="247" t="e">
        <f t="shared" si="361"/>
        <v>#VALUE!</v>
      </c>
      <c r="P3288" s="247">
        <f t="shared" si="362"/>
        <v>0</v>
      </c>
      <c r="Q3288" s="247" t="e">
        <f t="shared" si="363"/>
        <v>#VALUE!</v>
      </c>
    </row>
    <row r="3289" spans="1:17" ht="15" customHeight="1" x14ac:dyDescent="0.25">
      <c r="A3289" s="244"/>
      <c r="B3289" s="244"/>
      <c r="C3289" s="244"/>
      <c r="D3289" s="244"/>
      <c r="E3289" s="244"/>
      <c r="F3289" s="244"/>
      <c r="G3289" s="244"/>
      <c r="I3289" s="244"/>
      <c r="J3289" s="244"/>
      <c r="K3289" s="246" t="e">
        <f t="shared" si="357"/>
        <v>#VALUE!</v>
      </c>
      <c r="L3289" s="246" t="e">
        <f t="shared" si="358"/>
        <v>#VALUE!</v>
      </c>
      <c r="M3289" s="247" t="e">
        <f t="shared" si="359"/>
        <v>#VALUE!</v>
      </c>
      <c r="N3289" s="246" t="e">
        <f t="shared" si="360"/>
        <v>#VALUE!</v>
      </c>
      <c r="O3289" s="247" t="e">
        <f t="shared" si="361"/>
        <v>#VALUE!</v>
      </c>
      <c r="P3289" s="247">
        <f t="shared" si="362"/>
        <v>0</v>
      </c>
      <c r="Q3289" s="247" t="e">
        <f t="shared" si="363"/>
        <v>#VALUE!</v>
      </c>
    </row>
    <row r="3290" spans="1:17" ht="15" customHeight="1" x14ac:dyDescent="0.25">
      <c r="A3290" s="244"/>
      <c r="B3290" s="244"/>
      <c r="C3290" s="244"/>
      <c r="D3290" s="244"/>
      <c r="E3290" s="244"/>
      <c r="F3290" s="244"/>
      <c r="G3290" s="244"/>
      <c r="I3290" s="244"/>
      <c r="J3290" s="244"/>
      <c r="K3290" s="246" t="e">
        <f t="shared" si="357"/>
        <v>#VALUE!</v>
      </c>
      <c r="L3290" s="246" t="e">
        <f t="shared" si="358"/>
        <v>#VALUE!</v>
      </c>
      <c r="M3290" s="247" t="e">
        <f t="shared" si="359"/>
        <v>#VALUE!</v>
      </c>
      <c r="N3290" s="246" t="e">
        <f t="shared" si="360"/>
        <v>#VALUE!</v>
      </c>
      <c r="O3290" s="247" t="e">
        <f t="shared" si="361"/>
        <v>#VALUE!</v>
      </c>
      <c r="P3290" s="247">
        <f t="shared" si="362"/>
        <v>0</v>
      </c>
      <c r="Q3290" s="247" t="e">
        <f t="shared" si="363"/>
        <v>#VALUE!</v>
      </c>
    </row>
    <row r="3291" spans="1:17" ht="15" customHeight="1" x14ac:dyDescent="0.25">
      <c r="A3291" s="244"/>
      <c r="B3291" s="244"/>
      <c r="C3291" s="244"/>
      <c r="D3291" s="244"/>
      <c r="E3291" s="244"/>
      <c r="F3291" s="244"/>
      <c r="G3291" s="244"/>
      <c r="I3291" s="244"/>
      <c r="J3291" s="244"/>
      <c r="K3291" s="246" t="e">
        <f t="shared" si="357"/>
        <v>#VALUE!</v>
      </c>
      <c r="L3291" s="246" t="e">
        <f t="shared" si="358"/>
        <v>#VALUE!</v>
      </c>
      <c r="M3291" s="247" t="e">
        <f t="shared" si="359"/>
        <v>#VALUE!</v>
      </c>
      <c r="N3291" s="246" t="e">
        <f t="shared" si="360"/>
        <v>#VALUE!</v>
      </c>
      <c r="O3291" s="247" t="e">
        <f t="shared" si="361"/>
        <v>#VALUE!</v>
      </c>
      <c r="P3291" s="247">
        <f t="shared" si="362"/>
        <v>0</v>
      </c>
      <c r="Q3291" s="247" t="e">
        <f t="shared" si="363"/>
        <v>#VALUE!</v>
      </c>
    </row>
    <row r="3292" spans="1:17" ht="15" customHeight="1" x14ac:dyDescent="0.25">
      <c r="A3292" s="244"/>
      <c r="B3292" s="244"/>
      <c r="C3292" s="244"/>
      <c r="D3292" s="244"/>
      <c r="E3292" s="244"/>
      <c r="F3292" s="244"/>
      <c r="G3292" s="244"/>
      <c r="I3292" s="244"/>
      <c r="J3292" s="244"/>
      <c r="K3292" s="246" t="e">
        <f t="shared" si="357"/>
        <v>#VALUE!</v>
      </c>
      <c r="L3292" s="246" t="e">
        <f t="shared" si="358"/>
        <v>#VALUE!</v>
      </c>
      <c r="M3292" s="247" t="e">
        <f t="shared" si="359"/>
        <v>#VALUE!</v>
      </c>
      <c r="N3292" s="246" t="e">
        <f t="shared" si="360"/>
        <v>#VALUE!</v>
      </c>
      <c r="O3292" s="247" t="e">
        <f t="shared" si="361"/>
        <v>#VALUE!</v>
      </c>
      <c r="P3292" s="247">
        <f t="shared" si="362"/>
        <v>0</v>
      </c>
      <c r="Q3292" s="247" t="e">
        <f t="shared" si="363"/>
        <v>#VALUE!</v>
      </c>
    </row>
    <row r="3293" spans="1:17" ht="15" customHeight="1" x14ac:dyDescent="0.25">
      <c r="A3293" s="244"/>
      <c r="B3293" s="244"/>
      <c r="C3293" s="244"/>
      <c r="D3293" s="244"/>
      <c r="E3293" s="244"/>
      <c r="F3293" s="244"/>
      <c r="G3293" s="244"/>
      <c r="I3293" s="244"/>
      <c r="J3293" s="244"/>
      <c r="K3293" s="246" t="e">
        <f t="shared" si="357"/>
        <v>#VALUE!</v>
      </c>
      <c r="L3293" s="246" t="e">
        <f t="shared" si="358"/>
        <v>#VALUE!</v>
      </c>
      <c r="M3293" s="247" t="e">
        <f t="shared" si="359"/>
        <v>#VALUE!</v>
      </c>
      <c r="N3293" s="246" t="e">
        <f t="shared" si="360"/>
        <v>#VALUE!</v>
      </c>
      <c r="O3293" s="247" t="e">
        <f t="shared" si="361"/>
        <v>#VALUE!</v>
      </c>
      <c r="P3293" s="247">
        <f t="shared" si="362"/>
        <v>0</v>
      </c>
      <c r="Q3293" s="247" t="e">
        <f t="shared" si="363"/>
        <v>#VALUE!</v>
      </c>
    </row>
    <row r="3294" spans="1:17" ht="15" customHeight="1" x14ac:dyDescent="0.25">
      <c r="A3294" s="244"/>
      <c r="B3294" s="244"/>
      <c r="C3294" s="244"/>
      <c r="D3294" s="244"/>
      <c r="E3294" s="244"/>
      <c r="F3294" s="244"/>
      <c r="G3294" s="244"/>
      <c r="I3294" s="244"/>
      <c r="J3294" s="244"/>
      <c r="K3294" s="246" t="e">
        <f t="shared" si="357"/>
        <v>#VALUE!</v>
      </c>
      <c r="L3294" s="246" t="e">
        <f t="shared" si="358"/>
        <v>#VALUE!</v>
      </c>
      <c r="M3294" s="247" t="e">
        <f t="shared" si="359"/>
        <v>#VALUE!</v>
      </c>
      <c r="N3294" s="246" t="e">
        <f t="shared" si="360"/>
        <v>#VALUE!</v>
      </c>
      <c r="O3294" s="247" t="e">
        <f t="shared" si="361"/>
        <v>#VALUE!</v>
      </c>
      <c r="P3294" s="247">
        <f t="shared" si="362"/>
        <v>0</v>
      </c>
      <c r="Q3294" s="247" t="e">
        <f t="shared" si="363"/>
        <v>#VALUE!</v>
      </c>
    </row>
    <row r="3295" spans="1:17" ht="15" customHeight="1" x14ac:dyDescent="0.25">
      <c r="A3295" s="244"/>
      <c r="B3295" s="244"/>
      <c r="C3295" s="244"/>
      <c r="D3295" s="244"/>
      <c r="E3295" s="244"/>
      <c r="F3295" s="244"/>
      <c r="G3295" s="244"/>
      <c r="I3295" s="244"/>
      <c r="J3295" s="244"/>
      <c r="K3295" s="246" t="e">
        <f t="shared" si="357"/>
        <v>#VALUE!</v>
      </c>
      <c r="L3295" s="246" t="e">
        <f t="shared" si="358"/>
        <v>#VALUE!</v>
      </c>
      <c r="M3295" s="247" t="e">
        <f t="shared" si="359"/>
        <v>#VALUE!</v>
      </c>
      <c r="N3295" s="246" t="e">
        <f t="shared" si="360"/>
        <v>#VALUE!</v>
      </c>
      <c r="O3295" s="247" t="e">
        <f t="shared" si="361"/>
        <v>#VALUE!</v>
      </c>
      <c r="P3295" s="247">
        <f t="shared" si="362"/>
        <v>0</v>
      </c>
      <c r="Q3295" s="247" t="e">
        <f t="shared" si="363"/>
        <v>#VALUE!</v>
      </c>
    </row>
    <row r="3296" spans="1:17" ht="15" customHeight="1" x14ac:dyDescent="0.25">
      <c r="A3296" s="244"/>
      <c r="B3296" s="244"/>
      <c r="C3296" s="244"/>
      <c r="D3296" s="244"/>
      <c r="E3296" s="244"/>
      <c r="F3296" s="244"/>
      <c r="G3296" s="244"/>
      <c r="I3296" s="244"/>
      <c r="J3296" s="244"/>
      <c r="K3296" s="246" t="e">
        <f t="shared" si="357"/>
        <v>#VALUE!</v>
      </c>
      <c r="L3296" s="246" t="e">
        <f t="shared" si="358"/>
        <v>#VALUE!</v>
      </c>
      <c r="M3296" s="247" t="e">
        <f t="shared" si="359"/>
        <v>#VALUE!</v>
      </c>
      <c r="N3296" s="246" t="e">
        <f t="shared" si="360"/>
        <v>#VALUE!</v>
      </c>
      <c r="O3296" s="247" t="e">
        <f t="shared" si="361"/>
        <v>#VALUE!</v>
      </c>
      <c r="P3296" s="247">
        <f t="shared" si="362"/>
        <v>0</v>
      </c>
      <c r="Q3296" s="247" t="e">
        <f t="shared" si="363"/>
        <v>#VALUE!</v>
      </c>
    </row>
    <row r="3297" spans="1:17" ht="15" customHeight="1" x14ac:dyDescent="0.25">
      <c r="A3297" s="244"/>
      <c r="B3297" s="244"/>
      <c r="C3297" s="244"/>
      <c r="D3297" s="244"/>
      <c r="E3297" s="244"/>
      <c r="F3297" s="244"/>
      <c r="G3297" s="244"/>
      <c r="I3297" s="244"/>
      <c r="J3297" s="244"/>
      <c r="K3297" s="246" t="e">
        <f t="shared" si="357"/>
        <v>#VALUE!</v>
      </c>
      <c r="L3297" s="246" t="e">
        <f t="shared" si="358"/>
        <v>#VALUE!</v>
      </c>
      <c r="M3297" s="247" t="e">
        <f t="shared" si="359"/>
        <v>#VALUE!</v>
      </c>
      <c r="N3297" s="246" t="e">
        <f t="shared" si="360"/>
        <v>#VALUE!</v>
      </c>
      <c r="O3297" s="247" t="e">
        <f t="shared" si="361"/>
        <v>#VALUE!</v>
      </c>
      <c r="P3297" s="247">
        <f t="shared" si="362"/>
        <v>0</v>
      </c>
      <c r="Q3297" s="247" t="e">
        <f t="shared" si="363"/>
        <v>#VALUE!</v>
      </c>
    </row>
    <row r="3298" spans="1:17" ht="15" customHeight="1" x14ac:dyDescent="0.25">
      <c r="A3298" s="244"/>
      <c r="B3298" s="244"/>
      <c r="C3298" s="244"/>
      <c r="D3298" s="244"/>
      <c r="E3298" s="244"/>
      <c r="F3298" s="244"/>
      <c r="G3298" s="244"/>
      <c r="I3298" s="244"/>
      <c r="J3298" s="244"/>
      <c r="K3298" s="246" t="e">
        <f t="shared" si="357"/>
        <v>#VALUE!</v>
      </c>
      <c r="L3298" s="246" t="e">
        <f t="shared" si="358"/>
        <v>#VALUE!</v>
      </c>
      <c r="M3298" s="247" t="e">
        <f t="shared" si="359"/>
        <v>#VALUE!</v>
      </c>
      <c r="N3298" s="246" t="e">
        <f t="shared" si="360"/>
        <v>#VALUE!</v>
      </c>
      <c r="O3298" s="247" t="e">
        <f t="shared" si="361"/>
        <v>#VALUE!</v>
      </c>
      <c r="P3298" s="247">
        <f t="shared" si="362"/>
        <v>0</v>
      </c>
      <c r="Q3298" s="247" t="e">
        <f t="shared" si="363"/>
        <v>#VALUE!</v>
      </c>
    </row>
    <row r="3299" spans="1:17" ht="15" customHeight="1" x14ac:dyDescent="0.25">
      <c r="A3299" s="244"/>
      <c r="B3299" s="244"/>
      <c r="C3299" s="244"/>
      <c r="D3299" s="244"/>
      <c r="E3299" s="244"/>
      <c r="F3299" s="244"/>
      <c r="G3299" s="244"/>
      <c r="I3299" s="244"/>
      <c r="J3299" s="244"/>
      <c r="K3299" s="246" t="e">
        <f t="shared" si="357"/>
        <v>#VALUE!</v>
      </c>
      <c r="L3299" s="246" t="e">
        <f t="shared" si="358"/>
        <v>#VALUE!</v>
      </c>
      <c r="M3299" s="247" t="e">
        <f t="shared" si="359"/>
        <v>#VALUE!</v>
      </c>
      <c r="N3299" s="246" t="e">
        <f t="shared" si="360"/>
        <v>#VALUE!</v>
      </c>
      <c r="O3299" s="247" t="e">
        <f t="shared" si="361"/>
        <v>#VALUE!</v>
      </c>
      <c r="P3299" s="247">
        <f t="shared" si="362"/>
        <v>0</v>
      </c>
      <c r="Q3299" s="247" t="e">
        <f t="shared" si="363"/>
        <v>#VALUE!</v>
      </c>
    </row>
    <row r="3300" spans="1:17" ht="15" customHeight="1" x14ac:dyDescent="0.25">
      <c r="A3300" s="244"/>
      <c r="B3300" s="244"/>
      <c r="C3300" s="244"/>
      <c r="D3300" s="244"/>
      <c r="E3300" s="244"/>
      <c r="F3300" s="244"/>
      <c r="G3300" s="244"/>
      <c r="I3300" s="244"/>
      <c r="J3300" s="244"/>
      <c r="K3300" s="246" t="e">
        <f t="shared" si="357"/>
        <v>#VALUE!</v>
      </c>
      <c r="L3300" s="246" t="e">
        <f t="shared" si="358"/>
        <v>#VALUE!</v>
      </c>
      <c r="M3300" s="247" t="e">
        <f t="shared" si="359"/>
        <v>#VALUE!</v>
      </c>
      <c r="N3300" s="246" t="e">
        <f t="shared" si="360"/>
        <v>#VALUE!</v>
      </c>
      <c r="O3300" s="247" t="e">
        <f t="shared" si="361"/>
        <v>#VALUE!</v>
      </c>
      <c r="P3300" s="247">
        <f t="shared" si="362"/>
        <v>0</v>
      </c>
      <c r="Q3300" s="247" t="e">
        <f t="shared" si="363"/>
        <v>#VALUE!</v>
      </c>
    </row>
    <row r="3301" spans="1:17" ht="15" customHeight="1" x14ac:dyDescent="0.25">
      <c r="A3301" s="244"/>
      <c r="B3301" s="244"/>
      <c r="C3301" s="244"/>
      <c r="D3301" s="244"/>
      <c r="E3301" s="244"/>
      <c r="F3301" s="244"/>
      <c r="G3301" s="244"/>
      <c r="I3301" s="244"/>
      <c r="J3301" s="244"/>
      <c r="K3301" s="246" t="e">
        <f t="shared" si="357"/>
        <v>#VALUE!</v>
      </c>
      <c r="L3301" s="246" t="e">
        <f t="shared" si="358"/>
        <v>#VALUE!</v>
      </c>
      <c r="M3301" s="247" t="e">
        <f t="shared" si="359"/>
        <v>#VALUE!</v>
      </c>
      <c r="N3301" s="246" t="e">
        <f t="shared" si="360"/>
        <v>#VALUE!</v>
      </c>
      <c r="O3301" s="247" t="e">
        <f t="shared" si="361"/>
        <v>#VALUE!</v>
      </c>
      <c r="P3301" s="247">
        <f t="shared" si="362"/>
        <v>0</v>
      </c>
      <c r="Q3301" s="247" t="e">
        <f t="shared" si="363"/>
        <v>#VALUE!</v>
      </c>
    </row>
    <row r="3302" spans="1:17" ht="15" customHeight="1" x14ac:dyDescent="0.25">
      <c r="A3302" s="244"/>
      <c r="B3302" s="244"/>
      <c r="C3302" s="244"/>
      <c r="D3302" s="244"/>
      <c r="E3302" s="244"/>
      <c r="F3302" s="244"/>
      <c r="G3302" s="244"/>
      <c r="I3302" s="244"/>
      <c r="J3302" s="244"/>
      <c r="K3302" s="246" t="e">
        <f t="shared" si="357"/>
        <v>#VALUE!</v>
      </c>
      <c r="L3302" s="246" t="e">
        <f t="shared" si="358"/>
        <v>#VALUE!</v>
      </c>
      <c r="M3302" s="247" t="e">
        <f t="shared" si="359"/>
        <v>#VALUE!</v>
      </c>
      <c r="N3302" s="246" t="e">
        <f t="shared" si="360"/>
        <v>#VALUE!</v>
      </c>
      <c r="O3302" s="247" t="e">
        <f t="shared" si="361"/>
        <v>#VALUE!</v>
      </c>
      <c r="P3302" s="247">
        <f t="shared" si="362"/>
        <v>0</v>
      </c>
      <c r="Q3302" s="247" t="e">
        <f t="shared" si="363"/>
        <v>#VALUE!</v>
      </c>
    </row>
    <row r="3303" spans="1:17" ht="15" customHeight="1" x14ac:dyDescent="0.25">
      <c r="A3303" s="244"/>
      <c r="B3303" s="244"/>
      <c r="C3303" s="244"/>
      <c r="D3303" s="244"/>
      <c r="E3303" s="244"/>
      <c r="F3303" s="244"/>
      <c r="G3303" s="244"/>
      <c r="I3303" s="244"/>
      <c r="J3303" s="244"/>
      <c r="K3303" s="246" t="e">
        <f t="shared" si="357"/>
        <v>#VALUE!</v>
      </c>
      <c r="L3303" s="246" t="e">
        <f t="shared" si="358"/>
        <v>#VALUE!</v>
      </c>
      <c r="M3303" s="247" t="e">
        <f t="shared" si="359"/>
        <v>#VALUE!</v>
      </c>
      <c r="N3303" s="246" t="e">
        <f t="shared" si="360"/>
        <v>#VALUE!</v>
      </c>
      <c r="O3303" s="247" t="e">
        <f t="shared" si="361"/>
        <v>#VALUE!</v>
      </c>
      <c r="P3303" s="247">
        <f t="shared" si="362"/>
        <v>0</v>
      </c>
      <c r="Q3303" s="247" t="e">
        <f t="shared" si="363"/>
        <v>#VALUE!</v>
      </c>
    </row>
    <row r="3304" spans="1:17" ht="15" customHeight="1" x14ac:dyDescent="0.25">
      <c r="A3304" s="244"/>
      <c r="B3304" s="244"/>
      <c r="C3304" s="244"/>
      <c r="D3304" s="244"/>
      <c r="E3304" s="244"/>
      <c r="F3304" s="244"/>
      <c r="G3304" s="244"/>
      <c r="I3304" s="244"/>
      <c r="J3304" s="244"/>
      <c r="K3304" s="246" t="e">
        <f t="shared" si="357"/>
        <v>#VALUE!</v>
      </c>
      <c r="L3304" s="246" t="e">
        <f t="shared" si="358"/>
        <v>#VALUE!</v>
      </c>
      <c r="M3304" s="247" t="e">
        <f t="shared" si="359"/>
        <v>#VALUE!</v>
      </c>
      <c r="N3304" s="246" t="e">
        <f t="shared" si="360"/>
        <v>#VALUE!</v>
      </c>
      <c r="O3304" s="247" t="e">
        <f t="shared" si="361"/>
        <v>#VALUE!</v>
      </c>
      <c r="P3304" s="247">
        <f t="shared" si="362"/>
        <v>0</v>
      </c>
      <c r="Q3304" s="247" t="e">
        <f t="shared" si="363"/>
        <v>#VALUE!</v>
      </c>
    </row>
    <row r="3305" spans="1:17" ht="15" customHeight="1" x14ac:dyDescent="0.25">
      <c r="A3305" s="244"/>
      <c r="B3305" s="244"/>
      <c r="C3305" s="244"/>
      <c r="D3305" s="244"/>
      <c r="E3305" s="244"/>
      <c r="F3305" s="244"/>
      <c r="G3305" s="244"/>
      <c r="I3305" s="244"/>
      <c r="J3305" s="244"/>
      <c r="K3305" s="246" t="e">
        <f t="shared" si="357"/>
        <v>#VALUE!</v>
      </c>
      <c r="L3305" s="246" t="e">
        <f t="shared" si="358"/>
        <v>#VALUE!</v>
      </c>
      <c r="M3305" s="247" t="e">
        <f t="shared" si="359"/>
        <v>#VALUE!</v>
      </c>
      <c r="N3305" s="246" t="e">
        <f t="shared" si="360"/>
        <v>#VALUE!</v>
      </c>
      <c r="O3305" s="247" t="e">
        <f t="shared" si="361"/>
        <v>#VALUE!</v>
      </c>
      <c r="P3305" s="247">
        <f t="shared" si="362"/>
        <v>0</v>
      </c>
      <c r="Q3305" s="247" t="e">
        <f t="shared" si="363"/>
        <v>#VALUE!</v>
      </c>
    </row>
    <row r="3306" spans="1:17" ht="15" customHeight="1" x14ac:dyDescent="0.25">
      <c r="A3306" s="244"/>
      <c r="B3306" s="244"/>
      <c r="C3306" s="244"/>
      <c r="D3306" s="244"/>
      <c r="E3306" s="244"/>
      <c r="F3306" s="244"/>
      <c r="G3306" s="244"/>
      <c r="I3306" s="244"/>
      <c r="J3306" s="244"/>
      <c r="K3306" s="246" t="e">
        <f t="shared" si="357"/>
        <v>#VALUE!</v>
      </c>
      <c r="L3306" s="246" t="e">
        <f t="shared" si="358"/>
        <v>#VALUE!</v>
      </c>
      <c r="M3306" s="247" t="e">
        <f t="shared" si="359"/>
        <v>#VALUE!</v>
      </c>
      <c r="N3306" s="246" t="e">
        <f t="shared" si="360"/>
        <v>#VALUE!</v>
      </c>
      <c r="O3306" s="247" t="e">
        <f t="shared" si="361"/>
        <v>#VALUE!</v>
      </c>
      <c r="P3306" s="247">
        <f t="shared" si="362"/>
        <v>0</v>
      </c>
      <c r="Q3306" s="247" t="e">
        <f t="shared" si="363"/>
        <v>#VALUE!</v>
      </c>
    </row>
    <row r="3307" spans="1:17" ht="15" customHeight="1" x14ac:dyDescent="0.25">
      <c r="A3307" s="244"/>
      <c r="B3307" s="244"/>
      <c r="C3307" s="244"/>
      <c r="D3307" s="244"/>
      <c r="E3307" s="244"/>
      <c r="F3307" s="244"/>
      <c r="G3307" s="244"/>
      <c r="I3307" s="244"/>
      <c r="J3307" s="244"/>
      <c r="K3307" s="246" t="e">
        <f t="shared" si="357"/>
        <v>#VALUE!</v>
      </c>
      <c r="L3307" s="246" t="e">
        <f t="shared" si="358"/>
        <v>#VALUE!</v>
      </c>
      <c r="M3307" s="247" t="e">
        <f t="shared" si="359"/>
        <v>#VALUE!</v>
      </c>
      <c r="N3307" s="246" t="e">
        <f t="shared" si="360"/>
        <v>#VALUE!</v>
      </c>
      <c r="O3307" s="247" t="e">
        <f t="shared" si="361"/>
        <v>#VALUE!</v>
      </c>
      <c r="P3307" s="247">
        <f t="shared" si="362"/>
        <v>0</v>
      </c>
      <c r="Q3307" s="247" t="e">
        <f t="shared" si="363"/>
        <v>#VALUE!</v>
      </c>
    </row>
    <row r="3308" spans="1:17" ht="15" customHeight="1" x14ac:dyDescent="0.25">
      <c r="A3308" s="244"/>
      <c r="B3308" s="244"/>
      <c r="C3308" s="244"/>
      <c r="D3308" s="244"/>
      <c r="E3308" s="244"/>
      <c r="F3308" s="244"/>
      <c r="G3308" s="244"/>
      <c r="I3308" s="244"/>
      <c r="J3308" s="244"/>
      <c r="K3308" s="246" t="e">
        <f t="shared" si="357"/>
        <v>#VALUE!</v>
      </c>
      <c r="L3308" s="246" t="e">
        <f t="shared" si="358"/>
        <v>#VALUE!</v>
      </c>
      <c r="M3308" s="247" t="e">
        <f t="shared" si="359"/>
        <v>#VALUE!</v>
      </c>
      <c r="N3308" s="246" t="e">
        <f t="shared" si="360"/>
        <v>#VALUE!</v>
      </c>
      <c r="O3308" s="247" t="e">
        <f t="shared" si="361"/>
        <v>#VALUE!</v>
      </c>
      <c r="P3308" s="247">
        <f t="shared" si="362"/>
        <v>0</v>
      </c>
      <c r="Q3308" s="247" t="e">
        <f t="shared" si="363"/>
        <v>#VALUE!</v>
      </c>
    </row>
    <row r="3309" spans="1:17" ht="15" customHeight="1" x14ac:dyDescent="0.25">
      <c r="A3309" s="244"/>
      <c r="B3309" s="244"/>
      <c r="C3309" s="244"/>
      <c r="D3309" s="244"/>
      <c r="E3309" s="244"/>
      <c r="F3309" s="244"/>
      <c r="G3309" s="244"/>
      <c r="I3309" s="244"/>
      <c r="J3309" s="244"/>
      <c r="K3309" s="246" t="e">
        <f t="shared" si="357"/>
        <v>#VALUE!</v>
      </c>
      <c r="L3309" s="246" t="e">
        <f t="shared" si="358"/>
        <v>#VALUE!</v>
      </c>
      <c r="M3309" s="247" t="e">
        <f t="shared" si="359"/>
        <v>#VALUE!</v>
      </c>
      <c r="N3309" s="246" t="e">
        <f t="shared" si="360"/>
        <v>#VALUE!</v>
      </c>
      <c r="O3309" s="247" t="e">
        <f t="shared" si="361"/>
        <v>#VALUE!</v>
      </c>
      <c r="P3309" s="247">
        <f t="shared" si="362"/>
        <v>0</v>
      </c>
      <c r="Q3309" s="247" t="e">
        <f t="shared" si="363"/>
        <v>#VALUE!</v>
      </c>
    </row>
    <row r="3310" spans="1:17" ht="15" customHeight="1" x14ac:dyDescent="0.25">
      <c r="A3310" s="244"/>
      <c r="B3310" s="244"/>
      <c r="C3310" s="244"/>
      <c r="D3310" s="244"/>
      <c r="E3310" s="244"/>
      <c r="F3310" s="244"/>
      <c r="G3310" s="244"/>
      <c r="I3310" s="244"/>
      <c r="J3310" s="244"/>
      <c r="K3310" s="246" t="e">
        <f t="shared" si="357"/>
        <v>#VALUE!</v>
      </c>
      <c r="L3310" s="246" t="e">
        <f t="shared" si="358"/>
        <v>#VALUE!</v>
      </c>
      <c r="M3310" s="247" t="e">
        <f t="shared" si="359"/>
        <v>#VALUE!</v>
      </c>
      <c r="N3310" s="246" t="e">
        <f t="shared" si="360"/>
        <v>#VALUE!</v>
      </c>
      <c r="O3310" s="247" t="e">
        <f t="shared" si="361"/>
        <v>#VALUE!</v>
      </c>
      <c r="P3310" s="247">
        <f t="shared" si="362"/>
        <v>0</v>
      </c>
      <c r="Q3310" s="247" t="e">
        <f t="shared" si="363"/>
        <v>#VALUE!</v>
      </c>
    </row>
    <row r="3311" spans="1:17" ht="15" customHeight="1" x14ac:dyDescent="0.25">
      <c r="A3311" s="244"/>
      <c r="B3311" s="244"/>
      <c r="C3311" s="244"/>
      <c r="D3311" s="244"/>
      <c r="E3311" s="244"/>
      <c r="F3311" s="244"/>
      <c r="G3311" s="244"/>
      <c r="I3311" s="244"/>
      <c r="J3311" s="244"/>
      <c r="K3311" s="246" t="e">
        <f t="shared" si="357"/>
        <v>#VALUE!</v>
      </c>
      <c r="L3311" s="246" t="e">
        <f t="shared" si="358"/>
        <v>#VALUE!</v>
      </c>
      <c r="M3311" s="247" t="e">
        <f t="shared" si="359"/>
        <v>#VALUE!</v>
      </c>
      <c r="N3311" s="246" t="e">
        <f t="shared" si="360"/>
        <v>#VALUE!</v>
      </c>
      <c r="O3311" s="247" t="e">
        <f t="shared" si="361"/>
        <v>#VALUE!</v>
      </c>
      <c r="P3311" s="247">
        <f t="shared" si="362"/>
        <v>0</v>
      </c>
      <c r="Q3311" s="247" t="e">
        <f t="shared" si="363"/>
        <v>#VALUE!</v>
      </c>
    </row>
    <row r="3312" spans="1:17" ht="15" customHeight="1" x14ac:dyDescent="0.25">
      <c r="A3312" s="244"/>
      <c r="B3312" s="244"/>
      <c r="C3312" s="244"/>
      <c r="D3312" s="244"/>
      <c r="E3312" s="244"/>
      <c r="F3312" s="244"/>
      <c r="G3312" s="244"/>
      <c r="I3312" s="244"/>
      <c r="J3312" s="244"/>
      <c r="K3312" s="246" t="e">
        <f t="shared" si="357"/>
        <v>#VALUE!</v>
      </c>
      <c r="L3312" s="246" t="e">
        <f t="shared" si="358"/>
        <v>#VALUE!</v>
      </c>
      <c r="M3312" s="247" t="e">
        <f t="shared" si="359"/>
        <v>#VALUE!</v>
      </c>
      <c r="N3312" s="246" t="e">
        <f t="shared" si="360"/>
        <v>#VALUE!</v>
      </c>
      <c r="O3312" s="247" t="e">
        <f t="shared" si="361"/>
        <v>#VALUE!</v>
      </c>
      <c r="P3312" s="247">
        <f t="shared" si="362"/>
        <v>0</v>
      </c>
      <c r="Q3312" s="247" t="e">
        <f t="shared" si="363"/>
        <v>#VALUE!</v>
      </c>
    </row>
    <row r="3313" spans="1:17" ht="15" customHeight="1" x14ac:dyDescent="0.25">
      <c r="A3313" s="244"/>
      <c r="B3313" s="244"/>
      <c r="C3313" s="244"/>
      <c r="D3313" s="244"/>
      <c r="E3313" s="244"/>
      <c r="F3313" s="244"/>
      <c r="G3313" s="244"/>
      <c r="I3313" s="244"/>
      <c r="J3313" s="244"/>
      <c r="K3313" s="246" t="e">
        <f t="shared" si="357"/>
        <v>#VALUE!</v>
      </c>
      <c r="L3313" s="246" t="e">
        <f t="shared" si="358"/>
        <v>#VALUE!</v>
      </c>
      <c r="M3313" s="247" t="e">
        <f t="shared" si="359"/>
        <v>#VALUE!</v>
      </c>
      <c r="N3313" s="246" t="e">
        <f t="shared" si="360"/>
        <v>#VALUE!</v>
      </c>
      <c r="O3313" s="247" t="e">
        <f t="shared" si="361"/>
        <v>#VALUE!</v>
      </c>
      <c r="P3313" s="247">
        <f t="shared" si="362"/>
        <v>0</v>
      </c>
      <c r="Q3313" s="247" t="e">
        <f t="shared" si="363"/>
        <v>#VALUE!</v>
      </c>
    </row>
    <row r="3314" spans="1:17" ht="15" customHeight="1" x14ac:dyDescent="0.25">
      <c r="A3314" s="244"/>
      <c r="B3314" s="244"/>
      <c r="C3314" s="244"/>
      <c r="D3314" s="244"/>
      <c r="E3314" s="244"/>
      <c r="F3314" s="244"/>
      <c r="G3314" s="244"/>
      <c r="I3314" s="244"/>
      <c r="J3314" s="244"/>
      <c r="K3314" s="246" t="e">
        <f t="shared" si="357"/>
        <v>#VALUE!</v>
      </c>
      <c r="L3314" s="246" t="e">
        <f t="shared" si="358"/>
        <v>#VALUE!</v>
      </c>
      <c r="M3314" s="247" t="e">
        <f t="shared" si="359"/>
        <v>#VALUE!</v>
      </c>
      <c r="N3314" s="246" t="e">
        <f t="shared" si="360"/>
        <v>#VALUE!</v>
      </c>
      <c r="O3314" s="247" t="e">
        <f t="shared" si="361"/>
        <v>#VALUE!</v>
      </c>
      <c r="P3314" s="247">
        <f t="shared" si="362"/>
        <v>0</v>
      </c>
      <c r="Q3314" s="247" t="e">
        <f t="shared" si="363"/>
        <v>#VALUE!</v>
      </c>
    </row>
    <row r="3315" spans="1:17" ht="15" customHeight="1" x14ac:dyDescent="0.25">
      <c r="A3315" s="244"/>
      <c r="B3315" s="244"/>
      <c r="C3315" s="244"/>
      <c r="D3315" s="244"/>
      <c r="E3315" s="244"/>
      <c r="F3315" s="244"/>
      <c r="G3315" s="244"/>
      <c r="I3315" s="244"/>
      <c r="J3315" s="244"/>
      <c r="K3315" s="246" t="e">
        <f t="shared" si="357"/>
        <v>#VALUE!</v>
      </c>
      <c r="L3315" s="246" t="e">
        <f t="shared" si="358"/>
        <v>#VALUE!</v>
      </c>
      <c r="M3315" s="247" t="e">
        <f t="shared" si="359"/>
        <v>#VALUE!</v>
      </c>
      <c r="N3315" s="246" t="e">
        <f t="shared" si="360"/>
        <v>#VALUE!</v>
      </c>
      <c r="O3315" s="247" t="e">
        <f t="shared" si="361"/>
        <v>#VALUE!</v>
      </c>
      <c r="P3315" s="247">
        <f t="shared" si="362"/>
        <v>0</v>
      </c>
      <c r="Q3315" s="247" t="e">
        <f t="shared" si="363"/>
        <v>#VALUE!</v>
      </c>
    </row>
    <row r="3316" spans="1:17" ht="15" customHeight="1" x14ac:dyDescent="0.25">
      <c r="A3316" s="244"/>
      <c r="B3316" s="244"/>
      <c r="C3316" s="244"/>
      <c r="D3316" s="244"/>
      <c r="E3316" s="244"/>
      <c r="F3316" s="244"/>
      <c r="G3316" s="244"/>
      <c r="I3316" s="244"/>
      <c r="J3316" s="244"/>
      <c r="K3316" s="246" t="e">
        <f t="shared" si="357"/>
        <v>#VALUE!</v>
      </c>
      <c r="L3316" s="246" t="e">
        <f t="shared" si="358"/>
        <v>#VALUE!</v>
      </c>
      <c r="M3316" s="247" t="e">
        <f t="shared" si="359"/>
        <v>#VALUE!</v>
      </c>
      <c r="N3316" s="246" t="e">
        <f t="shared" si="360"/>
        <v>#VALUE!</v>
      </c>
      <c r="O3316" s="247" t="e">
        <f t="shared" si="361"/>
        <v>#VALUE!</v>
      </c>
      <c r="P3316" s="247">
        <f t="shared" si="362"/>
        <v>0</v>
      </c>
      <c r="Q3316" s="247" t="e">
        <f t="shared" si="363"/>
        <v>#VALUE!</v>
      </c>
    </row>
    <row r="3317" spans="1:17" ht="15" customHeight="1" x14ac:dyDescent="0.25">
      <c r="A3317" s="244"/>
      <c r="B3317" s="244"/>
      <c r="C3317" s="244"/>
      <c r="D3317" s="244"/>
      <c r="E3317" s="244"/>
      <c r="F3317" s="244"/>
      <c r="G3317" s="244"/>
      <c r="I3317" s="244"/>
      <c r="J3317" s="244"/>
      <c r="K3317" s="246" t="e">
        <f t="shared" si="357"/>
        <v>#VALUE!</v>
      </c>
      <c r="L3317" s="246" t="e">
        <f t="shared" si="358"/>
        <v>#VALUE!</v>
      </c>
      <c r="M3317" s="247" t="e">
        <f t="shared" si="359"/>
        <v>#VALUE!</v>
      </c>
      <c r="N3317" s="246" t="e">
        <f t="shared" si="360"/>
        <v>#VALUE!</v>
      </c>
      <c r="O3317" s="247" t="e">
        <f t="shared" si="361"/>
        <v>#VALUE!</v>
      </c>
      <c r="P3317" s="247">
        <f t="shared" si="362"/>
        <v>0</v>
      </c>
      <c r="Q3317" s="247" t="e">
        <f t="shared" si="363"/>
        <v>#VALUE!</v>
      </c>
    </row>
    <row r="3318" spans="1:17" ht="15" customHeight="1" x14ac:dyDescent="0.25">
      <c r="A3318" s="244"/>
      <c r="B3318" s="244"/>
      <c r="C3318" s="244"/>
      <c r="D3318" s="244"/>
      <c r="E3318" s="244"/>
      <c r="F3318" s="244"/>
      <c r="G3318" s="244"/>
      <c r="I3318" s="244"/>
      <c r="J3318" s="244"/>
      <c r="K3318" s="246" t="e">
        <f t="shared" si="357"/>
        <v>#VALUE!</v>
      </c>
      <c r="L3318" s="246" t="e">
        <f t="shared" si="358"/>
        <v>#VALUE!</v>
      </c>
      <c r="M3318" s="247" t="e">
        <f t="shared" si="359"/>
        <v>#VALUE!</v>
      </c>
      <c r="N3318" s="246" t="e">
        <f t="shared" si="360"/>
        <v>#VALUE!</v>
      </c>
      <c r="O3318" s="247" t="e">
        <f t="shared" si="361"/>
        <v>#VALUE!</v>
      </c>
      <c r="P3318" s="247">
        <f t="shared" si="362"/>
        <v>0</v>
      </c>
      <c r="Q3318" s="247" t="e">
        <f t="shared" si="363"/>
        <v>#VALUE!</v>
      </c>
    </row>
    <row r="3319" spans="1:17" ht="15" customHeight="1" x14ac:dyDescent="0.25">
      <c r="A3319" s="244"/>
      <c r="B3319" s="244"/>
      <c r="C3319" s="244"/>
      <c r="D3319" s="244"/>
      <c r="E3319" s="244"/>
      <c r="F3319" s="244"/>
      <c r="G3319" s="244"/>
      <c r="I3319" s="244"/>
      <c r="J3319" s="244"/>
      <c r="K3319" s="246" t="e">
        <f t="shared" si="357"/>
        <v>#VALUE!</v>
      </c>
      <c r="L3319" s="246" t="e">
        <f t="shared" si="358"/>
        <v>#VALUE!</v>
      </c>
      <c r="M3319" s="247" t="e">
        <f t="shared" si="359"/>
        <v>#VALUE!</v>
      </c>
      <c r="N3319" s="246" t="e">
        <f t="shared" si="360"/>
        <v>#VALUE!</v>
      </c>
      <c r="O3319" s="247" t="e">
        <f t="shared" si="361"/>
        <v>#VALUE!</v>
      </c>
      <c r="P3319" s="247">
        <f t="shared" si="362"/>
        <v>0</v>
      </c>
      <c r="Q3319" s="247" t="e">
        <f t="shared" si="363"/>
        <v>#VALUE!</v>
      </c>
    </row>
    <row r="3320" spans="1:17" ht="15" customHeight="1" x14ac:dyDescent="0.25">
      <c r="A3320" s="244"/>
      <c r="B3320" s="244"/>
      <c r="C3320" s="244"/>
      <c r="D3320" s="244"/>
      <c r="E3320" s="244"/>
      <c r="F3320" s="244"/>
      <c r="G3320" s="244"/>
      <c r="I3320" s="244"/>
      <c r="J3320" s="244"/>
      <c r="K3320" s="246" t="e">
        <f t="shared" si="357"/>
        <v>#VALUE!</v>
      </c>
      <c r="L3320" s="246" t="e">
        <f t="shared" si="358"/>
        <v>#VALUE!</v>
      </c>
      <c r="M3320" s="247" t="e">
        <f t="shared" si="359"/>
        <v>#VALUE!</v>
      </c>
      <c r="N3320" s="246" t="e">
        <f t="shared" si="360"/>
        <v>#VALUE!</v>
      </c>
      <c r="O3320" s="247" t="e">
        <f t="shared" si="361"/>
        <v>#VALUE!</v>
      </c>
      <c r="P3320" s="247">
        <f t="shared" si="362"/>
        <v>0</v>
      </c>
      <c r="Q3320" s="247" t="e">
        <f t="shared" si="363"/>
        <v>#VALUE!</v>
      </c>
    </row>
    <row r="3321" spans="1:17" ht="15" customHeight="1" x14ac:dyDescent="0.25">
      <c r="A3321" s="244"/>
      <c r="B3321" s="244"/>
      <c r="C3321" s="244"/>
      <c r="D3321" s="244"/>
      <c r="E3321" s="244"/>
      <c r="F3321" s="244"/>
      <c r="G3321" s="244"/>
      <c r="I3321" s="244"/>
      <c r="J3321" s="244"/>
      <c r="K3321" s="246" t="e">
        <f t="shared" si="357"/>
        <v>#VALUE!</v>
      </c>
      <c r="L3321" s="246" t="e">
        <f t="shared" si="358"/>
        <v>#VALUE!</v>
      </c>
      <c r="M3321" s="247" t="e">
        <f t="shared" si="359"/>
        <v>#VALUE!</v>
      </c>
      <c r="N3321" s="246" t="e">
        <f t="shared" si="360"/>
        <v>#VALUE!</v>
      </c>
      <c r="O3321" s="247" t="e">
        <f t="shared" si="361"/>
        <v>#VALUE!</v>
      </c>
      <c r="P3321" s="247">
        <f t="shared" si="362"/>
        <v>0</v>
      </c>
      <c r="Q3321" s="247" t="e">
        <f t="shared" si="363"/>
        <v>#VALUE!</v>
      </c>
    </row>
    <row r="3322" spans="1:17" ht="15" customHeight="1" x14ac:dyDescent="0.25">
      <c r="A3322" s="244"/>
      <c r="B3322" s="244"/>
      <c r="C3322" s="244"/>
      <c r="D3322" s="244"/>
      <c r="E3322" s="244"/>
      <c r="F3322" s="244"/>
      <c r="G3322" s="244"/>
      <c r="I3322" s="244"/>
      <c r="J3322" s="244"/>
      <c r="K3322" s="246" t="e">
        <f t="shared" si="357"/>
        <v>#VALUE!</v>
      </c>
      <c r="L3322" s="246" t="e">
        <f t="shared" si="358"/>
        <v>#VALUE!</v>
      </c>
      <c r="M3322" s="247" t="e">
        <f t="shared" si="359"/>
        <v>#VALUE!</v>
      </c>
      <c r="N3322" s="246" t="e">
        <f t="shared" si="360"/>
        <v>#VALUE!</v>
      </c>
      <c r="O3322" s="247" t="e">
        <f t="shared" si="361"/>
        <v>#VALUE!</v>
      </c>
      <c r="P3322" s="247">
        <f t="shared" si="362"/>
        <v>0</v>
      </c>
      <c r="Q3322" s="247" t="e">
        <f t="shared" si="363"/>
        <v>#VALUE!</v>
      </c>
    </row>
    <row r="3323" spans="1:17" ht="15" customHeight="1" x14ac:dyDescent="0.25">
      <c r="A3323" s="244"/>
      <c r="B3323" s="244"/>
      <c r="C3323" s="244"/>
      <c r="D3323" s="244"/>
      <c r="E3323" s="244"/>
      <c r="F3323" s="244"/>
      <c r="G3323" s="244"/>
      <c r="I3323" s="244"/>
      <c r="J3323" s="244"/>
      <c r="K3323" s="246" t="e">
        <f t="shared" si="357"/>
        <v>#VALUE!</v>
      </c>
      <c r="L3323" s="246" t="e">
        <f t="shared" si="358"/>
        <v>#VALUE!</v>
      </c>
      <c r="M3323" s="247" t="e">
        <f t="shared" si="359"/>
        <v>#VALUE!</v>
      </c>
      <c r="N3323" s="246" t="e">
        <f t="shared" si="360"/>
        <v>#VALUE!</v>
      </c>
      <c r="O3323" s="247" t="e">
        <f t="shared" si="361"/>
        <v>#VALUE!</v>
      </c>
      <c r="P3323" s="247">
        <f t="shared" si="362"/>
        <v>0</v>
      </c>
      <c r="Q3323" s="247" t="e">
        <f t="shared" si="363"/>
        <v>#VALUE!</v>
      </c>
    </row>
    <row r="3324" spans="1:17" ht="15" customHeight="1" x14ac:dyDescent="0.25">
      <c r="A3324" s="244"/>
      <c r="B3324" s="244"/>
      <c r="C3324" s="244"/>
      <c r="D3324" s="244"/>
      <c r="E3324" s="244"/>
      <c r="F3324" s="244"/>
      <c r="G3324" s="244"/>
      <c r="I3324" s="244"/>
      <c r="J3324" s="244"/>
      <c r="K3324" s="246" t="e">
        <f t="shared" si="357"/>
        <v>#VALUE!</v>
      </c>
      <c r="L3324" s="246" t="e">
        <f t="shared" si="358"/>
        <v>#VALUE!</v>
      </c>
      <c r="M3324" s="247" t="e">
        <f t="shared" si="359"/>
        <v>#VALUE!</v>
      </c>
      <c r="N3324" s="246" t="e">
        <f t="shared" si="360"/>
        <v>#VALUE!</v>
      </c>
      <c r="O3324" s="247" t="e">
        <f t="shared" si="361"/>
        <v>#VALUE!</v>
      </c>
      <c r="P3324" s="247">
        <f t="shared" si="362"/>
        <v>0</v>
      </c>
      <c r="Q3324" s="247" t="e">
        <f t="shared" si="363"/>
        <v>#VALUE!</v>
      </c>
    </row>
    <row r="3325" spans="1:17" ht="15" customHeight="1" x14ac:dyDescent="0.25">
      <c r="A3325" s="244"/>
      <c r="B3325" s="244"/>
      <c r="C3325" s="244"/>
      <c r="D3325" s="244"/>
      <c r="E3325" s="244"/>
      <c r="F3325" s="244"/>
      <c r="G3325" s="244"/>
      <c r="I3325" s="244"/>
      <c r="J3325" s="244"/>
      <c r="K3325" s="246" t="e">
        <f t="shared" si="357"/>
        <v>#VALUE!</v>
      </c>
      <c r="L3325" s="246" t="e">
        <f t="shared" si="358"/>
        <v>#VALUE!</v>
      </c>
      <c r="M3325" s="247" t="e">
        <f t="shared" si="359"/>
        <v>#VALUE!</v>
      </c>
      <c r="N3325" s="246" t="e">
        <f t="shared" si="360"/>
        <v>#VALUE!</v>
      </c>
      <c r="O3325" s="247" t="e">
        <f t="shared" si="361"/>
        <v>#VALUE!</v>
      </c>
      <c r="P3325" s="247">
        <f t="shared" si="362"/>
        <v>0</v>
      </c>
      <c r="Q3325" s="247" t="e">
        <f t="shared" si="363"/>
        <v>#VALUE!</v>
      </c>
    </row>
    <row r="3326" spans="1:17" ht="15" customHeight="1" x14ac:dyDescent="0.25">
      <c r="A3326" s="244"/>
      <c r="B3326" s="244"/>
      <c r="C3326" s="244"/>
      <c r="D3326" s="244"/>
      <c r="E3326" s="244"/>
      <c r="F3326" s="244"/>
      <c r="G3326" s="244"/>
      <c r="I3326" s="244"/>
      <c r="J3326" s="244"/>
      <c r="K3326" s="246" t="e">
        <f t="shared" si="357"/>
        <v>#VALUE!</v>
      </c>
      <c r="L3326" s="246" t="e">
        <f t="shared" si="358"/>
        <v>#VALUE!</v>
      </c>
      <c r="M3326" s="247" t="e">
        <f t="shared" si="359"/>
        <v>#VALUE!</v>
      </c>
      <c r="N3326" s="246" t="e">
        <f t="shared" si="360"/>
        <v>#VALUE!</v>
      </c>
      <c r="O3326" s="247" t="e">
        <f t="shared" si="361"/>
        <v>#VALUE!</v>
      </c>
      <c r="P3326" s="247">
        <f t="shared" si="362"/>
        <v>0</v>
      </c>
      <c r="Q3326" s="247" t="e">
        <f t="shared" si="363"/>
        <v>#VALUE!</v>
      </c>
    </row>
    <row r="3327" spans="1:17" ht="15" customHeight="1" x14ac:dyDescent="0.25">
      <c r="A3327" s="244"/>
      <c r="B3327" s="244"/>
      <c r="C3327" s="244"/>
      <c r="D3327" s="244"/>
      <c r="E3327" s="244"/>
      <c r="F3327" s="244"/>
      <c r="G3327" s="244"/>
      <c r="I3327" s="244"/>
      <c r="J3327" s="244"/>
      <c r="K3327" s="246" t="e">
        <f t="shared" si="357"/>
        <v>#VALUE!</v>
      </c>
      <c r="L3327" s="246" t="e">
        <f t="shared" si="358"/>
        <v>#VALUE!</v>
      </c>
      <c r="M3327" s="247" t="e">
        <f t="shared" si="359"/>
        <v>#VALUE!</v>
      </c>
      <c r="N3327" s="246" t="e">
        <f t="shared" si="360"/>
        <v>#VALUE!</v>
      </c>
      <c r="O3327" s="247" t="e">
        <f t="shared" si="361"/>
        <v>#VALUE!</v>
      </c>
      <c r="P3327" s="247">
        <f t="shared" si="362"/>
        <v>0</v>
      </c>
      <c r="Q3327" s="247" t="e">
        <f t="shared" si="363"/>
        <v>#VALUE!</v>
      </c>
    </row>
    <row r="3328" spans="1:17" ht="15" customHeight="1" x14ac:dyDescent="0.25">
      <c r="A3328" s="244"/>
      <c r="B3328" s="244"/>
      <c r="C3328" s="244"/>
      <c r="D3328" s="244"/>
      <c r="E3328" s="244"/>
      <c r="F3328" s="244"/>
      <c r="G3328" s="244"/>
      <c r="I3328" s="244"/>
      <c r="J3328" s="244"/>
      <c r="K3328" s="246" t="e">
        <f t="shared" si="357"/>
        <v>#VALUE!</v>
      </c>
      <c r="L3328" s="246" t="e">
        <f t="shared" si="358"/>
        <v>#VALUE!</v>
      </c>
      <c r="M3328" s="247" t="e">
        <f t="shared" si="359"/>
        <v>#VALUE!</v>
      </c>
      <c r="N3328" s="246" t="e">
        <f t="shared" si="360"/>
        <v>#VALUE!</v>
      </c>
      <c r="O3328" s="247" t="e">
        <f t="shared" si="361"/>
        <v>#VALUE!</v>
      </c>
      <c r="P3328" s="247">
        <f t="shared" si="362"/>
        <v>0</v>
      </c>
      <c r="Q3328" s="247" t="e">
        <f t="shared" si="363"/>
        <v>#VALUE!</v>
      </c>
    </row>
    <row r="3329" spans="1:17" ht="15" customHeight="1" x14ac:dyDescent="0.25">
      <c r="A3329" s="244"/>
      <c r="B3329" s="244"/>
      <c r="C3329" s="244"/>
      <c r="D3329" s="244"/>
      <c r="E3329" s="244"/>
      <c r="F3329" s="244"/>
      <c r="G3329" s="244"/>
      <c r="I3329" s="244"/>
      <c r="J3329" s="244"/>
      <c r="K3329" s="246" t="e">
        <f t="shared" si="357"/>
        <v>#VALUE!</v>
      </c>
      <c r="L3329" s="246" t="e">
        <f t="shared" si="358"/>
        <v>#VALUE!</v>
      </c>
      <c r="M3329" s="247" t="e">
        <f t="shared" si="359"/>
        <v>#VALUE!</v>
      </c>
      <c r="N3329" s="246" t="e">
        <f t="shared" si="360"/>
        <v>#VALUE!</v>
      </c>
      <c r="O3329" s="247" t="e">
        <f t="shared" si="361"/>
        <v>#VALUE!</v>
      </c>
      <c r="P3329" s="247">
        <f t="shared" si="362"/>
        <v>0</v>
      </c>
      <c r="Q3329" s="247" t="e">
        <f t="shared" si="363"/>
        <v>#VALUE!</v>
      </c>
    </row>
    <row r="3330" spans="1:17" ht="15" customHeight="1" x14ac:dyDescent="0.25">
      <c r="A3330" s="244"/>
      <c r="B3330" s="244"/>
      <c r="C3330" s="244"/>
      <c r="D3330" s="244"/>
      <c r="E3330" s="244"/>
      <c r="F3330" s="244"/>
      <c r="G3330" s="244"/>
      <c r="I3330" s="244"/>
      <c r="J3330" s="244"/>
      <c r="K3330" s="246" t="e">
        <f t="shared" ref="K3330:K3377" si="364">DATE(VALUE(LEFT(A3330,4)),VALUE(MID(A3330,5,2)),VALUE(RIGHT(A3330,2)))</f>
        <v>#VALUE!</v>
      </c>
      <c r="L3330" s="246" t="e">
        <f t="shared" ref="L3330:L3377" si="365">DATEVALUE(LEFT(F3330,10))</f>
        <v>#VALUE!</v>
      </c>
      <c r="M3330" s="247" t="e">
        <f t="shared" ref="M3330:M3377" si="366">TIMEVALUE(MID(F3330,12,8))</f>
        <v>#VALUE!</v>
      </c>
      <c r="N3330" s="246" t="e">
        <f t="shared" ref="N3330:N3377" si="367">DATEVALUE(LEFT(G3330,10))</f>
        <v>#VALUE!</v>
      </c>
      <c r="O3330" s="247" t="e">
        <f t="shared" ref="O3330:O3377" si="368">TIMEVALUE(MID(G3330,12,8))</f>
        <v>#VALUE!</v>
      </c>
      <c r="P3330" s="247">
        <f t="shared" ref="P3330:P3393" si="369">IFERROR(_xlfn.MINIFS($M:$M,$E:$E,$E3330,$K:$K,$K3330,$M:$M,"&gt;"&amp;$O3330),"")</f>
        <v>0</v>
      </c>
      <c r="Q3330" s="247" t="e">
        <f t="shared" ref="Q3330:Q3393" si="370">IF($P3330="","",$P3330-$O3330)</f>
        <v>#VALUE!</v>
      </c>
    </row>
    <row r="3331" spans="1:17" ht="15" customHeight="1" x14ac:dyDescent="0.25">
      <c r="A3331" s="244"/>
      <c r="B3331" s="244"/>
      <c r="C3331" s="244"/>
      <c r="D3331" s="244"/>
      <c r="E3331" s="244"/>
      <c r="F3331" s="244"/>
      <c r="G3331" s="244"/>
      <c r="I3331" s="244"/>
      <c r="J3331" s="244"/>
      <c r="K3331" s="246" t="e">
        <f t="shared" si="364"/>
        <v>#VALUE!</v>
      </c>
      <c r="L3331" s="246" t="e">
        <f t="shared" si="365"/>
        <v>#VALUE!</v>
      </c>
      <c r="M3331" s="247" t="e">
        <f t="shared" si="366"/>
        <v>#VALUE!</v>
      </c>
      <c r="N3331" s="246" t="e">
        <f t="shared" si="367"/>
        <v>#VALUE!</v>
      </c>
      <c r="O3331" s="247" t="e">
        <f t="shared" si="368"/>
        <v>#VALUE!</v>
      </c>
      <c r="P3331" s="247">
        <f t="shared" si="369"/>
        <v>0</v>
      </c>
      <c r="Q3331" s="247" t="e">
        <f t="shared" si="370"/>
        <v>#VALUE!</v>
      </c>
    </row>
    <row r="3332" spans="1:17" ht="15" customHeight="1" x14ac:dyDescent="0.25">
      <c r="A3332" s="244"/>
      <c r="B3332" s="244"/>
      <c r="C3332" s="244"/>
      <c r="D3332" s="244"/>
      <c r="E3332" s="244"/>
      <c r="F3332" s="244"/>
      <c r="G3332" s="244"/>
      <c r="I3332" s="244"/>
      <c r="J3332" s="244"/>
      <c r="K3332" s="246" t="e">
        <f t="shared" si="364"/>
        <v>#VALUE!</v>
      </c>
      <c r="L3332" s="246" t="e">
        <f t="shared" si="365"/>
        <v>#VALUE!</v>
      </c>
      <c r="M3332" s="247" t="e">
        <f t="shared" si="366"/>
        <v>#VALUE!</v>
      </c>
      <c r="N3332" s="246" t="e">
        <f t="shared" si="367"/>
        <v>#VALUE!</v>
      </c>
      <c r="O3332" s="247" t="e">
        <f t="shared" si="368"/>
        <v>#VALUE!</v>
      </c>
      <c r="P3332" s="247">
        <f t="shared" si="369"/>
        <v>0</v>
      </c>
      <c r="Q3332" s="247" t="e">
        <f t="shared" si="370"/>
        <v>#VALUE!</v>
      </c>
    </row>
    <row r="3333" spans="1:17" ht="15" customHeight="1" x14ac:dyDescent="0.25">
      <c r="A3333" s="244"/>
      <c r="B3333" s="244"/>
      <c r="C3333" s="244"/>
      <c r="D3333" s="244"/>
      <c r="E3333" s="244"/>
      <c r="F3333" s="244"/>
      <c r="G3333" s="244"/>
      <c r="I3333" s="244"/>
      <c r="J3333" s="244"/>
      <c r="K3333" s="246" t="e">
        <f t="shared" si="364"/>
        <v>#VALUE!</v>
      </c>
      <c r="L3333" s="246" t="e">
        <f t="shared" si="365"/>
        <v>#VALUE!</v>
      </c>
      <c r="M3333" s="247" t="e">
        <f t="shared" si="366"/>
        <v>#VALUE!</v>
      </c>
      <c r="N3333" s="246" t="e">
        <f t="shared" si="367"/>
        <v>#VALUE!</v>
      </c>
      <c r="O3333" s="247" t="e">
        <f t="shared" si="368"/>
        <v>#VALUE!</v>
      </c>
      <c r="P3333" s="247">
        <f t="shared" si="369"/>
        <v>0</v>
      </c>
      <c r="Q3333" s="247" t="e">
        <f t="shared" si="370"/>
        <v>#VALUE!</v>
      </c>
    </row>
    <row r="3334" spans="1:17" ht="15" customHeight="1" x14ac:dyDescent="0.25">
      <c r="A3334" s="244"/>
      <c r="B3334" s="244"/>
      <c r="C3334" s="244"/>
      <c r="D3334" s="244"/>
      <c r="E3334" s="244"/>
      <c r="F3334" s="244"/>
      <c r="G3334" s="244"/>
      <c r="I3334" s="244"/>
      <c r="J3334" s="244"/>
      <c r="K3334" s="246" t="e">
        <f t="shared" si="364"/>
        <v>#VALUE!</v>
      </c>
      <c r="L3334" s="246" t="e">
        <f t="shared" si="365"/>
        <v>#VALUE!</v>
      </c>
      <c r="M3334" s="247" t="e">
        <f t="shared" si="366"/>
        <v>#VALUE!</v>
      </c>
      <c r="N3334" s="246" t="e">
        <f t="shared" si="367"/>
        <v>#VALUE!</v>
      </c>
      <c r="O3334" s="247" t="e">
        <f t="shared" si="368"/>
        <v>#VALUE!</v>
      </c>
      <c r="P3334" s="247">
        <f t="shared" si="369"/>
        <v>0</v>
      </c>
      <c r="Q3334" s="247" t="e">
        <f t="shared" si="370"/>
        <v>#VALUE!</v>
      </c>
    </row>
    <row r="3335" spans="1:17" ht="15" customHeight="1" x14ac:dyDescent="0.25">
      <c r="A3335" s="244"/>
      <c r="B3335" s="244"/>
      <c r="C3335" s="244"/>
      <c r="D3335" s="244"/>
      <c r="E3335" s="244"/>
      <c r="F3335" s="244"/>
      <c r="G3335" s="244"/>
      <c r="I3335" s="244"/>
      <c r="J3335" s="244"/>
      <c r="K3335" s="246" t="e">
        <f t="shared" si="364"/>
        <v>#VALUE!</v>
      </c>
      <c r="L3335" s="246" t="e">
        <f t="shared" si="365"/>
        <v>#VALUE!</v>
      </c>
      <c r="M3335" s="247" t="e">
        <f t="shared" si="366"/>
        <v>#VALUE!</v>
      </c>
      <c r="N3335" s="246" t="e">
        <f t="shared" si="367"/>
        <v>#VALUE!</v>
      </c>
      <c r="O3335" s="247" t="e">
        <f t="shared" si="368"/>
        <v>#VALUE!</v>
      </c>
      <c r="P3335" s="247">
        <f t="shared" si="369"/>
        <v>0</v>
      </c>
      <c r="Q3335" s="247" t="e">
        <f t="shared" si="370"/>
        <v>#VALUE!</v>
      </c>
    </row>
    <row r="3336" spans="1:17" ht="15" customHeight="1" x14ac:dyDescent="0.25">
      <c r="A3336" s="244"/>
      <c r="B3336" s="244"/>
      <c r="C3336" s="244"/>
      <c r="D3336" s="244"/>
      <c r="E3336" s="244"/>
      <c r="F3336" s="244"/>
      <c r="G3336" s="244"/>
      <c r="I3336" s="244"/>
      <c r="J3336" s="244"/>
      <c r="K3336" s="246" t="e">
        <f t="shared" si="364"/>
        <v>#VALUE!</v>
      </c>
      <c r="L3336" s="246" t="e">
        <f t="shared" si="365"/>
        <v>#VALUE!</v>
      </c>
      <c r="M3336" s="247" t="e">
        <f t="shared" si="366"/>
        <v>#VALUE!</v>
      </c>
      <c r="N3336" s="246" t="e">
        <f t="shared" si="367"/>
        <v>#VALUE!</v>
      </c>
      <c r="O3336" s="247" t="e">
        <f t="shared" si="368"/>
        <v>#VALUE!</v>
      </c>
      <c r="P3336" s="247">
        <f t="shared" si="369"/>
        <v>0</v>
      </c>
      <c r="Q3336" s="247" t="e">
        <f t="shared" si="370"/>
        <v>#VALUE!</v>
      </c>
    </row>
    <row r="3337" spans="1:17" ht="15" customHeight="1" x14ac:dyDescent="0.25">
      <c r="A3337" s="244"/>
      <c r="B3337" s="244"/>
      <c r="C3337" s="244"/>
      <c r="D3337" s="244"/>
      <c r="E3337" s="244"/>
      <c r="F3337" s="244"/>
      <c r="G3337" s="244"/>
      <c r="I3337" s="244"/>
      <c r="J3337" s="244"/>
      <c r="K3337" s="246" t="e">
        <f t="shared" si="364"/>
        <v>#VALUE!</v>
      </c>
      <c r="L3337" s="246" t="e">
        <f t="shared" si="365"/>
        <v>#VALUE!</v>
      </c>
      <c r="M3337" s="247" t="e">
        <f t="shared" si="366"/>
        <v>#VALUE!</v>
      </c>
      <c r="N3337" s="246" t="e">
        <f t="shared" si="367"/>
        <v>#VALUE!</v>
      </c>
      <c r="O3337" s="247" t="e">
        <f t="shared" si="368"/>
        <v>#VALUE!</v>
      </c>
      <c r="P3337" s="247">
        <f t="shared" si="369"/>
        <v>0</v>
      </c>
      <c r="Q3337" s="247" t="e">
        <f t="shared" si="370"/>
        <v>#VALUE!</v>
      </c>
    </row>
    <row r="3338" spans="1:17" ht="15" customHeight="1" x14ac:dyDescent="0.25">
      <c r="A3338" s="244"/>
      <c r="B3338" s="244"/>
      <c r="C3338" s="244"/>
      <c r="D3338" s="244"/>
      <c r="E3338" s="244"/>
      <c r="F3338" s="244"/>
      <c r="G3338" s="244"/>
      <c r="I3338" s="244"/>
      <c r="J3338" s="244"/>
      <c r="K3338" s="246" t="e">
        <f t="shared" si="364"/>
        <v>#VALUE!</v>
      </c>
      <c r="L3338" s="246" t="e">
        <f t="shared" si="365"/>
        <v>#VALUE!</v>
      </c>
      <c r="M3338" s="247" t="e">
        <f t="shared" si="366"/>
        <v>#VALUE!</v>
      </c>
      <c r="N3338" s="246" t="e">
        <f t="shared" si="367"/>
        <v>#VALUE!</v>
      </c>
      <c r="O3338" s="247" t="e">
        <f t="shared" si="368"/>
        <v>#VALUE!</v>
      </c>
      <c r="P3338" s="247">
        <f t="shared" si="369"/>
        <v>0</v>
      </c>
      <c r="Q3338" s="247" t="e">
        <f t="shared" si="370"/>
        <v>#VALUE!</v>
      </c>
    </row>
    <row r="3339" spans="1:17" ht="15" customHeight="1" x14ac:dyDescent="0.25">
      <c r="A3339" s="244"/>
      <c r="B3339" s="244"/>
      <c r="C3339" s="244"/>
      <c r="D3339" s="244"/>
      <c r="E3339" s="244"/>
      <c r="F3339" s="244"/>
      <c r="G3339" s="244"/>
      <c r="I3339" s="244"/>
      <c r="J3339" s="244"/>
      <c r="K3339" s="246" t="e">
        <f t="shared" si="364"/>
        <v>#VALUE!</v>
      </c>
      <c r="L3339" s="246" t="e">
        <f t="shared" si="365"/>
        <v>#VALUE!</v>
      </c>
      <c r="M3339" s="247" t="e">
        <f t="shared" si="366"/>
        <v>#VALUE!</v>
      </c>
      <c r="N3339" s="246" t="e">
        <f t="shared" si="367"/>
        <v>#VALUE!</v>
      </c>
      <c r="O3339" s="247" t="e">
        <f t="shared" si="368"/>
        <v>#VALUE!</v>
      </c>
      <c r="P3339" s="247">
        <f t="shared" si="369"/>
        <v>0</v>
      </c>
      <c r="Q3339" s="247" t="e">
        <f t="shared" si="370"/>
        <v>#VALUE!</v>
      </c>
    </row>
    <row r="3340" spans="1:17" ht="15" customHeight="1" x14ac:dyDescent="0.25">
      <c r="A3340" s="244"/>
      <c r="B3340" s="244"/>
      <c r="C3340" s="244"/>
      <c r="D3340" s="244"/>
      <c r="E3340" s="244"/>
      <c r="F3340" s="244"/>
      <c r="G3340" s="244"/>
      <c r="I3340" s="244"/>
      <c r="J3340" s="244"/>
      <c r="K3340" s="246" t="e">
        <f t="shared" si="364"/>
        <v>#VALUE!</v>
      </c>
      <c r="L3340" s="246" t="e">
        <f t="shared" si="365"/>
        <v>#VALUE!</v>
      </c>
      <c r="M3340" s="247" t="e">
        <f t="shared" si="366"/>
        <v>#VALUE!</v>
      </c>
      <c r="N3340" s="246" t="e">
        <f t="shared" si="367"/>
        <v>#VALUE!</v>
      </c>
      <c r="O3340" s="247" t="e">
        <f t="shared" si="368"/>
        <v>#VALUE!</v>
      </c>
      <c r="P3340" s="247">
        <f t="shared" si="369"/>
        <v>0</v>
      </c>
      <c r="Q3340" s="247" t="e">
        <f t="shared" si="370"/>
        <v>#VALUE!</v>
      </c>
    </row>
    <row r="3341" spans="1:17" ht="15" customHeight="1" x14ac:dyDescent="0.25">
      <c r="A3341" s="244"/>
      <c r="B3341" s="244"/>
      <c r="C3341" s="244"/>
      <c r="D3341" s="244"/>
      <c r="E3341" s="244"/>
      <c r="F3341" s="244"/>
      <c r="G3341" s="244"/>
      <c r="I3341" s="244"/>
      <c r="J3341" s="244"/>
      <c r="K3341" s="246" t="e">
        <f t="shared" si="364"/>
        <v>#VALUE!</v>
      </c>
      <c r="L3341" s="246" t="e">
        <f t="shared" si="365"/>
        <v>#VALUE!</v>
      </c>
      <c r="M3341" s="247" t="e">
        <f t="shared" si="366"/>
        <v>#VALUE!</v>
      </c>
      <c r="N3341" s="246" t="e">
        <f t="shared" si="367"/>
        <v>#VALUE!</v>
      </c>
      <c r="O3341" s="247" t="e">
        <f t="shared" si="368"/>
        <v>#VALUE!</v>
      </c>
      <c r="P3341" s="247">
        <f t="shared" si="369"/>
        <v>0</v>
      </c>
      <c r="Q3341" s="247" t="e">
        <f t="shared" si="370"/>
        <v>#VALUE!</v>
      </c>
    </row>
    <row r="3342" spans="1:17" ht="15" customHeight="1" x14ac:dyDescent="0.25">
      <c r="A3342" s="244"/>
      <c r="B3342" s="244"/>
      <c r="C3342" s="244"/>
      <c r="D3342" s="244"/>
      <c r="E3342" s="244"/>
      <c r="F3342" s="244"/>
      <c r="G3342" s="244"/>
      <c r="I3342" s="244"/>
      <c r="J3342" s="244"/>
      <c r="K3342" s="246" t="e">
        <f t="shared" si="364"/>
        <v>#VALUE!</v>
      </c>
      <c r="L3342" s="246" t="e">
        <f t="shared" si="365"/>
        <v>#VALUE!</v>
      </c>
      <c r="M3342" s="247" t="e">
        <f t="shared" si="366"/>
        <v>#VALUE!</v>
      </c>
      <c r="N3342" s="246" t="e">
        <f t="shared" si="367"/>
        <v>#VALUE!</v>
      </c>
      <c r="O3342" s="247" t="e">
        <f t="shared" si="368"/>
        <v>#VALUE!</v>
      </c>
      <c r="P3342" s="247">
        <f t="shared" si="369"/>
        <v>0</v>
      </c>
      <c r="Q3342" s="247" t="e">
        <f t="shared" si="370"/>
        <v>#VALUE!</v>
      </c>
    </row>
    <row r="3343" spans="1:17" ht="15" customHeight="1" x14ac:dyDescent="0.25">
      <c r="A3343" s="244"/>
      <c r="B3343" s="244"/>
      <c r="C3343" s="244"/>
      <c r="D3343" s="244"/>
      <c r="E3343" s="244"/>
      <c r="F3343" s="244"/>
      <c r="G3343" s="244"/>
      <c r="I3343" s="244"/>
      <c r="J3343" s="244"/>
      <c r="K3343" s="246" t="e">
        <f t="shared" si="364"/>
        <v>#VALUE!</v>
      </c>
      <c r="L3343" s="246" t="e">
        <f t="shared" si="365"/>
        <v>#VALUE!</v>
      </c>
      <c r="M3343" s="247" t="e">
        <f t="shared" si="366"/>
        <v>#VALUE!</v>
      </c>
      <c r="N3343" s="246" t="e">
        <f t="shared" si="367"/>
        <v>#VALUE!</v>
      </c>
      <c r="O3343" s="247" t="e">
        <f t="shared" si="368"/>
        <v>#VALUE!</v>
      </c>
      <c r="P3343" s="247">
        <f t="shared" si="369"/>
        <v>0</v>
      </c>
      <c r="Q3343" s="247" t="e">
        <f t="shared" si="370"/>
        <v>#VALUE!</v>
      </c>
    </row>
    <row r="3344" spans="1:17" ht="15" customHeight="1" x14ac:dyDescent="0.25">
      <c r="A3344" s="244"/>
      <c r="B3344" s="244"/>
      <c r="C3344" s="244"/>
      <c r="D3344" s="244"/>
      <c r="E3344" s="244"/>
      <c r="F3344" s="244"/>
      <c r="G3344" s="244"/>
      <c r="I3344" s="244"/>
      <c r="J3344" s="244"/>
      <c r="K3344" s="246" t="e">
        <f t="shared" si="364"/>
        <v>#VALUE!</v>
      </c>
      <c r="L3344" s="246" t="e">
        <f t="shared" si="365"/>
        <v>#VALUE!</v>
      </c>
      <c r="M3344" s="247" t="e">
        <f t="shared" si="366"/>
        <v>#VALUE!</v>
      </c>
      <c r="N3344" s="246" t="e">
        <f t="shared" si="367"/>
        <v>#VALUE!</v>
      </c>
      <c r="O3344" s="247" t="e">
        <f t="shared" si="368"/>
        <v>#VALUE!</v>
      </c>
      <c r="P3344" s="247">
        <f t="shared" si="369"/>
        <v>0</v>
      </c>
      <c r="Q3344" s="247" t="e">
        <f t="shared" si="370"/>
        <v>#VALUE!</v>
      </c>
    </row>
    <row r="3345" spans="1:17" ht="15" customHeight="1" x14ac:dyDescent="0.25">
      <c r="A3345" s="244"/>
      <c r="B3345" s="244"/>
      <c r="C3345" s="244"/>
      <c r="D3345" s="244"/>
      <c r="E3345" s="244"/>
      <c r="F3345" s="244"/>
      <c r="G3345" s="244"/>
      <c r="I3345" s="244"/>
      <c r="J3345" s="244"/>
      <c r="K3345" s="246" t="e">
        <f t="shared" si="364"/>
        <v>#VALUE!</v>
      </c>
      <c r="L3345" s="246" t="e">
        <f t="shared" si="365"/>
        <v>#VALUE!</v>
      </c>
      <c r="M3345" s="247" t="e">
        <f t="shared" si="366"/>
        <v>#VALUE!</v>
      </c>
      <c r="N3345" s="246" t="e">
        <f t="shared" si="367"/>
        <v>#VALUE!</v>
      </c>
      <c r="O3345" s="247" t="e">
        <f t="shared" si="368"/>
        <v>#VALUE!</v>
      </c>
      <c r="P3345" s="247">
        <f t="shared" si="369"/>
        <v>0</v>
      </c>
      <c r="Q3345" s="247" t="e">
        <f t="shared" si="370"/>
        <v>#VALUE!</v>
      </c>
    </row>
    <row r="3346" spans="1:17" ht="15" customHeight="1" x14ac:dyDescent="0.25">
      <c r="A3346" s="244"/>
      <c r="B3346" s="244"/>
      <c r="C3346" s="244"/>
      <c r="D3346" s="244"/>
      <c r="E3346" s="244"/>
      <c r="F3346" s="244"/>
      <c r="G3346" s="244"/>
      <c r="I3346" s="244"/>
      <c r="J3346" s="244"/>
      <c r="K3346" s="246" t="e">
        <f t="shared" si="364"/>
        <v>#VALUE!</v>
      </c>
      <c r="L3346" s="246" t="e">
        <f t="shared" si="365"/>
        <v>#VALUE!</v>
      </c>
      <c r="M3346" s="247" t="e">
        <f t="shared" si="366"/>
        <v>#VALUE!</v>
      </c>
      <c r="N3346" s="246" t="e">
        <f t="shared" si="367"/>
        <v>#VALUE!</v>
      </c>
      <c r="O3346" s="247" t="e">
        <f t="shared" si="368"/>
        <v>#VALUE!</v>
      </c>
      <c r="P3346" s="247">
        <f t="shared" si="369"/>
        <v>0</v>
      </c>
      <c r="Q3346" s="247" t="e">
        <f t="shared" si="370"/>
        <v>#VALUE!</v>
      </c>
    </row>
    <row r="3347" spans="1:17" ht="15" customHeight="1" x14ac:dyDescent="0.25">
      <c r="A3347" s="244"/>
      <c r="B3347" s="244"/>
      <c r="C3347" s="244"/>
      <c r="D3347" s="244"/>
      <c r="E3347" s="244"/>
      <c r="F3347" s="244"/>
      <c r="G3347" s="244"/>
      <c r="I3347" s="244"/>
      <c r="J3347" s="244"/>
      <c r="K3347" s="246" t="e">
        <f t="shared" si="364"/>
        <v>#VALUE!</v>
      </c>
      <c r="L3347" s="246" t="e">
        <f t="shared" si="365"/>
        <v>#VALUE!</v>
      </c>
      <c r="M3347" s="247" t="e">
        <f t="shared" si="366"/>
        <v>#VALUE!</v>
      </c>
      <c r="N3347" s="246" t="e">
        <f t="shared" si="367"/>
        <v>#VALUE!</v>
      </c>
      <c r="O3347" s="247" t="e">
        <f t="shared" si="368"/>
        <v>#VALUE!</v>
      </c>
      <c r="P3347" s="247">
        <f t="shared" si="369"/>
        <v>0</v>
      </c>
      <c r="Q3347" s="247" t="e">
        <f t="shared" si="370"/>
        <v>#VALUE!</v>
      </c>
    </row>
    <row r="3348" spans="1:17" ht="15" customHeight="1" x14ac:dyDescent="0.25">
      <c r="A3348" s="244"/>
      <c r="B3348" s="244"/>
      <c r="C3348" s="244"/>
      <c r="D3348" s="244"/>
      <c r="E3348" s="244"/>
      <c r="F3348" s="244"/>
      <c r="G3348" s="244"/>
      <c r="I3348" s="244"/>
      <c r="J3348" s="244"/>
      <c r="K3348" s="246" t="e">
        <f t="shared" si="364"/>
        <v>#VALUE!</v>
      </c>
      <c r="L3348" s="246" t="e">
        <f t="shared" si="365"/>
        <v>#VALUE!</v>
      </c>
      <c r="M3348" s="247" t="e">
        <f t="shared" si="366"/>
        <v>#VALUE!</v>
      </c>
      <c r="N3348" s="246" t="e">
        <f t="shared" si="367"/>
        <v>#VALUE!</v>
      </c>
      <c r="O3348" s="247" t="e">
        <f t="shared" si="368"/>
        <v>#VALUE!</v>
      </c>
      <c r="P3348" s="247">
        <f t="shared" si="369"/>
        <v>0</v>
      </c>
      <c r="Q3348" s="247" t="e">
        <f t="shared" si="370"/>
        <v>#VALUE!</v>
      </c>
    </row>
    <row r="3349" spans="1:17" ht="15" customHeight="1" x14ac:dyDescent="0.25">
      <c r="A3349" s="244"/>
      <c r="B3349" s="244"/>
      <c r="C3349" s="244"/>
      <c r="D3349" s="244"/>
      <c r="E3349" s="244"/>
      <c r="F3349" s="244"/>
      <c r="G3349" s="244"/>
      <c r="I3349" s="244"/>
      <c r="J3349" s="244"/>
      <c r="K3349" s="246" t="e">
        <f t="shared" si="364"/>
        <v>#VALUE!</v>
      </c>
      <c r="L3349" s="246" t="e">
        <f t="shared" si="365"/>
        <v>#VALUE!</v>
      </c>
      <c r="M3349" s="247" t="e">
        <f t="shared" si="366"/>
        <v>#VALUE!</v>
      </c>
      <c r="N3349" s="246" t="e">
        <f t="shared" si="367"/>
        <v>#VALUE!</v>
      </c>
      <c r="O3349" s="247" t="e">
        <f t="shared" si="368"/>
        <v>#VALUE!</v>
      </c>
      <c r="P3349" s="247">
        <f t="shared" si="369"/>
        <v>0</v>
      </c>
      <c r="Q3349" s="247" t="e">
        <f t="shared" si="370"/>
        <v>#VALUE!</v>
      </c>
    </row>
    <row r="3350" spans="1:17" ht="15" customHeight="1" x14ac:dyDescent="0.25">
      <c r="A3350" s="244"/>
      <c r="B3350" s="244"/>
      <c r="C3350" s="244"/>
      <c r="D3350" s="244"/>
      <c r="E3350" s="244"/>
      <c r="F3350" s="244"/>
      <c r="G3350" s="244"/>
      <c r="I3350" s="244"/>
      <c r="J3350" s="244"/>
      <c r="K3350" s="246" t="e">
        <f t="shared" si="364"/>
        <v>#VALUE!</v>
      </c>
      <c r="L3350" s="246" t="e">
        <f t="shared" si="365"/>
        <v>#VALUE!</v>
      </c>
      <c r="M3350" s="247" t="e">
        <f t="shared" si="366"/>
        <v>#VALUE!</v>
      </c>
      <c r="N3350" s="246" t="e">
        <f t="shared" si="367"/>
        <v>#VALUE!</v>
      </c>
      <c r="O3350" s="247" t="e">
        <f t="shared" si="368"/>
        <v>#VALUE!</v>
      </c>
      <c r="P3350" s="247">
        <f t="shared" si="369"/>
        <v>0</v>
      </c>
      <c r="Q3350" s="247" t="e">
        <f t="shared" si="370"/>
        <v>#VALUE!</v>
      </c>
    </row>
    <row r="3351" spans="1:17" ht="15" customHeight="1" x14ac:dyDescent="0.25">
      <c r="A3351" s="244"/>
      <c r="B3351" s="244"/>
      <c r="C3351" s="244"/>
      <c r="D3351" s="244"/>
      <c r="E3351" s="244"/>
      <c r="F3351" s="244"/>
      <c r="G3351" s="244"/>
      <c r="I3351" s="244"/>
      <c r="J3351" s="244"/>
      <c r="K3351" s="246" t="e">
        <f t="shared" si="364"/>
        <v>#VALUE!</v>
      </c>
      <c r="L3351" s="246" t="e">
        <f t="shared" si="365"/>
        <v>#VALUE!</v>
      </c>
      <c r="M3351" s="247" t="e">
        <f t="shared" si="366"/>
        <v>#VALUE!</v>
      </c>
      <c r="N3351" s="246" t="e">
        <f t="shared" si="367"/>
        <v>#VALUE!</v>
      </c>
      <c r="O3351" s="247" t="e">
        <f t="shared" si="368"/>
        <v>#VALUE!</v>
      </c>
      <c r="P3351" s="247">
        <f t="shared" si="369"/>
        <v>0</v>
      </c>
      <c r="Q3351" s="247" t="e">
        <f t="shared" si="370"/>
        <v>#VALUE!</v>
      </c>
    </row>
    <row r="3352" spans="1:17" ht="15" customHeight="1" x14ac:dyDescent="0.25">
      <c r="A3352" s="244"/>
      <c r="B3352" s="244"/>
      <c r="C3352" s="244"/>
      <c r="D3352" s="244"/>
      <c r="E3352" s="244"/>
      <c r="F3352" s="244"/>
      <c r="G3352" s="244"/>
      <c r="I3352" s="244"/>
      <c r="J3352" s="244"/>
      <c r="K3352" s="246" t="e">
        <f t="shared" si="364"/>
        <v>#VALUE!</v>
      </c>
      <c r="L3352" s="246" t="e">
        <f t="shared" si="365"/>
        <v>#VALUE!</v>
      </c>
      <c r="M3352" s="247" t="e">
        <f t="shared" si="366"/>
        <v>#VALUE!</v>
      </c>
      <c r="N3352" s="246" t="e">
        <f t="shared" si="367"/>
        <v>#VALUE!</v>
      </c>
      <c r="O3352" s="247" t="e">
        <f t="shared" si="368"/>
        <v>#VALUE!</v>
      </c>
      <c r="P3352" s="247">
        <f t="shared" si="369"/>
        <v>0</v>
      </c>
      <c r="Q3352" s="247" t="e">
        <f t="shared" si="370"/>
        <v>#VALUE!</v>
      </c>
    </row>
    <row r="3353" spans="1:17" ht="15" customHeight="1" x14ac:dyDescent="0.25">
      <c r="A3353" s="244"/>
      <c r="B3353" s="244"/>
      <c r="C3353" s="244"/>
      <c r="D3353" s="244"/>
      <c r="E3353" s="244"/>
      <c r="F3353" s="244"/>
      <c r="G3353" s="244"/>
      <c r="I3353" s="244"/>
      <c r="J3353" s="244"/>
      <c r="K3353" s="246" t="e">
        <f t="shared" si="364"/>
        <v>#VALUE!</v>
      </c>
      <c r="L3353" s="246" t="e">
        <f t="shared" si="365"/>
        <v>#VALUE!</v>
      </c>
      <c r="M3353" s="247" t="e">
        <f t="shared" si="366"/>
        <v>#VALUE!</v>
      </c>
      <c r="N3353" s="246" t="e">
        <f t="shared" si="367"/>
        <v>#VALUE!</v>
      </c>
      <c r="O3353" s="247" t="e">
        <f t="shared" si="368"/>
        <v>#VALUE!</v>
      </c>
      <c r="P3353" s="247">
        <f t="shared" si="369"/>
        <v>0</v>
      </c>
      <c r="Q3353" s="247" t="e">
        <f t="shared" si="370"/>
        <v>#VALUE!</v>
      </c>
    </row>
    <row r="3354" spans="1:17" ht="15" customHeight="1" x14ac:dyDescent="0.25">
      <c r="A3354" s="244"/>
      <c r="B3354" s="244"/>
      <c r="C3354" s="244"/>
      <c r="D3354" s="244"/>
      <c r="E3354" s="244"/>
      <c r="F3354" s="244"/>
      <c r="G3354" s="244"/>
      <c r="I3354" s="244"/>
      <c r="J3354" s="244"/>
      <c r="K3354" s="246" t="e">
        <f t="shared" si="364"/>
        <v>#VALUE!</v>
      </c>
      <c r="L3354" s="246" t="e">
        <f t="shared" si="365"/>
        <v>#VALUE!</v>
      </c>
      <c r="M3354" s="247" t="e">
        <f t="shared" si="366"/>
        <v>#VALUE!</v>
      </c>
      <c r="N3354" s="246" t="e">
        <f t="shared" si="367"/>
        <v>#VALUE!</v>
      </c>
      <c r="O3354" s="247" t="e">
        <f t="shared" si="368"/>
        <v>#VALUE!</v>
      </c>
      <c r="P3354" s="247">
        <f t="shared" si="369"/>
        <v>0</v>
      </c>
      <c r="Q3354" s="247" t="e">
        <f t="shared" si="370"/>
        <v>#VALUE!</v>
      </c>
    </row>
    <row r="3355" spans="1:17" ht="15" customHeight="1" x14ac:dyDescent="0.25">
      <c r="A3355" s="244"/>
      <c r="B3355" s="244"/>
      <c r="C3355" s="244"/>
      <c r="D3355" s="244"/>
      <c r="E3355" s="244"/>
      <c r="F3355" s="244"/>
      <c r="G3355" s="244"/>
      <c r="I3355" s="244"/>
      <c r="J3355" s="244"/>
      <c r="K3355" s="246" t="e">
        <f t="shared" si="364"/>
        <v>#VALUE!</v>
      </c>
      <c r="L3355" s="246" t="e">
        <f t="shared" si="365"/>
        <v>#VALUE!</v>
      </c>
      <c r="M3355" s="247" t="e">
        <f t="shared" si="366"/>
        <v>#VALUE!</v>
      </c>
      <c r="N3355" s="246" t="e">
        <f t="shared" si="367"/>
        <v>#VALUE!</v>
      </c>
      <c r="O3355" s="247" t="e">
        <f t="shared" si="368"/>
        <v>#VALUE!</v>
      </c>
      <c r="P3355" s="247">
        <f t="shared" si="369"/>
        <v>0</v>
      </c>
      <c r="Q3355" s="247" t="e">
        <f t="shared" si="370"/>
        <v>#VALUE!</v>
      </c>
    </row>
    <row r="3356" spans="1:17" ht="15" customHeight="1" x14ac:dyDescent="0.25">
      <c r="A3356" s="244"/>
      <c r="B3356" s="244"/>
      <c r="C3356" s="244"/>
      <c r="D3356" s="244"/>
      <c r="E3356" s="244"/>
      <c r="F3356" s="244"/>
      <c r="G3356" s="244"/>
      <c r="I3356" s="244"/>
      <c r="J3356" s="244"/>
      <c r="K3356" s="246" t="e">
        <f t="shared" si="364"/>
        <v>#VALUE!</v>
      </c>
      <c r="L3356" s="246" t="e">
        <f t="shared" si="365"/>
        <v>#VALUE!</v>
      </c>
      <c r="M3356" s="247" t="e">
        <f t="shared" si="366"/>
        <v>#VALUE!</v>
      </c>
      <c r="N3356" s="246" t="e">
        <f t="shared" si="367"/>
        <v>#VALUE!</v>
      </c>
      <c r="O3356" s="247" t="e">
        <f t="shared" si="368"/>
        <v>#VALUE!</v>
      </c>
      <c r="P3356" s="247">
        <f t="shared" si="369"/>
        <v>0</v>
      </c>
      <c r="Q3356" s="247" t="e">
        <f t="shared" si="370"/>
        <v>#VALUE!</v>
      </c>
    </row>
    <row r="3357" spans="1:17" ht="15" customHeight="1" x14ac:dyDescent="0.25">
      <c r="A3357" s="244"/>
      <c r="B3357" s="244"/>
      <c r="C3357" s="244"/>
      <c r="D3357" s="244"/>
      <c r="E3357" s="244"/>
      <c r="F3357" s="244"/>
      <c r="G3357" s="244"/>
      <c r="I3357" s="244"/>
      <c r="J3357" s="244"/>
      <c r="K3357" s="246" t="e">
        <f t="shared" si="364"/>
        <v>#VALUE!</v>
      </c>
      <c r="L3357" s="246" t="e">
        <f t="shared" si="365"/>
        <v>#VALUE!</v>
      </c>
      <c r="M3357" s="247" t="e">
        <f t="shared" si="366"/>
        <v>#VALUE!</v>
      </c>
      <c r="N3357" s="246" t="e">
        <f t="shared" si="367"/>
        <v>#VALUE!</v>
      </c>
      <c r="O3357" s="247" t="e">
        <f t="shared" si="368"/>
        <v>#VALUE!</v>
      </c>
      <c r="P3357" s="247">
        <f t="shared" si="369"/>
        <v>0</v>
      </c>
      <c r="Q3357" s="247" t="e">
        <f t="shared" si="370"/>
        <v>#VALUE!</v>
      </c>
    </row>
    <row r="3358" spans="1:17" ht="15" customHeight="1" x14ac:dyDescent="0.25">
      <c r="A3358" s="244"/>
      <c r="B3358" s="244"/>
      <c r="C3358" s="244"/>
      <c r="D3358" s="244"/>
      <c r="E3358" s="244"/>
      <c r="F3358" s="244"/>
      <c r="G3358" s="244"/>
      <c r="I3358" s="244"/>
      <c r="J3358" s="244"/>
      <c r="K3358" s="246" t="e">
        <f t="shared" si="364"/>
        <v>#VALUE!</v>
      </c>
      <c r="L3358" s="246" t="e">
        <f t="shared" si="365"/>
        <v>#VALUE!</v>
      </c>
      <c r="M3358" s="247" t="e">
        <f t="shared" si="366"/>
        <v>#VALUE!</v>
      </c>
      <c r="N3358" s="246" t="e">
        <f t="shared" si="367"/>
        <v>#VALUE!</v>
      </c>
      <c r="O3358" s="247" t="e">
        <f t="shared" si="368"/>
        <v>#VALUE!</v>
      </c>
      <c r="P3358" s="247">
        <f t="shared" si="369"/>
        <v>0</v>
      </c>
      <c r="Q3358" s="247" t="e">
        <f t="shared" si="370"/>
        <v>#VALUE!</v>
      </c>
    </row>
    <row r="3359" spans="1:17" ht="15" customHeight="1" x14ac:dyDescent="0.25">
      <c r="A3359" s="244"/>
      <c r="B3359" s="244"/>
      <c r="C3359" s="244"/>
      <c r="D3359" s="244"/>
      <c r="E3359" s="244"/>
      <c r="F3359" s="244"/>
      <c r="G3359" s="244"/>
      <c r="I3359" s="244"/>
      <c r="J3359" s="244"/>
      <c r="K3359" s="246" t="e">
        <f t="shared" si="364"/>
        <v>#VALUE!</v>
      </c>
      <c r="L3359" s="246" t="e">
        <f t="shared" si="365"/>
        <v>#VALUE!</v>
      </c>
      <c r="M3359" s="247" t="e">
        <f t="shared" si="366"/>
        <v>#VALUE!</v>
      </c>
      <c r="N3359" s="246" t="e">
        <f t="shared" si="367"/>
        <v>#VALUE!</v>
      </c>
      <c r="O3359" s="247" t="e">
        <f t="shared" si="368"/>
        <v>#VALUE!</v>
      </c>
      <c r="P3359" s="247">
        <f t="shared" si="369"/>
        <v>0</v>
      </c>
      <c r="Q3359" s="247" t="e">
        <f t="shared" si="370"/>
        <v>#VALUE!</v>
      </c>
    </row>
    <row r="3360" spans="1:17" ht="15" customHeight="1" x14ac:dyDescent="0.25">
      <c r="A3360" s="244"/>
      <c r="B3360" s="244"/>
      <c r="C3360" s="244"/>
      <c r="D3360" s="244"/>
      <c r="E3360" s="244"/>
      <c r="F3360" s="244"/>
      <c r="G3360" s="244"/>
      <c r="I3360" s="244"/>
      <c r="J3360" s="244"/>
      <c r="K3360" s="246" t="e">
        <f t="shared" si="364"/>
        <v>#VALUE!</v>
      </c>
      <c r="L3360" s="246" t="e">
        <f t="shared" si="365"/>
        <v>#VALUE!</v>
      </c>
      <c r="M3360" s="247" t="e">
        <f t="shared" si="366"/>
        <v>#VALUE!</v>
      </c>
      <c r="N3360" s="246" t="e">
        <f t="shared" si="367"/>
        <v>#VALUE!</v>
      </c>
      <c r="O3360" s="247" t="e">
        <f t="shared" si="368"/>
        <v>#VALUE!</v>
      </c>
      <c r="P3360" s="247">
        <f t="shared" si="369"/>
        <v>0</v>
      </c>
      <c r="Q3360" s="247" t="e">
        <f t="shared" si="370"/>
        <v>#VALUE!</v>
      </c>
    </row>
    <row r="3361" spans="1:17" ht="15" customHeight="1" x14ac:dyDescent="0.25">
      <c r="A3361" s="244"/>
      <c r="B3361" s="244"/>
      <c r="C3361" s="244"/>
      <c r="D3361" s="244"/>
      <c r="E3361" s="244"/>
      <c r="F3361" s="244"/>
      <c r="G3361" s="244"/>
      <c r="I3361" s="244"/>
      <c r="J3361" s="244"/>
      <c r="K3361" s="246" t="e">
        <f t="shared" si="364"/>
        <v>#VALUE!</v>
      </c>
      <c r="L3361" s="246" t="e">
        <f t="shared" si="365"/>
        <v>#VALUE!</v>
      </c>
      <c r="M3361" s="247" t="e">
        <f t="shared" si="366"/>
        <v>#VALUE!</v>
      </c>
      <c r="N3361" s="246" t="e">
        <f t="shared" si="367"/>
        <v>#VALUE!</v>
      </c>
      <c r="O3361" s="247" t="e">
        <f t="shared" si="368"/>
        <v>#VALUE!</v>
      </c>
      <c r="P3361" s="247">
        <f t="shared" si="369"/>
        <v>0</v>
      </c>
      <c r="Q3361" s="247" t="e">
        <f t="shared" si="370"/>
        <v>#VALUE!</v>
      </c>
    </row>
    <row r="3362" spans="1:17" ht="15" customHeight="1" x14ac:dyDescent="0.25">
      <c r="A3362" s="244"/>
      <c r="B3362" s="244"/>
      <c r="C3362" s="244"/>
      <c r="D3362" s="244"/>
      <c r="E3362" s="244"/>
      <c r="F3362" s="244"/>
      <c r="G3362" s="244"/>
      <c r="I3362" s="244"/>
      <c r="J3362" s="244"/>
      <c r="K3362" s="246" t="e">
        <f t="shared" si="364"/>
        <v>#VALUE!</v>
      </c>
      <c r="L3362" s="246" t="e">
        <f t="shared" si="365"/>
        <v>#VALUE!</v>
      </c>
      <c r="M3362" s="247" t="e">
        <f t="shared" si="366"/>
        <v>#VALUE!</v>
      </c>
      <c r="N3362" s="246" t="e">
        <f t="shared" si="367"/>
        <v>#VALUE!</v>
      </c>
      <c r="O3362" s="247" t="e">
        <f t="shared" si="368"/>
        <v>#VALUE!</v>
      </c>
      <c r="P3362" s="247">
        <f t="shared" si="369"/>
        <v>0</v>
      </c>
      <c r="Q3362" s="247" t="e">
        <f t="shared" si="370"/>
        <v>#VALUE!</v>
      </c>
    </row>
    <row r="3363" spans="1:17" ht="15" customHeight="1" x14ac:dyDescent="0.25">
      <c r="A3363" s="244"/>
      <c r="B3363" s="244"/>
      <c r="C3363" s="244"/>
      <c r="D3363" s="244"/>
      <c r="E3363" s="244"/>
      <c r="F3363" s="244"/>
      <c r="G3363" s="244"/>
      <c r="I3363" s="244"/>
      <c r="J3363" s="244"/>
      <c r="K3363" s="246" t="e">
        <f t="shared" si="364"/>
        <v>#VALUE!</v>
      </c>
      <c r="L3363" s="246" t="e">
        <f t="shared" si="365"/>
        <v>#VALUE!</v>
      </c>
      <c r="M3363" s="247" t="e">
        <f t="shared" si="366"/>
        <v>#VALUE!</v>
      </c>
      <c r="N3363" s="246" t="e">
        <f t="shared" si="367"/>
        <v>#VALUE!</v>
      </c>
      <c r="O3363" s="247" t="e">
        <f t="shared" si="368"/>
        <v>#VALUE!</v>
      </c>
      <c r="P3363" s="247">
        <f t="shared" si="369"/>
        <v>0</v>
      </c>
      <c r="Q3363" s="247" t="e">
        <f t="shared" si="370"/>
        <v>#VALUE!</v>
      </c>
    </row>
    <row r="3364" spans="1:17" ht="15" customHeight="1" x14ac:dyDescent="0.25">
      <c r="A3364" s="244"/>
      <c r="B3364" s="244"/>
      <c r="C3364" s="244"/>
      <c r="D3364" s="244"/>
      <c r="E3364" s="244"/>
      <c r="F3364" s="244"/>
      <c r="G3364" s="244"/>
      <c r="I3364" s="244"/>
      <c r="J3364" s="244"/>
      <c r="K3364" s="246" t="e">
        <f t="shared" si="364"/>
        <v>#VALUE!</v>
      </c>
      <c r="L3364" s="246" t="e">
        <f t="shared" si="365"/>
        <v>#VALUE!</v>
      </c>
      <c r="M3364" s="247" t="e">
        <f t="shared" si="366"/>
        <v>#VALUE!</v>
      </c>
      <c r="N3364" s="246" t="e">
        <f t="shared" si="367"/>
        <v>#VALUE!</v>
      </c>
      <c r="O3364" s="247" t="e">
        <f t="shared" si="368"/>
        <v>#VALUE!</v>
      </c>
      <c r="P3364" s="247">
        <f t="shared" si="369"/>
        <v>0</v>
      </c>
      <c r="Q3364" s="247" t="e">
        <f t="shared" si="370"/>
        <v>#VALUE!</v>
      </c>
    </row>
    <row r="3365" spans="1:17" ht="15" customHeight="1" x14ac:dyDescent="0.25">
      <c r="A3365" s="244"/>
      <c r="B3365" s="244"/>
      <c r="C3365" s="244"/>
      <c r="D3365" s="244"/>
      <c r="E3365" s="244"/>
      <c r="F3365" s="244"/>
      <c r="G3365" s="244"/>
      <c r="I3365" s="244"/>
      <c r="J3365" s="244"/>
      <c r="K3365" s="246" t="e">
        <f t="shared" si="364"/>
        <v>#VALUE!</v>
      </c>
      <c r="L3365" s="246" t="e">
        <f t="shared" si="365"/>
        <v>#VALUE!</v>
      </c>
      <c r="M3365" s="247" t="e">
        <f t="shared" si="366"/>
        <v>#VALUE!</v>
      </c>
      <c r="N3365" s="246" t="e">
        <f t="shared" si="367"/>
        <v>#VALUE!</v>
      </c>
      <c r="O3365" s="247" t="e">
        <f t="shared" si="368"/>
        <v>#VALUE!</v>
      </c>
      <c r="P3365" s="247">
        <f t="shared" si="369"/>
        <v>0</v>
      </c>
      <c r="Q3365" s="247" t="e">
        <f t="shared" si="370"/>
        <v>#VALUE!</v>
      </c>
    </row>
    <row r="3366" spans="1:17" ht="15" customHeight="1" x14ac:dyDescent="0.25">
      <c r="A3366" s="244"/>
      <c r="B3366" s="244"/>
      <c r="C3366" s="244"/>
      <c r="D3366" s="244"/>
      <c r="E3366" s="244"/>
      <c r="F3366" s="244"/>
      <c r="G3366" s="244"/>
      <c r="I3366" s="244"/>
      <c r="J3366" s="244"/>
      <c r="K3366" s="246" t="e">
        <f t="shared" si="364"/>
        <v>#VALUE!</v>
      </c>
      <c r="L3366" s="246" t="e">
        <f t="shared" si="365"/>
        <v>#VALUE!</v>
      </c>
      <c r="M3366" s="247" t="e">
        <f t="shared" si="366"/>
        <v>#VALUE!</v>
      </c>
      <c r="N3366" s="246" t="e">
        <f t="shared" si="367"/>
        <v>#VALUE!</v>
      </c>
      <c r="O3366" s="247" t="e">
        <f t="shared" si="368"/>
        <v>#VALUE!</v>
      </c>
      <c r="P3366" s="247">
        <f t="shared" si="369"/>
        <v>0</v>
      </c>
      <c r="Q3366" s="247" t="e">
        <f t="shared" si="370"/>
        <v>#VALUE!</v>
      </c>
    </row>
    <row r="3367" spans="1:17" ht="15" customHeight="1" x14ac:dyDescent="0.25">
      <c r="A3367" s="244"/>
      <c r="B3367" s="244"/>
      <c r="C3367" s="244"/>
      <c r="D3367" s="244"/>
      <c r="E3367" s="244"/>
      <c r="F3367" s="244"/>
      <c r="G3367" s="244"/>
      <c r="I3367" s="244"/>
      <c r="J3367" s="244"/>
      <c r="K3367" s="246" t="e">
        <f t="shared" si="364"/>
        <v>#VALUE!</v>
      </c>
      <c r="L3367" s="246" t="e">
        <f t="shared" si="365"/>
        <v>#VALUE!</v>
      </c>
      <c r="M3367" s="247" t="e">
        <f t="shared" si="366"/>
        <v>#VALUE!</v>
      </c>
      <c r="N3367" s="246" t="e">
        <f t="shared" si="367"/>
        <v>#VALUE!</v>
      </c>
      <c r="O3367" s="247" t="e">
        <f t="shared" si="368"/>
        <v>#VALUE!</v>
      </c>
      <c r="P3367" s="247">
        <f t="shared" si="369"/>
        <v>0</v>
      </c>
      <c r="Q3367" s="247" t="e">
        <f t="shared" si="370"/>
        <v>#VALUE!</v>
      </c>
    </row>
    <row r="3368" spans="1:17" ht="15" customHeight="1" x14ac:dyDescent="0.25">
      <c r="A3368" s="244"/>
      <c r="B3368" s="244"/>
      <c r="C3368" s="244"/>
      <c r="D3368" s="244"/>
      <c r="E3368" s="244"/>
      <c r="F3368" s="244"/>
      <c r="G3368" s="244"/>
      <c r="I3368" s="244"/>
      <c r="J3368" s="244"/>
      <c r="K3368" s="246" t="e">
        <f t="shared" si="364"/>
        <v>#VALUE!</v>
      </c>
      <c r="L3368" s="246" t="e">
        <f t="shared" si="365"/>
        <v>#VALUE!</v>
      </c>
      <c r="M3368" s="247" t="e">
        <f t="shared" si="366"/>
        <v>#VALUE!</v>
      </c>
      <c r="N3368" s="246" t="e">
        <f t="shared" si="367"/>
        <v>#VALUE!</v>
      </c>
      <c r="O3368" s="247" t="e">
        <f t="shared" si="368"/>
        <v>#VALUE!</v>
      </c>
      <c r="P3368" s="247">
        <f t="shared" si="369"/>
        <v>0</v>
      </c>
      <c r="Q3368" s="247" t="e">
        <f t="shared" si="370"/>
        <v>#VALUE!</v>
      </c>
    </row>
    <row r="3369" spans="1:17" ht="15" customHeight="1" x14ac:dyDescent="0.25">
      <c r="A3369" s="244"/>
      <c r="B3369" s="244"/>
      <c r="C3369" s="244"/>
      <c r="D3369" s="244"/>
      <c r="E3369" s="244"/>
      <c r="F3369" s="244"/>
      <c r="G3369" s="244"/>
      <c r="I3369" s="244"/>
      <c r="J3369" s="244"/>
      <c r="K3369" s="246" t="e">
        <f t="shared" si="364"/>
        <v>#VALUE!</v>
      </c>
      <c r="L3369" s="246" t="e">
        <f t="shared" si="365"/>
        <v>#VALUE!</v>
      </c>
      <c r="M3369" s="247" t="e">
        <f t="shared" si="366"/>
        <v>#VALUE!</v>
      </c>
      <c r="N3369" s="246" t="e">
        <f t="shared" si="367"/>
        <v>#VALUE!</v>
      </c>
      <c r="O3369" s="247" t="e">
        <f t="shared" si="368"/>
        <v>#VALUE!</v>
      </c>
      <c r="P3369" s="247">
        <f t="shared" si="369"/>
        <v>0</v>
      </c>
      <c r="Q3369" s="247" t="e">
        <f t="shared" si="370"/>
        <v>#VALUE!</v>
      </c>
    </row>
    <row r="3370" spans="1:17" ht="15" customHeight="1" x14ac:dyDescent="0.25">
      <c r="A3370" s="244"/>
      <c r="B3370" s="244"/>
      <c r="C3370" s="244"/>
      <c r="D3370" s="244"/>
      <c r="E3370" s="244"/>
      <c r="F3370" s="244"/>
      <c r="G3370" s="244"/>
      <c r="I3370" s="244"/>
      <c r="J3370" s="244"/>
      <c r="K3370" s="246" t="e">
        <f t="shared" si="364"/>
        <v>#VALUE!</v>
      </c>
      <c r="L3370" s="246" t="e">
        <f t="shared" si="365"/>
        <v>#VALUE!</v>
      </c>
      <c r="M3370" s="247" t="e">
        <f t="shared" si="366"/>
        <v>#VALUE!</v>
      </c>
      <c r="N3370" s="246" t="e">
        <f t="shared" si="367"/>
        <v>#VALUE!</v>
      </c>
      <c r="O3370" s="247" t="e">
        <f t="shared" si="368"/>
        <v>#VALUE!</v>
      </c>
      <c r="P3370" s="247">
        <f t="shared" si="369"/>
        <v>0</v>
      </c>
      <c r="Q3370" s="247" t="e">
        <f t="shared" si="370"/>
        <v>#VALUE!</v>
      </c>
    </row>
    <row r="3371" spans="1:17" ht="15" customHeight="1" x14ac:dyDescent="0.25">
      <c r="A3371" s="244"/>
      <c r="B3371" s="244"/>
      <c r="C3371" s="244"/>
      <c r="D3371" s="244"/>
      <c r="E3371" s="244"/>
      <c r="F3371" s="244"/>
      <c r="G3371" s="244"/>
      <c r="I3371" s="244"/>
      <c r="J3371" s="244"/>
      <c r="K3371" s="246" t="e">
        <f t="shared" si="364"/>
        <v>#VALUE!</v>
      </c>
      <c r="L3371" s="246" t="e">
        <f t="shared" si="365"/>
        <v>#VALUE!</v>
      </c>
      <c r="M3371" s="247" t="e">
        <f t="shared" si="366"/>
        <v>#VALUE!</v>
      </c>
      <c r="N3371" s="246" t="e">
        <f t="shared" si="367"/>
        <v>#VALUE!</v>
      </c>
      <c r="O3371" s="247" t="e">
        <f t="shared" si="368"/>
        <v>#VALUE!</v>
      </c>
      <c r="P3371" s="247">
        <f t="shared" si="369"/>
        <v>0</v>
      </c>
      <c r="Q3371" s="247" t="e">
        <f t="shared" si="370"/>
        <v>#VALUE!</v>
      </c>
    </row>
    <row r="3372" spans="1:17" ht="15" customHeight="1" x14ac:dyDescent="0.25">
      <c r="A3372" s="244"/>
      <c r="B3372" s="244"/>
      <c r="C3372" s="244"/>
      <c r="D3372" s="244"/>
      <c r="E3372" s="244"/>
      <c r="F3372" s="244"/>
      <c r="G3372" s="244"/>
      <c r="I3372" s="244"/>
      <c r="J3372" s="244"/>
      <c r="K3372" s="246" t="e">
        <f t="shared" si="364"/>
        <v>#VALUE!</v>
      </c>
      <c r="L3372" s="246" t="e">
        <f t="shared" si="365"/>
        <v>#VALUE!</v>
      </c>
      <c r="M3372" s="247" t="e">
        <f t="shared" si="366"/>
        <v>#VALUE!</v>
      </c>
      <c r="N3372" s="246" t="e">
        <f t="shared" si="367"/>
        <v>#VALUE!</v>
      </c>
      <c r="O3372" s="247" t="e">
        <f t="shared" si="368"/>
        <v>#VALUE!</v>
      </c>
      <c r="P3372" s="247">
        <f t="shared" si="369"/>
        <v>0</v>
      </c>
      <c r="Q3372" s="247" t="e">
        <f t="shared" si="370"/>
        <v>#VALUE!</v>
      </c>
    </row>
    <row r="3373" spans="1:17" ht="15" customHeight="1" x14ac:dyDescent="0.25">
      <c r="A3373" s="244"/>
      <c r="B3373" s="244"/>
      <c r="C3373" s="244"/>
      <c r="D3373" s="244"/>
      <c r="E3373" s="244"/>
      <c r="F3373" s="244"/>
      <c r="G3373" s="244"/>
      <c r="I3373" s="244"/>
      <c r="J3373" s="244"/>
      <c r="K3373" s="246" t="e">
        <f t="shared" si="364"/>
        <v>#VALUE!</v>
      </c>
      <c r="L3373" s="246" t="e">
        <f t="shared" si="365"/>
        <v>#VALUE!</v>
      </c>
      <c r="M3373" s="247" t="e">
        <f t="shared" si="366"/>
        <v>#VALUE!</v>
      </c>
      <c r="N3373" s="246" t="e">
        <f t="shared" si="367"/>
        <v>#VALUE!</v>
      </c>
      <c r="O3373" s="247" t="e">
        <f t="shared" si="368"/>
        <v>#VALUE!</v>
      </c>
      <c r="P3373" s="247">
        <f t="shared" si="369"/>
        <v>0</v>
      </c>
      <c r="Q3373" s="247" t="e">
        <f t="shared" si="370"/>
        <v>#VALUE!</v>
      </c>
    </row>
    <row r="3374" spans="1:17" ht="15" customHeight="1" x14ac:dyDescent="0.25">
      <c r="A3374" s="244"/>
      <c r="B3374" s="244"/>
      <c r="C3374" s="244"/>
      <c r="D3374" s="244"/>
      <c r="E3374" s="244"/>
      <c r="F3374" s="244"/>
      <c r="G3374" s="244"/>
      <c r="I3374" s="244"/>
      <c r="J3374" s="244"/>
      <c r="K3374" s="246" t="e">
        <f t="shared" si="364"/>
        <v>#VALUE!</v>
      </c>
      <c r="L3374" s="246" t="e">
        <f t="shared" si="365"/>
        <v>#VALUE!</v>
      </c>
      <c r="M3374" s="247" t="e">
        <f t="shared" si="366"/>
        <v>#VALUE!</v>
      </c>
      <c r="N3374" s="246" t="e">
        <f t="shared" si="367"/>
        <v>#VALUE!</v>
      </c>
      <c r="O3374" s="247" t="e">
        <f t="shared" si="368"/>
        <v>#VALUE!</v>
      </c>
      <c r="P3374" s="247">
        <f t="shared" si="369"/>
        <v>0</v>
      </c>
      <c r="Q3374" s="247" t="e">
        <f t="shared" si="370"/>
        <v>#VALUE!</v>
      </c>
    </row>
    <row r="3375" spans="1:17" ht="15" customHeight="1" x14ac:dyDescent="0.25">
      <c r="A3375" s="244"/>
      <c r="B3375" s="244"/>
      <c r="C3375" s="244"/>
      <c r="D3375" s="244"/>
      <c r="E3375" s="244"/>
      <c r="F3375" s="244"/>
      <c r="G3375" s="244"/>
      <c r="I3375" s="244"/>
      <c r="J3375" s="244"/>
      <c r="K3375" s="246" t="e">
        <f t="shared" si="364"/>
        <v>#VALUE!</v>
      </c>
      <c r="L3375" s="246" t="e">
        <f t="shared" si="365"/>
        <v>#VALUE!</v>
      </c>
      <c r="M3375" s="247" t="e">
        <f t="shared" si="366"/>
        <v>#VALUE!</v>
      </c>
      <c r="N3375" s="246" t="e">
        <f t="shared" si="367"/>
        <v>#VALUE!</v>
      </c>
      <c r="O3375" s="247" t="e">
        <f t="shared" si="368"/>
        <v>#VALUE!</v>
      </c>
      <c r="P3375" s="247">
        <f t="shared" si="369"/>
        <v>0</v>
      </c>
      <c r="Q3375" s="247" t="e">
        <f t="shared" si="370"/>
        <v>#VALUE!</v>
      </c>
    </row>
    <row r="3376" spans="1:17" ht="15" customHeight="1" x14ac:dyDescent="0.25">
      <c r="A3376" s="244"/>
      <c r="B3376" s="244"/>
      <c r="C3376" s="244"/>
      <c r="D3376" s="244"/>
      <c r="E3376" s="244"/>
      <c r="F3376" s="244"/>
      <c r="G3376" s="244"/>
      <c r="I3376" s="244"/>
      <c r="J3376" s="244"/>
      <c r="K3376" s="246" t="e">
        <f t="shared" si="364"/>
        <v>#VALUE!</v>
      </c>
      <c r="L3376" s="246" t="e">
        <f t="shared" si="365"/>
        <v>#VALUE!</v>
      </c>
      <c r="M3376" s="247" t="e">
        <f t="shared" si="366"/>
        <v>#VALUE!</v>
      </c>
      <c r="N3376" s="246" t="e">
        <f t="shared" si="367"/>
        <v>#VALUE!</v>
      </c>
      <c r="O3376" s="247" t="e">
        <f t="shared" si="368"/>
        <v>#VALUE!</v>
      </c>
      <c r="P3376" s="247">
        <f t="shared" si="369"/>
        <v>0</v>
      </c>
      <c r="Q3376" s="247" t="e">
        <f t="shared" si="370"/>
        <v>#VALUE!</v>
      </c>
    </row>
    <row r="3377" spans="1:17" ht="15" customHeight="1" x14ac:dyDescent="0.25">
      <c r="A3377" s="244"/>
      <c r="B3377" s="244"/>
      <c r="C3377" s="244"/>
      <c r="D3377" s="244"/>
      <c r="E3377" s="244"/>
      <c r="F3377" s="244"/>
      <c r="G3377" s="244"/>
      <c r="I3377" s="244"/>
      <c r="J3377" s="244"/>
      <c r="K3377" s="246" t="e">
        <f t="shared" si="364"/>
        <v>#VALUE!</v>
      </c>
      <c r="L3377" s="246" t="e">
        <f t="shared" si="365"/>
        <v>#VALUE!</v>
      </c>
      <c r="M3377" s="247" t="e">
        <f t="shared" si="366"/>
        <v>#VALUE!</v>
      </c>
      <c r="N3377" s="246" t="e">
        <f t="shared" si="367"/>
        <v>#VALUE!</v>
      </c>
      <c r="O3377" s="247" t="e">
        <f t="shared" si="368"/>
        <v>#VALUE!</v>
      </c>
      <c r="P3377" s="247">
        <f t="shared" si="369"/>
        <v>0</v>
      </c>
      <c r="Q3377" s="247" t="e">
        <f t="shared" si="370"/>
        <v>#VALUE!</v>
      </c>
    </row>
    <row r="3378" spans="1:17" x14ac:dyDescent="0.25">
      <c r="K3378" s="246" t="e">
        <f t="shared" ref="K3378:K3441" si="371">DATE(VALUE(LEFT(A3378,4)),VALUE(MID(A3378,5,2)),VALUE(RIGHT(A3378,2)))</f>
        <v>#VALUE!</v>
      </c>
      <c r="L3378" s="246" t="e">
        <f t="shared" ref="L3378:L3441" si="372">DATEVALUE(LEFT(F3378,10))</f>
        <v>#VALUE!</v>
      </c>
      <c r="M3378" s="247" t="e">
        <f t="shared" ref="M3378:M3441" si="373">TIMEVALUE(MID(F3378,12,8))</f>
        <v>#VALUE!</v>
      </c>
      <c r="N3378" s="246" t="e">
        <f t="shared" ref="N3378:N3441" si="374">DATEVALUE(LEFT(G3378,10))</f>
        <v>#VALUE!</v>
      </c>
      <c r="O3378" s="247" t="e">
        <f t="shared" ref="O3378:O3441" si="375">TIMEVALUE(MID(G3378,12,8))</f>
        <v>#VALUE!</v>
      </c>
      <c r="P3378" s="247">
        <f t="shared" si="369"/>
        <v>0</v>
      </c>
      <c r="Q3378" s="247" t="e">
        <f t="shared" si="370"/>
        <v>#VALUE!</v>
      </c>
    </row>
    <row r="3379" spans="1:17" x14ac:dyDescent="0.25">
      <c r="K3379" s="246" t="e">
        <f t="shared" si="371"/>
        <v>#VALUE!</v>
      </c>
      <c r="L3379" s="246" t="e">
        <f t="shared" si="372"/>
        <v>#VALUE!</v>
      </c>
      <c r="M3379" s="247" t="e">
        <f t="shared" si="373"/>
        <v>#VALUE!</v>
      </c>
      <c r="N3379" s="246" t="e">
        <f t="shared" si="374"/>
        <v>#VALUE!</v>
      </c>
      <c r="O3379" s="247" t="e">
        <f t="shared" si="375"/>
        <v>#VALUE!</v>
      </c>
      <c r="P3379" s="247">
        <f t="shared" si="369"/>
        <v>0</v>
      </c>
      <c r="Q3379" s="247" t="e">
        <f t="shared" si="370"/>
        <v>#VALUE!</v>
      </c>
    </row>
    <row r="3380" spans="1:17" x14ac:dyDescent="0.25">
      <c r="K3380" s="246" t="e">
        <f t="shared" si="371"/>
        <v>#VALUE!</v>
      </c>
      <c r="L3380" s="246" t="e">
        <f t="shared" si="372"/>
        <v>#VALUE!</v>
      </c>
      <c r="M3380" s="247" t="e">
        <f t="shared" si="373"/>
        <v>#VALUE!</v>
      </c>
      <c r="N3380" s="246" t="e">
        <f t="shared" si="374"/>
        <v>#VALUE!</v>
      </c>
      <c r="O3380" s="247" t="e">
        <f t="shared" si="375"/>
        <v>#VALUE!</v>
      </c>
      <c r="P3380" s="247">
        <f t="shared" si="369"/>
        <v>0</v>
      </c>
      <c r="Q3380" s="247" t="e">
        <f t="shared" si="370"/>
        <v>#VALUE!</v>
      </c>
    </row>
    <row r="3381" spans="1:17" x14ac:dyDescent="0.25">
      <c r="K3381" s="246" t="e">
        <f t="shared" si="371"/>
        <v>#VALUE!</v>
      </c>
      <c r="L3381" s="246" t="e">
        <f t="shared" si="372"/>
        <v>#VALUE!</v>
      </c>
      <c r="M3381" s="247" t="e">
        <f t="shared" si="373"/>
        <v>#VALUE!</v>
      </c>
      <c r="N3381" s="246" t="e">
        <f t="shared" si="374"/>
        <v>#VALUE!</v>
      </c>
      <c r="O3381" s="247" t="e">
        <f t="shared" si="375"/>
        <v>#VALUE!</v>
      </c>
      <c r="P3381" s="247">
        <f t="shared" si="369"/>
        <v>0</v>
      </c>
      <c r="Q3381" s="247" t="e">
        <f t="shared" si="370"/>
        <v>#VALUE!</v>
      </c>
    </row>
    <row r="3382" spans="1:17" x14ac:dyDescent="0.25">
      <c r="K3382" s="246" t="e">
        <f t="shared" si="371"/>
        <v>#VALUE!</v>
      </c>
      <c r="L3382" s="246" t="e">
        <f t="shared" si="372"/>
        <v>#VALUE!</v>
      </c>
      <c r="M3382" s="247" t="e">
        <f t="shared" si="373"/>
        <v>#VALUE!</v>
      </c>
      <c r="N3382" s="246" t="e">
        <f t="shared" si="374"/>
        <v>#VALUE!</v>
      </c>
      <c r="O3382" s="247" t="e">
        <f t="shared" si="375"/>
        <v>#VALUE!</v>
      </c>
      <c r="P3382" s="247">
        <f t="shared" si="369"/>
        <v>0</v>
      </c>
      <c r="Q3382" s="247" t="e">
        <f t="shared" si="370"/>
        <v>#VALUE!</v>
      </c>
    </row>
    <row r="3383" spans="1:17" x14ac:dyDescent="0.25">
      <c r="K3383" s="246" t="e">
        <f t="shared" si="371"/>
        <v>#VALUE!</v>
      </c>
      <c r="L3383" s="246" t="e">
        <f t="shared" si="372"/>
        <v>#VALUE!</v>
      </c>
      <c r="M3383" s="247" t="e">
        <f t="shared" si="373"/>
        <v>#VALUE!</v>
      </c>
      <c r="N3383" s="246" t="e">
        <f t="shared" si="374"/>
        <v>#VALUE!</v>
      </c>
      <c r="O3383" s="247" t="e">
        <f t="shared" si="375"/>
        <v>#VALUE!</v>
      </c>
      <c r="P3383" s="247">
        <f t="shared" si="369"/>
        <v>0</v>
      </c>
      <c r="Q3383" s="247" t="e">
        <f t="shared" si="370"/>
        <v>#VALUE!</v>
      </c>
    </row>
    <row r="3384" spans="1:17" x14ac:dyDescent="0.25">
      <c r="K3384" s="246" t="e">
        <f t="shared" si="371"/>
        <v>#VALUE!</v>
      </c>
      <c r="L3384" s="246" t="e">
        <f t="shared" si="372"/>
        <v>#VALUE!</v>
      </c>
      <c r="M3384" s="247" t="e">
        <f t="shared" si="373"/>
        <v>#VALUE!</v>
      </c>
      <c r="N3384" s="246" t="e">
        <f t="shared" si="374"/>
        <v>#VALUE!</v>
      </c>
      <c r="O3384" s="247" t="e">
        <f t="shared" si="375"/>
        <v>#VALUE!</v>
      </c>
      <c r="P3384" s="247">
        <f t="shared" si="369"/>
        <v>0</v>
      </c>
      <c r="Q3384" s="247" t="e">
        <f t="shared" si="370"/>
        <v>#VALUE!</v>
      </c>
    </row>
    <row r="3385" spans="1:17" x14ac:dyDescent="0.25">
      <c r="K3385" s="246" t="e">
        <f t="shared" si="371"/>
        <v>#VALUE!</v>
      </c>
      <c r="L3385" s="246" t="e">
        <f t="shared" si="372"/>
        <v>#VALUE!</v>
      </c>
      <c r="M3385" s="247" t="e">
        <f t="shared" si="373"/>
        <v>#VALUE!</v>
      </c>
      <c r="N3385" s="246" t="e">
        <f t="shared" si="374"/>
        <v>#VALUE!</v>
      </c>
      <c r="O3385" s="247" t="e">
        <f t="shared" si="375"/>
        <v>#VALUE!</v>
      </c>
      <c r="P3385" s="247">
        <f t="shared" si="369"/>
        <v>0</v>
      </c>
      <c r="Q3385" s="247" t="e">
        <f t="shared" si="370"/>
        <v>#VALUE!</v>
      </c>
    </row>
    <row r="3386" spans="1:17" x14ac:dyDescent="0.25">
      <c r="K3386" s="246" t="e">
        <f t="shared" si="371"/>
        <v>#VALUE!</v>
      </c>
      <c r="L3386" s="246" t="e">
        <f t="shared" si="372"/>
        <v>#VALUE!</v>
      </c>
      <c r="M3386" s="247" t="e">
        <f t="shared" si="373"/>
        <v>#VALUE!</v>
      </c>
      <c r="N3386" s="246" t="e">
        <f t="shared" si="374"/>
        <v>#VALUE!</v>
      </c>
      <c r="O3386" s="247" t="e">
        <f t="shared" si="375"/>
        <v>#VALUE!</v>
      </c>
      <c r="P3386" s="247">
        <f t="shared" si="369"/>
        <v>0</v>
      </c>
      <c r="Q3386" s="247" t="e">
        <f t="shared" si="370"/>
        <v>#VALUE!</v>
      </c>
    </row>
    <row r="3387" spans="1:17" x14ac:dyDescent="0.25">
      <c r="K3387" s="246" t="e">
        <f t="shared" si="371"/>
        <v>#VALUE!</v>
      </c>
      <c r="L3387" s="246" t="e">
        <f t="shared" si="372"/>
        <v>#VALUE!</v>
      </c>
      <c r="M3387" s="247" t="e">
        <f t="shared" si="373"/>
        <v>#VALUE!</v>
      </c>
      <c r="N3387" s="246" t="e">
        <f t="shared" si="374"/>
        <v>#VALUE!</v>
      </c>
      <c r="O3387" s="247" t="e">
        <f t="shared" si="375"/>
        <v>#VALUE!</v>
      </c>
      <c r="P3387" s="247">
        <f t="shared" si="369"/>
        <v>0</v>
      </c>
      <c r="Q3387" s="247" t="e">
        <f t="shared" si="370"/>
        <v>#VALUE!</v>
      </c>
    </row>
    <row r="3388" spans="1:17" x14ac:dyDescent="0.25">
      <c r="K3388" s="246" t="e">
        <f t="shared" si="371"/>
        <v>#VALUE!</v>
      </c>
      <c r="L3388" s="246" t="e">
        <f t="shared" si="372"/>
        <v>#VALUE!</v>
      </c>
      <c r="M3388" s="247" t="e">
        <f t="shared" si="373"/>
        <v>#VALUE!</v>
      </c>
      <c r="N3388" s="246" t="e">
        <f t="shared" si="374"/>
        <v>#VALUE!</v>
      </c>
      <c r="O3388" s="247" t="e">
        <f t="shared" si="375"/>
        <v>#VALUE!</v>
      </c>
      <c r="P3388" s="247">
        <f t="shared" si="369"/>
        <v>0</v>
      </c>
      <c r="Q3388" s="247" t="e">
        <f t="shared" si="370"/>
        <v>#VALUE!</v>
      </c>
    </row>
    <row r="3389" spans="1:17" x14ac:dyDescent="0.25">
      <c r="K3389" s="246" t="e">
        <f t="shared" si="371"/>
        <v>#VALUE!</v>
      </c>
      <c r="L3389" s="246" t="e">
        <f t="shared" si="372"/>
        <v>#VALUE!</v>
      </c>
      <c r="M3389" s="247" t="e">
        <f t="shared" si="373"/>
        <v>#VALUE!</v>
      </c>
      <c r="N3389" s="246" t="e">
        <f t="shared" si="374"/>
        <v>#VALUE!</v>
      </c>
      <c r="O3389" s="247" t="e">
        <f t="shared" si="375"/>
        <v>#VALUE!</v>
      </c>
      <c r="P3389" s="247">
        <f t="shared" si="369"/>
        <v>0</v>
      </c>
      <c r="Q3389" s="247" t="e">
        <f t="shared" si="370"/>
        <v>#VALUE!</v>
      </c>
    </row>
    <row r="3390" spans="1:17" x14ac:dyDescent="0.25">
      <c r="K3390" s="246" t="e">
        <f t="shared" si="371"/>
        <v>#VALUE!</v>
      </c>
      <c r="L3390" s="246" t="e">
        <f t="shared" si="372"/>
        <v>#VALUE!</v>
      </c>
      <c r="M3390" s="247" t="e">
        <f t="shared" si="373"/>
        <v>#VALUE!</v>
      </c>
      <c r="N3390" s="246" t="e">
        <f t="shared" si="374"/>
        <v>#VALUE!</v>
      </c>
      <c r="O3390" s="247" t="e">
        <f t="shared" si="375"/>
        <v>#VALUE!</v>
      </c>
      <c r="P3390" s="247">
        <f t="shared" si="369"/>
        <v>0</v>
      </c>
      <c r="Q3390" s="247" t="e">
        <f t="shared" si="370"/>
        <v>#VALUE!</v>
      </c>
    </row>
    <row r="3391" spans="1:17" x14ac:dyDescent="0.25">
      <c r="K3391" s="246" t="e">
        <f t="shared" si="371"/>
        <v>#VALUE!</v>
      </c>
      <c r="L3391" s="246" t="e">
        <f t="shared" si="372"/>
        <v>#VALUE!</v>
      </c>
      <c r="M3391" s="247" t="e">
        <f t="shared" si="373"/>
        <v>#VALUE!</v>
      </c>
      <c r="N3391" s="246" t="e">
        <f t="shared" si="374"/>
        <v>#VALUE!</v>
      </c>
      <c r="O3391" s="247" t="e">
        <f t="shared" si="375"/>
        <v>#VALUE!</v>
      </c>
      <c r="P3391" s="247">
        <f t="shared" si="369"/>
        <v>0</v>
      </c>
      <c r="Q3391" s="247" t="e">
        <f t="shared" si="370"/>
        <v>#VALUE!</v>
      </c>
    </row>
    <row r="3392" spans="1:17" x14ac:dyDescent="0.25">
      <c r="K3392" s="246" t="e">
        <f t="shared" si="371"/>
        <v>#VALUE!</v>
      </c>
      <c r="L3392" s="246" t="e">
        <f t="shared" si="372"/>
        <v>#VALUE!</v>
      </c>
      <c r="M3392" s="247" t="e">
        <f t="shared" si="373"/>
        <v>#VALUE!</v>
      </c>
      <c r="N3392" s="246" t="e">
        <f t="shared" si="374"/>
        <v>#VALUE!</v>
      </c>
      <c r="O3392" s="247" t="e">
        <f t="shared" si="375"/>
        <v>#VALUE!</v>
      </c>
      <c r="P3392" s="247">
        <f t="shared" si="369"/>
        <v>0</v>
      </c>
      <c r="Q3392" s="247" t="e">
        <f t="shared" si="370"/>
        <v>#VALUE!</v>
      </c>
    </row>
    <row r="3393" spans="11:17" x14ac:dyDescent="0.25">
      <c r="K3393" s="246" t="e">
        <f t="shared" si="371"/>
        <v>#VALUE!</v>
      </c>
      <c r="L3393" s="246" t="e">
        <f t="shared" si="372"/>
        <v>#VALUE!</v>
      </c>
      <c r="M3393" s="247" t="e">
        <f t="shared" si="373"/>
        <v>#VALUE!</v>
      </c>
      <c r="N3393" s="246" t="e">
        <f t="shared" si="374"/>
        <v>#VALUE!</v>
      </c>
      <c r="O3393" s="247" t="e">
        <f t="shared" si="375"/>
        <v>#VALUE!</v>
      </c>
      <c r="P3393" s="247">
        <f t="shared" si="369"/>
        <v>0</v>
      </c>
      <c r="Q3393" s="247" t="e">
        <f t="shared" si="370"/>
        <v>#VALUE!</v>
      </c>
    </row>
    <row r="3394" spans="11:17" x14ac:dyDescent="0.25">
      <c r="K3394" s="246" t="e">
        <f t="shared" si="371"/>
        <v>#VALUE!</v>
      </c>
      <c r="L3394" s="246" t="e">
        <f t="shared" si="372"/>
        <v>#VALUE!</v>
      </c>
      <c r="M3394" s="247" t="e">
        <f t="shared" si="373"/>
        <v>#VALUE!</v>
      </c>
      <c r="N3394" s="246" t="e">
        <f t="shared" si="374"/>
        <v>#VALUE!</v>
      </c>
      <c r="O3394" s="247" t="e">
        <f t="shared" si="375"/>
        <v>#VALUE!</v>
      </c>
      <c r="P3394" s="247">
        <f t="shared" ref="P3394:P3457" si="376">IFERROR(_xlfn.MINIFS($M:$M,$E:$E,$E3394,$K:$K,$K3394,$M:$M,"&gt;"&amp;$O3394),"")</f>
        <v>0</v>
      </c>
      <c r="Q3394" s="247" t="e">
        <f t="shared" ref="Q3394:Q3457" si="377">IF($P3394="","",$P3394-$O3394)</f>
        <v>#VALUE!</v>
      </c>
    </row>
    <row r="3395" spans="11:17" x14ac:dyDescent="0.25">
      <c r="K3395" s="246" t="e">
        <f t="shared" si="371"/>
        <v>#VALUE!</v>
      </c>
      <c r="L3395" s="246" t="e">
        <f t="shared" si="372"/>
        <v>#VALUE!</v>
      </c>
      <c r="M3395" s="247" t="e">
        <f t="shared" si="373"/>
        <v>#VALUE!</v>
      </c>
      <c r="N3395" s="246" t="e">
        <f t="shared" si="374"/>
        <v>#VALUE!</v>
      </c>
      <c r="O3395" s="247" t="e">
        <f t="shared" si="375"/>
        <v>#VALUE!</v>
      </c>
      <c r="P3395" s="247">
        <f t="shared" si="376"/>
        <v>0</v>
      </c>
      <c r="Q3395" s="247" t="e">
        <f t="shared" si="377"/>
        <v>#VALUE!</v>
      </c>
    </row>
    <row r="3396" spans="11:17" x14ac:dyDescent="0.25">
      <c r="K3396" s="246" t="e">
        <f t="shared" si="371"/>
        <v>#VALUE!</v>
      </c>
      <c r="L3396" s="246" t="e">
        <f t="shared" si="372"/>
        <v>#VALUE!</v>
      </c>
      <c r="M3396" s="247" t="e">
        <f t="shared" si="373"/>
        <v>#VALUE!</v>
      </c>
      <c r="N3396" s="246" t="e">
        <f t="shared" si="374"/>
        <v>#VALUE!</v>
      </c>
      <c r="O3396" s="247" t="e">
        <f t="shared" si="375"/>
        <v>#VALUE!</v>
      </c>
      <c r="P3396" s="247">
        <f t="shared" si="376"/>
        <v>0</v>
      </c>
      <c r="Q3396" s="247" t="e">
        <f t="shared" si="377"/>
        <v>#VALUE!</v>
      </c>
    </row>
    <row r="3397" spans="11:17" x14ac:dyDescent="0.25">
      <c r="K3397" s="246" t="e">
        <f t="shared" si="371"/>
        <v>#VALUE!</v>
      </c>
      <c r="L3397" s="246" t="e">
        <f t="shared" si="372"/>
        <v>#VALUE!</v>
      </c>
      <c r="M3397" s="247" t="e">
        <f t="shared" si="373"/>
        <v>#VALUE!</v>
      </c>
      <c r="N3397" s="246" t="e">
        <f t="shared" si="374"/>
        <v>#VALUE!</v>
      </c>
      <c r="O3397" s="247" t="e">
        <f t="shared" si="375"/>
        <v>#VALUE!</v>
      </c>
      <c r="P3397" s="247">
        <f t="shared" si="376"/>
        <v>0</v>
      </c>
      <c r="Q3397" s="247" t="e">
        <f t="shared" si="377"/>
        <v>#VALUE!</v>
      </c>
    </row>
    <row r="3398" spans="11:17" x14ac:dyDescent="0.25">
      <c r="K3398" s="246" t="e">
        <f t="shared" si="371"/>
        <v>#VALUE!</v>
      </c>
      <c r="L3398" s="246" t="e">
        <f t="shared" si="372"/>
        <v>#VALUE!</v>
      </c>
      <c r="M3398" s="247" t="e">
        <f t="shared" si="373"/>
        <v>#VALUE!</v>
      </c>
      <c r="N3398" s="246" t="e">
        <f t="shared" si="374"/>
        <v>#VALUE!</v>
      </c>
      <c r="O3398" s="247" t="e">
        <f t="shared" si="375"/>
        <v>#VALUE!</v>
      </c>
      <c r="P3398" s="247">
        <f t="shared" si="376"/>
        <v>0</v>
      </c>
      <c r="Q3398" s="247" t="e">
        <f t="shared" si="377"/>
        <v>#VALUE!</v>
      </c>
    </row>
    <row r="3399" spans="11:17" x14ac:dyDescent="0.25">
      <c r="K3399" s="246" t="e">
        <f t="shared" si="371"/>
        <v>#VALUE!</v>
      </c>
      <c r="L3399" s="246" t="e">
        <f t="shared" si="372"/>
        <v>#VALUE!</v>
      </c>
      <c r="M3399" s="247" t="e">
        <f t="shared" si="373"/>
        <v>#VALUE!</v>
      </c>
      <c r="N3399" s="246" t="e">
        <f t="shared" si="374"/>
        <v>#VALUE!</v>
      </c>
      <c r="O3399" s="247" t="e">
        <f t="shared" si="375"/>
        <v>#VALUE!</v>
      </c>
      <c r="P3399" s="247">
        <f t="shared" si="376"/>
        <v>0</v>
      </c>
      <c r="Q3399" s="247" t="e">
        <f t="shared" si="377"/>
        <v>#VALUE!</v>
      </c>
    </row>
    <row r="3400" spans="11:17" x14ac:dyDescent="0.25">
      <c r="K3400" s="246" t="e">
        <f t="shared" si="371"/>
        <v>#VALUE!</v>
      </c>
      <c r="L3400" s="246" t="e">
        <f t="shared" si="372"/>
        <v>#VALUE!</v>
      </c>
      <c r="M3400" s="247" t="e">
        <f t="shared" si="373"/>
        <v>#VALUE!</v>
      </c>
      <c r="N3400" s="246" t="e">
        <f t="shared" si="374"/>
        <v>#VALUE!</v>
      </c>
      <c r="O3400" s="247" t="e">
        <f t="shared" si="375"/>
        <v>#VALUE!</v>
      </c>
      <c r="P3400" s="247">
        <f t="shared" si="376"/>
        <v>0</v>
      </c>
      <c r="Q3400" s="247" t="e">
        <f t="shared" si="377"/>
        <v>#VALUE!</v>
      </c>
    </row>
    <row r="3401" spans="11:17" x14ac:dyDescent="0.25">
      <c r="K3401" s="246" t="e">
        <f t="shared" si="371"/>
        <v>#VALUE!</v>
      </c>
      <c r="L3401" s="246" t="e">
        <f t="shared" si="372"/>
        <v>#VALUE!</v>
      </c>
      <c r="M3401" s="247" t="e">
        <f t="shared" si="373"/>
        <v>#VALUE!</v>
      </c>
      <c r="N3401" s="246" t="e">
        <f t="shared" si="374"/>
        <v>#VALUE!</v>
      </c>
      <c r="O3401" s="247" t="e">
        <f t="shared" si="375"/>
        <v>#VALUE!</v>
      </c>
      <c r="P3401" s="247">
        <f t="shared" si="376"/>
        <v>0</v>
      </c>
      <c r="Q3401" s="247" t="e">
        <f t="shared" si="377"/>
        <v>#VALUE!</v>
      </c>
    </row>
    <row r="3402" spans="11:17" x14ac:dyDescent="0.25">
      <c r="K3402" s="246" t="e">
        <f t="shared" si="371"/>
        <v>#VALUE!</v>
      </c>
      <c r="L3402" s="246" t="e">
        <f t="shared" si="372"/>
        <v>#VALUE!</v>
      </c>
      <c r="M3402" s="247" t="e">
        <f t="shared" si="373"/>
        <v>#VALUE!</v>
      </c>
      <c r="N3402" s="246" t="e">
        <f t="shared" si="374"/>
        <v>#VALUE!</v>
      </c>
      <c r="O3402" s="247" t="e">
        <f t="shared" si="375"/>
        <v>#VALUE!</v>
      </c>
      <c r="P3402" s="247">
        <f t="shared" si="376"/>
        <v>0</v>
      </c>
      <c r="Q3402" s="247" t="e">
        <f t="shared" si="377"/>
        <v>#VALUE!</v>
      </c>
    </row>
    <row r="3403" spans="11:17" x14ac:dyDescent="0.25">
      <c r="K3403" s="246" t="e">
        <f t="shared" si="371"/>
        <v>#VALUE!</v>
      </c>
      <c r="L3403" s="246" t="e">
        <f t="shared" si="372"/>
        <v>#VALUE!</v>
      </c>
      <c r="M3403" s="247" t="e">
        <f t="shared" si="373"/>
        <v>#VALUE!</v>
      </c>
      <c r="N3403" s="246" t="e">
        <f t="shared" si="374"/>
        <v>#VALUE!</v>
      </c>
      <c r="O3403" s="247" t="e">
        <f t="shared" si="375"/>
        <v>#VALUE!</v>
      </c>
      <c r="P3403" s="247">
        <f t="shared" si="376"/>
        <v>0</v>
      </c>
      <c r="Q3403" s="247" t="e">
        <f t="shared" si="377"/>
        <v>#VALUE!</v>
      </c>
    </row>
    <row r="3404" spans="11:17" x14ac:dyDescent="0.25">
      <c r="K3404" s="246" t="e">
        <f t="shared" si="371"/>
        <v>#VALUE!</v>
      </c>
      <c r="L3404" s="246" t="e">
        <f t="shared" si="372"/>
        <v>#VALUE!</v>
      </c>
      <c r="M3404" s="247" t="e">
        <f t="shared" si="373"/>
        <v>#VALUE!</v>
      </c>
      <c r="N3404" s="246" t="e">
        <f t="shared" si="374"/>
        <v>#VALUE!</v>
      </c>
      <c r="O3404" s="247" t="e">
        <f t="shared" si="375"/>
        <v>#VALUE!</v>
      </c>
      <c r="P3404" s="247">
        <f t="shared" si="376"/>
        <v>0</v>
      </c>
      <c r="Q3404" s="247" t="e">
        <f t="shared" si="377"/>
        <v>#VALUE!</v>
      </c>
    </row>
    <row r="3405" spans="11:17" x14ac:dyDescent="0.25">
      <c r="K3405" s="246" t="e">
        <f t="shared" si="371"/>
        <v>#VALUE!</v>
      </c>
      <c r="L3405" s="246" t="e">
        <f t="shared" si="372"/>
        <v>#VALUE!</v>
      </c>
      <c r="M3405" s="247" t="e">
        <f t="shared" si="373"/>
        <v>#VALUE!</v>
      </c>
      <c r="N3405" s="246" t="e">
        <f t="shared" si="374"/>
        <v>#VALUE!</v>
      </c>
      <c r="O3405" s="247" t="e">
        <f t="shared" si="375"/>
        <v>#VALUE!</v>
      </c>
      <c r="P3405" s="247">
        <f t="shared" si="376"/>
        <v>0</v>
      </c>
      <c r="Q3405" s="247" t="e">
        <f t="shared" si="377"/>
        <v>#VALUE!</v>
      </c>
    </row>
    <row r="3406" spans="11:17" x14ac:dyDescent="0.25">
      <c r="K3406" s="246" t="e">
        <f t="shared" si="371"/>
        <v>#VALUE!</v>
      </c>
      <c r="L3406" s="246" t="e">
        <f t="shared" si="372"/>
        <v>#VALUE!</v>
      </c>
      <c r="M3406" s="247" t="e">
        <f t="shared" si="373"/>
        <v>#VALUE!</v>
      </c>
      <c r="N3406" s="246" t="e">
        <f t="shared" si="374"/>
        <v>#VALUE!</v>
      </c>
      <c r="O3406" s="247" t="e">
        <f t="shared" si="375"/>
        <v>#VALUE!</v>
      </c>
      <c r="P3406" s="247">
        <f t="shared" si="376"/>
        <v>0</v>
      </c>
      <c r="Q3406" s="247" t="e">
        <f t="shared" si="377"/>
        <v>#VALUE!</v>
      </c>
    </row>
    <row r="3407" spans="11:17" x14ac:dyDescent="0.25">
      <c r="K3407" s="246" t="e">
        <f t="shared" si="371"/>
        <v>#VALUE!</v>
      </c>
      <c r="L3407" s="246" t="e">
        <f t="shared" si="372"/>
        <v>#VALUE!</v>
      </c>
      <c r="M3407" s="247" t="e">
        <f t="shared" si="373"/>
        <v>#VALUE!</v>
      </c>
      <c r="N3407" s="246" t="e">
        <f t="shared" si="374"/>
        <v>#VALUE!</v>
      </c>
      <c r="O3407" s="247" t="e">
        <f t="shared" si="375"/>
        <v>#VALUE!</v>
      </c>
      <c r="P3407" s="247">
        <f t="shared" si="376"/>
        <v>0</v>
      </c>
      <c r="Q3407" s="247" t="e">
        <f t="shared" si="377"/>
        <v>#VALUE!</v>
      </c>
    </row>
    <row r="3408" spans="11:17" x14ac:dyDescent="0.25">
      <c r="K3408" s="246" t="e">
        <f t="shared" si="371"/>
        <v>#VALUE!</v>
      </c>
      <c r="L3408" s="246" t="e">
        <f t="shared" si="372"/>
        <v>#VALUE!</v>
      </c>
      <c r="M3408" s="247" t="e">
        <f t="shared" si="373"/>
        <v>#VALUE!</v>
      </c>
      <c r="N3408" s="246" t="e">
        <f t="shared" si="374"/>
        <v>#VALUE!</v>
      </c>
      <c r="O3408" s="247" t="e">
        <f t="shared" si="375"/>
        <v>#VALUE!</v>
      </c>
      <c r="P3408" s="247">
        <f t="shared" si="376"/>
        <v>0</v>
      </c>
      <c r="Q3408" s="247" t="e">
        <f t="shared" si="377"/>
        <v>#VALUE!</v>
      </c>
    </row>
    <row r="3409" spans="11:17" x14ac:dyDescent="0.25">
      <c r="K3409" s="246" t="e">
        <f t="shared" si="371"/>
        <v>#VALUE!</v>
      </c>
      <c r="L3409" s="246" t="e">
        <f t="shared" si="372"/>
        <v>#VALUE!</v>
      </c>
      <c r="M3409" s="247" t="e">
        <f t="shared" si="373"/>
        <v>#VALUE!</v>
      </c>
      <c r="N3409" s="246" t="e">
        <f t="shared" si="374"/>
        <v>#VALUE!</v>
      </c>
      <c r="O3409" s="247" t="e">
        <f t="shared" si="375"/>
        <v>#VALUE!</v>
      </c>
      <c r="P3409" s="247">
        <f t="shared" si="376"/>
        <v>0</v>
      </c>
      <c r="Q3409" s="247" t="e">
        <f t="shared" si="377"/>
        <v>#VALUE!</v>
      </c>
    </row>
    <row r="3410" spans="11:17" x14ac:dyDescent="0.25">
      <c r="K3410" s="246" t="e">
        <f t="shared" si="371"/>
        <v>#VALUE!</v>
      </c>
      <c r="L3410" s="246" t="e">
        <f t="shared" si="372"/>
        <v>#VALUE!</v>
      </c>
      <c r="M3410" s="247" t="e">
        <f t="shared" si="373"/>
        <v>#VALUE!</v>
      </c>
      <c r="N3410" s="246" t="e">
        <f t="shared" si="374"/>
        <v>#VALUE!</v>
      </c>
      <c r="O3410" s="247" t="e">
        <f t="shared" si="375"/>
        <v>#VALUE!</v>
      </c>
      <c r="P3410" s="247">
        <f t="shared" si="376"/>
        <v>0</v>
      </c>
      <c r="Q3410" s="247" t="e">
        <f t="shared" si="377"/>
        <v>#VALUE!</v>
      </c>
    </row>
    <row r="3411" spans="11:17" x14ac:dyDescent="0.25">
      <c r="K3411" s="246" t="e">
        <f t="shared" si="371"/>
        <v>#VALUE!</v>
      </c>
      <c r="L3411" s="246" t="e">
        <f t="shared" si="372"/>
        <v>#VALUE!</v>
      </c>
      <c r="M3411" s="247" t="e">
        <f t="shared" si="373"/>
        <v>#VALUE!</v>
      </c>
      <c r="N3411" s="246" t="e">
        <f t="shared" si="374"/>
        <v>#VALUE!</v>
      </c>
      <c r="O3411" s="247" t="e">
        <f t="shared" si="375"/>
        <v>#VALUE!</v>
      </c>
      <c r="P3411" s="247">
        <f t="shared" si="376"/>
        <v>0</v>
      </c>
      <c r="Q3411" s="247" t="e">
        <f t="shared" si="377"/>
        <v>#VALUE!</v>
      </c>
    </row>
    <row r="3412" spans="11:17" x14ac:dyDescent="0.25">
      <c r="K3412" s="246" t="e">
        <f t="shared" si="371"/>
        <v>#VALUE!</v>
      </c>
      <c r="L3412" s="246" t="e">
        <f t="shared" si="372"/>
        <v>#VALUE!</v>
      </c>
      <c r="M3412" s="247" t="e">
        <f t="shared" si="373"/>
        <v>#VALUE!</v>
      </c>
      <c r="N3412" s="246" t="e">
        <f t="shared" si="374"/>
        <v>#VALUE!</v>
      </c>
      <c r="O3412" s="247" t="e">
        <f t="shared" si="375"/>
        <v>#VALUE!</v>
      </c>
      <c r="P3412" s="247">
        <f t="shared" si="376"/>
        <v>0</v>
      </c>
      <c r="Q3412" s="247" t="e">
        <f t="shared" si="377"/>
        <v>#VALUE!</v>
      </c>
    </row>
    <row r="3413" spans="11:17" x14ac:dyDescent="0.25">
      <c r="K3413" s="246" t="e">
        <f t="shared" si="371"/>
        <v>#VALUE!</v>
      </c>
      <c r="L3413" s="246" t="e">
        <f t="shared" si="372"/>
        <v>#VALUE!</v>
      </c>
      <c r="M3413" s="247" t="e">
        <f t="shared" si="373"/>
        <v>#VALUE!</v>
      </c>
      <c r="N3413" s="246" t="e">
        <f t="shared" si="374"/>
        <v>#VALUE!</v>
      </c>
      <c r="O3413" s="247" t="e">
        <f t="shared" si="375"/>
        <v>#VALUE!</v>
      </c>
      <c r="P3413" s="247">
        <f t="shared" si="376"/>
        <v>0</v>
      </c>
      <c r="Q3413" s="247" t="e">
        <f t="shared" si="377"/>
        <v>#VALUE!</v>
      </c>
    </row>
    <row r="3414" spans="11:17" x14ac:dyDescent="0.25">
      <c r="K3414" s="246" t="e">
        <f t="shared" si="371"/>
        <v>#VALUE!</v>
      </c>
      <c r="L3414" s="246" t="e">
        <f t="shared" si="372"/>
        <v>#VALUE!</v>
      </c>
      <c r="M3414" s="247" t="e">
        <f t="shared" si="373"/>
        <v>#VALUE!</v>
      </c>
      <c r="N3414" s="246" t="e">
        <f t="shared" si="374"/>
        <v>#VALUE!</v>
      </c>
      <c r="O3414" s="247" t="e">
        <f t="shared" si="375"/>
        <v>#VALUE!</v>
      </c>
      <c r="P3414" s="247">
        <f t="shared" si="376"/>
        <v>0</v>
      </c>
      <c r="Q3414" s="247" t="e">
        <f t="shared" si="377"/>
        <v>#VALUE!</v>
      </c>
    </row>
    <row r="3415" spans="11:17" x14ac:dyDescent="0.25">
      <c r="K3415" s="246" t="e">
        <f t="shared" si="371"/>
        <v>#VALUE!</v>
      </c>
      <c r="L3415" s="246" t="e">
        <f t="shared" si="372"/>
        <v>#VALUE!</v>
      </c>
      <c r="M3415" s="247" t="e">
        <f t="shared" si="373"/>
        <v>#VALUE!</v>
      </c>
      <c r="N3415" s="246" t="e">
        <f t="shared" si="374"/>
        <v>#VALUE!</v>
      </c>
      <c r="O3415" s="247" t="e">
        <f t="shared" si="375"/>
        <v>#VALUE!</v>
      </c>
      <c r="P3415" s="247">
        <f t="shared" si="376"/>
        <v>0</v>
      </c>
      <c r="Q3415" s="247" t="e">
        <f t="shared" si="377"/>
        <v>#VALUE!</v>
      </c>
    </row>
    <row r="3416" spans="11:17" x14ac:dyDescent="0.25">
      <c r="K3416" s="246" t="e">
        <f t="shared" si="371"/>
        <v>#VALUE!</v>
      </c>
      <c r="L3416" s="246" t="e">
        <f t="shared" si="372"/>
        <v>#VALUE!</v>
      </c>
      <c r="M3416" s="247" t="e">
        <f t="shared" si="373"/>
        <v>#VALUE!</v>
      </c>
      <c r="N3416" s="246" t="e">
        <f t="shared" si="374"/>
        <v>#VALUE!</v>
      </c>
      <c r="O3416" s="247" t="e">
        <f t="shared" si="375"/>
        <v>#VALUE!</v>
      </c>
      <c r="P3416" s="247">
        <f t="shared" si="376"/>
        <v>0</v>
      </c>
      <c r="Q3416" s="247" t="e">
        <f t="shared" si="377"/>
        <v>#VALUE!</v>
      </c>
    </row>
    <row r="3417" spans="11:17" x14ac:dyDescent="0.25">
      <c r="K3417" s="246" t="e">
        <f t="shared" si="371"/>
        <v>#VALUE!</v>
      </c>
      <c r="L3417" s="246" t="e">
        <f t="shared" si="372"/>
        <v>#VALUE!</v>
      </c>
      <c r="M3417" s="247" t="e">
        <f t="shared" si="373"/>
        <v>#VALUE!</v>
      </c>
      <c r="N3417" s="246" t="e">
        <f t="shared" si="374"/>
        <v>#VALUE!</v>
      </c>
      <c r="O3417" s="247" t="e">
        <f t="shared" si="375"/>
        <v>#VALUE!</v>
      </c>
      <c r="P3417" s="247">
        <f t="shared" si="376"/>
        <v>0</v>
      </c>
      <c r="Q3417" s="247" t="e">
        <f t="shared" si="377"/>
        <v>#VALUE!</v>
      </c>
    </row>
    <row r="3418" spans="11:17" x14ac:dyDescent="0.25">
      <c r="K3418" s="246" t="e">
        <f t="shared" si="371"/>
        <v>#VALUE!</v>
      </c>
      <c r="L3418" s="246" t="e">
        <f t="shared" si="372"/>
        <v>#VALUE!</v>
      </c>
      <c r="M3418" s="247" t="e">
        <f t="shared" si="373"/>
        <v>#VALUE!</v>
      </c>
      <c r="N3418" s="246" t="e">
        <f t="shared" si="374"/>
        <v>#VALUE!</v>
      </c>
      <c r="O3418" s="247" t="e">
        <f t="shared" si="375"/>
        <v>#VALUE!</v>
      </c>
      <c r="P3418" s="247">
        <f t="shared" si="376"/>
        <v>0</v>
      </c>
      <c r="Q3418" s="247" t="e">
        <f t="shared" si="377"/>
        <v>#VALUE!</v>
      </c>
    </row>
    <row r="3419" spans="11:17" x14ac:dyDescent="0.25">
      <c r="K3419" s="246" t="e">
        <f t="shared" si="371"/>
        <v>#VALUE!</v>
      </c>
      <c r="L3419" s="246" t="e">
        <f t="shared" si="372"/>
        <v>#VALUE!</v>
      </c>
      <c r="M3419" s="247" t="e">
        <f t="shared" si="373"/>
        <v>#VALUE!</v>
      </c>
      <c r="N3419" s="246" t="e">
        <f t="shared" si="374"/>
        <v>#VALUE!</v>
      </c>
      <c r="O3419" s="247" t="e">
        <f t="shared" si="375"/>
        <v>#VALUE!</v>
      </c>
      <c r="P3419" s="247">
        <f t="shared" si="376"/>
        <v>0</v>
      </c>
      <c r="Q3419" s="247" t="e">
        <f t="shared" si="377"/>
        <v>#VALUE!</v>
      </c>
    </row>
    <row r="3420" spans="11:17" x14ac:dyDescent="0.25">
      <c r="K3420" s="246" t="e">
        <f t="shared" si="371"/>
        <v>#VALUE!</v>
      </c>
      <c r="L3420" s="246" t="e">
        <f t="shared" si="372"/>
        <v>#VALUE!</v>
      </c>
      <c r="M3420" s="247" t="e">
        <f t="shared" si="373"/>
        <v>#VALUE!</v>
      </c>
      <c r="N3420" s="246" t="e">
        <f t="shared" si="374"/>
        <v>#VALUE!</v>
      </c>
      <c r="O3420" s="247" t="e">
        <f t="shared" si="375"/>
        <v>#VALUE!</v>
      </c>
      <c r="P3420" s="247">
        <f t="shared" si="376"/>
        <v>0</v>
      </c>
      <c r="Q3420" s="247" t="e">
        <f t="shared" si="377"/>
        <v>#VALUE!</v>
      </c>
    </row>
    <row r="3421" spans="11:17" x14ac:dyDescent="0.25">
      <c r="K3421" s="246" t="e">
        <f t="shared" si="371"/>
        <v>#VALUE!</v>
      </c>
      <c r="L3421" s="246" t="e">
        <f t="shared" si="372"/>
        <v>#VALUE!</v>
      </c>
      <c r="M3421" s="247" t="e">
        <f t="shared" si="373"/>
        <v>#VALUE!</v>
      </c>
      <c r="N3421" s="246" t="e">
        <f t="shared" si="374"/>
        <v>#VALUE!</v>
      </c>
      <c r="O3421" s="247" t="e">
        <f t="shared" si="375"/>
        <v>#VALUE!</v>
      </c>
      <c r="P3421" s="247">
        <f t="shared" si="376"/>
        <v>0</v>
      </c>
      <c r="Q3421" s="247" t="e">
        <f t="shared" si="377"/>
        <v>#VALUE!</v>
      </c>
    </row>
    <row r="3422" spans="11:17" x14ac:dyDescent="0.25">
      <c r="K3422" s="246" t="e">
        <f t="shared" si="371"/>
        <v>#VALUE!</v>
      </c>
      <c r="L3422" s="246" t="e">
        <f t="shared" si="372"/>
        <v>#VALUE!</v>
      </c>
      <c r="M3422" s="247" t="e">
        <f t="shared" si="373"/>
        <v>#VALUE!</v>
      </c>
      <c r="N3422" s="246" t="e">
        <f t="shared" si="374"/>
        <v>#VALUE!</v>
      </c>
      <c r="O3422" s="247" t="e">
        <f t="shared" si="375"/>
        <v>#VALUE!</v>
      </c>
      <c r="P3422" s="247">
        <f t="shared" si="376"/>
        <v>0</v>
      </c>
      <c r="Q3422" s="247" t="e">
        <f t="shared" si="377"/>
        <v>#VALUE!</v>
      </c>
    </row>
    <row r="3423" spans="11:17" x14ac:dyDescent="0.25">
      <c r="K3423" s="246" t="e">
        <f t="shared" si="371"/>
        <v>#VALUE!</v>
      </c>
      <c r="L3423" s="246" t="e">
        <f t="shared" si="372"/>
        <v>#VALUE!</v>
      </c>
      <c r="M3423" s="247" t="e">
        <f t="shared" si="373"/>
        <v>#VALUE!</v>
      </c>
      <c r="N3423" s="246" t="e">
        <f t="shared" si="374"/>
        <v>#VALUE!</v>
      </c>
      <c r="O3423" s="247" t="e">
        <f t="shared" si="375"/>
        <v>#VALUE!</v>
      </c>
      <c r="P3423" s="247">
        <f t="shared" si="376"/>
        <v>0</v>
      </c>
      <c r="Q3423" s="247" t="e">
        <f t="shared" si="377"/>
        <v>#VALUE!</v>
      </c>
    </row>
    <row r="3424" spans="11:17" x14ac:dyDescent="0.25">
      <c r="K3424" s="246" t="e">
        <f t="shared" si="371"/>
        <v>#VALUE!</v>
      </c>
      <c r="L3424" s="246" t="e">
        <f t="shared" si="372"/>
        <v>#VALUE!</v>
      </c>
      <c r="M3424" s="247" t="e">
        <f t="shared" si="373"/>
        <v>#VALUE!</v>
      </c>
      <c r="N3424" s="246" t="e">
        <f t="shared" si="374"/>
        <v>#VALUE!</v>
      </c>
      <c r="O3424" s="247" t="e">
        <f t="shared" si="375"/>
        <v>#VALUE!</v>
      </c>
      <c r="P3424" s="247">
        <f t="shared" si="376"/>
        <v>0</v>
      </c>
      <c r="Q3424" s="247" t="e">
        <f t="shared" si="377"/>
        <v>#VALUE!</v>
      </c>
    </row>
    <row r="3425" spans="11:17" x14ac:dyDescent="0.25">
      <c r="K3425" s="246" t="e">
        <f t="shared" si="371"/>
        <v>#VALUE!</v>
      </c>
      <c r="L3425" s="246" t="e">
        <f t="shared" si="372"/>
        <v>#VALUE!</v>
      </c>
      <c r="M3425" s="247" t="e">
        <f t="shared" si="373"/>
        <v>#VALUE!</v>
      </c>
      <c r="N3425" s="246" t="e">
        <f t="shared" si="374"/>
        <v>#VALUE!</v>
      </c>
      <c r="O3425" s="247" t="e">
        <f t="shared" si="375"/>
        <v>#VALUE!</v>
      </c>
      <c r="P3425" s="247">
        <f t="shared" si="376"/>
        <v>0</v>
      </c>
      <c r="Q3425" s="247" t="e">
        <f t="shared" si="377"/>
        <v>#VALUE!</v>
      </c>
    </row>
    <row r="3426" spans="11:17" x14ac:dyDescent="0.25">
      <c r="K3426" s="246" t="e">
        <f t="shared" si="371"/>
        <v>#VALUE!</v>
      </c>
      <c r="L3426" s="246" t="e">
        <f t="shared" si="372"/>
        <v>#VALUE!</v>
      </c>
      <c r="M3426" s="247" t="e">
        <f t="shared" si="373"/>
        <v>#VALUE!</v>
      </c>
      <c r="N3426" s="246" t="e">
        <f t="shared" si="374"/>
        <v>#VALUE!</v>
      </c>
      <c r="O3426" s="247" t="e">
        <f t="shared" si="375"/>
        <v>#VALUE!</v>
      </c>
      <c r="P3426" s="247">
        <f t="shared" si="376"/>
        <v>0</v>
      </c>
      <c r="Q3426" s="247" t="e">
        <f t="shared" si="377"/>
        <v>#VALUE!</v>
      </c>
    </row>
    <row r="3427" spans="11:17" x14ac:dyDescent="0.25">
      <c r="K3427" s="246" t="e">
        <f t="shared" si="371"/>
        <v>#VALUE!</v>
      </c>
      <c r="L3427" s="246" t="e">
        <f t="shared" si="372"/>
        <v>#VALUE!</v>
      </c>
      <c r="M3427" s="247" t="e">
        <f t="shared" si="373"/>
        <v>#VALUE!</v>
      </c>
      <c r="N3427" s="246" t="e">
        <f t="shared" si="374"/>
        <v>#VALUE!</v>
      </c>
      <c r="O3427" s="247" t="e">
        <f t="shared" si="375"/>
        <v>#VALUE!</v>
      </c>
      <c r="P3427" s="247">
        <f t="shared" si="376"/>
        <v>0</v>
      </c>
      <c r="Q3427" s="247" t="e">
        <f t="shared" si="377"/>
        <v>#VALUE!</v>
      </c>
    </row>
    <row r="3428" spans="11:17" x14ac:dyDescent="0.25">
      <c r="K3428" s="246" t="e">
        <f t="shared" si="371"/>
        <v>#VALUE!</v>
      </c>
      <c r="L3428" s="246" t="e">
        <f t="shared" si="372"/>
        <v>#VALUE!</v>
      </c>
      <c r="M3428" s="247" t="e">
        <f t="shared" si="373"/>
        <v>#VALUE!</v>
      </c>
      <c r="N3428" s="246" t="e">
        <f t="shared" si="374"/>
        <v>#VALUE!</v>
      </c>
      <c r="O3428" s="247" t="e">
        <f t="shared" si="375"/>
        <v>#VALUE!</v>
      </c>
      <c r="P3428" s="247">
        <f t="shared" si="376"/>
        <v>0</v>
      </c>
      <c r="Q3428" s="247" t="e">
        <f t="shared" si="377"/>
        <v>#VALUE!</v>
      </c>
    </row>
    <row r="3429" spans="11:17" x14ac:dyDescent="0.25">
      <c r="K3429" s="246" t="e">
        <f t="shared" si="371"/>
        <v>#VALUE!</v>
      </c>
      <c r="L3429" s="246" t="e">
        <f t="shared" si="372"/>
        <v>#VALUE!</v>
      </c>
      <c r="M3429" s="247" t="e">
        <f t="shared" si="373"/>
        <v>#VALUE!</v>
      </c>
      <c r="N3429" s="246" t="e">
        <f t="shared" si="374"/>
        <v>#VALUE!</v>
      </c>
      <c r="O3429" s="247" t="e">
        <f t="shared" si="375"/>
        <v>#VALUE!</v>
      </c>
      <c r="P3429" s="247">
        <f t="shared" si="376"/>
        <v>0</v>
      </c>
      <c r="Q3429" s="247" t="e">
        <f t="shared" si="377"/>
        <v>#VALUE!</v>
      </c>
    </row>
    <row r="3430" spans="11:17" x14ac:dyDescent="0.25">
      <c r="K3430" s="246" t="e">
        <f t="shared" si="371"/>
        <v>#VALUE!</v>
      </c>
      <c r="L3430" s="246" t="e">
        <f t="shared" si="372"/>
        <v>#VALUE!</v>
      </c>
      <c r="M3430" s="247" t="e">
        <f t="shared" si="373"/>
        <v>#VALUE!</v>
      </c>
      <c r="N3430" s="246" t="e">
        <f t="shared" si="374"/>
        <v>#VALUE!</v>
      </c>
      <c r="O3430" s="247" t="e">
        <f t="shared" si="375"/>
        <v>#VALUE!</v>
      </c>
      <c r="P3430" s="247">
        <f t="shared" si="376"/>
        <v>0</v>
      </c>
      <c r="Q3430" s="247" t="e">
        <f t="shared" si="377"/>
        <v>#VALUE!</v>
      </c>
    </row>
    <row r="3431" spans="11:17" x14ac:dyDescent="0.25">
      <c r="K3431" s="246" t="e">
        <f t="shared" si="371"/>
        <v>#VALUE!</v>
      </c>
      <c r="L3431" s="246" t="e">
        <f t="shared" si="372"/>
        <v>#VALUE!</v>
      </c>
      <c r="M3431" s="247" t="e">
        <f t="shared" si="373"/>
        <v>#VALUE!</v>
      </c>
      <c r="N3431" s="246" t="e">
        <f t="shared" si="374"/>
        <v>#VALUE!</v>
      </c>
      <c r="O3431" s="247" t="e">
        <f t="shared" si="375"/>
        <v>#VALUE!</v>
      </c>
      <c r="P3431" s="247">
        <f t="shared" si="376"/>
        <v>0</v>
      </c>
      <c r="Q3431" s="247" t="e">
        <f t="shared" si="377"/>
        <v>#VALUE!</v>
      </c>
    </row>
    <row r="3432" spans="11:17" x14ac:dyDescent="0.25">
      <c r="K3432" s="246" t="e">
        <f t="shared" si="371"/>
        <v>#VALUE!</v>
      </c>
      <c r="L3432" s="246" t="e">
        <f t="shared" si="372"/>
        <v>#VALUE!</v>
      </c>
      <c r="M3432" s="247" t="e">
        <f t="shared" si="373"/>
        <v>#VALUE!</v>
      </c>
      <c r="N3432" s="246" t="e">
        <f t="shared" si="374"/>
        <v>#VALUE!</v>
      </c>
      <c r="O3432" s="247" t="e">
        <f t="shared" si="375"/>
        <v>#VALUE!</v>
      </c>
      <c r="P3432" s="247">
        <f t="shared" si="376"/>
        <v>0</v>
      </c>
      <c r="Q3432" s="247" t="e">
        <f t="shared" si="377"/>
        <v>#VALUE!</v>
      </c>
    </row>
    <row r="3433" spans="11:17" x14ac:dyDescent="0.25">
      <c r="K3433" s="246" t="e">
        <f t="shared" si="371"/>
        <v>#VALUE!</v>
      </c>
      <c r="L3433" s="246" t="e">
        <f t="shared" si="372"/>
        <v>#VALUE!</v>
      </c>
      <c r="M3433" s="247" t="e">
        <f t="shared" si="373"/>
        <v>#VALUE!</v>
      </c>
      <c r="N3433" s="246" t="e">
        <f t="shared" si="374"/>
        <v>#VALUE!</v>
      </c>
      <c r="O3433" s="247" t="e">
        <f t="shared" si="375"/>
        <v>#VALUE!</v>
      </c>
      <c r="P3433" s="247">
        <f t="shared" si="376"/>
        <v>0</v>
      </c>
      <c r="Q3433" s="247" t="e">
        <f t="shared" si="377"/>
        <v>#VALUE!</v>
      </c>
    </row>
    <row r="3434" spans="11:17" x14ac:dyDescent="0.25">
      <c r="K3434" s="246" t="e">
        <f t="shared" si="371"/>
        <v>#VALUE!</v>
      </c>
      <c r="L3434" s="246" t="e">
        <f t="shared" si="372"/>
        <v>#VALUE!</v>
      </c>
      <c r="M3434" s="247" t="e">
        <f t="shared" si="373"/>
        <v>#VALUE!</v>
      </c>
      <c r="N3434" s="246" t="e">
        <f t="shared" si="374"/>
        <v>#VALUE!</v>
      </c>
      <c r="O3434" s="247" t="e">
        <f t="shared" si="375"/>
        <v>#VALUE!</v>
      </c>
      <c r="P3434" s="247">
        <f t="shared" si="376"/>
        <v>0</v>
      </c>
      <c r="Q3434" s="247" t="e">
        <f t="shared" si="377"/>
        <v>#VALUE!</v>
      </c>
    </row>
    <row r="3435" spans="11:17" x14ac:dyDescent="0.25">
      <c r="K3435" s="246" t="e">
        <f t="shared" si="371"/>
        <v>#VALUE!</v>
      </c>
      <c r="L3435" s="246" t="e">
        <f t="shared" si="372"/>
        <v>#VALUE!</v>
      </c>
      <c r="M3435" s="247" t="e">
        <f t="shared" si="373"/>
        <v>#VALUE!</v>
      </c>
      <c r="N3435" s="246" t="e">
        <f t="shared" si="374"/>
        <v>#VALUE!</v>
      </c>
      <c r="O3435" s="247" t="e">
        <f t="shared" si="375"/>
        <v>#VALUE!</v>
      </c>
      <c r="P3435" s="247">
        <f t="shared" si="376"/>
        <v>0</v>
      </c>
      <c r="Q3435" s="247" t="e">
        <f t="shared" si="377"/>
        <v>#VALUE!</v>
      </c>
    </row>
    <row r="3436" spans="11:17" x14ac:dyDescent="0.25">
      <c r="K3436" s="246" t="e">
        <f t="shared" si="371"/>
        <v>#VALUE!</v>
      </c>
      <c r="L3436" s="246" t="e">
        <f t="shared" si="372"/>
        <v>#VALUE!</v>
      </c>
      <c r="M3436" s="247" t="e">
        <f t="shared" si="373"/>
        <v>#VALUE!</v>
      </c>
      <c r="N3436" s="246" t="e">
        <f t="shared" si="374"/>
        <v>#VALUE!</v>
      </c>
      <c r="O3436" s="247" t="e">
        <f t="shared" si="375"/>
        <v>#VALUE!</v>
      </c>
      <c r="P3436" s="247">
        <f t="shared" si="376"/>
        <v>0</v>
      </c>
      <c r="Q3436" s="247" t="e">
        <f t="shared" si="377"/>
        <v>#VALUE!</v>
      </c>
    </row>
    <row r="3437" spans="11:17" x14ac:dyDescent="0.25">
      <c r="K3437" s="246" t="e">
        <f t="shared" si="371"/>
        <v>#VALUE!</v>
      </c>
      <c r="L3437" s="246" t="e">
        <f t="shared" si="372"/>
        <v>#VALUE!</v>
      </c>
      <c r="M3437" s="247" t="e">
        <f t="shared" si="373"/>
        <v>#VALUE!</v>
      </c>
      <c r="N3437" s="246" t="e">
        <f t="shared" si="374"/>
        <v>#VALUE!</v>
      </c>
      <c r="O3437" s="247" t="e">
        <f t="shared" si="375"/>
        <v>#VALUE!</v>
      </c>
      <c r="P3437" s="247">
        <f t="shared" si="376"/>
        <v>0</v>
      </c>
      <c r="Q3437" s="247" t="e">
        <f t="shared" si="377"/>
        <v>#VALUE!</v>
      </c>
    </row>
    <row r="3438" spans="11:17" x14ac:dyDescent="0.25">
      <c r="K3438" s="246" t="e">
        <f t="shared" si="371"/>
        <v>#VALUE!</v>
      </c>
      <c r="L3438" s="246" t="e">
        <f t="shared" si="372"/>
        <v>#VALUE!</v>
      </c>
      <c r="M3438" s="247" t="e">
        <f t="shared" si="373"/>
        <v>#VALUE!</v>
      </c>
      <c r="N3438" s="246" t="e">
        <f t="shared" si="374"/>
        <v>#VALUE!</v>
      </c>
      <c r="O3438" s="247" t="e">
        <f t="shared" si="375"/>
        <v>#VALUE!</v>
      </c>
      <c r="P3438" s="247">
        <f t="shared" si="376"/>
        <v>0</v>
      </c>
      <c r="Q3438" s="247" t="e">
        <f t="shared" si="377"/>
        <v>#VALUE!</v>
      </c>
    </row>
    <row r="3439" spans="11:17" x14ac:dyDescent="0.25">
      <c r="K3439" s="246" t="e">
        <f t="shared" si="371"/>
        <v>#VALUE!</v>
      </c>
      <c r="L3439" s="246" t="e">
        <f t="shared" si="372"/>
        <v>#VALUE!</v>
      </c>
      <c r="M3439" s="247" t="e">
        <f t="shared" si="373"/>
        <v>#VALUE!</v>
      </c>
      <c r="N3439" s="246" t="e">
        <f t="shared" si="374"/>
        <v>#VALUE!</v>
      </c>
      <c r="O3439" s="247" t="e">
        <f t="shared" si="375"/>
        <v>#VALUE!</v>
      </c>
      <c r="P3439" s="247">
        <f t="shared" si="376"/>
        <v>0</v>
      </c>
      <c r="Q3439" s="247" t="e">
        <f t="shared" si="377"/>
        <v>#VALUE!</v>
      </c>
    </row>
    <row r="3440" spans="11:17" x14ac:dyDescent="0.25">
      <c r="K3440" s="246" t="e">
        <f t="shared" si="371"/>
        <v>#VALUE!</v>
      </c>
      <c r="L3440" s="246" t="e">
        <f t="shared" si="372"/>
        <v>#VALUE!</v>
      </c>
      <c r="M3440" s="247" t="e">
        <f t="shared" si="373"/>
        <v>#VALUE!</v>
      </c>
      <c r="N3440" s="246" t="e">
        <f t="shared" si="374"/>
        <v>#VALUE!</v>
      </c>
      <c r="O3440" s="247" t="e">
        <f t="shared" si="375"/>
        <v>#VALUE!</v>
      </c>
      <c r="P3440" s="247">
        <f t="shared" si="376"/>
        <v>0</v>
      </c>
      <c r="Q3440" s="247" t="e">
        <f t="shared" si="377"/>
        <v>#VALUE!</v>
      </c>
    </row>
    <row r="3441" spans="11:17" x14ac:dyDescent="0.25">
      <c r="K3441" s="246" t="e">
        <f t="shared" si="371"/>
        <v>#VALUE!</v>
      </c>
      <c r="L3441" s="246" t="e">
        <f t="shared" si="372"/>
        <v>#VALUE!</v>
      </c>
      <c r="M3441" s="247" t="e">
        <f t="shared" si="373"/>
        <v>#VALUE!</v>
      </c>
      <c r="N3441" s="246" t="e">
        <f t="shared" si="374"/>
        <v>#VALUE!</v>
      </c>
      <c r="O3441" s="247" t="e">
        <f t="shared" si="375"/>
        <v>#VALUE!</v>
      </c>
      <c r="P3441" s="247">
        <f t="shared" si="376"/>
        <v>0</v>
      </c>
      <c r="Q3441" s="247" t="e">
        <f t="shared" si="377"/>
        <v>#VALUE!</v>
      </c>
    </row>
    <row r="3442" spans="11:17" x14ac:dyDescent="0.25">
      <c r="K3442" s="246" t="e">
        <f t="shared" ref="K3442:K3505" si="378">DATE(VALUE(LEFT(A3442,4)),VALUE(MID(A3442,5,2)),VALUE(RIGHT(A3442,2)))</f>
        <v>#VALUE!</v>
      </c>
      <c r="L3442" s="246" t="e">
        <f t="shared" ref="L3442:L3505" si="379">DATEVALUE(LEFT(F3442,10))</f>
        <v>#VALUE!</v>
      </c>
      <c r="M3442" s="247" t="e">
        <f t="shared" ref="M3442:M3505" si="380">TIMEVALUE(MID(F3442,12,8))</f>
        <v>#VALUE!</v>
      </c>
      <c r="N3442" s="246" t="e">
        <f t="shared" ref="N3442:N3505" si="381">DATEVALUE(LEFT(G3442,10))</f>
        <v>#VALUE!</v>
      </c>
      <c r="O3442" s="247" t="e">
        <f t="shared" ref="O3442:O3505" si="382">TIMEVALUE(MID(G3442,12,8))</f>
        <v>#VALUE!</v>
      </c>
      <c r="P3442" s="247">
        <f t="shared" si="376"/>
        <v>0</v>
      </c>
      <c r="Q3442" s="247" t="e">
        <f t="shared" si="377"/>
        <v>#VALUE!</v>
      </c>
    </row>
    <row r="3443" spans="11:17" x14ac:dyDescent="0.25">
      <c r="K3443" s="246" t="e">
        <f t="shared" si="378"/>
        <v>#VALUE!</v>
      </c>
      <c r="L3443" s="246" t="e">
        <f t="shared" si="379"/>
        <v>#VALUE!</v>
      </c>
      <c r="M3443" s="247" t="e">
        <f t="shared" si="380"/>
        <v>#VALUE!</v>
      </c>
      <c r="N3443" s="246" t="e">
        <f t="shared" si="381"/>
        <v>#VALUE!</v>
      </c>
      <c r="O3443" s="247" t="e">
        <f t="shared" si="382"/>
        <v>#VALUE!</v>
      </c>
      <c r="P3443" s="247">
        <f t="shared" si="376"/>
        <v>0</v>
      </c>
      <c r="Q3443" s="247" t="e">
        <f t="shared" si="377"/>
        <v>#VALUE!</v>
      </c>
    </row>
    <row r="3444" spans="11:17" x14ac:dyDescent="0.25">
      <c r="K3444" s="246" t="e">
        <f t="shared" si="378"/>
        <v>#VALUE!</v>
      </c>
      <c r="L3444" s="246" t="e">
        <f t="shared" si="379"/>
        <v>#VALUE!</v>
      </c>
      <c r="M3444" s="247" t="e">
        <f t="shared" si="380"/>
        <v>#VALUE!</v>
      </c>
      <c r="N3444" s="246" t="e">
        <f t="shared" si="381"/>
        <v>#VALUE!</v>
      </c>
      <c r="O3444" s="247" t="e">
        <f t="shared" si="382"/>
        <v>#VALUE!</v>
      </c>
      <c r="P3444" s="247">
        <f t="shared" si="376"/>
        <v>0</v>
      </c>
      <c r="Q3444" s="247" t="e">
        <f t="shared" si="377"/>
        <v>#VALUE!</v>
      </c>
    </row>
    <row r="3445" spans="11:17" x14ac:dyDescent="0.25">
      <c r="K3445" s="246" t="e">
        <f t="shared" si="378"/>
        <v>#VALUE!</v>
      </c>
      <c r="L3445" s="246" t="e">
        <f t="shared" si="379"/>
        <v>#VALUE!</v>
      </c>
      <c r="M3445" s="247" t="e">
        <f t="shared" si="380"/>
        <v>#VALUE!</v>
      </c>
      <c r="N3445" s="246" t="e">
        <f t="shared" si="381"/>
        <v>#VALUE!</v>
      </c>
      <c r="O3445" s="247" t="e">
        <f t="shared" si="382"/>
        <v>#VALUE!</v>
      </c>
      <c r="P3445" s="247">
        <f t="shared" si="376"/>
        <v>0</v>
      </c>
      <c r="Q3445" s="247" t="e">
        <f t="shared" si="377"/>
        <v>#VALUE!</v>
      </c>
    </row>
    <row r="3446" spans="11:17" x14ac:dyDescent="0.25">
      <c r="K3446" s="246" t="e">
        <f t="shared" si="378"/>
        <v>#VALUE!</v>
      </c>
      <c r="L3446" s="246" t="e">
        <f t="shared" si="379"/>
        <v>#VALUE!</v>
      </c>
      <c r="M3446" s="247" t="e">
        <f t="shared" si="380"/>
        <v>#VALUE!</v>
      </c>
      <c r="N3446" s="246" t="e">
        <f t="shared" si="381"/>
        <v>#VALUE!</v>
      </c>
      <c r="O3446" s="247" t="e">
        <f t="shared" si="382"/>
        <v>#VALUE!</v>
      </c>
      <c r="P3446" s="247">
        <f t="shared" si="376"/>
        <v>0</v>
      </c>
      <c r="Q3446" s="247" t="e">
        <f t="shared" si="377"/>
        <v>#VALUE!</v>
      </c>
    </row>
    <row r="3447" spans="11:17" x14ac:dyDescent="0.25">
      <c r="K3447" s="246" t="e">
        <f t="shared" si="378"/>
        <v>#VALUE!</v>
      </c>
      <c r="L3447" s="246" t="e">
        <f t="shared" si="379"/>
        <v>#VALUE!</v>
      </c>
      <c r="M3447" s="247" t="e">
        <f t="shared" si="380"/>
        <v>#VALUE!</v>
      </c>
      <c r="N3447" s="246" t="e">
        <f t="shared" si="381"/>
        <v>#VALUE!</v>
      </c>
      <c r="O3447" s="247" t="e">
        <f t="shared" si="382"/>
        <v>#VALUE!</v>
      </c>
      <c r="P3447" s="247">
        <f t="shared" si="376"/>
        <v>0</v>
      </c>
      <c r="Q3447" s="247" t="e">
        <f t="shared" si="377"/>
        <v>#VALUE!</v>
      </c>
    </row>
    <row r="3448" spans="11:17" x14ac:dyDescent="0.25">
      <c r="K3448" s="246" t="e">
        <f t="shared" si="378"/>
        <v>#VALUE!</v>
      </c>
      <c r="L3448" s="246" t="e">
        <f t="shared" si="379"/>
        <v>#VALUE!</v>
      </c>
      <c r="M3448" s="247" t="e">
        <f t="shared" si="380"/>
        <v>#VALUE!</v>
      </c>
      <c r="N3448" s="246" t="e">
        <f t="shared" si="381"/>
        <v>#VALUE!</v>
      </c>
      <c r="O3448" s="247" t="e">
        <f t="shared" si="382"/>
        <v>#VALUE!</v>
      </c>
      <c r="P3448" s="247">
        <f t="shared" si="376"/>
        <v>0</v>
      </c>
      <c r="Q3448" s="247" t="e">
        <f t="shared" si="377"/>
        <v>#VALUE!</v>
      </c>
    </row>
    <row r="3449" spans="11:17" x14ac:dyDescent="0.25">
      <c r="K3449" s="246" t="e">
        <f t="shared" si="378"/>
        <v>#VALUE!</v>
      </c>
      <c r="L3449" s="246" t="e">
        <f t="shared" si="379"/>
        <v>#VALUE!</v>
      </c>
      <c r="M3449" s="247" t="e">
        <f t="shared" si="380"/>
        <v>#VALUE!</v>
      </c>
      <c r="N3449" s="246" t="e">
        <f t="shared" si="381"/>
        <v>#VALUE!</v>
      </c>
      <c r="O3449" s="247" t="e">
        <f t="shared" si="382"/>
        <v>#VALUE!</v>
      </c>
      <c r="P3449" s="247">
        <f t="shared" si="376"/>
        <v>0</v>
      </c>
      <c r="Q3449" s="247" t="e">
        <f t="shared" si="377"/>
        <v>#VALUE!</v>
      </c>
    </row>
    <row r="3450" spans="11:17" x14ac:dyDescent="0.25">
      <c r="K3450" s="246" t="e">
        <f t="shared" si="378"/>
        <v>#VALUE!</v>
      </c>
      <c r="L3450" s="246" t="e">
        <f t="shared" si="379"/>
        <v>#VALUE!</v>
      </c>
      <c r="M3450" s="247" t="e">
        <f t="shared" si="380"/>
        <v>#VALUE!</v>
      </c>
      <c r="N3450" s="246" t="e">
        <f t="shared" si="381"/>
        <v>#VALUE!</v>
      </c>
      <c r="O3450" s="247" t="e">
        <f t="shared" si="382"/>
        <v>#VALUE!</v>
      </c>
      <c r="P3450" s="247">
        <f t="shared" si="376"/>
        <v>0</v>
      </c>
      <c r="Q3450" s="247" t="e">
        <f t="shared" si="377"/>
        <v>#VALUE!</v>
      </c>
    </row>
    <row r="3451" spans="11:17" x14ac:dyDescent="0.25">
      <c r="K3451" s="246" t="e">
        <f t="shared" si="378"/>
        <v>#VALUE!</v>
      </c>
      <c r="L3451" s="246" t="e">
        <f t="shared" si="379"/>
        <v>#VALUE!</v>
      </c>
      <c r="M3451" s="247" t="e">
        <f t="shared" si="380"/>
        <v>#VALUE!</v>
      </c>
      <c r="N3451" s="246" t="e">
        <f t="shared" si="381"/>
        <v>#VALUE!</v>
      </c>
      <c r="O3451" s="247" t="e">
        <f t="shared" si="382"/>
        <v>#VALUE!</v>
      </c>
      <c r="P3451" s="247">
        <f t="shared" si="376"/>
        <v>0</v>
      </c>
      <c r="Q3451" s="247" t="e">
        <f t="shared" si="377"/>
        <v>#VALUE!</v>
      </c>
    </row>
    <row r="3452" spans="11:17" x14ac:dyDescent="0.25">
      <c r="K3452" s="246" t="e">
        <f t="shared" si="378"/>
        <v>#VALUE!</v>
      </c>
      <c r="L3452" s="246" t="e">
        <f t="shared" si="379"/>
        <v>#VALUE!</v>
      </c>
      <c r="M3452" s="247" t="e">
        <f t="shared" si="380"/>
        <v>#VALUE!</v>
      </c>
      <c r="N3452" s="246" t="e">
        <f t="shared" si="381"/>
        <v>#VALUE!</v>
      </c>
      <c r="O3452" s="247" t="e">
        <f t="shared" si="382"/>
        <v>#VALUE!</v>
      </c>
      <c r="P3452" s="247">
        <f t="shared" si="376"/>
        <v>0</v>
      </c>
      <c r="Q3452" s="247" t="e">
        <f t="shared" si="377"/>
        <v>#VALUE!</v>
      </c>
    </row>
    <row r="3453" spans="11:17" x14ac:dyDescent="0.25">
      <c r="K3453" s="246" t="e">
        <f t="shared" si="378"/>
        <v>#VALUE!</v>
      </c>
      <c r="L3453" s="246" t="e">
        <f t="shared" si="379"/>
        <v>#VALUE!</v>
      </c>
      <c r="M3453" s="247" t="e">
        <f t="shared" si="380"/>
        <v>#VALUE!</v>
      </c>
      <c r="N3453" s="246" t="e">
        <f t="shared" si="381"/>
        <v>#VALUE!</v>
      </c>
      <c r="O3453" s="247" t="e">
        <f t="shared" si="382"/>
        <v>#VALUE!</v>
      </c>
      <c r="P3453" s="247">
        <f t="shared" si="376"/>
        <v>0</v>
      </c>
      <c r="Q3453" s="247" t="e">
        <f t="shared" si="377"/>
        <v>#VALUE!</v>
      </c>
    </row>
    <row r="3454" spans="11:17" x14ac:dyDescent="0.25">
      <c r="K3454" s="246" t="e">
        <f t="shared" si="378"/>
        <v>#VALUE!</v>
      </c>
      <c r="L3454" s="246" t="e">
        <f t="shared" si="379"/>
        <v>#VALUE!</v>
      </c>
      <c r="M3454" s="247" t="e">
        <f t="shared" si="380"/>
        <v>#VALUE!</v>
      </c>
      <c r="N3454" s="246" t="e">
        <f t="shared" si="381"/>
        <v>#VALUE!</v>
      </c>
      <c r="O3454" s="247" t="e">
        <f t="shared" si="382"/>
        <v>#VALUE!</v>
      </c>
      <c r="P3454" s="247">
        <f t="shared" si="376"/>
        <v>0</v>
      </c>
      <c r="Q3454" s="247" t="e">
        <f t="shared" si="377"/>
        <v>#VALUE!</v>
      </c>
    </row>
    <row r="3455" spans="11:17" x14ac:dyDescent="0.25">
      <c r="K3455" s="246" t="e">
        <f t="shared" si="378"/>
        <v>#VALUE!</v>
      </c>
      <c r="L3455" s="246" t="e">
        <f t="shared" si="379"/>
        <v>#VALUE!</v>
      </c>
      <c r="M3455" s="247" t="e">
        <f t="shared" si="380"/>
        <v>#VALUE!</v>
      </c>
      <c r="N3455" s="246" t="e">
        <f t="shared" si="381"/>
        <v>#VALUE!</v>
      </c>
      <c r="O3455" s="247" t="e">
        <f t="shared" si="382"/>
        <v>#VALUE!</v>
      </c>
      <c r="P3455" s="247">
        <f t="shared" si="376"/>
        <v>0</v>
      </c>
      <c r="Q3455" s="247" t="e">
        <f t="shared" si="377"/>
        <v>#VALUE!</v>
      </c>
    </row>
    <row r="3456" spans="11:17" x14ac:dyDescent="0.25">
      <c r="K3456" s="246" t="e">
        <f t="shared" si="378"/>
        <v>#VALUE!</v>
      </c>
      <c r="L3456" s="246" t="e">
        <f t="shared" si="379"/>
        <v>#VALUE!</v>
      </c>
      <c r="M3456" s="247" t="e">
        <f t="shared" si="380"/>
        <v>#VALUE!</v>
      </c>
      <c r="N3456" s="246" t="e">
        <f t="shared" si="381"/>
        <v>#VALUE!</v>
      </c>
      <c r="O3456" s="247" t="e">
        <f t="shared" si="382"/>
        <v>#VALUE!</v>
      </c>
      <c r="P3456" s="247">
        <f t="shared" si="376"/>
        <v>0</v>
      </c>
      <c r="Q3456" s="247" t="e">
        <f t="shared" si="377"/>
        <v>#VALUE!</v>
      </c>
    </row>
    <row r="3457" spans="11:17" x14ac:dyDescent="0.25">
      <c r="K3457" s="246" t="e">
        <f t="shared" si="378"/>
        <v>#VALUE!</v>
      </c>
      <c r="L3457" s="246" t="e">
        <f t="shared" si="379"/>
        <v>#VALUE!</v>
      </c>
      <c r="M3457" s="247" t="e">
        <f t="shared" si="380"/>
        <v>#VALUE!</v>
      </c>
      <c r="N3457" s="246" t="e">
        <f t="shared" si="381"/>
        <v>#VALUE!</v>
      </c>
      <c r="O3457" s="247" t="e">
        <f t="shared" si="382"/>
        <v>#VALUE!</v>
      </c>
      <c r="P3457" s="247">
        <f t="shared" si="376"/>
        <v>0</v>
      </c>
      <c r="Q3457" s="247" t="e">
        <f t="shared" si="377"/>
        <v>#VALUE!</v>
      </c>
    </row>
    <row r="3458" spans="11:17" x14ac:dyDescent="0.25">
      <c r="K3458" s="246" t="e">
        <f t="shared" si="378"/>
        <v>#VALUE!</v>
      </c>
      <c r="L3458" s="246" t="e">
        <f t="shared" si="379"/>
        <v>#VALUE!</v>
      </c>
      <c r="M3458" s="247" t="e">
        <f t="shared" si="380"/>
        <v>#VALUE!</v>
      </c>
      <c r="N3458" s="246" t="e">
        <f t="shared" si="381"/>
        <v>#VALUE!</v>
      </c>
      <c r="O3458" s="247" t="e">
        <f t="shared" si="382"/>
        <v>#VALUE!</v>
      </c>
      <c r="P3458" s="247">
        <f t="shared" ref="P3458:P3521" si="383">IFERROR(_xlfn.MINIFS($M:$M,$E:$E,$E3458,$K:$K,$K3458,$M:$M,"&gt;"&amp;$O3458),"")</f>
        <v>0</v>
      </c>
      <c r="Q3458" s="247" t="e">
        <f t="shared" ref="Q3458:Q3521" si="384">IF($P3458="","",$P3458-$O3458)</f>
        <v>#VALUE!</v>
      </c>
    </row>
    <row r="3459" spans="11:17" x14ac:dyDescent="0.25">
      <c r="K3459" s="246" t="e">
        <f t="shared" si="378"/>
        <v>#VALUE!</v>
      </c>
      <c r="L3459" s="246" t="e">
        <f t="shared" si="379"/>
        <v>#VALUE!</v>
      </c>
      <c r="M3459" s="247" t="e">
        <f t="shared" si="380"/>
        <v>#VALUE!</v>
      </c>
      <c r="N3459" s="246" t="e">
        <f t="shared" si="381"/>
        <v>#VALUE!</v>
      </c>
      <c r="O3459" s="247" t="e">
        <f t="shared" si="382"/>
        <v>#VALUE!</v>
      </c>
      <c r="P3459" s="247">
        <f t="shared" si="383"/>
        <v>0</v>
      </c>
      <c r="Q3459" s="247" t="e">
        <f t="shared" si="384"/>
        <v>#VALUE!</v>
      </c>
    </row>
    <row r="3460" spans="11:17" x14ac:dyDescent="0.25">
      <c r="K3460" s="246" t="e">
        <f t="shared" si="378"/>
        <v>#VALUE!</v>
      </c>
      <c r="L3460" s="246" t="e">
        <f t="shared" si="379"/>
        <v>#VALUE!</v>
      </c>
      <c r="M3460" s="247" t="e">
        <f t="shared" si="380"/>
        <v>#VALUE!</v>
      </c>
      <c r="N3460" s="246" t="e">
        <f t="shared" si="381"/>
        <v>#VALUE!</v>
      </c>
      <c r="O3460" s="247" t="e">
        <f t="shared" si="382"/>
        <v>#VALUE!</v>
      </c>
      <c r="P3460" s="247">
        <f t="shared" si="383"/>
        <v>0</v>
      </c>
      <c r="Q3460" s="247" t="e">
        <f t="shared" si="384"/>
        <v>#VALUE!</v>
      </c>
    </row>
    <row r="3461" spans="11:17" x14ac:dyDescent="0.25">
      <c r="K3461" s="246" t="e">
        <f t="shared" si="378"/>
        <v>#VALUE!</v>
      </c>
      <c r="L3461" s="246" t="e">
        <f t="shared" si="379"/>
        <v>#VALUE!</v>
      </c>
      <c r="M3461" s="247" t="e">
        <f t="shared" si="380"/>
        <v>#VALUE!</v>
      </c>
      <c r="N3461" s="246" t="e">
        <f t="shared" si="381"/>
        <v>#VALUE!</v>
      </c>
      <c r="O3461" s="247" t="e">
        <f t="shared" si="382"/>
        <v>#VALUE!</v>
      </c>
      <c r="P3461" s="247">
        <f t="shared" si="383"/>
        <v>0</v>
      </c>
      <c r="Q3461" s="247" t="e">
        <f t="shared" si="384"/>
        <v>#VALUE!</v>
      </c>
    </row>
    <row r="3462" spans="11:17" x14ac:dyDescent="0.25">
      <c r="K3462" s="246" t="e">
        <f t="shared" si="378"/>
        <v>#VALUE!</v>
      </c>
      <c r="L3462" s="246" t="e">
        <f t="shared" si="379"/>
        <v>#VALUE!</v>
      </c>
      <c r="M3462" s="247" t="e">
        <f t="shared" si="380"/>
        <v>#VALUE!</v>
      </c>
      <c r="N3462" s="246" t="e">
        <f t="shared" si="381"/>
        <v>#VALUE!</v>
      </c>
      <c r="O3462" s="247" t="e">
        <f t="shared" si="382"/>
        <v>#VALUE!</v>
      </c>
      <c r="P3462" s="247">
        <f t="shared" si="383"/>
        <v>0</v>
      </c>
      <c r="Q3462" s="247" t="e">
        <f t="shared" si="384"/>
        <v>#VALUE!</v>
      </c>
    </row>
    <row r="3463" spans="11:17" x14ac:dyDescent="0.25">
      <c r="K3463" s="246" t="e">
        <f t="shared" si="378"/>
        <v>#VALUE!</v>
      </c>
      <c r="L3463" s="246" t="e">
        <f t="shared" si="379"/>
        <v>#VALUE!</v>
      </c>
      <c r="M3463" s="247" t="e">
        <f t="shared" si="380"/>
        <v>#VALUE!</v>
      </c>
      <c r="N3463" s="246" t="e">
        <f t="shared" si="381"/>
        <v>#VALUE!</v>
      </c>
      <c r="O3463" s="247" t="e">
        <f t="shared" si="382"/>
        <v>#VALUE!</v>
      </c>
      <c r="P3463" s="247">
        <f t="shared" si="383"/>
        <v>0</v>
      </c>
      <c r="Q3463" s="247" t="e">
        <f t="shared" si="384"/>
        <v>#VALUE!</v>
      </c>
    </row>
    <row r="3464" spans="11:17" x14ac:dyDescent="0.25">
      <c r="K3464" s="246" t="e">
        <f t="shared" si="378"/>
        <v>#VALUE!</v>
      </c>
      <c r="L3464" s="246" t="e">
        <f t="shared" si="379"/>
        <v>#VALUE!</v>
      </c>
      <c r="M3464" s="247" t="e">
        <f t="shared" si="380"/>
        <v>#VALUE!</v>
      </c>
      <c r="N3464" s="246" t="e">
        <f t="shared" si="381"/>
        <v>#VALUE!</v>
      </c>
      <c r="O3464" s="247" t="e">
        <f t="shared" si="382"/>
        <v>#VALUE!</v>
      </c>
      <c r="P3464" s="247">
        <f t="shared" si="383"/>
        <v>0</v>
      </c>
      <c r="Q3464" s="247" t="e">
        <f t="shared" si="384"/>
        <v>#VALUE!</v>
      </c>
    </row>
    <row r="3465" spans="11:17" x14ac:dyDescent="0.25">
      <c r="K3465" s="246" t="e">
        <f t="shared" si="378"/>
        <v>#VALUE!</v>
      </c>
      <c r="L3465" s="246" t="e">
        <f t="shared" si="379"/>
        <v>#VALUE!</v>
      </c>
      <c r="M3465" s="247" t="e">
        <f t="shared" si="380"/>
        <v>#VALUE!</v>
      </c>
      <c r="N3465" s="246" t="e">
        <f t="shared" si="381"/>
        <v>#VALUE!</v>
      </c>
      <c r="O3465" s="247" t="e">
        <f t="shared" si="382"/>
        <v>#VALUE!</v>
      </c>
      <c r="P3465" s="247">
        <f t="shared" si="383"/>
        <v>0</v>
      </c>
      <c r="Q3465" s="247" t="e">
        <f t="shared" si="384"/>
        <v>#VALUE!</v>
      </c>
    </row>
    <row r="3466" spans="11:17" x14ac:dyDescent="0.25">
      <c r="K3466" s="246" t="e">
        <f t="shared" si="378"/>
        <v>#VALUE!</v>
      </c>
      <c r="L3466" s="246" t="e">
        <f t="shared" si="379"/>
        <v>#VALUE!</v>
      </c>
      <c r="M3466" s="247" t="e">
        <f t="shared" si="380"/>
        <v>#VALUE!</v>
      </c>
      <c r="N3466" s="246" t="e">
        <f t="shared" si="381"/>
        <v>#VALUE!</v>
      </c>
      <c r="O3466" s="247" t="e">
        <f t="shared" si="382"/>
        <v>#VALUE!</v>
      </c>
      <c r="P3466" s="247">
        <f t="shared" si="383"/>
        <v>0</v>
      </c>
      <c r="Q3466" s="247" t="e">
        <f t="shared" si="384"/>
        <v>#VALUE!</v>
      </c>
    </row>
    <row r="3467" spans="11:17" x14ac:dyDescent="0.25">
      <c r="K3467" s="246" t="e">
        <f t="shared" si="378"/>
        <v>#VALUE!</v>
      </c>
      <c r="L3467" s="246" t="e">
        <f t="shared" si="379"/>
        <v>#VALUE!</v>
      </c>
      <c r="M3467" s="247" t="e">
        <f t="shared" si="380"/>
        <v>#VALUE!</v>
      </c>
      <c r="N3467" s="246" t="e">
        <f t="shared" si="381"/>
        <v>#VALUE!</v>
      </c>
      <c r="O3467" s="247" t="e">
        <f t="shared" si="382"/>
        <v>#VALUE!</v>
      </c>
      <c r="P3467" s="247">
        <f t="shared" si="383"/>
        <v>0</v>
      </c>
      <c r="Q3467" s="247" t="e">
        <f t="shared" si="384"/>
        <v>#VALUE!</v>
      </c>
    </row>
    <row r="3468" spans="11:17" x14ac:dyDescent="0.25">
      <c r="K3468" s="246" t="e">
        <f t="shared" si="378"/>
        <v>#VALUE!</v>
      </c>
      <c r="L3468" s="246" t="e">
        <f t="shared" si="379"/>
        <v>#VALUE!</v>
      </c>
      <c r="M3468" s="247" t="e">
        <f t="shared" si="380"/>
        <v>#VALUE!</v>
      </c>
      <c r="N3468" s="246" t="e">
        <f t="shared" si="381"/>
        <v>#VALUE!</v>
      </c>
      <c r="O3468" s="247" t="e">
        <f t="shared" si="382"/>
        <v>#VALUE!</v>
      </c>
      <c r="P3468" s="247">
        <f t="shared" si="383"/>
        <v>0</v>
      </c>
      <c r="Q3468" s="247" t="e">
        <f t="shared" si="384"/>
        <v>#VALUE!</v>
      </c>
    </row>
    <row r="3469" spans="11:17" x14ac:dyDescent="0.25">
      <c r="K3469" s="246" t="e">
        <f t="shared" si="378"/>
        <v>#VALUE!</v>
      </c>
      <c r="L3469" s="246" t="e">
        <f t="shared" si="379"/>
        <v>#VALUE!</v>
      </c>
      <c r="M3469" s="247" t="e">
        <f t="shared" si="380"/>
        <v>#VALUE!</v>
      </c>
      <c r="N3469" s="246" t="e">
        <f t="shared" si="381"/>
        <v>#VALUE!</v>
      </c>
      <c r="O3469" s="247" t="e">
        <f t="shared" si="382"/>
        <v>#VALUE!</v>
      </c>
      <c r="P3469" s="247">
        <f t="shared" si="383"/>
        <v>0</v>
      </c>
      <c r="Q3469" s="247" t="e">
        <f t="shared" si="384"/>
        <v>#VALUE!</v>
      </c>
    </row>
    <row r="3470" spans="11:17" x14ac:dyDescent="0.25">
      <c r="K3470" s="246" t="e">
        <f t="shared" si="378"/>
        <v>#VALUE!</v>
      </c>
      <c r="L3470" s="246" t="e">
        <f t="shared" si="379"/>
        <v>#VALUE!</v>
      </c>
      <c r="M3470" s="247" t="e">
        <f t="shared" si="380"/>
        <v>#VALUE!</v>
      </c>
      <c r="N3470" s="246" t="e">
        <f t="shared" si="381"/>
        <v>#VALUE!</v>
      </c>
      <c r="O3470" s="247" t="e">
        <f t="shared" si="382"/>
        <v>#VALUE!</v>
      </c>
      <c r="P3470" s="247">
        <f t="shared" si="383"/>
        <v>0</v>
      </c>
      <c r="Q3470" s="247" t="e">
        <f t="shared" si="384"/>
        <v>#VALUE!</v>
      </c>
    </row>
    <row r="3471" spans="11:17" x14ac:dyDescent="0.25">
      <c r="K3471" s="246" t="e">
        <f t="shared" si="378"/>
        <v>#VALUE!</v>
      </c>
      <c r="L3471" s="246" t="e">
        <f t="shared" si="379"/>
        <v>#VALUE!</v>
      </c>
      <c r="M3471" s="247" t="e">
        <f t="shared" si="380"/>
        <v>#VALUE!</v>
      </c>
      <c r="N3471" s="246" t="e">
        <f t="shared" si="381"/>
        <v>#VALUE!</v>
      </c>
      <c r="O3471" s="247" t="e">
        <f t="shared" si="382"/>
        <v>#VALUE!</v>
      </c>
      <c r="P3471" s="247">
        <f t="shared" si="383"/>
        <v>0</v>
      </c>
      <c r="Q3471" s="247" t="e">
        <f t="shared" si="384"/>
        <v>#VALUE!</v>
      </c>
    </row>
    <row r="3472" spans="11:17" x14ac:dyDescent="0.25">
      <c r="K3472" s="246" t="e">
        <f t="shared" si="378"/>
        <v>#VALUE!</v>
      </c>
      <c r="L3472" s="246" t="e">
        <f t="shared" si="379"/>
        <v>#VALUE!</v>
      </c>
      <c r="M3472" s="247" t="e">
        <f t="shared" si="380"/>
        <v>#VALUE!</v>
      </c>
      <c r="N3472" s="246" t="e">
        <f t="shared" si="381"/>
        <v>#VALUE!</v>
      </c>
      <c r="O3472" s="247" t="e">
        <f t="shared" si="382"/>
        <v>#VALUE!</v>
      </c>
      <c r="P3472" s="247">
        <f t="shared" si="383"/>
        <v>0</v>
      </c>
      <c r="Q3472" s="247" t="e">
        <f t="shared" si="384"/>
        <v>#VALUE!</v>
      </c>
    </row>
    <row r="3473" spans="11:17" x14ac:dyDescent="0.25">
      <c r="K3473" s="246" t="e">
        <f t="shared" si="378"/>
        <v>#VALUE!</v>
      </c>
      <c r="L3473" s="246" t="e">
        <f t="shared" si="379"/>
        <v>#VALUE!</v>
      </c>
      <c r="M3473" s="247" t="e">
        <f t="shared" si="380"/>
        <v>#VALUE!</v>
      </c>
      <c r="N3473" s="246" t="e">
        <f t="shared" si="381"/>
        <v>#VALUE!</v>
      </c>
      <c r="O3473" s="247" t="e">
        <f t="shared" si="382"/>
        <v>#VALUE!</v>
      </c>
      <c r="P3473" s="247">
        <f t="shared" si="383"/>
        <v>0</v>
      </c>
      <c r="Q3473" s="247" t="e">
        <f t="shared" si="384"/>
        <v>#VALUE!</v>
      </c>
    </row>
    <row r="3474" spans="11:17" x14ac:dyDescent="0.25">
      <c r="K3474" s="246" t="e">
        <f t="shared" si="378"/>
        <v>#VALUE!</v>
      </c>
      <c r="L3474" s="246" t="e">
        <f t="shared" si="379"/>
        <v>#VALUE!</v>
      </c>
      <c r="M3474" s="247" t="e">
        <f t="shared" si="380"/>
        <v>#VALUE!</v>
      </c>
      <c r="N3474" s="246" t="e">
        <f t="shared" si="381"/>
        <v>#VALUE!</v>
      </c>
      <c r="O3474" s="247" t="e">
        <f t="shared" si="382"/>
        <v>#VALUE!</v>
      </c>
      <c r="P3474" s="247">
        <f t="shared" si="383"/>
        <v>0</v>
      </c>
      <c r="Q3474" s="247" t="e">
        <f t="shared" si="384"/>
        <v>#VALUE!</v>
      </c>
    </row>
    <row r="3475" spans="11:17" x14ac:dyDescent="0.25">
      <c r="K3475" s="246" t="e">
        <f t="shared" si="378"/>
        <v>#VALUE!</v>
      </c>
      <c r="L3475" s="246" t="e">
        <f t="shared" si="379"/>
        <v>#VALUE!</v>
      </c>
      <c r="M3475" s="247" t="e">
        <f t="shared" si="380"/>
        <v>#VALUE!</v>
      </c>
      <c r="N3475" s="246" t="e">
        <f t="shared" si="381"/>
        <v>#VALUE!</v>
      </c>
      <c r="O3475" s="247" t="e">
        <f t="shared" si="382"/>
        <v>#VALUE!</v>
      </c>
      <c r="P3475" s="247">
        <f t="shared" si="383"/>
        <v>0</v>
      </c>
      <c r="Q3475" s="247" t="e">
        <f t="shared" si="384"/>
        <v>#VALUE!</v>
      </c>
    </row>
    <row r="3476" spans="11:17" x14ac:dyDescent="0.25">
      <c r="K3476" s="246" t="e">
        <f t="shared" si="378"/>
        <v>#VALUE!</v>
      </c>
      <c r="L3476" s="246" t="e">
        <f t="shared" si="379"/>
        <v>#VALUE!</v>
      </c>
      <c r="M3476" s="247" t="e">
        <f t="shared" si="380"/>
        <v>#VALUE!</v>
      </c>
      <c r="N3476" s="246" t="e">
        <f t="shared" si="381"/>
        <v>#VALUE!</v>
      </c>
      <c r="O3476" s="247" t="e">
        <f t="shared" si="382"/>
        <v>#VALUE!</v>
      </c>
      <c r="P3476" s="247">
        <f t="shared" si="383"/>
        <v>0</v>
      </c>
      <c r="Q3476" s="247" t="e">
        <f t="shared" si="384"/>
        <v>#VALUE!</v>
      </c>
    </row>
    <row r="3477" spans="11:17" x14ac:dyDescent="0.25">
      <c r="K3477" s="246" t="e">
        <f t="shared" si="378"/>
        <v>#VALUE!</v>
      </c>
      <c r="L3477" s="246" t="e">
        <f t="shared" si="379"/>
        <v>#VALUE!</v>
      </c>
      <c r="M3477" s="247" t="e">
        <f t="shared" si="380"/>
        <v>#VALUE!</v>
      </c>
      <c r="N3477" s="246" t="e">
        <f t="shared" si="381"/>
        <v>#VALUE!</v>
      </c>
      <c r="O3477" s="247" t="e">
        <f t="shared" si="382"/>
        <v>#VALUE!</v>
      </c>
      <c r="P3477" s="247">
        <f t="shared" si="383"/>
        <v>0</v>
      </c>
      <c r="Q3477" s="247" t="e">
        <f t="shared" si="384"/>
        <v>#VALUE!</v>
      </c>
    </row>
    <row r="3478" spans="11:17" x14ac:dyDescent="0.25">
      <c r="K3478" s="246" t="e">
        <f t="shared" si="378"/>
        <v>#VALUE!</v>
      </c>
      <c r="L3478" s="246" t="e">
        <f t="shared" si="379"/>
        <v>#VALUE!</v>
      </c>
      <c r="M3478" s="247" t="e">
        <f t="shared" si="380"/>
        <v>#VALUE!</v>
      </c>
      <c r="N3478" s="246" t="e">
        <f t="shared" si="381"/>
        <v>#VALUE!</v>
      </c>
      <c r="O3478" s="247" t="e">
        <f t="shared" si="382"/>
        <v>#VALUE!</v>
      </c>
      <c r="P3478" s="247">
        <f t="shared" si="383"/>
        <v>0</v>
      </c>
      <c r="Q3478" s="247" t="e">
        <f t="shared" si="384"/>
        <v>#VALUE!</v>
      </c>
    </row>
    <row r="3479" spans="11:17" x14ac:dyDescent="0.25">
      <c r="K3479" s="246" t="e">
        <f t="shared" si="378"/>
        <v>#VALUE!</v>
      </c>
      <c r="L3479" s="246" t="e">
        <f t="shared" si="379"/>
        <v>#VALUE!</v>
      </c>
      <c r="M3479" s="247" t="e">
        <f t="shared" si="380"/>
        <v>#VALUE!</v>
      </c>
      <c r="N3479" s="246" t="e">
        <f t="shared" si="381"/>
        <v>#VALUE!</v>
      </c>
      <c r="O3479" s="247" t="e">
        <f t="shared" si="382"/>
        <v>#VALUE!</v>
      </c>
      <c r="P3479" s="247">
        <f t="shared" si="383"/>
        <v>0</v>
      </c>
      <c r="Q3479" s="247" t="e">
        <f t="shared" si="384"/>
        <v>#VALUE!</v>
      </c>
    </row>
    <row r="3480" spans="11:17" x14ac:dyDescent="0.25">
      <c r="K3480" s="246" t="e">
        <f t="shared" si="378"/>
        <v>#VALUE!</v>
      </c>
      <c r="L3480" s="246" t="e">
        <f t="shared" si="379"/>
        <v>#VALUE!</v>
      </c>
      <c r="M3480" s="247" t="e">
        <f t="shared" si="380"/>
        <v>#VALUE!</v>
      </c>
      <c r="N3480" s="246" t="e">
        <f t="shared" si="381"/>
        <v>#VALUE!</v>
      </c>
      <c r="O3480" s="247" t="e">
        <f t="shared" si="382"/>
        <v>#VALUE!</v>
      </c>
      <c r="P3480" s="247">
        <f t="shared" si="383"/>
        <v>0</v>
      </c>
      <c r="Q3480" s="247" t="e">
        <f t="shared" si="384"/>
        <v>#VALUE!</v>
      </c>
    </row>
    <row r="3481" spans="11:17" x14ac:dyDescent="0.25">
      <c r="K3481" s="246" t="e">
        <f t="shared" si="378"/>
        <v>#VALUE!</v>
      </c>
      <c r="L3481" s="246" t="e">
        <f t="shared" si="379"/>
        <v>#VALUE!</v>
      </c>
      <c r="M3481" s="247" t="e">
        <f t="shared" si="380"/>
        <v>#VALUE!</v>
      </c>
      <c r="N3481" s="246" t="e">
        <f t="shared" si="381"/>
        <v>#VALUE!</v>
      </c>
      <c r="O3481" s="247" t="e">
        <f t="shared" si="382"/>
        <v>#VALUE!</v>
      </c>
      <c r="P3481" s="247">
        <f t="shared" si="383"/>
        <v>0</v>
      </c>
      <c r="Q3481" s="247" t="e">
        <f t="shared" si="384"/>
        <v>#VALUE!</v>
      </c>
    </row>
    <row r="3482" spans="11:17" x14ac:dyDescent="0.25">
      <c r="K3482" s="246" t="e">
        <f t="shared" si="378"/>
        <v>#VALUE!</v>
      </c>
      <c r="L3482" s="246" t="e">
        <f t="shared" si="379"/>
        <v>#VALUE!</v>
      </c>
      <c r="M3482" s="247" t="e">
        <f t="shared" si="380"/>
        <v>#VALUE!</v>
      </c>
      <c r="N3482" s="246" t="e">
        <f t="shared" si="381"/>
        <v>#VALUE!</v>
      </c>
      <c r="O3482" s="247" t="e">
        <f t="shared" si="382"/>
        <v>#VALUE!</v>
      </c>
      <c r="P3482" s="247">
        <f t="shared" si="383"/>
        <v>0</v>
      </c>
      <c r="Q3482" s="247" t="e">
        <f t="shared" si="384"/>
        <v>#VALUE!</v>
      </c>
    </row>
    <row r="3483" spans="11:17" x14ac:dyDescent="0.25">
      <c r="K3483" s="246" t="e">
        <f t="shared" si="378"/>
        <v>#VALUE!</v>
      </c>
      <c r="L3483" s="246" t="e">
        <f t="shared" si="379"/>
        <v>#VALUE!</v>
      </c>
      <c r="M3483" s="247" t="e">
        <f t="shared" si="380"/>
        <v>#VALUE!</v>
      </c>
      <c r="N3483" s="246" t="e">
        <f t="shared" si="381"/>
        <v>#VALUE!</v>
      </c>
      <c r="O3483" s="247" t="e">
        <f t="shared" si="382"/>
        <v>#VALUE!</v>
      </c>
      <c r="P3483" s="247">
        <f t="shared" si="383"/>
        <v>0</v>
      </c>
      <c r="Q3483" s="247" t="e">
        <f t="shared" si="384"/>
        <v>#VALUE!</v>
      </c>
    </row>
    <row r="3484" spans="11:17" x14ac:dyDescent="0.25">
      <c r="K3484" s="246" t="e">
        <f t="shared" si="378"/>
        <v>#VALUE!</v>
      </c>
      <c r="L3484" s="246" t="e">
        <f t="shared" si="379"/>
        <v>#VALUE!</v>
      </c>
      <c r="M3484" s="247" t="e">
        <f t="shared" si="380"/>
        <v>#VALUE!</v>
      </c>
      <c r="N3484" s="246" t="e">
        <f t="shared" si="381"/>
        <v>#VALUE!</v>
      </c>
      <c r="O3484" s="247" t="e">
        <f t="shared" si="382"/>
        <v>#VALUE!</v>
      </c>
      <c r="P3484" s="247">
        <f t="shared" si="383"/>
        <v>0</v>
      </c>
      <c r="Q3484" s="247" t="e">
        <f t="shared" si="384"/>
        <v>#VALUE!</v>
      </c>
    </row>
    <row r="3485" spans="11:17" x14ac:dyDescent="0.25">
      <c r="K3485" s="246" t="e">
        <f t="shared" si="378"/>
        <v>#VALUE!</v>
      </c>
      <c r="L3485" s="246" t="e">
        <f t="shared" si="379"/>
        <v>#VALUE!</v>
      </c>
      <c r="M3485" s="247" t="e">
        <f t="shared" si="380"/>
        <v>#VALUE!</v>
      </c>
      <c r="N3485" s="246" t="e">
        <f t="shared" si="381"/>
        <v>#VALUE!</v>
      </c>
      <c r="O3485" s="247" t="e">
        <f t="shared" si="382"/>
        <v>#VALUE!</v>
      </c>
      <c r="P3485" s="247">
        <f t="shared" si="383"/>
        <v>0</v>
      </c>
      <c r="Q3485" s="247" t="e">
        <f t="shared" si="384"/>
        <v>#VALUE!</v>
      </c>
    </row>
    <row r="3486" spans="11:17" x14ac:dyDescent="0.25">
      <c r="K3486" s="246" t="e">
        <f t="shared" si="378"/>
        <v>#VALUE!</v>
      </c>
      <c r="L3486" s="246" t="e">
        <f t="shared" si="379"/>
        <v>#VALUE!</v>
      </c>
      <c r="M3486" s="247" t="e">
        <f t="shared" si="380"/>
        <v>#VALUE!</v>
      </c>
      <c r="N3486" s="246" t="e">
        <f t="shared" si="381"/>
        <v>#VALUE!</v>
      </c>
      <c r="O3486" s="247" t="e">
        <f t="shared" si="382"/>
        <v>#VALUE!</v>
      </c>
      <c r="P3486" s="247">
        <f t="shared" si="383"/>
        <v>0</v>
      </c>
      <c r="Q3486" s="247" t="e">
        <f t="shared" si="384"/>
        <v>#VALUE!</v>
      </c>
    </row>
    <row r="3487" spans="11:17" x14ac:dyDescent="0.25">
      <c r="K3487" s="246" t="e">
        <f t="shared" si="378"/>
        <v>#VALUE!</v>
      </c>
      <c r="L3487" s="246" t="e">
        <f t="shared" si="379"/>
        <v>#VALUE!</v>
      </c>
      <c r="M3487" s="247" t="e">
        <f t="shared" si="380"/>
        <v>#VALUE!</v>
      </c>
      <c r="N3487" s="246" t="e">
        <f t="shared" si="381"/>
        <v>#VALUE!</v>
      </c>
      <c r="O3487" s="247" t="e">
        <f t="shared" si="382"/>
        <v>#VALUE!</v>
      </c>
      <c r="P3487" s="247">
        <f t="shared" si="383"/>
        <v>0</v>
      </c>
      <c r="Q3487" s="247" t="e">
        <f t="shared" si="384"/>
        <v>#VALUE!</v>
      </c>
    </row>
    <row r="3488" spans="11:17" x14ac:dyDescent="0.25">
      <c r="K3488" s="246" t="e">
        <f t="shared" si="378"/>
        <v>#VALUE!</v>
      </c>
      <c r="L3488" s="246" t="e">
        <f t="shared" si="379"/>
        <v>#VALUE!</v>
      </c>
      <c r="M3488" s="247" t="e">
        <f t="shared" si="380"/>
        <v>#VALUE!</v>
      </c>
      <c r="N3488" s="246" t="e">
        <f t="shared" si="381"/>
        <v>#VALUE!</v>
      </c>
      <c r="O3488" s="247" t="e">
        <f t="shared" si="382"/>
        <v>#VALUE!</v>
      </c>
      <c r="P3488" s="247">
        <f t="shared" si="383"/>
        <v>0</v>
      </c>
      <c r="Q3488" s="247" t="e">
        <f t="shared" si="384"/>
        <v>#VALUE!</v>
      </c>
    </row>
    <row r="3489" spans="11:17" x14ac:dyDescent="0.25">
      <c r="K3489" s="246" t="e">
        <f t="shared" si="378"/>
        <v>#VALUE!</v>
      </c>
      <c r="L3489" s="246" t="e">
        <f t="shared" si="379"/>
        <v>#VALUE!</v>
      </c>
      <c r="M3489" s="247" t="e">
        <f t="shared" si="380"/>
        <v>#VALUE!</v>
      </c>
      <c r="N3489" s="246" t="e">
        <f t="shared" si="381"/>
        <v>#VALUE!</v>
      </c>
      <c r="O3489" s="247" t="e">
        <f t="shared" si="382"/>
        <v>#VALUE!</v>
      </c>
      <c r="P3489" s="247">
        <f t="shared" si="383"/>
        <v>0</v>
      </c>
      <c r="Q3489" s="247" t="e">
        <f t="shared" si="384"/>
        <v>#VALUE!</v>
      </c>
    </row>
    <row r="3490" spans="11:17" x14ac:dyDescent="0.25">
      <c r="K3490" s="246" t="e">
        <f t="shared" si="378"/>
        <v>#VALUE!</v>
      </c>
      <c r="L3490" s="246" t="e">
        <f t="shared" si="379"/>
        <v>#VALUE!</v>
      </c>
      <c r="M3490" s="247" t="e">
        <f t="shared" si="380"/>
        <v>#VALUE!</v>
      </c>
      <c r="N3490" s="246" t="e">
        <f t="shared" si="381"/>
        <v>#VALUE!</v>
      </c>
      <c r="O3490" s="247" t="e">
        <f t="shared" si="382"/>
        <v>#VALUE!</v>
      </c>
      <c r="P3490" s="247">
        <f t="shared" si="383"/>
        <v>0</v>
      </c>
      <c r="Q3490" s="247" t="e">
        <f t="shared" si="384"/>
        <v>#VALUE!</v>
      </c>
    </row>
    <row r="3491" spans="11:17" x14ac:dyDescent="0.25">
      <c r="K3491" s="246" t="e">
        <f t="shared" si="378"/>
        <v>#VALUE!</v>
      </c>
      <c r="L3491" s="246" t="e">
        <f t="shared" si="379"/>
        <v>#VALUE!</v>
      </c>
      <c r="M3491" s="247" t="e">
        <f t="shared" si="380"/>
        <v>#VALUE!</v>
      </c>
      <c r="N3491" s="246" t="e">
        <f t="shared" si="381"/>
        <v>#VALUE!</v>
      </c>
      <c r="O3491" s="247" t="e">
        <f t="shared" si="382"/>
        <v>#VALUE!</v>
      </c>
      <c r="P3491" s="247">
        <f t="shared" si="383"/>
        <v>0</v>
      </c>
      <c r="Q3491" s="247" t="e">
        <f t="shared" si="384"/>
        <v>#VALUE!</v>
      </c>
    </row>
    <row r="3492" spans="11:17" x14ac:dyDescent="0.25">
      <c r="K3492" s="246" t="e">
        <f t="shared" si="378"/>
        <v>#VALUE!</v>
      </c>
      <c r="L3492" s="246" t="e">
        <f t="shared" si="379"/>
        <v>#VALUE!</v>
      </c>
      <c r="M3492" s="247" t="e">
        <f t="shared" si="380"/>
        <v>#VALUE!</v>
      </c>
      <c r="N3492" s="246" t="e">
        <f t="shared" si="381"/>
        <v>#VALUE!</v>
      </c>
      <c r="O3492" s="247" t="e">
        <f t="shared" si="382"/>
        <v>#VALUE!</v>
      </c>
      <c r="P3492" s="247">
        <f t="shared" si="383"/>
        <v>0</v>
      </c>
      <c r="Q3492" s="247" t="e">
        <f t="shared" si="384"/>
        <v>#VALUE!</v>
      </c>
    </row>
    <row r="3493" spans="11:17" x14ac:dyDescent="0.25">
      <c r="K3493" s="246" t="e">
        <f t="shared" si="378"/>
        <v>#VALUE!</v>
      </c>
      <c r="L3493" s="246" t="e">
        <f t="shared" si="379"/>
        <v>#VALUE!</v>
      </c>
      <c r="M3493" s="247" t="e">
        <f t="shared" si="380"/>
        <v>#VALUE!</v>
      </c>
      <c r="N3493" s="246" t="e">
        <f t="shared" si="381"/>
        <v>#VALUE!</v>
      </c>
      <c r="O3493" s="247" t="e">
        <f t="shared" si="382"/>
        <v>#VALUE!</v>
      </c>
      <c r="P3493" s="247">
        <f t="shared" si="383"/>
        <v>0</v>
      </c>
      <c r="Q3493" s="247" t="e">
        <f t="shared" si="384"/>
        <v>#VALUE!</v>
      </c>
    </row>
    <row r="3494" spans="11:17" x14ac:dyDescent="0.25">
      <c r="K3494" s="246" t="e">
        <f t="shared" si="378"/>
        <v>#VALUE!</v>
      </c>
      <c r="L3494" s="246" t="e">
        <f t="shared" si="379"/>
        <v>#VALUE!</v>
      </c>
      <c r="M3494" s="247" t="e">
        <f t="shared" si="380"/>
        <v>#VALUE!</v>
      </c>
      <c r="N3494" s="246" t="e">
        <f t="shared" si="381"/>
        <v>#VALUE!</v>
      </c>
      <c r="O3494" s="247" t="e">
        <f t="shared" si="382"/>
        <v>#VALUE!</v>
      </c>
      <c r="P3494" s="247">
        <f t="shared" si="383"/>
        <v>0</v>
      </c>
      <c r="Q3494" s="247" t="e">
        <f t="shared" si="384"/>
        <v>#VALUE!</v>
      </c>
    </row>
    <row r="3495" spans="11:17" x14ac:dyDescent="0.25">
      <c r="K3495" s="246" t="e">
        <f t="shared" si="378"/>
        <v>#VALUE!</v>
      </c>
      <c r="L3495" s="246" t="e">
        <f t="shared" si="379"/>
        <v>#VALUE!</v>
      </c>
      <c r="M3495" s="247" t="e">
        <f t="shared" si="380"/>
        <v>#VALUE!</v>
      </c>
      <c r="N3495" s="246" t="e">
        <f t="shared" si="381"/>
        <v>#VALUE!</v>
      </c>
      <c r="O3495" s="247" t="e">
        <f t="shared" si="382"/>
        <v>#VALUE!</v>
      </c>
      <c r="P3495" s="247">
        <f t="shared" si="383"/>
        <v>0</v>
      </c>
      <c r="Q3495" s="247" t="e">
        <f t="shared" si="384"/>
        <v>#VALUE!</v>
      </c>
    </row>
    <row r="3496" spans="11:17" x14ac:dyDescent="0.25">
      <c r="K3496" s="246" t="e">
        <f t="shared" si="378"/>
        <v>#VALUE!</v>
      </c>
      <c r="L3496" s="246" t="e">
        <f t="shared" si="379"/>
        <v>#VALUE!</v>
      </c>
      <c r="M3496" s="247" t="e">
        <f t="shared" si="380"/>
        <v>#VALUE!</v>
      </c>
      <c r="N3496" s="246" t="e">
        <f t="shared" si="381"/>
        <v>#VALUE!</v>
      </c>
      <c r="O3496" s="247" t="e">
        <f t="shared" si="382"/>
        <v>#VALUE!</v>
      </c>
      <c r="P3496" s="247">
        <f t="shared" si="383"/>
        <v>0</v>
      </c>
      <c r="Q3496" s="247" t="e">
        <f t="shared" si="384"/>
        <v>#VALUE!</v>
      </c>
    </row>
    <row r="3497" spans="11:17" x14ac:dyDescent="0.25">
      <c r="K3497" s="246" t="e">
        <f t="shared" si="378"/>
        <v>#VALUE!</v>
      </c>
      <c r="L3497" s="246" t="e">
        <f t="shared" si="379"/>
        <v>#VALUE!</v>
      </c>
      <c r="M3497" s="247" t="e">
        <f t="shared" si="380"/>
        <v>#VALUE!</v>
      </c>
      <c r="N3497" s="246" t="e">
        <f t="shared" si="381"/>
        <v>#VALUE!</v>
      </c>
      <c r="O3497" s="247" t="e">
        <f t="shared" si="382"/>
        <v>#VALUE!</v>
      </c>
      <c r="P3497" s="247">
        <f t="shared" si="383"/>
        <v>0</v>
      </c>
      <c r="Q3497" s="247" t="e">
        <f t="shared" si="384"/>
        <v>#VALUE!</v>
      </c>
    </row>
    <row r="3498" spans="11:17" x14ac:dyDescent="0.25">
      <c r="K3498" s="246" t="e">
        <f t="shared" si="378"/>
        <v>#VALUE!</v>
      </c>
      <c r="L3498" s="246" t="e">
        <f t="shared" si="379"/>
        <v>#VALUE!</v>
      </c>
      <c r="M3498" s="247" t="e">
        <f t="shared" si="380"/>
        <v>#VALUE!</v>
      </c>
      <c r="N3498" s="246" t="e">
        <f t="shared" si="381"/>
        <v>#VALUE!</v>
      </c>
      <c r="O3498" s="247" t="e">
        <f t="shared" si="382"/>
        <v>#VALUE!</v>
      </c>
      <c r="P3498" s="247">
        <f t="shared" si="383"/>
        <v>0</v>
      </c>
      <c r="Q3498" s="247" t="e">
        <f t="shared" si="384"/>
        <v>#VALUE!</v>
      </c>
    </row>
    <row r="3499" spans="11:17" x14ac:dyDescent="0.25">
      <c r="K3499" s="246" t="e">
        <f t="shared" si="378"/>
        <v>#VALUE!</v>
      </c>
      <c r="L3499" s="246" t="e">
        <f t="shared" si="379"/>
        <v>#VALUE!</v>
      </c>
      <c r="M3499" s="247" t="e">
        <f t="shared" si="380"/>
        <v>#VALUE!</v>
      </c>
      <c r="N3499" s="246" t="e">
        <f t="shared" si="381"/>
        <v>#VALUE!</v>
      </c>
      <c r="O3499" s="247" t="e">
        <f t="shared" si="382"/>
        <v>#VALUE!</v>
      </c>
      <c r="P3499" s="247">
        <f t="shared" si="383"/>
        <v>0</v>
      </c>
      <c r="Q3499" s="247" t="e">
        <f t="shared" si="384"/>
        <v>#VALUE!</v>
      </c>
    </row>
    <row r="3500" spans="11:17" x14ac:dyDescent="0.25">
      <c r="K3500" s="246" t="e">
        <f t="shared" si="378"/>
        <v>#VALUE!</v>
      </c>
      <c r="L3500" s="246" t="e">
        <f t="shared" si="379"/>
        <v>#VALUE!</v>
      </c>
      <c r="M3500" s="247" t="e">
        <f t="shared" si="380"/>
        <v>#VALUE!</v>
      </c>
      <c r="N3500" s="246" t="e">
        <f t="shared" si="381"/>
        <v>#VALUE!</v>
      </c>
      <c r="O3500" s="247" t="e">
        <f t="shared" si="382"/>
        <v>#VALUE!</v>
      </c>
      <c r="P3500" s="247">
        <f t="shared" si="383"/>
        <v>0</v>
      </c>
      <c r="Q3500" s="247" t="e">
        <f t="shared" si="384"/>
        <v>#VALUE!</v>
      </c>
    </row>
    <row r="3501" spans="11:17" x14ac:dyDescent="0.25">
      <c r="K3501" s="246" t="e">
        <f t="shared" si="378"/>
        <v>#VALUE!</v>
      </c>
      <c r="L3501" s="246" t="e">
        <f t="shared" si="379"/>
        <v>#VALUE!</v>
      </c>
      <c r="M3501" s="247" t="e">
        <f t="shared" si="380"/>
        <v>#VALUE!</v>
      </c>
      <c r="N3501" s="246" t="e">
        <f t="shared" si="381"/>
        <v>#VALUE!</v>
      </c>
      <c r="O3501" s="247" t="e">
        <f t="shared" si="382"/>
        <v>#VALUE!</v>
      </c>
      <c r="P3501" s="247">
        <f t="shared" si="383"/>
        <v>0</v>
      </c>
      <c r="Q3501" s="247" t="e">
        <f t="shared" si="384"/>
        <v>#VALUE!</v>
      </c>
    </row>
    <row r="3502" spans="11:17" x14ac:dyDescent="0.25">
      <c r="K3502" s="246" t="e">
        <f t="shared" si="378"/>
        <v>#VALUE!</v>
      </c>
      <c r="L3502" s="246" t="e">
        <f t="shared" si="379"/>
        <v>#VALUE!</v>
      </c>
      <c r="M3502" s="247" t="e">
        <f t="shared" si="380"/>
        <v>#VALUE!</v>
      </c>
      <c r="N3502" s="246" t="e">
        <f t="shared" si="381"/>
        <v>#VALUE!</v>
      </c>
      <c r="O3502" s="247" t="e">
        <f t="shared" si="382"/>
        <v>#VALUE!</v>
      </c>
      <c r="P3502" s="247">
        <f t="shared" si="383"/>
        <v>0</v>
      </c>
      <c r="Q3502" s="247" t="e">
        <f t="shared" si="384"/>
        <v>#VALUE!</v>
      </c>
    </row>
    <row r="3503" spans="11:17" x14ac:dyDescent="0.25">
      <c r="K3503" s="246" t="e">
        <f t="shared" si="378"/>
        <v>#VALUE!</v>
      </c>
      <c r="L3503" s="246" t="e">
        <f t="shared" si="379"/>
        <v>#VALUE!</v>
      </c>
      <c r="M3503" s="247" t="e">
        <f t="shared" si="380"/>
        <v>#VALUE!</v>
      </c>
      <c r="N3503" s="246" t="e">
        <f t="shared" si="381"/>
        <v>#VALUE!</v>
      </c>
      <c r="O3503" s="247" t="e">
        <f t="shared" si="382"/>
        <v>#VALUE!</v>
      </c>
      <c r="P3503" s="247">
        <f t="shared" si="383"/>
        <v>0</v>
      </c>
      <c r="Q3503" s="247" t="e">
        <f t="shared" si="384"/>
        <v>#VALUE!</v>
      </c>
    </row>
    <row r="3504" spans="11:17" x14ac:dyDescent="0.25">
      <c r="K3504" s="246" t="e">
        <f t="shared" si="378"/>
        <v>#VALUE!</v>
      </c>
      <c r="L3504" s="246" t="e">
        <f t="shared" si="379"/>
        <v>#VALUE!</v>
      </c>
      <c r="M3504" s="247" t="e">
        <f t="shared" si="380"/>
        <v>#VALUE!</v>
      </c>
      <c r="N3504" s="246" t="e">
        <f t="shared" si="381"/>
        <v>#VALUE!</v>
      </c>
      <c r="O3504" s="247" t="e">
        <f t="shared" si="382"/>
        <v>#VALUE!</v>
      </c>
      <c r="P3504" s="247">
        <f t="shared" si="383"/>
        <v>0</v>
      </c>
      <c r="Q3504" s="247" t="e">
        <f t="shared" si="384"/>
        <v>#VALUE!</v>
      </c>
    </row>
    <row r="3505" spans="11:17" x14ac:dyDescent="0.25">
      <c r="K3505" s="246" t="e">
        <f t="shared" si="378"/>
        <v>#VALUE!</v>
      </c>
      <c r="L3505" s="246" t="e">
        <f t="shared" si="379"/>
        <v>#VALUE!</v>
      </c>
      <c r="M3505" s="247" t="e">
        <f t="shared" si="380"/>
        <v>#VALUE!</v>
      </c>
      <c r="N3505" s="246" t="e">
        <f t="shared" si="381"/>
        <v>#VALUE!</v>
      </c>
      <c r="O3505" s="247" t="e">
        <f t="shared" si="382"/>
        <v>#VALUE!</v>
      </c>
      <c r="P3505" s="247">
        <f t="shared" si="383"/>
        <v>0</v>
      </c>
      <c r="Q3505" s="247" t="e">
        <f t="shared" si="384"/>
        <v>#VALUE!</v>
      </c>
    </row>
    <row r="3506" spans="11:17" x14ac:dyDescent="0.25">
      <c r="K3506" s="246" t="e">
        <f t="shared" ref="K3506:K3569" si="385">DATE(VALUE(LEFT(A3506,4)),VALUE(MID(A3506,5,2)),VALUE(RIGHT(A3506,2)))</f>
        <v>#VALUE!</v>
      </c>
      <c r="L3506" s="246" t="e">
        <f t="shared" ref="L3506:L3569" si="386">DATEVALUE(LEFT(F3506,10))</f>
        <v>#VALUE!</v>
      </c>
      <c r="M3506" s="247" t="e">
        <f t="shared" ref="M3506:M3569" si="387">TIMEVALUE(MID(F3506,12,8))</f>
        <v>#VALUE!</v>
      </c>
      <c r="N3506" s="246" t="e">
        <f t="shared" ref="N3506:N3569" si="388">DATEVALUE(LEFT(G3506,10))</f>
        <v>#VALUE!</v>
      </c>
      <c r="O3506" s="247" t="e">
        <f t="shared" ref="O3506:O3569" si="389">TIMEVALUE(MID(G3506,12,8))</f>
        <v>#VALUE!</v>
      </c>
      <c r="P3506" s="247">
        <f t="shared" si="383"/>
        <v>0</v>
      </c>
      <c r="Q3506" s="247" t="e">
        <f t="shared" si="384"/>
        <v>#VALUE!</v>
      </c>
    </row>
    <row r="3507" spans="11:17" x14ac:dyDescent="0.25">
      <c r="K3507" s="246" t="e">
        <f t="shared" si="385"/>
        <v>#VALUE!</v>
      </c>
      <c r="L3507" s="246" t="e">
        <f t="shared" si="386"/>
        <v>#VALUE!</v>
      </c>
      <c r="M3507" s="247" t="e">
        <f t="shared" si="387"/>
        <v>#VALUE!</v>
      </c>
      <c r="N3507" s="246" t="e">
        <f t="shared" si="388"/>
        <v>#VALUE!</v>
      </c>
      <c r="O3507" s="247" t="e">
        <f t="shared" si="389"/>
        <v>#VALUE!</v>
      </c>
      <c r="P3507" s="247">
        <f t="shared" si="383"/>
        <v>0</v>
      </c>
      <c r="Q3507" s="247" t="e">
        <f t="shared" si="384"/>
        <v>#VALUE!</v>
      </c>
    </row>
    <row r="3508" spans="11:17" x14ac:dyDescent="0.25">
      <c r="K3508" s="246" t="e">
        <f t="shared" si="385"/>
        <v>#VALUE!</v>
      </c>
      <c r="L3508" s="246" t="e">
        <f t="shared" si="386"/>
        <v>#VALUE!</v>
      </c>
      <c r="M3508" s="247" t="e">
        <f t="shared" si="387"/>
        <v>#VALUE!</v>
      </c>
      <c r="N3508" s="246" t="e">
        <f t="shared" si="388"/>
        <v>#VALUE!</v>
      </c>
      <c r="O3508" s="247" t="e">
        <f t="shared" si="389"/>
        <v>#VALUE!</v>
      </c>
      <c r="P3508" s="247">
        <f t="shared" si="383"/>
        <v>0</v>
      </c>
      <c r="Q3508" s="247" t="e">
        <f t="shared" si="384"/>
        <v>#VALUE!</v>
      </c>
    </row>
    <row r="3509" spans="11:17" x14ac:dyDescent="0.25">
      <c r="K3509" s="246" t="e">
        <f t="shared" si="385"/>
        <v>#VALUE!</v>
      </c>
      <c r="L3509" s="246" t="e">
        <f t="shared" si="386"/>
        <v>#VALUE!</v>
      </c>
      <c r="M3509" s="247" t="e">
        <f t="shared" si="387"/>
        <v>#VALUE!</v>
      </c>
      <c r="N3509" s="246" t="e">
        <f t="shared" si="388"/>
        <v>#VALUE!</v>
      </c>
      <c r="O3509" s="247" t="e">
        <f t="shared" si="389"/>
        <v>#VALUE!</v>
      </c>
      <c r="P3509" s="247">
        <f t="shared" si="383"/>
        <v>0</v>
      </c>
      <c r="Q3509" s="247" t="e">
        <f t="shared" si="384"/>
        <v>#VALUE!</v>
      </c>
    </row>
    <row r="3510" spans="11:17" x14ac:dyDescent="0.25">
      <c r="K3510" s="246" t="e">
        <f t="shared" si="385"/>
        <v>#VALUE!</v>
      </c>
      <c r="L3510" s="246" t="e">
        <f t="shared" si="386"/>
        <v>#VALUE!</v>
      </c>
      <c r="M3510" s="247" t="e">
        <f t="shared" si="387"/>
        <v>#VALUE!</v>
      </c>
      <c r="N3510" s="246" t="e">
        <f t="shared" si="388"/>
        <v>#VALUE!</v>
      </c>
      <c r="O3510" s="247" t="e">
        <f t="shared" si="389"/>
        <v>#VALUE!</v>
      </c>
      <c r="P3510" s="247">
        <f t="shared" si="383"/>
        <v>0</v>
      </c>
      <c r="Q3510" s="247" t="e">
        <f t="shared" si="384"/>
        <v>#VALUE!</v>
      </c>
    </row>
    <row r="3511" spans="11:17" x14ac:dyDescent="0.25">
      <c r="K3511" s="246" t="e">
        <f t="shared" si="385"/>
        <v>#VALUE!</v>
      </c>
      <c r="L3511" s="246" t="e">
        <f t="shared" si="386"/>
        <v>#VALUE!</v>
      </c>
      <c r="M3511" s="247" t="e">
        <f t="shared" si="387"/>
        <v>#VALUE!</v>
      </c>
      <c r="N3511" s="246" t="e">
        <f t="shared" si="388"/>
        <v>#VALUE!</v>
      </c>
      <c r="O3511" s="247" t="e">
        <f t="shared" si="389"/>
        <v>#VALUE!</v>
      </c>
      <c r="P3511" s="247">
        <f t="shared" si="383"/>
        <v>0</v>
      </c>
      <c r="Q3511" s="247" t="e">
        <f t="shared" si="384"/>
        <v>#VALUE!</v>
      </c>
    </row>
    <row r="3512" spans="11:17" x14ac:dyDescent="0.25">
      <c r="K3512" s="246" t="e">
        <f t="shared" si="385"/>
        <v>#VALUE!</v>
      </c>
      <c r="L3512" s="246" t="e">
        <f t="shared" si="386"/>
        <v>#VALUE!</v>
      </c>
      <c r="M3512" s="247" t="e">
        <f t="shared" si="387"/>
        <v>#VALUE!</v>
      </c>
      <c r="N3512" s="246" t="e">
        <f t="shared" si="388"/>
        <v>#VALUE!</v>
      </c>
      <c r="O3512" s="247" t="e">
        <f t="shared" si="389"/>
        <v>#VALUE!</v>
      </c>
      <c r="P3512" s="247">
        <f t="shared" si="383"/>
        <v>0</v>
      </c>
      <c r="Q3512" s="247" t="e">
        <f t="shared" si="384"/>
        <v>#VALUE!</v>
      </c>
    </row>
    <row r="3513" spans="11:17" x14ac:dyDescent="0.25">
      <c r="K3513" s="246" t="e">
        <f t="shared" si="385"/>
        <v>#VALUE!</v>
      </c>
      <c r="L3513" s="246" t="e">
        <f t="shared" si="386"/>
        <v>#VALUE!</v>
      </c>
      <c r="M3513" s="247" t="e">
        <f t="shared" si="387"/>
        <v>#VALUE!</v>
      </c>
      <c r="N3513" s="246" t="e">
        <f t="shared" si="388"/>
        <v>#VALUE!</v>
      </c>
      <c r="O3513" s="247" t="e">
        <f t="shared" si="389"/>
        <v>#VALUE!</v>
      </c>
      <c r="P3513" s="247">
        <f t="shared" si="383"/>
        <v>0</v>
      </c>
      <c r="Q3513" s="247" t="e">
        <f t="shared" si="384"/>
        <v>#VALUE!</v>
      </c>
    </row>
    <row r="3514" spans="11:17" x14ac:dyDescent="0.25">
      <c r="K3514" s="246" t="e">
        <f t="shared" si="385"/>
        <v>#VALUE!</v>
      </c>
      <c r="L3514" s="246" t="e">
        <f t="shared" si="386"/>
        <v>#VALUE!</v>
      </c>
      <c r="M3514" s="247" t="e">
        <f t="shared" si="387"/>
        <v>#VALUE!</v>
      </c>
      <c r="N3514" s="246" t="e">
        <f t="shared" si="388"/>
        <v>#VALUE!</v>
      </c>
      <c r="O3514" s="247" t="e">
        <f t="shared" si="389"/>
        <v>#VALUE!</v>
      </c>
      <c r="P3514" s="247">
        <f t="shared" si="383"/>
        <v>0</v>
      </c>
      <c r="Q3514" s="247" t="e">
        <f t="shared" si="384"/>
        <v>#VALUE!</v>
      </c>
    </row>
    <row r="3515" spans="11:17" x14ac:dyDescent="0.25">
      <c r="K3515" s="246" t="e">
        <f t="shared" si="385"/>
        <v>#VALUE!</v>
      </c>
      <c r="L3515" s="246" t="e">
        <f t="shared" si="386"/>
        <v>#VALUE!</v>
      </c>
      <c r="M3515" s="247" t="e">
        <f t="shared" si="387"/>
        <v>#VALUE!</v>
      </c>
      <c r="N3515" s="246" t="e">
        <f t="shared" si="388"/>
        <v>#VALUE!</v>
      </c>
      <c r="O3515" s="247" t="e">
        <f t="shared" si="389"/>
        <v>#VALUE!</v>
      </c>
      <c r="P3515" s="247">
        <f t="shared" si="383"/>
        <v>0</v>
      </c>
      <c r="Q3515" s="247" t="e">
        <f t="shared" si="384"/>
        <v>#VALUE!</v>
      </c>
    </row>
    <row r="3516" spans="11:17" x14ac:dyDescent="0.25">
      <c r="K3516" s="246" t="e">
        <f t="shared" si="385"/>
        <v>#VALUE!</v>
      </c>
      <c r="L3516" s="246" t="e">
        <f t="shared" si="386"/>
        <v>#VALUE!</v>
      </c>
      <c r="M3516" s="247" t="e">
        <f t="shared" si="387"/>
        <v>#VALUE!</v>
      </c>
      <c r="N3516" s="246" t="e">
        <f t="shared" si="388"/>
        <v>#VALUE!</v>
      </c>
      <c r="O3516" s="247" t="e">
        <f t="shared" si="389"/>
        <v>#VALUE!</v>
      </c>
      <c r="P3516" s="247">
        <f t="shared" si="383"/>
        <v>0</v>
      </c>
      <c r="Q3516" s="247" t="e">
        <f t="shared" si="384"/>
        <v>#VALUE!</v>
      </c>
    </row>
    <row r="3517" spans="11:17" x14ac:dyDescent="0.25">
      <c r="K3517" s="246" t="e">
        <f t="shared" si="385"/>
        <v>#VALUE!</v>
      </c>
      <c r="L3517" s="246" t="e">
        <f t="shared" si="386"/>
        <v>#VALUE!</v>
      </c>
      <c r="M3517" s="247" t="e">
        <f t="shared" si="387"/>
        <v>#VALUE!</v>
      </c>
      <c r="N3517" s="246" t="e">
        <f t="shared" si="388"/>
        <v>#VALUE!</v>
      </c>
      <c r="O3517" s="247" t="e">
        <f t="shared" si="389"/>
        <v>#VALUE!</v>
      </c>
      <c r="P3517" s="247">
        <f t="shared" si="383"/>
        <v>0</v>
      </c>
      <c r="Q3517" s="247" t="e">
        <f t="shared" si="384"/>
        <v>#VALUE!</v>
      </c>
    </row>
    <row r="3518" spans="11:17" x14ac:dyDescent="0.25">
      <c r="K3518" s="246" t="e">
        <f t="shared" si="385"/>
        <v>#VALUE!</v>
      </c>
      <c r="L3518" s="246" t="e">
        <f t="shared" si="386"/>
        <v>#VALUE!</v>
      </c>
      <c r="M3518" s="247" t="e">
        <f t="shared" si="387"/>
        <v>#VALUE!</v>
      </c>
      <c r="N3518" s="246" t="e">
        <f t="shared" si="388"/>
        <v>#VALUE!</v>
      </c>
      <c r="O3518" s="247" t="e">
        <f t="shared" si="389"/>
        <v>#VALUE!</v>
      </c>
      <c r="P3518" s="247">
        <f t="shared" si="383"/>
        <v>0</v>
      </c>
      <c r="Q3518" s="247" t="e">
        <f t="shared" si="384"/>
        <v>#VALUE!</v>
      </c>
    </row>
    <row r="3519" spans="11:17" x14ac:dyDescent="0.25">
      <c r="K3519" s="246" t="e">
        <f t="shared" si="385"/>
        <v>#VALUE!</v>
      </c>
      <c r="L3519" s="246" t="e">
        <f t="shared" si="386"/>
        <v>#VALUE!</v>
      </c>
      <c r="M3519" s="247" t="e">
        <f t="shared" si="387"/>
        <v>#VALUE!</v>
      </c>
      <c r="N3519" s="246" t="e">
        <f t="shared" si="388"/>
        <v>#VALUE!</v>
      </c>
      <c r="O3519" s="247" t="e">
        <f t="shared" si="389"/>
        <v>#VALUE!</v>
      </c>
      <c r="P3519" s="247">
        <f t="shared" si="383"/>
        <v>0</v>
      </c>
      <c r="Q3519" s="247" t="e">
        <f t="shared" si="384"/>
        <v>#VALUE!</v>
      </c>
    </row>
    <row r="3520" spans="11:17" x14ac:dyDescent="0.25">
      <c r="K3520" s="246" t="e">
        <f t="shared" si="385"/>
        <v>#VALUE!</v>
      </c>
      <c r="L3520" s="246" t="e">
        <f t="shared" si="386"/>
        <v>#VALUE!</v>
      </c>
      <c r="M3520" s="247" t="e">
        <f t="shared" si="387"/>
        <v>#VALUE!</v>
      </c>
      <c r="N3520" s="246" t="e">
        <f t="shared" si="388"/>
        <v>#VALUE!</v>
      </c>
      <c r="O3520" s="247" t="e">
        <f t="shared" si="389"/>
        <v>#VALUE!</v>
      </c>
      <c r="P3520" s="247">
        <f t="shared" si="383"/>
        <v>0</v>
      </c>
      <c r="Q3520" s="247" t="e">
        <f t="shared" si="384"/>
        <v>#VALUE!</v>
      </c>
    </row>
    <row r="3521" spans="11:17" x14ac:dyDescent="0.25">
      <c r="K3521" s="246" t="e">
        <f t="shared" si="385"/>
        <v>#VALUE!</v>
      </c>
      <c r="L3521" s="246" t="e">
        <f t="shared" si="386"/>
        <v>#VALUE!</v>
      </c>
      <c r="M3521" s="247" t="e">
        <f t="shared" si="387"/>
        <v>#VALUE!</v>
      </c>
      <c r="N3521" s="246" t="e">
        <f t="shared" si="388"/>
        <v>#VALUE!</v>
      </c>
      <c r="O3521" s="247" t="e">
        <f t="shared" si="389"/>
        <v>#VALUE!</v>
      </c>
      <c r="P3521" s="247">
        <f t="shared" si="383"/>
        <v>0</v>
      </c>
      <c r="Q3521" s="247" t="e">
        <f t="shared" si="384"/>
        <v>#VALUE!</v>
      </c>
    </row>
    <row r="3522" spans="11:17" x14ac:dyDescent="0.25">
      <c r="K3522" s="246" t="e">
        <f t="shared" si="385"/>
        <v>#VALUE!</v>
      </c>
      <c r="L3522" s="246" t="e">
        <f t="shared" si="386"/>
        <v>#VALUE!</v>
      </c>
      <c r="M3522" s="247" t="e">
        <f t="shared" si="387"/>
        <v>#VALUE!</v>
      </c>
      <c r="N3522" s="246" t="e">
        <f t="shared" si="388"/>
        <v>#VALUE!</v>
      </c>
      <c r="O3522" s="247" t="e">
        <f t="shared" si="389"/>
        <v>#VALUE!</v>
      </c>
      <c r="P3522" s="247">
        <f t="shared" ref="P3522:P3585" si="390">IFERROR(_xlfn.MINIFS($M:$M,$E:$E,$E3522,$K:$K,$K3522,$M:$M,"&gt;"&amp;$O3522),"")</f>
        <v>0</v>
      </c>
      <c r="Q3522" s="247" t="e">
        <f t="shared" ref="Q3522:Q3585" si="391">IF($P3522="","",$P3522-$O3522)</f>
        <v>#VALUE!</v>
      </c>
    </row>
    <row r="3523" spans="11:17" x14ac:dyDescent="0.25">
      <c r="K3523" s="246" t="e">
        <f t="shared" si="385"/>
        <v>#VALUE!</v>
      </c>
      <c r="L3523" s="246" t="e">
        <f t="shared" si="386"/>
        <v>#VALUE!</v>
      </c>
      <c r="M3523" s="247" t="e">
        <f t="shared" si="387"/>
        <v>#VALUE!</v>
      </c>
      <c r="N3523" s="246" t="e">
        <f t="shared" si="388"/>
        <v>#VALUE!</v>
      </c>
      <c r="O3523" s="247" t="e">
        <f t="shared" si="389"/>
        <v>#VALUE!</v>
      </c>
      <c r="P3523" s="247">
        <f t="shared" si="390"/>
        <v>0</v>
      </c>
      <c r="Q3523" s="247" t="e">
        <f t="shared" si="391"/>
        <v>#VALUE!</v>
      </c>
    </row>
    <row r="3524" spans="11:17" x14ac:dyDescent="0.25">
      <c r="K3524" s="246" t="e">
        <f t="shared" si="385"/>
        <v>#VALUE!</v>
      </c>
      <c r="L3524" s="246" t="e">
        <f t="shared" si="386"/>
        <v>#VALUE!</v>
      </c>
      <c r="M3524" s="247" t="e">
        <f t="shared" si="387"/>
        <v>#VALUE!</v>
      </c>
      <c r="N3524" s="246" t="e">
        <f t="shared" si="388"/>
        <v>#VALUE!</v>
      </c>
      <c r="O3524" s="247" t="e">
        <f t="shared" si="389"/>
        <v>#VALUE!</v>
      </c>
      <c r="P3524" s="247">
        <f t="shared" si="390"/>
        <v>0</v>
      </c>
      <c r="Q3524" s="247" t="e">
        <f t="shared" si="391"/>
        <v>#VALUE!</v>
      </c>
    </row>
    <row r="3525" spans="11:17" x14ac:dyDescent="0.25">
      <c r="K3525" s="246" t="e">
        <f t="shared" si="385"/>
        <v>#VALUE!</v>
      </c>
      <c r="L3525" s="246" t="e">
        <f t="shared" si="386"/>
        <v>#VALUE!</v>
      </c>
      <c r="M3525" s="247" t="e">
        <f t="shared" si="387"/>
        <v>#VALUE!</v>
      </c>
      <c r="N3525" s="246" t="e">
        <f t="shared" si="388"/>
        <v>#VALUE!</v>
      </c>
      <c r="O3525" s="247" t="e">
        <f t="shared" si="389"/>
        <v>#VALUE!</v>
      </c>
      <c r="P3525" s="247">
        <f t="shared" si="390"/>
        <v>0</v>
      </c>
      <c r="Q3525" s="247" t="e">
        <f t="shared" si="391"/>
        <v>#VALUE!</v>
      </c>
    </row>
    <row r="3526" spans="11:17" x14ac:dyDescent="0.25">
      <c r="K3526" s="246" t="e">
        <f t="shared" si="385"/>
        <v>#VALUE!</v>
      </c>
      <c r="L3526" s="246" t="e">
        <f t="shared" si="386"/>
        <v>#VALUE!</v>
      </c>
      <c r="M3526" s="247" t="e">
        <f t="shared" si="387"/>
        <v>#VALUE!</v>
      </c>
      <c r="N3526" s="246" t="e">
        <f t="shared" si="388"/>
        <v>#VALUE!</v>
      </c>
      <c r="O3526" s="247" t="e">
        <f t="shared" si="389"/>
        <v>#VALUE!</v>
      </c>
      <c r="P3526" s="247">
        <f t="shared" si="390"/>
        <v>0</v>
      </c>
      <c r="Q3526" s="247" t="e">
        <f t="shared" si="391"/>
        <v>#VALUE!</v>
      </c>
    </row>
    <row r="3527" spans="11:17" x14ac:dyDescent="0.25">
      <c r="K3527" s="246" t="e">
        <f t="shared" si="385"/>
        <v>#VALUE!</v>
      </c>
      <c r="L3527" s="246" t="e">
        <f t="shared" si="386"/>
        <v>#VALUE!</v>
      </c>
      <c r="M3527" s="247" t="e">
        <f t="shared" si="387"/>
        <v>#VALUE!</v>
      </c>
      <c r="N3527" s="246" t="e">
        <f t="shared" si="388"/>
        <v>#VALUE!</v>
      </c>
      <c r="O3527" s="247" t="e">
        <f t="shared" si="389"/>
        <v>#VALUE!</v>
      </c>
      <c r="P3527" s="247">
        <f t="shared" si="390"/>
        <v>0</v>
      </c>
      <c r="Q3527" s="247" t="e">
        <f t="shared" si="391"/>
        <v>#VALUE!</v>
      </c>
    </row>
    <row r="3528" spans="11:17" x14ac:dyDescent="0.25">
      <c r="K3528" s="246" t="e">
        <f t="shared" si="385"/>
        <v>#VALUE!</v>
      </c>
      <c r="L3528" s="246" t="e">
        <f t="shared" si="386"/>
        <v>#VALUE!</v>
      </c>
      <c r="M3528" s="247" t="e">
        <f t="shared" si="387"/>
        <v>#VALUE!</v>
      </c>
      <c r="N3528" s="246" t="e">
        <f t="shared" si="388"/>
        <v>#VALUE!</v>
      </c>
      <c r="O3528" s="247" t="e">
        <f t="shared" si="389"/>
        <v>#VALUE!</v>
      </c>
      <c r="P3528" s="247">
        <f t="shared" si="390"/>
        <v>0</v>
      </c>
      <c r="Q3528" s="247" t="e">
        <f t="shared" si="391"/>
        <v>#VALUE!</v>
      </c>
    </row>
    <row r="3529" spans="11:17" x14ac:dyDescent="0.25">
      <c r="K3529" s="246" t="e">
        <f t="shared" si="385"/>
        <v>#VALUE!</v>
      </c>
      <c r="L3529" s="246" t="e">
        <f t="shared" si="386"/>
        <v>#VALUE!</v>
      </c>
      <c r="M3529" s="247" t="e">
        <f t="shared" si="387"/>
        <v>#VALUE!</v>
      </c>
      <c r="N3529" s="246" t="e">
        <f t="shared" si="388"/>
        <v>#VALUE!</v>
      </c>
      <c r="O3529" s="247" t="e">
        <f t="shared" si="389"/>
        <v>#VALUE!</v>
      </c>
      <c r="P3529" s="247">
        <f t="shared" si="390"/>
        <v>0</v>
      </c>
      <c r="Q3529" s="247" t="e">
        <f t="shared" si="391"/>
        <v>#VALUE!</v>
      </c>
    </row>
    <row r="3530" spans="11:17" x14ac:dyDescent="0.25">
      <c r="K3530" s="246" t="e">
        <f t="shared" si="385"/>
        <v>#VALUE!</v>
      </c>
      <c r="L3530" s="246" t="e">
        <f t="shared" si="386"/>
        <v>#VALUE!</v>
      </c>
      <c r="M3530" s="247" t="e">
        <f t="shared" si="387"/>
        <v>#VALUE!</v>
      </c>
      <c r="N3530" s="246" t="e">
        <f t="shared" si="388"/>
        <v>#VALUE!</v>
      </c>
      <c r="O3530" s="247" t="e">
        <f t="shared" si="389"/>
        <v>#VALUE!</v>
      </c>
      <c r="P3530" s="247">
        <f t="shared" si="390"/>
        <v>0</v>
      </c>
      <c r="Q3530" s="247" t="e">
        <f t="shared" si="391"/>
        <v>#VALUE!</v>
      </c>
    </row>
    <row r="3531" spans="11:17" x14ac:dyDescent="0.25">
      <c r="K3531" s="246" t="e">
        <f t="shared" si="385"/>
        <v>#VALUE!</v>
      </c>
      <c r="L3531" s="246" t="e">
        <f t="shared" si="386"/>
        <v>#VALUE!</v>
      </c>
      <c r="M3531" s="247" t="e">
        <f t="shared" si="387"/>
        <v>#VALUE!</v>
      </c>
      <c r="N3531" s="246" t="e">
        <f t="shared" si="388"/>
        <v>#VALUE!</v>
      </c>
      <c r="O3531" s="247" t="e">
        <f t="shared" si="389"/>
        <v>#VALUE!</v>
      </c>
      <c r="P3531" s="247">
        <f t="shared" si="390"/>
        <v>0</v>
      </c>
      <c r="Q3531" s="247" t="e">
        <f t="shared" si="391"/>
        <v>#VALUE!</v>
      </c>
    </row>
    <row r="3532" spans="11:17" x14ac:dyDescent="0.25">
      <c r="K3532" s="246" t="e">
        <f t="shared" si="385"/>
        <v>#VALUE!</v>
      </c>
      <c r="L3532" s="246" t="e">
        <f t="shared" si="386"/>
        <v>#VALUE!</v>
      </c>
      <c r="M3532" s="247" t="e">
        <f t="shared" si="387"/>
        <v>#VALUE!</v>
      </c>
      <c r="N3532" s="246" t="e">
        <f t="shared" si="388"/>
        <v>#VALUE!</v>
      </c>
      <c r="O3532" s="247" t="e">
        <f t="shared" si="389"/>
        <v>#VALUE!</v>
      </c>
      <c r="P3532" s="247">
        <f t="shared" si="390"/>
        <v>0</v>
      </c>
      <c r="Q3532" s="247" t="e">
        <f t="shared" si="391"/>
        <v>#VALUE!</v>
      </c>
    </row>
    <row r="3533" spans="11:17" x14ac:dyDescent="0.25">
      <c r="K3533" s="246" t="e">
        <f t="shared" si="385"/>
        <v>#VALUE!</v>
      </c>
      <c r="L3533" s="246" t="e">
        <f t="shared" si="386"/>
        <v>#VALUE!</v>
      </c>
      <c r="M3533" s="247" t="e">
        <f t="shared" si="387"/>
        <v>#VALUE!</v>
      </c>
      <c r="N3533" s="246" t="e">
        <f t="shared" si="388"/>
        <v>#VALUE!</v>
      </c>
      <c r="O3533" s="247" t="e">
        <f t="shared" si="389"/>
        <v>#VALUE!</v>
      </c>
      <c r="P3533" s="247">
        <f t="shared" si="390"/>
        <v>0</v>
      </c>
      <c r="Q3533" s="247" t="e">
        <f t="shared" si="391"/>
        <v>#VALUE!</v>
      </c>
    </row>
    <row r="3534" spans="11:17" x14ac:dyDescent="0.25">
      <c r="K3534" s="246" t="e">
        <f t="shared" si="385"/>
        <v>#VALUE!</v>
      </c>
      <c r="L3534" s="246" t="e">
        <f t="shared" si="386"/>
        <v>#VALUE!</v>
      </c>
      <c r="M3534" s="247" t="e">
        <f t="shared" si="387"/>
        <v>#VALUE!</v>
      </c>
      <c r="N3534" s="246" t="e">
        <f t="shared" si="388"/>
        <v>#VALUE!</v>
      </c>
      <c r="O3534" s="247" t="e">
        <f t="shared" si="389"/>
        <v>#VALUE!</v>
      </c>
      <c r="P3534" s="247">
        <f t="shared" si="390"/>
        <v>0</v>
      </c>
      <c r="Q3534" s="247" t="e">
        <f t="shared" si="391"/>
        <v>#VALUE!</v>
      </c>
    </row>
    <row r="3535" spans="11:17" x14ac:dyDescent="0.25">
      <c r="K3535" s="246" t="e">
        <f t="shared" si="385"/>
        <v>#VALUE!</v>
      </c>
      <c r="L3535" s="246" t="e">
        <f t="shared" si="386"/>
        <v>#VALUE!</v>
      </c>
      <c r="M3535" s="247" t="e">
        <f t="shared" si="387"/>
        <v>#VALUE!</v>
      </c>
      <c r="N3535" s="246" t="e">
        <f t="shared" si="388"/>
        <v>#VALUE!</v>
      </c>
      <c r="O3535" s="247" t="e">
        <f t="shared" si="389"/>
        <v>#VALUE!</v>
      </c>
      <c r="P3535" s="247">
        <f t="shared" si="390"/>
        <v>0</v>
      </c>
      <c r="Q3535" s="247" t="e">
        <f t="shared" si="391"/>
        <v>#VALUE!</v>
      </c>
    </row>
    <row r="3536" spans="11:17" x14ac:dyDescent="0.25">
      <c r="K3536" s="246" t="e">
        <f t="shared" si="385"/>
        <v>#VALUE!</v>
      </c>
      <c r="L3536" s="246" t="e">
        <f t="shared" si="386"/>
        <v>#VALUE!</v>
      </c>
      <c r="M3536" s="247" t="e">
        <f t="shared" si="387"/>
        <v>#VALUE!</v>
      </c>
      <c r="N3536" s="246" t="e">
        <f t="shared" si="388"/>
        <v>#VALUE!</v>
      </c>
      <c r="O3536" s="247" t="e">
        <f t="shared" si="389"/>
        <v>#VALUE!</v>
      </c>
      <c r="P3536" s="247">
        <f t="shared" si="390"/>
        <v>0</v>
      </c>
      <c r="Q3536" s="247" t="e">
        <f t="shared" si="391"/>
        <v>#VALUE!</v>
      </c>
    </row>
    <row r="3537" spans="11:17" x14ac:dyDescent="0.25">
      <c r="K3537" s="246" t="e">
        <f t="shared" si="385"/>
        <v>#VALUE!</v>
      </c>
      <c r="L3537" s="246" t="e">
        <f t="shared" si="386"/>
        <v>#VALUE!</v>
      </c>
      <c r="M3537" s="247" t="e">
        <f t="shared" si="387"/>
        <v>#VALUE!</v>
      </c>
      <c r="N3537" s="246" t="e">
        <f t="shared" si="388"/>
        <v>#VALUE!</v>
      </c>
      <c r="O3537" s="247" t="e">
        <f t="shared" si="389"/>
        <v>#VALUE!</v>
      </c>
      <c r="P3537" s="247">
        <f t="shared" si="390"/>
        <v>0</v>
      </c>
      <c r="Q3537" s="247" t="e">
        <f t="shared" si="391"/>
        <v>#VALUE!</v>
      </c>
    </row>
    <row r="3538" spans="11:17" x14ac:dyDescent="0.25">
      <c r="K3538" s="246" t="e">
        <f t="shared" si="385"/>
        <v>#VALUE!</v>
      </c>
      <c r="L3538" s="246" t="e">
        <f t="shared" si="386"/>
        <v>#VALUE!</v>
      </c>
      <c r="M3538" s="247" t="e">
        <f t="shared" si="387"/>
        <v>#VALUE!</v>
      </c>
      <c r="N3538" s="246" t="e">
        <f t="shared" si="388"/>
        <v>#VALUE!</v>
      </c>
      <c r="O3538" s="247" t="e">
        <f t="shared" si="389"/>
        <v>#VALUE!</v>
      </c>
      <c r="P3538" s="247">
        <f t="shared" si="390"/>
        <v>0</v>
      </c>
      <c r="Q3538" s="247" t="e">
        <f t="shared" si="391"/>
        <v>#VALUE!</v>
      </c>
    </row>
    <row r="3539" spans="11:17" x14ac:dyDescent="0.25">
      <c r="K3539" s="246" t="e">
        <f t="shared" si="385"/>
        <v>#VALUE!</v>
      </c>
      <c r="L3539" s="246" t="e">
        <f t="shared" si="386"/>
        <v>#VALUE!</v>
      </c>
      <c r="M3539" s="247" t="e">
        <f t="shared" si="387"/>
        <v>#VALUE!</v>
      </c>
      <c r="N3539" s="246" t="e">
        <f t="shared" si="388"/>
        <v>#VALUE!</v>
      </c>
      <c r="O3539" s="247" t="e">
        <f t="shared" si="389"/>
        <v>#VALUE!</v>
      </c>
      <c r="P3539" s="247">
        <f t="shared" si="390"/>
        <v>0</v>
      </c>
      <c r="Q3539" s="247" t="e">
        <f t="shared" si="391"/>
        <v>#VALUE!</v>
      </c>
    </row>
    <row r="3540" spans="11:17" x14ac:dyDescent="0.25">
      <c r="K3540" s="246" t="e">
        <f t="shared" si="385"/>
        <v>#VALUE!</v>
      </c>
      <c r="L3540" s="246" t="e">
        <f t="shared" si="386"/>
        <v>#VALUE!</v>
      </c>
      <c r="M3540" s="247" t="e">
        <f t="shared" si="387"/>
        <v>#VALUE!</v>
      </c>
      <c r="N3540" s="246" t="e">
        <f t="shared" si="388"/>
        <v>#VALUE!</v>
      </c>
      <c r="O3540" s="247" t="e">
        <f t="shared" si="389"/>
        <v>#VALUE!</v>
      </c>
      <c r="P3540" s="247">
        <f t="shared" si="390"/>
        <v>0</v>
      </c>
      <c r="Q3540" s="247" t="e">
        <f t="shared" si="391"/>
        <v>#VALUE!</v>
      </c>
    </row>
    <row r="3541" spans="11:17" x14ac:dyDescent="0.25">
      <c r="K3541" s="246" t="e">
        <f t="shared" si="385"/>
        <v>#VALUE!</v>
      </c>
      <c r="L3541" s="246" t="e">
        <f t="shared" si="386"/>
        <v>#VALUE!</v>
      </c>
      <c r="M3541" s="247" t="e">
        <f t="shared" si="387"/>
        <v>#VALUE!</v>
      </c>
      <c r="N3541" s="246" t="e">
        <f t="shared" si="388"/>
        <v>#VALUE!</v>
      </c>
      <c r="O3541" s="247" t="e">
        <f t="shared" si="389"/>
        <v>#VALUE!</v>
      </c>
      <c r="P3541" s="247">
        <f t="shared" si="390"/>
        <v>0</v>
      </c>
      <c r="Q3541" s="247" t="e">
        <f t="shared" si="391"/>
        <v>#VALUE!</v>
      </c>
    </row>
    <row r="3542" spans="11:17" x14ac:dyDescent="0.25">
      <c r="K3542" s="246" t="e">
        <f t="shared" si="385"/>
        <v>#VALUE!</v>
      </c>
      <c r="L3542" s="246" t="e">
        <f t="shared" si="386"/>
        <v>#VALUE!</v>
      </c>
      <c r="M3542" s="247" t="e">
        <f t="shared" si="387"/>
        <v>#VALUE!</v>
      </c>
      <c r="N3542" s="246" t="e">
        <f t="shared" si="388"/>
        <v>#VALUE!</v>
      </c>
      <c r="O3542" s="247" t="e">
        <f t="shared" si="389"/>
        <v>#VALUE!</v>
      </c>
      <c r="P3542" s="247">
        <f t="shared" si="390"/>
        <v>0</v>
      </c>
      <c r="Q3542" s="247" t="e">
        <f t="shared" si="391"/>
        <v>#VALUE!</v>
      </c>
    </row>
    <row r="3543" spans="11:17" x14ac:dyDescent="0.25">
      <c r="K3543" s="246" t="e">
        <f t="shared" si="385"/>
        <v>#VALUE!</v>
      </c>
      <c r="L3543" s="246" t="e">
        <f t="shared" si="386"/>
        <v>#VALUE!</v>
      </c>
      <c r="M3543" s="247" t="e">
        <f t="shared" si="387"/>
        <v>#VALUE!</v>
      </c>
      <c r="N3543" s="246" t="e">
        <f t="shared" si="388"/>
        <v>#VALUE!</v>
      </c>
      <c r="O3543" s="247" t="e">
        <f t="shared" si="389"/>
        <v>#VALUE!</v>
      </c>
      <c r="P3543" s="247">
        <f t="shared" si="390"/>
        <v>0</v>
      </c>
      <c r="Q3543" s="247" t="e">
        <f t="shared" si="391"/>
        <v>#VALUE!</v>
      </c>
    </row>
    <row r="3544" spans="11:17" x14ac:dyDescent="0.25">
      <c r="K3544" s="246" t="e">
        <f t="shared" si="385"/>
        <v>#VALUE!</v>
      </c>
      <c r="L3544" s="246" t="e">
        <f t="shared" si="386"/>
        <v>#VALUE!</v>
      </c>
      <c r="M3544" s="247" t="e">
        <f t="shared" si="387"/>
        <v>#VALUE!</v>
      </c>
      <c r="N3544" s="246" t="e">
        <f t="shared" si="388"/>
        <v>#VALUE!</v>
      </c>
      <c r="O3544" s="247" t="e">
        <f t="shared" si="389"/>
        <v>#VALUE!</v>
      </c>
      <c r="P3544" s="247">
        <f t="shared" si="390"/>
        <v>0</v>
      </c>
      <c r="Q3544" s="247" t="e">
        <f t="shared" si="391"/>
        <v>#VALUE!</v>
      </c>
    </row>
    <row r="3545" spans="11:17" x14ac:dyDescent="0.25">
      <c r="K3545" s="246" t="e">
        <f t="shared" si="385"/>
        <v>#VALUE!</v>
      </c>
      <c r="L3545" s="246" t="e">
        <f t="shared" si="386"/>
        <v>#VALUE!</v>
      </c>
      <c r="M3545" s="247" t="e">
        <f t="shared" si="387"/>
        <v>#VALUE!</v>
      </c>
      <c r="N3545" s="246" t="e">
        <f t="shared" si="388"/>
        <v>#VALUE!</v>
      </c>
      <c r="O3545" s="247" t="e">
        <f t="shared" si="389"/>
        <v>#VALUE!</v>
      </c>
      <c r="P3545" s="247">
        <f t="shared" si="390"/>
        <v>0</v>
      </c>
      <c r="Q3545" s="247" t="e">
        <f t="shared" si="391"/>
        <v>#VALUE!</v>
      </c>
    </row>
    <row r="3546" spans="11:17" x14ac:dyDescent="0.25">
      <c r="K3546" s="246" t="e">
        <f t="shared" si="385"/>
        <v>#VALUE!</v>
      </c>
      <c r="L3546" s="246" t="e">
        <f t="shared" si="386"/>
        <v>#VALUE!</v>
      </c>
      <c r="M3546" s="247" t="e">
        <f t="shared" si="387"/>
        <v>#VALUE!</v>
      </c>
      <c r="N3546" s="246" t="e">
        <f t="shared" si="388"/>
        <v>#VALUE!</v>
      </c>
      <c r="O3546" s="247" t="e">
        <f t="shared" si="389"/>
        <v>#VALUE!</v>
      </c>
      <c r="P3546" s="247">
        <f t="shared" si="390"/>
        <v>0</v>
      </c>
      <c r="Q3546" s="247" t="e">
        <f t="shared" si="391"/>
        <v>#VALUE!</v>
      </c>
    </row>
    <row r="3547" spans="11:17" x14ac:dyDescent="0.25">
      <c r="K3547" s="246" t="e">
        <f t="shared" si="385"/>
        <v>#VALUE!</v>
      </c>
      <c r="L3547" s="246" t="e">
        <f t="shared" si="386"/>
        <v>#VALUE!</v>
      </c>
      <c r="M3547" s="247" t="e">
        <f t="shared" si="387"/>
        <v>#VALUE!</v>
      </c>
      <c r="N3547" s="246" t="e">
        <f t="shared" si="388"/>
        <v>#VALUE!</v>
      </c>
      <c r="O3547" s="247" t="e">
        <f t="shared" si="389"/>
        <v>#VALUE!</v>
      </c>
      <c r="P3547" s="247">
        <f t="shared" si="390"/>
        <v>0</v>
      </c>
      <c r="Q3547" s="247" t="e">
        <f t="shared" si="391"/>
        <v>#VALUE!</v>
      </c>
    </row>
    <row r="3548" spans="11:17" x14ac:dyDescent="0.25">
      <c r="K3548" s="246" t="e">
        <f t="shared" si="385"/>
        <v>#VALUE!</v>
      </c>
      <c r="L3548" s="246" t="e">
        <f t="shared" si="386"/>
        <v>#VALUE!</v>
      </c>
      <c r="M3548" s="247" t="e">
        <f t="shared" si="387"/>
        <v>#VALUE!</v>
      </c>
      <c r="N3548" s="246" t="e">
        <f t="shared" si="388"/>
        <v>#VALUE!</v>
      </c>
      <c r="O3548" s="247" t="e">
        <f t="shared" si="389"/>
        <v>#VALUE!</v>
      </c>
      <c r="P3548" s="247">
        <f t="shared" si="390"/>
        <v>0</v>
      </c>
      <c r="Q3548" s="247" t="e">
        <f t="shared" si="391"/>
        <v>#VALUE!</v>
      </c>
    </row>
    <row r="3549" spans="11:17" x14ac:dyDescent="0.25">
      <c r="K3549" s="246" t="e">
        <f t="shared" si="385"/>
        <v>#VALUE!</v>
      </c>
      <c r="L3549" s="246" t="e">
        <f t="shared" si="386"/>
        <v>#VALUE!</v>
      </c>
      <c r="M3549" s="247" t="e">
        <f t="shared" si="387"/>
        <v>#VALUE!</v>
      </c>
      <c r="N3549" s="246" t="e">
        <f t="shared" si="388"/>
        <v>#VALUE!</v>
      </c>
      <c r="O3549" s="247" t="e">
        <f t="shared" si="389"/>
        <v>#VALUE!</v>
      </c>
      <c r="P3549" s="247">
        <f t="shared" si="390"/>
        <v>0</v>
      </c>
      <c r="Q3549" s="247" t="e">
        <f t="shared" si="391"/>
        <v>#VALUE!</v>
      </c>
    </row>
    <row r="3550" spans="11:17" x14ac:dyDescent="0.25">
      <c r="K3550" s="246" t="e">
        <f t="shared" si="385"/>
        <v>#VALUE!</v>
      </c>
      <c r="L3550" s="246" t="e">
        <f t="shared" si="386"/>
        <v>#VALUE!</v>
      </c>
      <c r="M3550" s="247" t="e">
        <f t="shared" si="387"/>
        <v>#VALUE!</v>
      </c>
      <c r="N3550" s="246" t="e">
        <f t="shared" si="388"/>
        <v>#VALUE!</v>
      </c>
      <c r="O3550" s="247" t="e">
        <f t="shared" si="389"/>
        <v>#VALUE!</v>
      </c>
      <c r="P3550" s="247">
        <f t="shared" si="390"/>
        <v>0</v>
      </c>
      <c r="Q3550" s="247" t="e">
        <f t="shared" si="391"/>
        <v>#VALUE!</v>
      </c>
    </row>
    <row r="3551" spans="11:17" x14ac:dyDescent="0.25">
      <c r="K3551" s="246" t="e">
        <f t="shared" si="385"/>
        <v>#VALUE!</v>
      </c>
      <c r="L3551" s="246" t="e">
        <f t="shared" si="386"/>
        <v>#VALUE!</v>
      </c>
      <c r="M3551" s="247" t="e">
        <f t="shared" si="387"/>
        <v>#VALUE!</v>
      </c>
      <c r="N3551" s="246" t="e">
        <f t="shared" si="388"/>
        <v>#VALUE!</v>
      </c>
      <c r="O3551" s="247" t="e">
        <f t="shared" si="389"/>
        <v>#VALUE!</v>
      </c>
      <c r="P3551" s="247">
        <f t="shared" si="390"/>
        <v>0</v>
      </c>
      <c r="Q3551" s="247" t="e">
        <f t="shared" si="391"/>
        <v>#VALUE!</v>
      </c>
    </row>
    <row r="3552" spans="11:17" x14ac:dyDescent="0.25">
      <c r="K3552" s="246" t="e">
        <f t="shared" si="385"/>
        <v>#VALUE!</v>
      </c>
      <c r="L3552" s="246" t="e">
        <f t="shared" si="386"/>
        <v>#VALUE!</v>
      </c>
      <c r="M3552" s="247" t="e">
        <f t="shared" si="387"/>
        <v>#VALUE!</v>
      </c>
      <c r="N3552" s="246" t="e">
        <f t="shared" si="388"/>
        <v>#VALUE!</v>
      </c>
      <c r="O3552" s="247" t="e">
        <f t="shared" si="389"/>
        <v>#VALUE!</v>
      </c>
      <c r="P3552" s="247">
        <f t="shared" si="390"/>
        <v>0</v>
      </c>
      <c r="Q3552" s="247" t="e">
        <f t="shared" si="391"/>
        <v>#VALUE!</v>
      </c>
    </row>
    <row r="3553" spans="11:17" x14ac:dyDescent="0.25">
      <c r="K3553" s="246" t="e">
        <f t="shared" si="385"/>
        <v>#VALUE!</v>
      </c>
      <c r="L3553" s="246" t="e">
        <f t="shared" si="386"/>
        <v>#VALUE!</v>
      </c>
      <c r="M3553" s="247" t="e">
        <f t="shared" si="387"/>
        <v>#VALUE!</v>
      </c>
      <c r="N3553" s="246" t="e">
        <f t="shared" si="388"/>
        <v>#VALUE!</v>
      </c>
      <c r="O3553" s="247" t="e">
        <f t="shared" si="389"/>
        <v>#VALUE!</v>
      </c>
      <c r="P3553" s="247">
        <f t="shared" si="390"/>
        <v>0</v>
      </c>
      <c r="Q3553" s="247" t="e">
        <f t="shared" si="391"/>
        <v>#VALUE!</v>
      </c>
    </row>
    <row r="3554" spans="11:17" x14ac:dyDescent="0.25">
      <c r="K3554" s="246" t="e">
        <f t="shared" si="385"/>
        <v>#VALUE!</v>
      </c>
      <c r="L3554" s="246" t="e">
        <f t="shared" si="386"/>
        <v>#VALUE!</v>
      </c>
      <c r="M3554" s="247" t="e">
        <f t="shared" si="387"/>
        <v>#VALUE!</v>
      </c>
      <c r="N3554" s="246" t="e">
        <f t="shared" si="388"/>
        <v>#VALUE!</v>
      </c>
      <c r="O3554" s="247" t="e">
        <f t="shared" si="389"/>
        <v>#VALUE!</v>
      </c>
      <c r="P3554" s="247">
        <f t="shared" si="390"/>
        <v>0</v>
      </c>
      <c r="Q3554" s="247" t="e">
        <f t="shared" si="391"/>
        <v>#VALUE!</v>
      </c>
    </row>
    <row r="3555" spans="11:17" x14ac:dyDescent="0.25">
      <c r="K3555" s="246" t="e">
        <f t="shared" si="385"/>
        <v>#VALUE!</v>
      </c>
      <c r="L3555" s="246" t="e">
        <f t="shared" si="386"/>
        <v>#VALUE!</v>
      </c>
      <c r="M3555" s="247" t="e">
        <f t="shared" si="387"/>
        <v>#VALUE!</v>
      </c>
      <c r="N3555" s="246" t="e">
        <f t="shared" si="388"/>
        <v>#VALUE!</v>
      </c>
      <c r="O3555" s="247" t="e">
        <f t="shared" si="389"/>
        <v>#VALUE!</v>
      </c>
      <c r="P3555" s="247">
        <f t="shared" si="390"/>
        <v>0</v>
      </c>
      <c r="Q3555" s="247" t="e">
        <f t="shared" si="391"/>
        <v>#VALUE!</v>
      </c>
    </row>
    <row r="3556" spans="11:17" x14ac:dyDescent="0.25">
      <c r="K3556" s="246" t="e">
        <f t="shared" si="385"/>
        <v>#VALUE!</v>
      </c>
      <c r="L3556" s="246" t="e">
        <f t="shared" si="386"/>
        <v>#VALUE!</v>
      </c>
      <c r="M3556" s="247" t="e">
        <f t="shared" si="387"/>
        <v>#VALUE!</v>
      </c>
      <c r="N3556" s="246" t="e">
        <f t="shared" si="388"/>
        <v>#VALUE!</v>
      </c>
      <c r="O3556" s="247" t="e">
        <f t="shared" si="389"/>
        <v>#VALUE!</v>
      </c>
      <c r="P3556" s="247">
        <f t="shared" si="390"/>
        <v>0</v>
      </c>
      <c r="Q3556" s="247" t="e">
        <f t="shared" si="391"/>
        <v>#VALUE!</v>
      </c>
    </row>
    <row r="3557" spans="11:17" x14ac:dyDescent="0.25">
      <c r="K3557" s="246" t="e">
        <f t="shared" si="385"/>
        <v>#VALUE!</v>
      </c>
      <c r="L3557" s="246" t="e">
        <f t="shared" si="386"/>
        <v>#VALUE!</v>
      </c>
      <c r="M3557" s="247" t="e">
        <f t="shared" si="387"/>
        <v>#VALUE!</v>
      </c>
      <c r="N3557" s="246" t="e">
        <f t="shared" si="388"/>
        <v>#VALUE!</v>
      </c>
      <c r="O3557" s="247" t="e">
        <f t="shared" si="389"/>
        <v>#VALUE!</v>
      </c>
      <c r="P3557" s="247">
        <f t="shared" si="390"/>
        <v>0</v>
      </c>
      <c r="Q3557" s="247" t="e">
        <f t="shared" si="391"/>
        <v>#VALUE!</v>
      </c>
    </row>
    <row r="3558" spans="11:17" x14ac:dyDescent="0.25">
      <c r="K3558" s="246" t="e">
        <f t="shared" si="385"/>
        <v>#VALUE!</v>
      </c>
      <c r="L3558" s="246" t="e">
        <f t="shared" si="386"/>
        <v>#VALUE!</v>
      </c>
      <c r="M3558" s="247" t="e">
        <f t="shared" si="387"/>
        <v>#VALUE!</v>
      </c>
      <c r="N3558" s="246" t="e">
        <f t="shared" si="388"/>
        <v>#VALUE!</v>
      </c>
      <c r="O3558" s="247" t="e">
        <f t="shared" si="389"/>
        <v>#VALUE!</v>
      </c>
      <c r="P3558" s="247">
        <f t="shared" si="390"/>
        <v>0</v>
      </c>
      <c r="Q3558" s="247" t="e">
        <f t="shared" si="391"/>
        <v>#VALUE!</v>
      </c>
    </row>
    <row r="3559" spans="11:17" x14ac:dyDescent="0.25">
      <c r="K3559" s="246" t="e">
        <f t="shared" si="385"/>
        <v>#VALUE!</v>
      </c>
      <c r="L3559" s="246" t="e">
        <f t="shared" si="386"/>
        <v>#VALUE!</v>
      </c>
      <c r="M3559" s="247" t="e">
        <f t="shared" si="387"/>
        <v>#VALUE!</v>
      </c>
      <c r="N3559" s="246" t="e">
        <f t="shared" si="388"/>
        <v>#VALUE!</v>
      </c>
      <c r="O3559" s="247" t="e">
        <f t="shared" si="389"/>
        <v>#VALUE!</v>
      </c>
      <c r="P3559" s="247">
        <f t="shared" si="390"/>
        <v>0</v>
      </c>
      <c r="Q3559" s="247" t="e">
        <f t="shared" si="391"/>
        <v>#VALUE!</v>
      </c>
    </row>
    <row r="3560" spans="11:17" x14ac:dyDescent="0.25">
      <c r="K3560" s="246" t="e">
        <f t="shared" si="385"/>
        <v>#VALUE!</v>
      </c>
      <c r="L3560" s="246" t="e">
        <f t="shared" si="386"/>
        <v>#VALUE!</v>
      </c>
      <c r="M3560" s="247" t="e">
        <f t="shared" si="387"/>
        <v>#VALUE!</v>
      </c>
      <c r="N3560" s="246" t="e">
        <f t="shared" si="388"/>
        <v>#VALUE!</v>
      </c>
      <c r="O3560" s="247" t="e">
        <f t="shared" si="389"/>
        <v>#VALUE!</v>
      </c>
      <c r="P3560" s="247">
        <f t="shared" si="390"/>
        <v>0</v>
      </c>
      <c r="Q3560" s="247" t="e">
        <f t="shared" si="391"/>
        <v>#VALUE!</v>
      </c>
    </row>
    <row r="3561" spans="11:17" x14ac:dyDescent="0.25">
      <c r="K3561" s="246" t="e">
        <f t="shared" si="385"/>
        <v>#VALUE!</v>
      </c>
      <c r="L3561" s="246" t="e">
        <f t="shared" si="386"/>
        <v>#VALUE!</v>
      </c>
      <c r="M3561" s="247" t="e">
        <f t="shared" si="387"/>
        <v>#VALUE!</v>
      </c>
      <c r="N3561" s="246" t="e">
        <f t="shared" si="388"/>
        <v>#VALUE!</v>
      </c>
      <c r="O3561" s="247" t="e">
        <f t="shared" si="389"/>
        <v>#VALUE!</v>
      </c>
      <c r="P3561" s="247">
        <f t="shared" si="390"/>
        <v>0</v>
      </c>
      <c r="Q3561" s="247" t="e">
        <f t="shared" si="391"/>
        <v>#VALUE!</v>
      </c>
    </row>
    <row r="3562" spans="11:17" x14ac:dyDescent="0.25">
      <c r="K3562" s="246" t="e">
        <f t="shared" si="385"/>
        <v>#VALUE!</v>
      </c>
      <c r="L3562" s="246" t="e">
        <f t="shared" si="386"/>
        <v>#VALUE!</v>
      </c>
      <c r="M3562" s="247" t="e">
        <f t="shared" si="387"/>
        <v>#VALUE!</v>
      </c>
      <c r="N3562" s="246" t="e">
        <f t="shared" si="388"/>
        <v>#VALUE!</v>
      </c>
      <c r="O3562" s="247" t="e">
        <f t="shared" si="389"/>
        <v>#VALUE!</v>
      </c>
      <c r="P3562" s="247">
        <f t="shared" si="390"/>
        <v>0</v>
      </c>
      <c r="Q3562" s="247" t="e">
        <f t="shared" si="391"/>
        <v>#VALUE!</v>
      </c>
    </row>
    <row r="3563" spans="11:17" x14ac:dyDescent="0.25">
      <c r="K3563" s="246" t="e">
        <f t="shared" si="385"/>
        <v>#VALUE!</v>
      </c>
      <c r="L3563" s="246" t="e">
        <f t="shared" si="386"/>
        <v>#VALUE!</v>
      </c>
      <c r="M3563" s="247" t="e">
        <f t="shared" si="387"/>
        <v>#VALUE!</v>
      </c>
      <c r="N3563" s="246" t="e">
        <f t="shared" si="388"/>
        <v>#VALUE!</v>
      </c>
      <c r="O3563" s="247" t="e">
        <f t="shared" si="389"/>
        <v>#VALUE!</v>
      </c>
      <c r="P3563" s="247">
        <f t="shared" si="390"/>
        <v>0</v>
      </c>
      <c r="Q3563" s="247" t="e">
        <f t="shared" si="391"/>
        <v>#VALUE!</v>
      </c>
    </row>
    <row r="3564" spans="11:17" x14ac:dyDescent="0.25">
      <c r="K3564" s="246" t="e">
        <f t="shared" si="385"/>
        <v>#VALUE!</v>
      </c>
      <c r="L3564" s="246" t="e">
        <f t="shared" si="386"/>
        <v>#VALUE!</v>
      </c>
      <c r="M3564" s="247" t="e">
        <f t="shared" si="387"/>
        <v>#VALUE!</v>
      </c>
      <c r="N3564" s="246" t="e">
        <f t="shared" si="388"/>
        <v>#VALUE!</v>
      </c>
      <c r="O3564" s="247" t="e">
        <f t="shared" si="389"/>
        <v>#VALUE!</v>
      </c>
      <c r="P3564" s="247">
        <f t="shared" si="390"/>
        <v>0</v>
      </c>
      <c r="Q3564" s="247" t="e">
        <f t="shared" si="391"/>
        <v>#VALUE!</v>
      </c>
    </row>
    <row r="3565" spans="11:17" x14ac:dyDescent="0.25">
      <c r="K3565" s="246" t="e">
        <f t="shared" si="385"/>
        <v>#VALUE!</v>
      </c>
      <c r="L3565" s="246" t="e">
        <f t="shared" si="386"/>
        <v>#VALUE!</v>
      </c>
      <c r="M3565" s="247" t="e">
        <f t="shared" si="387"/>
        <v>#VALUE!</v>
      </c>
      <c r="N3565" s="246" t="e">
        <f t="shared" si="388"/>
        <v>#VALUE!</v>
      </c>
      <c r="O3565" s="247" t="e">
        <f t="shared" si="389"/>
        <v>#VALUE!</v>
      </c>
      <c r="P3565" s="247">
        <f t="shared" si="390"/>
        <v>0</v>
      </c>
      <c r="Q3565" s="247" t="e">
        <f t="shared" si="391"/>
        <v>#VALUE!</v>
      </c>
    </row>
    <row r="3566" spans="11:17" x14ac:dyDescent="0.25">
      <c r="K3566" s="246" t="e">
        <f t="shared" si="385"/>
        <v>#VALUE!</v>
      </c>
      <c r="L3566" s="246" t="e">
        <f t="shared" si="386"/>
        <v>#VALUE!</v>
      </c>
      <c r="M3566" s="247" t="e">
        <f t="shared" si="387"/>
        <v>#VALUE!</v>
      </c>
      <c r="N3566" s="246" t="e">
        <f t="shared" si="388"/>
        <v>#VALUE!</v>
      </c>
      <c r="O3566" s="247" t="e">
        <f t="shared" si="389"/>
        <v>#VALUE!</v>
      </c>
      <c r="P3566" s="247">
        <f t="shared" si="390"/>
        <v>0</v>
      </c>
      <c r="Q3566" s="247" t="e">
        <f t="shared" si="391"/>
        <v>#VALUE!</v>
      </c>
    </row>
    <row r="3567" spans="11:17" x14ac:dyDescent="0.25">
      <c r="K3567" s="246" t="e">
        <f t="shared" si="385"/>
        <v>#VALUE!</v>
      </c>
      <c r="L3567" s="246" t="e">
        <f t="shared" si="386"/>
        <v>#VALUE!</v>
      </c>
      <c r="M3567" s="247" t="e">
        <f t="shared" si="387"/>
        <v>#VALUE!</v>
      </c>
      <c r="N3567" s="246" t="e">
        <f t="shared" si="388"/>
        <v>#VALUE!</v>
      </c>
      <c r="O3567" s="247" t="e">
        <f t="shared" si="389"/>
        <v>#VALUE!</v>
      </c>
      <c r="P3567" s="247">
        <f t="shared" si="390"/>
        <v>0</v>
      </c>
      <c r="Q3567" s="247" t="e">
        <f t="shared" si="391"/>
        <v>#VALUE!</v>
      </c>
    </row>
    <row r="3568" spans="11:17" x14ac:dyDescent="0.25">
      <c r="K3568" s="246" t="e">
        <f t="shared" si="385"/>
        <v>#VALUE!</v>
      </c>
      <c r="L3568" s="246" t="e">
        <f t="shared" si="386"/>
        <v>#VALUE!</v>
      </c>
      <c r="M3568" s="247" t="e">
        <f t="shared" si="387"/>
        <v>#VALUE!</v>
      </c>
      <c r="N3568" s="246" t="e">
        <f t="shared" si="388"/>
        <v>#VALUE!</v>
      </c>
      <c r="O3568" s="247" t="e">
        <f t="shared" si="389"/>
        <v>#VALUE!</v>
      </c>
      <c r="P3568" s="247">
        <f t="shared" si="390"/>
        <v>0</v>
      </c>
      <c r="Q3568" s="247" t="e">
        <f t="shared" si="391"/>
        <v>#VALUE!</v>
      </c>
    </row>
    <row r="3569" spans="11:17" x14ac:dyDescent="0.25">
      <c r="K3569" s="246" t="e">
        <f t="shared" si="385"/>
        <v>#VALUE!</v>
      </c>
      <c r="L3569" s="246" t="e">
        <f t="shared" si="386"/>
        <v>#VALUE!</v>
      </c>
      <c r="M3569" s="247" t="e">
        <f t="shared" si="387"/>
        <v>#VALUE!</v>
      </c>
      <c r="N3569" s="246" t="e">
        <f t="shared" si="388"/>
        <v>#VALUE!</v>
      </c>
      <c r="O3569" s="247" t="e">
        <f t="shared" si="389"/>
        <v>#VALUE!</v>
      </c>
      <c r="P3569" s="247">
        <f t="shared" si="390"/>
        <v>0</v>
      </c>
      <c r="Q3569" s="247" t="e">
        <f t="shared" si="391"/>
        <v>#VALUE!</v>
      </c>
    </row>
    <row r="3570" spans="11:17" x14ac:dyDescent="0.25">
      <c r="K3570" s="246" t="e">
        <f t="shared" ref="K3570:K3633" si="392">DATE(VALUE(LEFT(A3570,4)),VALUE(MID(A3570,5,2)),VALUE(RIGHT(A3570,2)))</f>
        <v>#VALUE!</v>
      </c>
      <c r="L3570" s="246" t="e">
        <f t="shared" ref="L3570:L3633" si="393">DATEVALUE(LEFT(F3570,10))</f>
        <v>#VALUE!</v>
      </c>
      <c r="M3570" s="247" t="e">
        <f t="shared" ref="M3570:M3633" si="394">TIMEVALUE(MID(F3570,12,8))</f>
        <v>#VALUE!</v>
      </c>
      <c r="N3570" s="246" t="e">
        <f t="shared" ref="N3570:N3633" si="395">DATEVALUE(LEFT(G3570,10))</f>
        <v>#VALUE!</v>
      </c>
      <c r="O3570" s="247" t="e">
        <f t="shared" ref="O3570:O3633" si="396">TIMEVALUE(MID(G3570,12,8))</f>
        <v>#VALUE!</v>
      </c>
      <c r="P3570" s="247">
        <f t="shared" si="390"/>
        <v>0</v>
      </c>
      <c r="Q3570" s="247" t="e">
        <f t="shared" si="391"/>
        <v>#VALUE!</v>
      </c>
    </row>
    <row r="3571" spans="11:17" x14ac:dyDescent="0.25">
      <c r="K3571" s="246" t="e">
        <f t="shared" si="392"/>
        <v>#VALUE!</v>
      </c>
      <c r="L3571" s="246" t="e">
        <f t="shared" si="393"/>
        <v>#VALUE!</v>
      </c>
      <c r="M3571" s="247" t="e">
        <f t="shared" si="394"/>
        <v>#VALUE!</v>
      </c>
      <c r="N3571" s="246" t="e">
        <f t="shared" si="395"/>
        <v>#VALUE!</v>
      </c>
      <c r="O3571" s="247" t="e">
        <f t="shared" si="396"/>
        <v>#VALUE!</v>
      </c>
      <c r="P3571" s="247">
        <f t="shared" si="390"/>
        <v>0</v>
      </c>
      <c r="Q3571" s="247" t="e">
        <f t="shared" si="391"/>
        <v>#VALUE!</v>
      </c>
    </row>
    <row r="3572" spans="11:17" x14ac:dyDescent="0.25">
      <c r="K3572" s="246" t="e">
        <f t="shared" si="392"/>
        <v>#VALUE!</v>
      </c>
      <c r="L3572" s="246" t="e">
        <f t="shared" si="393"/>
        <v>#VALUE!</v>
      </c>
      <c r="M3572" s="247" t="e">
        <f t="shared" si="394"/>
        <v>#VALUE!</v>
      </c>
      <c r="N3572" s="246" t="e">
        <f t="shared" si="395"/>
        <v>#VALUE!</v>
      </c>
      <c r="O3572" s="247" t="e">
        <f t="shared" si="396"/>
        <v>#VALUE!</v>
      </c>
      <c r="P3572" s="247">
        <f t="shared" si="390"/>
        <v>0</v>
      </c>
      <c r="Q3572" s="247" t="e">
        <f t="shared" si="391"/>
        <v>#VALUE!</v>
      </c>
    </row>
    <row r="3573" spans="11:17" x14ac:dyDescent="0.25">
      <c r="K3573" s="246" t="e">
        <f t="shared" si="392"/>
        <v>#VALUE!</v>
      </c>
      <c r="L3573" s="246" t="e">
        <f t="shared" si="393"/>
        <v>#VALUE!</v>
      </c>
      <c r="M3573" s="247" t="e">
        <f t="shared" si="394"/>
        <v>#VALUE!</v>
      </c>
      <c r="N3573" s="246" t="e">
        <f t="shared" si="395"/>
        <v>#VALUE!</v>
      </c>
      <c r="O3573" s="247" t="e">
        <f t="shared" si="396"/>
        <v>#VALUE!</v>
      </c>
      <c r="P3573" s="247">
        <f t="shared" si="390"/>
        <v>0</v>
      </c>
      <c r="Q3573" s="247" t="e">
        <f t="shared" si="391"/>
        <v>#VALUE!</v>
      </c>
    </row>
    <row r="3574" spans="11:17" x14ac:dyDescent="0.25">
      <c r="K3574" s="246" t="e">
        <f t="shared" si="392"/>
        <v>#VALUE!</v>
      </c>
      <c r="L3574" s="246" t="e">
        <f t="shared" si="393"/>
        <v>#VALUE!</v>
      </c>
      <c r="M3574" s="247" t="e">
        <f t="shared" si="394"/>
        <v>#VALUE!</v>
      </c>
      <c r="N3574" s="246" t="e">
        <f t="shared" si="395"/>
        <v>#VALUE!</v>
      </c>
      <c r="O3574" s="247" t="e">
        <f t="shared" si="396"/>
        <v>#VALUE!</v>
      </c>
      <c r="P3574" s="247">
        <f t="shared" si="390"/>
        <v>0</v>
      </c>
      <c r="Q3574" s="247" t="e">
        <f t="shared" si="391"/>
        <v>#VALUE!</v>
      </c>
    </row>
    <row r="3575" spans="11:17" x14ac:dyDescent="0.25">
      <c r="K3575" s="246" t="e">
        <f t="shared" si="392"/>
        <v>#VALUE!</v>
      </c>
      <c r="L3575" s="246" t="e">
        <f t="shared" si="393"/>
        <v>#VALUE!</v>
      </c>
      <c r="M3575" s="247" t="e">
        <f t="shared" si="394"/>
        <v>#VALUE!</v>
      </c>
      <c r="N3575" s="246" t="e">
        <f t="shared" si="395"/>
        <v>#VALUE!</v>
      </c>
      <c r="O3575" s="247" t="e">
        <f t="shared" si="396"/>
        <v>#VALUE!</v>
      </c>
      <c r="P3575" s="247">
        <f t="shared" si="390"/>
        <v>0</v>
      </c>
      <c r="Q3575" s="247" t="e">
        <f t="shared" si="391"/>
        <v>#VALUE!</v>
      </c>
    </row>
    <row r="3576" spans="11:17" x14ac:dyDescent="0.25">
      <c r="K3576" s="246" t="e">
        <f t="shared" si="392"/>
        <v>#VALUE!</v>
      </c>
      <c r="L3576" s="246" t="e">
        <f t="shared" si="393"/>
        <v>#VALUE!</v>
      </c>
      <c r="M3576" s="247" t="e">
        <f t="shared" si="394"/>
        <v>#VALUE!</v>
      </c>
      <c r="N3576" s="246" t="e">
        <f t="shared" si="395"/>
        <v>#VALUE!</v>
      </c>
      <c r="O3576" s="247" t="e">
        <f t="shared" si="396"/>
        <v>#VALUE!</v>
      </c>
      <c r="P3576" s="247">
        <f t="shared" si="390"/>
        <v>0</v>
      </c>
      <c r="Q3576" s="247" t="e">
        <f t="shared" si="391"/>
        <v>#VALUE!</v>
      </c>
    </row>
    <row r="3577" spans="11:17" x14ac:dyDescent="0.25">
      <c r="K3577" s="246" t="e">
        <f t="shared" si="392"/>
        <v>#VALUE!</v>
      </c>
      <c r="L3577" s="246" t="e">
        <f t="shared" si="393"/>
        <v>#VALUE!</v>
      </c>
      <c r="M3577" s="247" t="e">
        <f t="shared" si="394"/>
        <v>#VALUE!</v>
      </c>
      <c r="N3577" s="246" t="e">
        <f t="shared" si="395"/>
        <v>#VALUE!</v>
      </c>
      <c r="O3577" s="247" t="e">
        <f t="shared" si="396"/>
        <v>#VALUE!</v>
      </c>
      <c r="P3577" s="247">
        <f t="shared" si="390"/>
        <v>0</v>
      </c>
      <c r="Q3577" s="247" t="e">
        <f t="shared" si="391"/>
        <v>#VALUE!</v>
      </c>
    </row>
    <row r="3578" spans="11:17" x14ac:dyDescent="0.25">
      <c r="K3578" s="246" t="e">
        <f t="shared" si="392"/>
        <v>#VALUE!</v>
      </c>
      <c r="L3578" s="246" t="e">
        <f t="shared" si="393"/>
        <v>#VALUE!</v>
      </c>
      <c r="M3578" s="247" t="e">
        <f t="shared" si="394"/>
        <v>#VALUE!</v>
      </c>
      <c r="N3578" s="246" t="e">
        <f t="shared" si="395"/>
        <v>#VALUE!</v>
      </c>
      <c r="O3578" s="247" t="e">
        <f t="shared" si="396"/>
        <v>#VALUE!</v>
      </c>
      <c r="P3578" s="247">
        <f t="shared" si="390"/>
        <v>0</v>
      </c>
      <c r="Q3578" s="247" t="e">
        <f t="shared" si="391"/>
        <v>#VALUE!</v>
      </c>
    </row>
    <row r="3579" spans="11:17" x14ac:dyDescent="0.25">
      <c r="K3579" s="246" t="e">
        <f t="shared" si="392"/>
        <v>#VALUE!</v>
      </c>
      <c r="L3579" s="246" t="e">
        <f t="shared" si="393"/>
        <v>#VALUE!</v>
      </c>
      <c r="M3579" s="247" t="e">
        <f t="shared" si="394"/>
        <v>#VALUE!</v>
      </c>
      <c r="N3579" s="246" t="e">
        <f t="shared" si="395"/>
        <v>#VALUE!</v>
      </c>
      <c r="O3579" s="247" t="e">
        <f t="shared" si="396"/>
        <v>#VALUE!</v>
      </c>
      <c r="P3579" s="247">
        <f t="shared" si="390"/>
        <v>0</v>
      </c>
      <c r="Q3579" s="247" t="e">
        <f t="shared" si="391"/>
        <v>#VALUE!</v>
      </c>
    </row>
    <row r="3580" spans="11:17" x14ac:dyDescent="0.25">
      <c r="K3580" s="246" t="e">
        <f t="shared" si="392"/>
        <v>#VALUE!</v>
      </c>
      <c r="L3580" s="246" t="e">
        <f t="shared" si="393"/>
        <v>#VALUE!</v>
      </c>
      <c r="M3580" s="247" t="e">
        <f t="shared" si="394"/>
        <v>#VALUE!</v>
      </c>
      <c r="N3580" s="246" t="e">
        <f t="shared" si="395"/>
        <v>#VALUE!</v>
      </c>
      <c r="O3580" s="247" t="e">
        <f t="shared" si="396"/>
        <v>#VALUE!</v>
      </c>
      <c r="P3580" s="247">
        <f t="shared" si="390"/>
        <v>0</v>
      </c>
      <c r="Q3580" s="247" t="e">
        <f t="shared" si="391"/>
        <v>#VALUE!</v>
      </c>
    </row>
    <row r="3581" spans="11:17" x14ac:dyDescent="0.25">
      <c r="K3581" s="246" t="e">
        <f t="shared" si="392"/>
        <v>#VALUE!</v>
      </c>
      <c r="L3581" s="246" t="e">
        <f t="shared" si="393"/>
        <v>#VALUE!</v>
      </c>
      <c r="M3581" s="247" t="e">
        <f t="shared" si="394"/>
        <v>#VALUE!</v>
      </c>
      <c r="N3581" s="246" t="e">
        <f t="shared" si="395"/>
        <v>#VALUE!</v>
      </c>
      <c r="O3581" s="247" t="e">
        <f t="shared" si="396"/>
        <v>#VALUE!</v>
      </c>
      <c r="P3581" s="247">
        <f t="shared" si="390"/>
        <v>0</v>
      </c>
      <c r="Q3581" s="247" t="e">
        <f t="shared" si="391"/>
        <v>#VALUE!</v>
      </c>
    </row>
    <row r="3582" spans="11:17" x14ac:dyDescent="0.25">
      <c r="K3582" s="246" t="e">
        <f t="shared" si="392"/>
        <v>#VALUE!</v>
      </c>
      <c r="L3582" s="246" t="e">
        <f t="shared" si="393"/>
        <v>#VALUE!</v>
      </c>
      <c r="M3582" s="247" t="e">
        <f t="shared" si="394"/>
        <v>#VALUE!</v>
      </c>
      <c r="N3582" s="246" t="e">
        <f t="shared" si="395"/>
        <v>#VALUE!</v>
      </c>
      <c r="O3582" s="247" t="e">
        <f t="shared" si="396"/>
        <v>#VALUE!</v>
      </c>
      <c r="P3582" s="247">
        <f t="shared" si="390"/>
        <v>0</v>
      </c>
      <c r="Q3582" s="247" t="e">
        <f t="shared" si="391"/>
        <v>#VALUE!</v>
      </c>
    </row>
    <row r="3583" spans="11:17" x14ac:dyDescent="0.25">
      <c r="K3583" s="246" t="e">
        <f t="shared" si="392"/>
        <v>#VALUE!</v>
      </c>
      <c r="L3583" s="246" t="e">
        <f t="shared" si="393"/>
        <v>#VALUE!</v>
      </c>
      <c r="M3583" s="247" t="e">
        <f t="shared" si="394"/>
        <v>#VALUE!</v>
      </c>
      <c r="N3583" s="246" t="e">
        <f t="shared" si="395"/>
        <v>#VALUE!</v>
      </c>
      <c r="O3583" s="247" t="e">
        <f t="shared" si="396"/>
        <v>#VALUE!</v>
      </c>
      <c r="P3583" s="247">
        <f t="shared" si="390"/>
        <v>0</v>
      </c>
      <c r="Q3583" s="247" t="e">
        <f t="shared" si="391"/>
        <v>#VALUE!</v>
      </c>
    </row>
    <row r="3584" spans="11:17" x14ac:dyDescent="0.25">
      <c r="K3584" s="246" t="e">
        <f t="shared" si="392"/>
        <v>#VALUE!</v>
      </c>
      <c r="L3584" s="246" t="e">
        <f t="shared" si="393"/>
        <v>#VALUE!</v>
      </c>
      <c r="M3584" s="247" t="e">
        <f t="shared" si="394"/>
        <v>#VALUE!</v>
      </c>
      <c r="N3584" s="246" t="e">
        <f t="shared" si="395"/>
        <v>#VALUE!</v>
      </c>
      <c r="O3584" s="247" t="e">
        <f t="shared" si="396"/>
        <v>#VALUE!</v>
      </c>
      <c r="P3584" s="247">
        <f t="shared" si="390"/>
        <v>0</v>
      </c>
      <c r="Q3584" s="247" t="e">
        <f t="shared" si="391"/>
        <v>#VALUE!</v>
      </c>
    </row>
    <row r="3585" spans="11:17" x14ac:dyDescent="0.25">
      <c r="K3585" s="246" t="e">
        <f t="shared" si="392"/>
        <v>#VALUE!</v>
      </c>
      <c r="L3585" s="246" t="e">
        <f t="shared" si="393"/>
        <v>#VALUE!</v>
      </c>
      <c r="M3585" s="247" t="e">
        <f t="shared" si="394"/>
        <v>#VALUE!</v>
      </c>
      <c r="N3585" s="246" t="e">
        <f t="shared" si="395"/>
        <v>#VALUE!</v>
      </c>
      <c r="O3585" s="247" t="e">
        <f t="shared" si="396"/>
        <v>#VALUE!</v>
      </c>
      <c r="P3585" s="247">
        <f t="shared" si="390"/>
        <v>0</v>
      </c>
      <c r="Q3585" s="247" t="e">
        <f t="shared" si="391"/>
        <v>#VALUE!</v>
      </c>
    </row>
    <row r="3586" spans="11:17" x14ac:dyDescent="0.25">
      <c r="K3586" s="246" t="e">
        <f t="shared" si="392"/>
        <v>#VALUE!</v>
      </c>
      <c r="L3586" s="246" t="e">
        <f t="shared" si="393"/>
        <v>#VALUE!</v>
      </c>
      <c r="M3586" s="247" t="e">
        <f t="shared" si="394"/>
        <v>#VALUE!</v>
      </c>
      <c r="N3586" s="246" t="e">
        <f t="shared" si="395"/>
        <v>#VALUE!</v>
      </c>
      <c r="O3586" s="247" t="e">
        <f t="shared" si="396"/>
        <v>#VALUE!</v>
      </c>
      <c r="P3586" s="247">
        <f t="shared" ref="P3586:P3649" si="397">IFERROR(_xlfn.MINIFS($M:$M,$E:$E,$E3586,$K:$K,$K3586,$M:$M,"&gt;"&amp;$O3586),"")</f>
        <v>0</v>
      </c>
      <c r="Q3586" s="247" t="e">
        <f t="shared" ref="Q3586:Q3649" si="398">IF($P3586="","",$P3586-$O3586)</f>
        <v>#VALUE!</v>
      </c>
    </row>
    <row r="3587" spans="11:17" x14ac:dyDescent="0.25">
      <c r="K3587" s="246" t="e">
        <f t="shared" si="392"/>
        <v>#VALUE!</v>
      </c>
      <c r="L3587" s="246" t="e">
        <f t="shared" si="393"/>
        <v>#VALUE!</v>
      </c>
      <c r="M3587" s="247" t="e">
        <f t="shared" si="394"/>
        <v>#VALUE!</v>
      </c>
      <c r="N3587" s="246" t="e">
        <f t="shared" si="395"/>
        <v>#VALUE!</v>
      </c>
      <c r="O3587" s="247" t="e">
        <f t="shared" si="396"/>
        <v>#VALUE!</v>
      </c>
      <c r="P3587" s="247">
        <f t="shared" si="397"/>
        <v>0</v>
      </c>
      <c r="Q3587" s="247" t="e">
        <f t="shared" si="398"/>
        <v>#VALUE!</v>
      </c>
    </row>
    <row r="3588" spans="11:17" x14ac:dyDescent="0.25">
      <c r="K3588" s="246" t="e">
        <f t="shared" si="392"/>
        <v>#VALUE!</v>
      </c>
      <c r="L3588" s="246" t="e">
        <f t="shared" si="393"/>
        <v>#VALUE!</v>
      </c>
      <c r="M3588" s="247" t="e">
        <f t="shared" si="394"/>
        <v>#VALUE!</v>
      </c>
      <c r="N3588" s="246" t="e">
        <f t="shared" si="395"/>
        <v>#VALUE!</v>
      </c>
      <c r="O3588" s="247" t="e">
        <f t="shared" si="396"/>
        <v>#VALUE!</v>
      </c>
      <c r="P3588" s="247">
        <f t="shared" si="397"/>
        <v>0</v>
      </c>
      <c r="Q3588" s="247" t="e">
        <f t="shared" si="398"/>
        <v>#VALUE!</v>
      </c>
    </row>
    <row r="3589" spans="11:17" x14ac:dyDescent="0.25">
      <c r="K3589" s="246" t="e">
        <f t="shared" si="392"/>
        <v>#VALUE!</v>
      </c>
      <c r="L3589" s="246" t="e">
        <f t="shared" si="393"/>
        <v>#VALUE!</v>
      </c>
      <c r="M3589" s="247" t="e">
        <f t="shared" si="394"/>
        <v>#VALUE!</v>
      </c>
      <c r="N3589" s="246" t="e">
        <f t="shared" si="395"/>
        <v>#VALUE!</v>
      </c>
      <c r="O3589" s="247" t="e">
        <f t="shared" si="396"/>
        <v>#VALUE!</v>
      </c>
      <c r="P3589" s="247">
        <f t="shared" si="397"/>
        <v>0</v>
      </c>
      <c r="Q3589" s="247" t="e">
        <f t="shared" si="398"/>
        <v>#VALUE!</v>
      </c>
    </row>
    <row r="3590" spans="11:17" x14ac:dyDescent="0.25">
      <c r="K3590" s="246" t="e">
        <f t="shared" si="392"/>
        <v>#VALUE!</v>
      </c>
      <c r="L3590" s="246" t="e">
        <f t="shared" si="393"/>
        <v>#VALUE!</v>
      </c>
      <c r="M3590" s="247" t="e">
        <f t="shared" si="394"/>
        <v>#VALUE!</v>
      </c>
      <c r="N3590" s="246" t="e">
        <f t="shared" si="395"/>
        <v>#VALUE!</v>
      </c>
      <c r="O3590" s="247" t="e">
        <f t="shared" si="396"/>
        <v>#VALUE!</v>
      </c>
      <c r="P3590" s="247">
        <f t="shared" si="397"/>
        <v>0</v>
      </c>
      <c r="Q3590" s="247" t="e">
        <f t="shared" si="398"/>
        <v>#VALUE!</v>
      </c>
    </row>
    <row r="3591" spans="11:17" x14ac:dyDescent="0.25">
      <c r="K3591" s="246" t="e">
        <f t="shared" si="392"/>
        <v>#VALUE!</v>
      </c>
      <c r="L3591" s="246" t="e">
        <f t="shared" si="393"/>
        <v>#VALUE!</v>
      </c>
      <c r="M3591" s="247" t="e">
        <f t="shared" si="394"/>
        <v>#VALUE!</v>
      </c>
      <c r="N3591" s="246" t="e">
        <f t="shared" si="395"/>
        <v>#VALUE!</v>
      </c>
      <c r="O3591" s="247" t="e">
        <f t="shared" si="396"/>
        <v>#VALUE!</v>
      </c>
      <c r="P3591" s="247">
        <f t="shared" si="397"/>
        <v>0</v>
      </c>
      <c r="Q3591" s="247" t="e">
        <f t="shared" si="398"/>
        <v>#VALUE!</v>
      </c>
    </row>
    <row r="3592" spans="11:17" x14ac:dyDescent="0.25">
      <c r="K3592" s="246" t="e">
        <f t="shared" si="392"/>
        <v>#VALUE!</v>
      </c>
      <c r="L3592" s="246" t="e">
        <f t="shared" si="393"/>
        <v>#VALUE!</v>
      </c>
      <c r="M3592" s="247" t="e">
        <f t="shared" si="394"/>
        <v>#VALUE!</v>
      </c>
      <c r="N3592" s="246" t="e">
        <f t="shared" si="395"/>
        <v>#VALUE!</v>
      </c>
      <c r="O3592" s="247" t="e">
        <f t="shared" si="396"/>
        <v>#VALUE!</v>
      </c>
      <c r="P3592" s="247">
        <f t="shared" si="397"/>
        <v>0</v>
      </c>
      <c r="Q3592" s="247" t="e">
        <f t="shared" si="398"/>
        <v>#VALUE!</v>
      </c>
    </row>
    <row r="3593" spans="11:17" x14ac:dyDescent="0.25">
      <c r="K3593" s="246" t="e">
        <f t="shared" si="392"/>
        <v>#VALUE!</v>
      </c>
      <c r="L3593" s="246" t="e">
        <f t="shared" si="393"/>
        <v>#VALUE!</v>
      </c>
      <c r="M3593" s="247" t="e">
        <f t="shared" si="394"/>
        <v>#VALUE!</v>
      </c>
      <c r="N3593" s="246" t="e">
        <f t="shared" si="395"/>
        <v>#VALUE!</v>
      </c>
      <c r="O3593" s="247" t="e">
        <f t="shared" si="396"/>
        <v>#VALUE!</v>
      </c>
      <c r="P3593" s="247">
        <f t="shared" si="397"/>
        <v>0</v>
      </c>
      <c r="Q3593" s="247" t="e">
        <f t="shared" si="398"/>
        <v>#VALUE!</v>
      </c>
    </row>
    <row r="3594" spans="11:17" x14ac:dyDescent="0.25">
      <c r="K3594" s="246" t="e">
        <f t="shared" si="392"/>
        <v>#VALUE!</v>
      </c>
      <c r="L3594" s="246" t="e">
        <f t="shared" si="393"/>
        <v>#VALUE!</v>
      </c>
      <c r="M3594" s="247" t="e">
        <f t="shared" si="394"/>
        <v>#VALUE!</v>
      </c>
      <c r="N3594" s="246" t="e">
        <f t="shared" si="395"/>
        <v>#VALUE!</v>
      </c>
      <c r="O3594" s="247" t="e">
        <f t="shared" si="396"/>
        <v>#VALUE!</v>
      </c>
      <c r="P3594" s="247">
        <f t="shared" si="397"/>
        <v>0</v>
      </c>
      <c r="Q3594" s="247" t="e">
        <f t="shared" si="398"/>
        <v>#VALUE!</v>
      </c>
    </row>
    <row r="3595" spans="11:17" x14ac:dyDescent="0.25">
      <c r="K3595" s="246" t="e">
        <f t="shared" si="392"/>
        <v>#VALUE!</v>
      </c>
      <c r="L3595" s="246" t="e">
        <f t="shared" si="393"/>
        <v>#VALUE!</v>
      </c>
      <c r="M3595" s="247" t="e">
        <f t="shared" si="394"/>
        <v>#VALUE!</v>
      </c>
      <c r="N3595" s="246" t="e">
        <f t="shared" si="395"/>
        <v>#VALUE!</v>
      </c>
      <c r="O3595" s="247" t="e">
        <f t="shared" si="396"/>
        <v>#VALUE!</v>
      </c>
      <c r="P3595" s="247">
        <f t="shared" si="397"/>
        <v>0</v>
      </c>
      <c r="Q3595" s="247" t="e">
        <f t="shared" si="398"/>
        <v>#VALUE!</v>
      </c>
    </row>
    <row r="3596" spans="11:17" x14ac:dyDescent="0.25">
      <c r="K3596" s="246" t="e">
        <f t="shared" si="392"/>
        <v>#VALUE!</v>
      </c>
      <c r="L3596" s="246" t="e">
        <f t="shared" si="393"/>
        <v>#VALUE!</v>
      </c>
      <c r="M3596" s="247" t="e">
        <f t="shared" si="394"/>
        <v>#VALUE!</v>
      </c>
      <c r="N3596" s="246" t="e">
        <f t="shared" si="395"/>
        <v>#VALUE!</v>
      </c>
      <c r="O3596" s="247" t="e">
        <f t="shared" si="396"/>
        <v>#VALUE!</v>
      </c>
      <c r="P3596" s="247">
        <f t="shared" si="397"/>
        <v>0</v>
      </c>
      <c r="Q3596" s="247" t="e">
        <f t="shared" si="398"/>
        <v>#VALUE!</v>
      </c>
    </row>
    <row r="3597" spans="11:17" x14ac:dyDescent="0.25">
      <c r="K3597" s="246" t="e">
        <f t="shared" si="392"/>
        <v>#VALUE!</v>
      </c>
      <c r="L3597" s="246" t="e">
        <f t="shared" si="393"/>
        <v>#VALUE!</v>
      </c>
      <c r="M3597" s="247" t="e">
        <f t="shared" si="394"/>
        <v>#VALUE!</v>
      </c>
      <c r="N3597" s="246" t="e">
        <f t="shared" si="395"/>
        <v>#VALUE!</v>
      </c>
      <c r="O3597" s="247" t="e">
        <f t="shared" si="396"/>
        <v>#VALUE!</v>
      </c>
      <c r="P3597" s="247">
        <f t="shared" si="397"/>
        <v>0</v>
      </c>
      <c r="Q3597" s="247" t="e">
        <f t="shared" si="398"/>
        <v>#VALUE!</v>
      </c>
    </row>
    <row r="3598" spans="11:17" x14ac:dyDescent="0.25">
      <c r="K3598" s="246" t="e">
        <f t="shared" si="392"/>
        <v>#VALUE!</v>
      </c>
      <c r="L3598" s="246" t="e">
        <f t="shared" si="393"/>
        <v>#VALUE!</v>
      </c>
      <c r="M3598" s="247" t="e">
        <f t="shared" si="394"/>
        <v>#VALUE!</v>
      </c>
      <c r="N3598" s="246" t="e">
        <f t="shared" si="395"/>
        <v>#VALUE!</v>
      </c>
      <c r="O3598" s="247" t="e">
        <f t="shared" si="396"/>
        <v>#VALUE!</v>
      </c>
      <c r="P3598" s="247">
        <f t="shared" si="397"/>
        <v>0</v>
      </c>
      <c r="Q3598" s="247" t="e">
        <f t="shared" si="398"/>
        <v>#VALUE!</v>
      </c>
    </row>
    <row r="3599" spans="11:17" x14ac:dyDescent="0.25">
      <c r="K3599" s="246" t="e">
        <f t="shared" si="392"/>
        <v>#VALUE!</v>
      </c>
      <c r="L3599" s="246" t="e">
        <f t="shared" si="393"/>
        <v>#VALUE!</v>
      </c>
      <c r="M3599" s="247" t="e">
        <f t="shared" si="394"/>
        <v>#VALUE!</v>
      </c>
      <c r="N3599" s="246" t="e">
        <f t="shared" si="395"/>
        <v>#VALUE!</v>
      </c>
      <c r="O3599" s="247" t="e">
        <f t="shared" si="396"/>
        <v>#VALUE!</v>
      </c>
      <c r="P3599" s="247">
        <f t="shared" si="397"/>
        <v>0</v>
      </c>
      <c r="Q3599" s="247" t="e">
        <f t="shared" si="398"/>
        <v>#VALUE!</v>
      </c>
    </row>
    <row r="3600" spans="11:17" x14ac:dyDescent="0.25">
      <c r="K3600" s="246" t="e">
        <f t="shared" si="392"/>
        <v>#VALUE!</v>
      </c>
      <c r="L3600" s="246" t="e">
        <f t="shared" si="393"/>
        <v>#VALUE!</v>
      </c>
      <c r="M3600" s="247" t="e">
        <f t="shared" si="394"/>
        <v>#VALUE!</v>
      </c>
      <c r="N3600" s="246" t="e">
        <f t="shared" si="395"/>
        <v>#VALUE!</v>
      </c>
      <c r="O3600" s="247" t="e">
        <f t="shared" si="396"/>
        <v>#VALUE!</v>
      </c>
      <c r="P3600" s="247">
        <f t="shared" si="397"/>
        <v>0</v>
      </c>
      <c r="Q3600" s="247" t="e">
        <f t="shared" si="398"/>
        <v>#VALUE!</v>
      </c>
    </row>
    <row r="3601" spans="11:17" x14ac:dyDescent="0.25">
      <c r="K3601" s="246" t="e">
        <f t="shared" si="392"/>
        <v>#VALUE!</v>
      </c>
      <c r="L3601" s="246" t="e">
        <f t="shared" si="393"/>
        <v>#VALUE!</v>
      </c>
      <c r="M3601" s="247" t="e">
        <f t="shared" si="394"/>
        <v>#VALUE!</v>
      </c>
      <c r="N3601" s="246" t="e">
        <f t="shared" si="395"/>
        <v>#VALUE!</v>
      </c>
      <c r="O3601" s="247" t="e">
        <f t="shared" si="396"/>
        <v>#VALUE!</v>
      </c>
      <c r="P3601" s="247">
        <f t="shared" si="397"/>
        <v>0</v>
      </c>
      <c r="Q3601" s="247" t="e">
        <f t="shared" si="398"/>
        <v>#VALUE!</v>
      </c>
    </row>
    <row r="3602" spans="11:17" x14ac:dyDescent="0.25">
      <c r="K3602" s="246" t="e">
        <f t="shared" si="392"/>
        <v>#VALUE!</v>
      </c>
      <c r="L3602" s="246" t="e">
        <f t="shared" si="393"/>
        <v>#VALUE!</v>
      </c>
      <c r="M3602" s="247" t="e">
        <f t="shared" si="394"/>
        <v>#VALUE!</v>
      </c>
      <c r="N3602" s="246" t="e">
        <f t="shared" si="395"/>
        <v>#VALUE!</v>
      </c>
      <c r="O3602" s="247" t="e">
        <f t="shared" si="396"/>
        <v>#VALUE!</v>
      </c>
      <c r="P3602" s="247">
        <f t="shared" si="397"/>
        <v>0</v>
      </c>
      <c r="Q3602" s="247" t="e">
        <f t="shared" si="398"/>
        <v>#VALUE!</v>
      </c>
    </row>
    <row r="3603" spans="11:17" x14ac:dyDescent="0.25">
      <c r="K3603" s="246" t="e">
        <f t="shared" si="392"/>
        <v>#VALUE!</v>
      </c>
      <c r="L3603" s="246" t="e">
        <f t="shared" si="393"/>
        <v>#VALUE!</v>
      </c>
      <c r="M3603" s="247" t="e">
        <f t="shared" si="394"/>
        <v>#VALUE!</v>
      </c>
      <c r="N3603" s="246" t="e">
        <f t="shared" si="395"/>
        <v>#VALUE!</v>
      </c>
      <c r="O3603" s="247" t="e">
        <f t="shared" si="396"/>
        <v>#VALUE!</v>
      </c>
      <c r="P3603" s="247">
        <f t="shared" si="397"/>
        <v>0</v>
      </c>
      <c r="Q3603" s="247" t="e">
        <f t="shared" si="398"/>
        <v>#VALUE!</v>
      </c>
    </row>
    <row r="3604" spans="11:17" x14ac:dyDescent="0.25">
      <c r="K3604" s="246" t="e">
        <f t="shared" si="392"/>
        <v>#VALUE!</v>
      </c>
      <c r="L3604" s="246" t="e">
        <f t="shared" si="393"/>
        <v>#VALUE!</v>
      </c>
      <c r="M3604" s="247" t="e">
        <f t="shared" si="394"/>
        <v>#VALUE!</v>
      </c>
      <c r="N3604" s="246" t="e">
        <f t="shared" si="395"/>
        <v>#VALUE!</v>
      </c>
      <c r="O3604" s="247" t="e">
        <f t="shared" si="396"/>
        <v>#VALUE!</v>
      </c>
      <c r="P3604" s="247">
        <f t="shared" si="397"/>
        <v>0</v>
      </c>
      <c r="Q3604" s="247" t="e">
        <f t="shared" si="398"/>
        <v>#VALUE!</v>
      </c>
    </row>
    <row r="3605" spans="11:17" x14ac:dyDescent="0.25">
      <c r="K3605" s="246" t="e">
        <f t="shared" si="392"/>
        <v>#VALUE!</v>
      </c>
      <c r="L3605" s="246" t="e">
        <f t="shared" si="393"/>
        <v>#VALUE!</v>
      </c>
      <c r="M3605" s="247" t="e">
        <f t="shared" si="394"/>
        <v>#VALUE!</v>
      </c>
      <c r="N3605" s="246" t="e">
        <f t="shared" si="395"/>
        <v>#VALUE!</v>
      </c>
      <c r="O3605" s="247" t="e">
        <f t="shared" si="396"/>
        <v>#VALUE!</v>
      </c>
      <c r="P3605" s="247">
        <f t="shared" si="397"/>
        <v>0</v>
      </c>
      <c r="Q3605" s="247" t="e">
        <f t="shared" si="398"/>
        <v>#VALUE!</v>
      </c>
    </row>
    <row r="3606" spans="11:17" x14ac:dyDescent="0.25">
      <c r="K3606" s="246" t="e">
        <f t="shared" si="392"/>
        <v>#VALUE!</v>
      </c>
      <c r="L3606" s="246" t="e">
        <f t="shared" si="393"/>
        <v>#VALUE!</v>
      </c>
      <c r="M3606" s="247" t="e">
        <f t="shared" si="394"/>
        <v>#VALUE!</v>
      </c>
      <c r="N3606" s="246" t="e">
        <f t="shared" si="395"/>
        <v>#VALUE!</v>
      </c>
      <c r="O3606" s="247" t="e">
        <f t="shared" si="396"/>
        <v>#VALUE!</v>
      </c>
      <c r="P3606" s="247">
        <f t="shared" si="397"/>
        <v>0</v>
      </c>
      <c r="Q3606" s="247" t="e">
        <f t="shared" si="398"/>
        <v>#VALUE!</v>
      </c>
    </row>
    <row r="3607" spans="11:17" x14ac:dyDescent="0.25">
      <c r="K3607" s="246" t="e">
        <f t="shared" si="392"/>
        <v>#VALUE!</v>
      </c>
      <c r="L3607" s="246" t="e">
        <f t="shared" si="393"/>
        <v>#VALUE!</v>
      </c>
      <c r="M3607" s="247" t="e">
        <f t="shared" si="394"/>
        <v>#VALUE!</v>
      </c>
      <c r="N3607" s="246" t="e">
        <f t="shared" si="395"/>
        <v>#VALUE!</v>
      </c>
      <c r="O3607" s="247" t="e">
        <f t="shared" si="396"/>
        <v>#VALUE!</v>
      </c>
      <c r="P3607" s="247">
        <f t="shared" si="397"/>
        <v>0</v>
      </c>
      <c r="Q3607" s="247" t="e">
        <f t="shared" si="398"/>
        <v>#VALUE!</v>
      </c>
    </row>
    <row r="3608" spans="11:17" x14ac:dyDescent="0.25">
      <c r="K3608" s="246" t="e">
        <f t="shared" si="392"/>
        <v>#VALUE!</v>
      </c>
      <c r="L3608" s="246" t="e">
        <f t="shared" si="393"/>
        <v>#VALUE!</v>
      </c>
      <c r="M3608" s="247" t="e">
        <f t="shared" si="394"/>
        <v>#VALUE!</v>
      </c>
      <c r="N3608" s="246" t="e">
        <f t="shared" si="395"/>
        <v>#VALUE!</v>
      </c>
      <c r="O3608" s="247" t="e">
        <f t="shared" si="396"/>
        <v>#VALUE!</v>
      </c>
      <c r="P3608" s="247">
        <f t="shared" si="397"/>
        <v>0</v>
      </c>
      <c r="Q3608" s="247" t="e">
        <f t="shared" si="398"/>
        <v>#VALUE!</v>
      </c>
    </row>
    <row r="3609" spans="11:17" x14ac:dyDescent="0.25">
      <c r="K3609" s="246" t="e">
        <f t="shared" si="392"/>
        <v>#VALUE!</v>
      </c>
      <c r="L3609" s="246" t="e">
        <f t="shared" si="393"/>
        <v>#VALUE!</v>
      </c>
      <c r="M3609" s="247" t="e">
        <f t="shared" si="394"/>
        <v>#VALUE!</v>
      </c>
      <c r="N3609" s="246" t="e">
        <f t="shared" si="395"/>
        <v>#VALUE!</v>
      </c>
      <c r="O3609" s="247" t="e">
        <f t="shared" si="396"/>
        <v>#VALUE!</v>
      </c>
      <c r="P3609" s="247">
        <f t="shared" si="397"/>
        <v>0</v>
      </c>
      <c r="Q3609" s="247" t="e">
        <f t="shared" si="398"/>
        <v>#VALUE!</v>
      </c>
    </row>
    <row r="3610" spans="11:17" x14ac:dyDescent="0.25">
      <c r="K3610" s="246" t="e">
        <f t="shared" si="392"/>
        <v>#VALUE!</v>
      </c>
      <c r="L3610" s="246" t="e">
        <f t="shared" si="393"/>
        <v>#VALUE!</v>
      </c>
      <c r="M3610" s="247" t="e">
        <f t="shared" si="394"/>
        <v>#VALUE!</v>
      </c>
      <c r="N3610" s="246" t="e">
        <f t="shared" si="395"/>
        <v>#VALUE!</v>
      </c>
      <c r="O3610" s="247" t="e">
        <f t="shared" si="396"/>
        <v>#VALUE!</v>
      </c>
      <c r="P3610" s="247">
        <f t="shared" si="397"/>
        <v>0</v>
      </c>
      <c r="Q3610" s="247" t="e">
        <f t="shared" si="398"/>
        <v>#VALUE!</v>
      </c>
    </row>
    <row r="3611" spans="11:17" x14ac:dyDescent="0.25">
      <c r="K3611" s="246" t="e">
        <f t="shared" si="392"/>
        <v>#VALUE!</v>
      </c>
      <c r="L3611" s="246" t="e">
        <f t="shared" si="393"/>
        <v>#VALUE!</v>
      </c>
      <c r="M3611" s="247" t="e">
        <f t="shared" si="394"/>
        <v>#VALUE!</v>
      </c>
      <c r="N3611" s="246" t="e">
        <f t="shared" si="395"/>
        <v>#VALUE!</v>
      </c>
      <c r="O3611" s="247" t="e">
        <f t="shared" si="396"/>
        <v>#VALUE!</v>
      </c>
      <c r="P3611" s="247">
        <f t="shared" si="397"/>
        <v>0</v>
      </c>
      <c r="Q3611" s="247" t="e">
        <f t="shared" si="398"/>
        <v>#VALUE!</v>
      </c>
    </row>
    <row r="3612" spans="11:17" x14ac:dyDescent="0.25">
      <c r="K3612" s="246" t="e">
        <f t="shared" si="392"/>
        <v>#VALUE!</v>
      </c>
      <c r="L3612" s="246" t="e">
        <f t="shared" si="393"/>
        <v>#VALUE!</v>
      </c>
      <c r="M3612" s="247" t="e">
        <f t="shared" si="394"/>
        <v>#VALUE!</v>
      </c>
      <c r="N3612" s="246" t="e">
        <f t="shared" si="395"/>
        <v>#VALUE!</v>
      </c>
      <c r="O3612" s="247" t="e">
        <f t="shared" si="396"/>
        <v>#VALUE!</v>
      </c>
      <c r="P3612" s="247">
        <f t="shared" si="397"/>
        <v>0</v>
      </c>
      <c r="Q3612" s="247" t="e">
        <f t="shared" si="398"/>
        <v>#VALUE!</v>
      </c>
    </row>
    <row r="3613" spans="11:17" x14ac:dyDescent="0.25">
      <c r="K3613" s="246" t="e">
        <f t="shared" si="392"/>
        <v>#VALUE!</v>
      </c>
      <c r="L3613" s="246" t="e">
        <f t="shared" si="393"/>
        <v>#VALUE!</v>
      </c>
      <c r="M3613" s="247" t="e">
        <f t="shared" si="394"/>
        <v>#VALUE!</v>
      </c>
      <c r="N3613" s="246" t="e">
        <f t="shared" si="395"/>
        <v>#VALUE!</v>
      </c>
      <c r="O3613" s="247" t="e">
        <f t="shared" si="396"/>
        <v>#VALUE!</v>
      </c>
      <c r="P3613" s="247">
        <f t="shared" si="397"/>
        <v>0</v>
      </c>
      <c r="Q3613" s="247" t="e">
        <f t="shared" si="398"/>
        <v>#VALUE!</v>
      </c>
    </row>
    <row r="3614" spans="11:17" x14ac:dyDescent="0.25">
      <c r="K3614" s="246" t="e">
        <f t="shared" si="392"/>
        <v>#VALUE!</v>
      </c>
      <c r="L3614" s="246" t="e">
        <f t="shared" si="393"/>
        <v>#VALUE!</v>
      </c>
      <c r="M3614" s="247" t="e">
        <f t="shared" si="394"/>
        <v>#VALUE!</v>
      </c>
      <c r="N3614" s="246" t="e">
        <f t="shared" si="395"/>
        <v>#VALUE!</v>
      </c>
      <c r="O3614" s="247" t="e">
        <f t="shared" si="396"/>
        <v>#VALUE!</v>
      </c>
      <c r="P3614" s="247">
        <f t="shared" si="397"/>
        <v>0</v>
      </c>
      <c r="Q3614" s="247" t="e">
        <f t="shared" si="398"/>
        <v>#VALUE!</v>
      </c>
    </row>
    <row r="3615" spans="11:17" x14ac:dyDescent="0.25">
      <c r="K3615" s="246" t="e">
        <f t="shared" si="392"/>
        <v>#VALUE!</v>
      </c>
      <c r="L3615" s="246" t="e">
        <f t="shared" si="393"/>
        <v>#VALUE!</v>
      </c>
      <c r="M3615" s="247" t="e">
        <f t="shared" si="394"/>
        <v>#VALUE!</v>
      </c>
      <c r="N3615" s="246" t="e">
        <f t="shared" si="395"/>
        <v>#VALUE!</v>
      </c>
      <c r="O3615" s="247" t="e">
        <f t="shared" si="396"/>
        <v>#VALUE!</v>
      </c>
      <c r="P3615" s="247">
        <f t="shared" si="397"/>
        <v>0</v>
      </c>
      <c r="Q3615" s="247" t="e">
        <f t="shared" si="398"/>
        <v>#VALUE!</v>
      </c>
    </row>
    <row r="3616" spans="11:17" x14ac:dyDescent="0.25">
      <c r="K3616" s="246" t="e">
        <f t="shared" si="392"/>
        <v>#VALUE!</v>
      </c>
      <c r="L3616" s="246" t="e">
        <f t="shared" si="393"/>
        <v>#VALUE!</v>
      </c>
      <c r="M3616" s="247" t="e">
        <f t="shared" si="394"/>
        <v>#VALUE!</v>
      </c>
      <c r="N3616" s="246" t="e">
        <f t="shared" si="395"/>
        <v>#VALUE!</v>
      </c>
      <c r="O3616" s="247" t="e">
        <f t="shared" si="396"/>
        <v>#VALUE!</v>
      </c>
      <c r="P3616" s="247">
        <f t="shared" si="397"/>
        <v>0</v>
      </c>
      <c r="Q3616" s="247" t="e">
        <f t="shared" si="398"/>
        <v>#VALUE!</v>
      </c>
    </row>
    <row r="3617" spans="11:17" x14ac:dyDescent="0.25">
      <c r="K3617" s="246" t="e">
        <f t="shared" si="392"/>
        <v>#VALUE!</v>
      </c>
      <c r="L3617" s="246" t="e">
        <f t="shared" si="393"/>
        <v>#VALUE!</v>
      </c>
      <c r="M3617" s="247" t="e">
        <f t="shared" si="394"/>
        <v>#VALUE!</v>
      </c>
      <c r="N3617" s="246" t="e">
        <f t="shared" si="395"/>
        <v>#VALUE!</v>
      </c>
      <c r="O3617" s="247" t="e">
        <f t="shared" si="396"/>
        <v>#VALUE!</v>
      </c>
      <c r="P3617" s="247">
        <f t="shared" si="397"/>
        <v>0</v>
      </c>
      <c r="Q3617" s="247" t="e">
        <f t="shared" si="398"/>
        <v>#VALUE!</v>
      </c>
    </row>
    <row r="3618" spans="11:17" x14ac:dyDescent="0.25">
      <c r="K3618" s="246" t="e">
        <f t="shared" si="392"/>
        <v>#VALUE!</v>
      </c>
      <c r="L3618" s="246" t="e">
        <f t="shared" si="393"/>
        <v>#VALUE!</v>
      </c>
      <c r="M3618" s="247" t="e">
        <f t="shared" si="394"/>
        <v>#VALUE!</v>
      </c>
      <c r="N3618" s="246" t="e">
        <f t="shared" si="395"/>
        <v>#VALUE!</v>
      </c>
      <c r="O3618" s="247" t="e">
        <f t="shared" si="396"/>
        <v>#VALUE!</v>
      </c>
      <c r="P3618" s="247">
        <f t="shared" si="397"/>
        <v>0</v>
      </c>
      <c r="Q3618" s="247" t="e">
        <f t="shared" si="398"/>
        <v>#VALUE!</v>
      </c>
    </row>
    <row r="3619" spans="11:17" x14ac:dyDescent="0.25">
      <c r="K3619" s="246" t="e">
        <f t="shared" si="392"/>
        <v>#VALUE!</v>
      </c>
      <c r="L3619" s="246" t="e">
        <f t="shared" si="393"/>
        <v>#VALUE!</v>
      </c>
      <c r="M3619" s="247" t="e">
        <f t="shared" si="394"/>
        <v>#VALUE!</v>
      </c>
      <c r="N3619" s="246" t="e">
        <f t="shared" si="395"/>
        <v>#VALUE!</v>
      </c>
      <c r="O3619" s="247" t="e">
        <f t="shared" si="396"/>
        <v>#VALUE!</v>
      </c>
      <c r="P3619" s="247">
        <f t="shared" si="397"/>
        <v>0</v>
      </c>
      <c r="Q3619" s="247" t="e">
        <f t="shared" si="398"/>
        <v>#VALUE!</v>
      </c>
    </row>
    <row r="3620" spans="11:17" x14ac:dyDescent="0.25">
      <c r="K3620" s="246" t="e">
        <f t="shared" si="392"/>
        <v>#VALUE!</v>
      </c>
      <c r="L3620" s="246" t="e">
        <f t="shared" si="393"/>
        <v>#VALUE!</v>
      </c>
      <c r="M3620" s="247" t="e">
        <f t="shared" si="394"/>
        <v>#VALUE!</v>
      </c>
      <c r="N3620" s="246" t="e">
        <f t="shared" si="395"/>
        <v>#VALUE!</v>
      </c>
      <c r="O3620" s="247" t="e">
        <f t="shared" si="396"/>
        <v>#VALUE!</v>
      </c>
      <c r="P3620" s="247">
        <f t="shared" si="397"/>
        <v>0</v>
      </c>
      <c r="Q3620" s="247" t="e">
        <f t="shared" si="398"/>
        <v>#VALUE!</v>
      </c>
    </row>
    <row r="3621" spans="11:17" x14ac:dyDescent="0.25">
      <c r="K3621" s="246" t="e">
        <f t="shared" si="392"/>
        <v>#VALUE!</v>
      </c>
      <c r="L3621" s="246" t="e">
        <f t="shared" si="393"/>
        <v>#VALUE!</v>
      </c>
      <c r="M3621" s="247" t="e">
        <f t="shared" si="394"/>
        <v>#VALUE!</v>
      </c>
      <c r="N3621" s="246" t="e">
        <f t="shared" si="395"/>
        <v>#VALUE!</v>
      </c>
      <c r="O3621" s="247" t="e">
        <f t="shared" si="396"/>
        <v>#VALUE!</v>
      </c>
      <c r="P3621" s="247">
        <f t="shared" si="397"/>
        <v>0</v>
      </c>
      <c r="Q3621" s="247" t="e">
        <f t="shared" si="398"/>
        <v>#VALUE!</v>
      </c>
    </row>
    <row r="3622" spans="11:17" x14ac:dyDescent="0.25">
      <c r="K3622" s="246" t="e">
        <f t="shared" si="392"/>
        <v>#VALUE!</v>
      </c>
      <c r="L3622" s="246" t="e">
        <f t="shared" si="393"/>
        <v>#VALUE!</v>
      </c>
      <c r="M3622" s="247" t="e">
        <f t="shared" si="394"/>
        <v>#VALUE!</v>
      </c>
      <c r="N3622" s="246" t="e">
        <f t="shared" si="395"/>
        <v>#VALUE!</v>
      </c>
      <c r="O3622" s="247" t="e">
        <f t="shared" si="396"/>
        <v>#VALUE!</v>
      </c>
      <c r="P3622" s="247">
        <f t="shared" si="397"/>
        <v>0</v>
      </c>
      <c r="Q3622" s="247" t="e">
        <f t="shared" si="398"/>
        <v>#VALUE!</v>
      </c>
    </row>
    <row r="3623" spans="11:17" x14ac:dyDescent="0.25">
      <c r="K3623" s="246" t="e">
        <f t="shared" si="392"/>
        <v>#VALUE!</v>
      </c>
      <c r="L3623" s="246" t="e">
        <f t="shared" si="393"/>
        <v>#VALUE!</v>
      </c>
      <c r="M3623" s="247" t="e">
        <f t="shared" si="394"/>
        <v>#VALUE!</v>
      </c>
      <c r="N3623" s="246" t="e">
        <f t="shared" si="395"/>
        <v>#VALUE!</v>
      </c>
      <c r="O3623" s="247" t="e">
        <f t="shared" si="396"/>
        <v>#VALUE!</v>
      </c>
      <c r="P3623" s="247">
        <f t="shared" si="397"/>
        <v>0</v>
      </c>
      <c r="Q3623" s="247" t="e">
        <f t="shared" si="398"/>
        <v>#VALUE!</v>
      </c>
    </row>
    <row r="3624" spans="11:17" x14ac:dyDescent="0.25">
      <c r="K3624" s="246" t="e">
        <f t="shared" si="392"/>
        <v>#VALUE!</v>
      </c>
      <c r="L3624" s="246" t="e">
        <f t="shared" si="393"/>
        <v>#VALUE!</v>
      </c>
      <c r="M3624" s="247" t="e">
        <f t="shared" si="394"/>
        <v>#VALUE!</v>
      </c>
      <c r="N3624" s="246" t="e">
        <f t="shared" si="395"/>
        <v>#VALUE!</v>
      </c>
      <c r="O3624" s="247" t="e">
        <f t="shared" si="396"/>
        <v>#VALUE!</v>
      </c>
      <c r="P3624" s="247">
        <f t="shared" si="397"/>
        <v>0</v>
      </c>
      <c r="Q3624" s="247" t="e">
        <f t="shared" si="398"/>
        <v>#VALUE!</v>
      </c>
    </row>
    <row r="3625" spans="11:17" x14ac:dyDescent="0.25">
      <c r="K3625" s="246" t="e">
        <f t="shared" si="392"/>
        <v>#VALUE!</v>
      </c>
      <c r="L3625" s="246" t="e">
        <f t="shared" si="393"/>
        <v>#VALUE!</v>
      </c>
      <c r="M3625" s="247" t="e">
        <f t="shared" si="394"/>
        <v>#VALUE!</v>
      </c>
      <c r="N3625" s="246" t="e">
        <f t="shared" si="395"/>
        <v>#VALUE!</v>
      </c>
      <c r="O3625" s="247" t="e">
        <f t="shared" si="396"/>
        <v>#VALUE!</v>
      </c>
      <c r="P3625" s="247">
        <f t="shared" si="397"/>
        <v>0</v>
      </c>
      <c r="Q3625" s="247" t="e">
        <f t="shared" si="398"/>
        <v>#VALUE!</v>
      </c>
    </row>
    <row r="3626" spans="11:17" x14ac:dyDescent="0.25">
      <c r="K3626" s="246" t="e">
        <f t="shared" si="392"/>
        <v>#VALUE!</v>
      </c>
      <c r="L3626" s="246" t="e">
        <f t="shared" si="393"/>
        <v>#VALUE!</v>
      </c>
      <c r="M3626" s="247" t="e">
        <f t="shared" si="394"/>
        <v>#VALUE!</v>
      </c>
      <c r="N3626" s="246" t="e">
        <f t="shared" si="395"/>
        <v>#VALUE!</v>
      </c>
      <c r="O3626" s="247" t="e">
        <f t="shared" si="396"/>
        <v>#VALUE!</v>
      </c>
      <c r="P3626" s="247">
        <f t="shared" si="397"/>
        <v>0</v>
      </c>
      <c r="Q3626" s="247" t="e">
        <f t="shared" si="398"/>
        <v>#VALUE!</v>
      </c>
    </row>
    <row r="3627" spans="11:17" x14ac:dyDescent="0.25">
      <c r="K3627" s="246" t="e">
        <f t="shared" si="392"/>
        <v>#VALUE!</v>
      </c>
      <c r="L3627" s="246" t="e">
        <f t="shared" si="393"/>
        <v>#VALUE!</v>
      </c>
      <c r="M3627" s="247" t="e">
        <f t="shared" si="394"/>
        <v>#VALUE!</v>
      </c>
      <c r="N3627" s="246" t="e">
        <f t="shared" si="395"/>
        <v>#VALUE!</v>
      </c>
      <c r="O3627" s="247" t="e">
        <f t="shared" si="396"/>
        <v>#VALUE!</v>
      </c>
      <c r="P3627" s="247">
        <f t="shared" si="397"/>
        <v>0</v>
      </c>
      <c r="Q3627" s="247" t="e">
        <f t="shared" si="398"/>
        <v>#VALUE!</v>
      </c>
    </row>
    <row r="3628" spans="11:17" x14ac:dyDescent="0.25">
      <c r="K3628" s="246" t="e">
        <f t="shared" si="392"/>
        <v>#VALUE!</v>
      </c>
      <c r="L3628" s="246" t="e">
        <f t="shared" si="393"/>
        <v>#VALUE!</v>
      </c>
      <c r="M3628" s="247" t="e">
        <f t="shared" si="394"/>
        <v>#VALUE!</v>
      </c>
      <c r="N3628" s="246" t="e">
        <f t="shared" si="395"/>
        <v>#VALUE!</v>
      </c>
      <c r="O3628" s="247" t="e">
        <f t="shared" si="396"/>
        <v>#VALUE!</v>
      </c>
      <c r="P3628" s="247">
        <f t="shared" si="397"/>
        <v>0</v>
      </c>
      <c r="Q3628" s="247" t="e">
        <f t="shared" si="398"/>
        <v>#VALUE!</v>
      </c>
    </row>
    <row r="3629" spans="11:17" x14ac:dyDescent="0.25">
      <c r="K3629" s="246" t="e">
        <f t="shared" si="392"/>
        <v>#VALUE!</v>
      </c>
      <c r="L3629" s="246" t="e">
        <f t="shared" si="393"/>
        <v>#VALUE!</v>
      </c>
      <c r="M3629" s="247" t="e">
        <f t="shared" si="394"/>
        <v>#VALUE!</v>
      </c>
      <c r="N3629" s="246" t="e">
        <f t="shared" si="395"/>
        <v>#VALUE!</v>
      </c>
      <c r="O3629" s="247" t="e">
        <f t="shared" si="396"/>
        <v>#VALUE!</v>
      </c>
      <c r="P3629" s="247">
        <f t="shared" si="397"/>
        <v>0</v>
      </c>
      <c r="Q3629" s="247" t="e">
        <f t="shared" si="398"/>
        <v>#VALUE!</v>
      </c>
    </row>
    <row r="3630" spans="11:17" x14ac:dyDescent="0.25">
      <c r="K3630" s="246" t="e">
        <f t="shared" si="392"/>
        <v>#VALUE!</v>
      </c>
      <c r="L3630" s="246" t="e">
        <f t="shared" si="393"/>
        <v>#VALUE!</v>
      </c>
      <c r="M3630" s="247" t="e">
        <f t="shared" si="394"/>
        <v>#VALUE!</v>
      </c>
      <c r="N3630" s="246" t="e">
        <f t="shared" si="395"/>
        <v>#VALUE!</v>
      </c>
      <c r="O3630" s="247" t="e">
        <f t="shared" si="396"/>
        <v>#VALUE!</v>
      </c>
      <c r="P3630" s="247">
        <f t="shared" si="397"/>
        <v>0</v>
      </c>
      <c r="Q3630" s="247" t="e">
        <f t="shared" si="398"/>
        <v>#VALUE!</v>
      </c>
    </row>
    <row r="3631" spans="11:17" x14ac:dyDescent="0.25">
      <c r="K3631" s="246" t="e">
        <f t="shared" si="392"/>
        <v>#VALUE!</v>
      </c>
      <c r="L3631" s="246" t="e">
        <f t="shared" si="393"/>
        <v>#VALUE!</v>
      </c>
      <c r="M3631" s="247" t="e">
        <f t="shared" si="394"/>
        <v>#VALUE!</v>
      </c>
      <c r="N3631" s="246" t="e">
        <f t="shared" si="395"/>
        <v>#VALUE!</v>
      </c>
      <c r="O3631" s="247" t="e">
        <f t="shared" si="396"/>
        <v>#VALUE!</v>
      </c>
      <c r="P3631" s="247">
        <f t="shared" si="397"/>
        <v>0</v>
      </c>
      <c r="Q3631" s="247" t="e">
        <f t="shared" si="398"/>
        <v>#VALUE!</v>
      </c>
    </row>
    <row r="3632" spans="11:17" x14ac:dyDescent="0.25">
      <c r="K3632" s="246" t="e">
        <f t="shared" si="392"/>
        <v>#VALUE!</v>
      </c>
      <c r="L3632" s="246" t="e">
        <f t="shared" si="393"/>
        <v>#VALUE!</v>
      </c>
      <c r="M3632" s="247" t="e">
        <f t="shared" si="394"/>
        <v>#VALUE!</v>
      </c>
      <c r="N3632" s="246" t="e">
        <f t="shared" si="395"/>
        <v>#VALUE!</v>
      </c>
      <c r="O3632" s="247" t="e">
        <f t="shared" si="396"/>
        <v>#VALUE!</v>
      </c>
      <c r="P3632" s="247">
        <f t="shared" si="397"/>
        <v>0</v>
      </c>
      <c r="Q3632" s="247" t="e">
        <f t="shared" si="398"/>
        <v>#VALUE!</v>
      </c>
    </row>
    <row r="3633" spans="11:17" x14ac:dyDescent="0.25">
      <c r="K3633" s="246" t="e">
        <f t="shared" si="392"/>
        <v>#VALUE!</v>
      </c>
      <c r="L3633" s="246" t="e">
        <f t="shared" si="393"/>
        <v>#VALUE!</v>
      </c>
      <c r="M3633" s="247" t="e">
        <f t="shared" si="394"/>
        <v>#VALUE!</v>
      </c>
      <c r="N3633" s="246" t="e">
        <f t="shared" si="395"/>
        <v>#VALUE!</v>
      </c>
      <c r="O3633" s="247" t="e">
        <f t="shared" si="396"/>
        <v>#VALUE!</v>
      </c>
      <c r="P3633" s="247">
        <f t="shared" si="397"/>
        <v>0</v>
      </c>
      <c r="Q3633" s="247" t="e">
        <f t="shared" si="398"/>
        <v>#VALUE!</v>
      </c>
    </row>
    <row r="3634" spans="11:17" x14ac:dyDescent="0.25">
      <c r="K3634" s="246" t="e">
        <f t="shared" ref="K3634:K3697" si="399">DATE(VALUE(LEFT(A3634,4)),VALUE(MID(A3634,5,2)),VALUE(RIGHT(A3634,2)))</f>
        <v>#VALUE!</v>
      </c>
      <c r="L3634" s="246" t="e">
        <f t="shared" ref="L3634:L3697" si="400">DATEVALUE(LEFT(F3634,10))</f>
        <v>#VALUE!</v>
      </c>
      <c r="M3634" s="247" t="e">
        <f t="shared" ref="M3634:M3697" si="401">TIMEVALUE(MID(F3634,12,8))</f>
        <v>#VALUE!</v>
      </c>
      <c r="N3634" s="246" t="e">
        <f t="shared" ref="N3634:N3697" si="402">DATEVALUE(LEFT(G3634,10))</f>
        <v>#VALUE!</v>
      </c>
      <c r="O3634" s="247" t="e">
        <f t="shared" ref="O3634:O3697" si="403">TIMEVALUE(MID(G3634,12,8))</f>
        <v>#VALUE!</v>
      </c>
      <c r="P3634" s="247">
        <f t="shared" si="397"/>
        <v>0</v>
      </c>
      <c r="Q3634" s="247" t="e">
        <f t="shared" si="398"/>
        <v>#VALUE!</v>
      </c>
    </row>
    <row r="3635" spans="11:17" x14ac:dyDescent="0.25">
      <c r="K3635" s="246" t="e">
        <f t="shared" si="399"/>
        <v>#VALUE!</v>
      </c>
      <c r="L3635" s="246" t="e">
        <f t="shared" si="400"/>
        <v>#VALUE!</v>
      </c>
      <c r="M3635" s="247" t="e">
        <f t="shared" si="401"/>
        <v>#VALUE!</v>
      </c>
      <c r="N3635" s="246" t="e">
        <f t="shared" si="402"/>
        <v>#VALUE!</v>
      </c>
      <c r="O3635" s="247" t="e">
        <f t="shared" si="403"/>
        <v>#VALUE!</v>
      </c>
      <c r="P3635" s="247">
        <f t="shared" si="397"/>
        <v>0</v>
      </c>
      <c r="Q3635" s="247" t="e">
        <f t="shared" si="398"/>
        <v>#VALUE!</v>
      </c>
    </row>
    <row r="3636" spans="11:17" x14ac:dyDescent="0.25">
      <c r="K3636" s="246" t="e">
        <f t="shared" si="399"/>
        <v>#VALUE!</v>
      </c>
      <c r="L3636" s="246" t="e">
        <f t="shared" si="400"/>
        <v>#VALUE!</v>
      </c>
      <c r="M3636" s="247" t="e">
        <f t="shared" si="401"/>
        <v>#VALUE!</v>
      </c>
      <c r="N3636" s="246" t="e">
        <f t="shared" si="402"/>
        <v>#VALUE!</v>
      </c>
      <c r="O3636" s="247" t="e">
        <f t="shared" si="403"/>
        <v>#VALUE!</v>
      </c>
      <c r="P3636" s="247">
        <f t="shared" si="397"/>
        <v>0</v>
      </c>
      <c r="Q3636" s="247" t="e">
        <f t="shared" si="398"/>
        <v>#VALUE!</v>
      </c>
    </row>
    <row r="3637" spans="11:17" x14ac:dyDescent="0.25">
      <c r="K3637" s="246" t="e">
        <f t="shared" si="399"/>
        <v>#VALUE!</v>
      </c>
      <c r="L3637" s="246" t="e">
        <f t="shared" si="400"/>
        <v>#VALUE!</v>
      </c>
      <c r="M3637" s="247" t="e">
        <f t="shared" si="401"/>
        <v>#VALUE!</v>
      </c>
      <c r="N3637" s="246" t="e">
        <f t="shared" si="402"/>
        <v>#VALUE!</v>
      </c>
      <c r="O3637" s="247" t="e">
        <f t="shared" si="403"/>
        <v>#VALUE!</v>
      </c>
      <c r="P3637" s="247">
        <f t="shared" si="397"/>
        <v>0</v>
      </c>
      <c r="Q3637" s="247" t="e">
        <f t="shared" si="398"/>
        <v>#VALUE!</v>
      </c>
    </row>
    <row r="3638" spans="11:17" x14ac:dyDescent="0.25">
      <c r="K3638" s="246" t="e">
        <f t="shared" si="399"/>
        <v>#VALUE!</v>
      </c>
      <c r="L3638" s="246" t="e">
        <f t="shared" si="400"/>
        <v>#VALUE!</v>
      </c>
      <c r="M3638" s="247" t="e">
        <f t="shared" si="401"/>
        <v>#VALUE!</v>
      </c>
      <c r="N3638" s="246" t="e">
        <f t="shared" si="402"/>
        <v>#VALUE!</v>
      </c>
      <c r="O3638" s="247" t="e">
        <f t="shared" si="403"/>
        <v>#VALUE!</v>
      </c>
      <c r="P3638" s="247">
        <f t="shared" si="397"/>
        <v>0</v>
      </c>
      <c r="Q3638" s="247" t="e">
        <f t="shared" si="398"/>
        <v>#VALUE!</v>
      </c>
    </row>
    <row r="3639" spans="11:17" x14ac:dyDescent="0.25">
      <c r="K3639" s="246" t="e">
        <f t="shared" si="399"/>
        <v>#VALUE!</v>
      </c>
      <c r="L3639" s="246" t="e">
        <f t="shared" si="400"/>
        <v>#VALUE!</v>
      </c>
      <c r="M3639" s="247" t="e">
        <f t="shared" si="401"/>
        <v>#VALUE!</v>
      </c>
      <c r="N3639" s="246" t="e">
        <f t="shared" si="402"/>
        <v>#VALUE!</v>
      </c>
      <c r="O3639" s="247" t="e">
        <f t="shared" si="403"/>
        <v>#VALUE!</v>
      </c>
      <c r="P3639" s="247">
        <f t="shared" si="397"/>
        <v>0</v>
      </c>
      <c r="Q3639" s="247" t="e">
        <f t="shared" si="398"/>
        <v>#VALUE!</v>
      </c>
    </row>
    <row r="3640" spans="11:17" x14ac:dyDescent="0.25">
      <c r="K3640" s="246" t="e">
        <f t="shared" si="399"/>
        <v>#VALUE!</v>
      </c>
      <c r="L3640" s="246" t="e">
        <f t="shared" si="400"/>
        <v>#VALUE!</v>
      </c>
      <c r="M3640" s="247" t="e">
        <f t="shared" si="401"/>
        <v>#VALUE!</v>
      </c>
      <c r="N3640" s="246" t="e">
        <f t="shared" si="402"/>
        <v>#VALUE!</v>
      </c>
      <c r="O3640" s="247" t="e">
        <f t="shared" si="403"/>
        <v>#VALUE!</v>
      </c>
      <c r="P3640" s="247">
        <f t="shared" si="397"/>
        <v>0</v>
      </c>
      <c r="Q3640" s="247" t="e">
        <f t="shared" si="398"/>
        <v>#VALUE!</v>
      </c>
    </row>
    <row r="3641" spans="11:17" x14ac:dyDescent="0.25">
      <c r="K3641" s="246" t="e">
        <f t="shared" si="399"/>
        <v>#VALUE!</v>
      </c>
      <c r="L3641" s="246" t="e">
        <f t="shared" si="400"/>
        <v>#VALUE!</v>
      </c>
      <c r="M3641" s="247" t="e">
        <f t="shared" si="401"/>
        <v>#VALUE!</v>
      </c>
      <c r="N3641" s="246" t="e">
        <f t="shared" si="402"/>
        <v>#VALUE!</v>
      </c>
      <c r="O3641" s="247" t="e">
        <f t="shared" si="403"/>
        <v>#VALUE!</v>
      </c>
      <c r="P3641" s="247">
        <f t="shared" si="397"/>
        <v>0</v>
      </c>
      <c r="Q3641" s="247" t="e">
        <f t="shared" si="398"/>
        <v>#VALUE!</v>
      </c>
    </row>
    <row r="3642" spans="11:17" x14ac:dyDescent="0.25">
      <c r="K3642" s="246" t="e">
        <f t="shared" si="399"/>
        <v>#VALUE!</v>
      </c>
      <c r="L3642" s="246" t="e">
        <f t="shared" si="400"/>
        <v>#VALUE!</v>
      </c>
      <c r="M3642" s="247" t="e">
        <f t="shared" si="401"/>
        <v>#VALUE!</v>
      </c>
      <c r="N3642" s="246" t="e">
        <f t="shared" si="402"/>
        <v>#VALUE!</v>
      </c>
      <c r="O3642" s="247" t="e">
        <f t="shared" si="403"/>
        <v>#VALUE!</v>
      </c>
      <c r="P3642" s="247">
        <f t="shared" si="397"/>
        <v>0</v>
      </c>
      <c r="Q3642" s="247" t="e">
        <f t="shared" si="398"/>
        <v>#VALUE!</v>
      </c>
    </row>
    <row r="3643" spans="11:17" x14ac:dyDescent="0.25">
      <c r="K3643" s="246" t="e">
        <f t="shared" si="399"/>
        <v>#VALUE!</v>
      </c>
      <c r="L3643" s="246" t="e">
        <f t="shared" si="400"/>
        <v>#VALUE!</v>
      </c>
      <c r="M3643" s="247" t="e">
        <f t="shared" si="401"/>
        <v>#VALUE!</v>
      </c>
      <c r="N3643" s="246" t="e">
        <f t="shared" si="402"/>
        <v>#VALUE!</v>
      </c>
      <c r="O3643" s="247" t="e">
        <f t="shared" si="403"/>
        <v>#VALUE!</v>
      </c>
      <c r="P3643" s="247">
        <f t="shared" si="397"/>
        <v>0</v>
      </c>
      <c r="Q3643" s="247" t="e">
        <f t="shared" si="398"/>
        <v>#VALUE!</v>
      </c>
    </row>
    <row r="3644" spans="11:17" x14ac:dyDescent="0.25">
      <c r="K3644" s="246" t="e">
        <f t="shared" si="399"/>
        <v>#VALUE!</v>
      </c>
      <c r="L3644" s="246" t="e">
        <f t="shared" si="400"/>
        <v>#VALUE!</v>
      </c>
      <c r="M3644" s="247" t="e">
        <f t="shared" si="401"/>
        <v>#VALUE!</v>
      </c>
      <c r="N3644" s="246" t="e">
        <f t="shared" si="402"/>
        <v>#VALUE!</v>
      </c>
      <c r="O3644" s="247" t="e">
        <f t="shared" si="403"/>
        <v>#VALUE!</v>
      </c>
      <c r="P3644" s="247">
        <f t="shared" si="397"/>
        <v>0</v>
      </c>
      <c r="Q3644" s="247" t="e">
        <f t="shared" si="398"/>
        <v>#VALUE!</v>
      </c>
    </row>
    <row r="3645" spans="11:17" x14ac:dyDescent="0.25">
      <c r="K3645" s="246" t="e">
        <f t="shared" si="399"/>
        <v>#VALUE!</v>
      </c>
      <c r="L3645" s="246" t="e">
        <f t="shared" si="400"/>
        <v>#VALUE!</v>
      </c>
      <c r="M3645" s="247" t="e">
        <f t="shared" si="401"/>
        <v>#VALUE!</v>
      </c>
      <c r="N3645" s="246" t="e">
        <f t="shared" si="402"/>
        <v>#VALUE!</v>
      </c>
      <c r="O3645" s="247" t="e">
        <f t="shared" si="403"/>
        <v>#VALUE!</v>
      </c>
      <c r="P3645" s="247">
        <f t="shared" si="397"/>
        <v>0</v>
      </c>
      <c r="Q3645" s="247" t="e">
        <f t="shared" si="398"/>
        <v>#VALUE!</v>
      </c>
    </row>
    <row r="3646" spans="11:17" x14ac:dyDescent="0.25">
      <c r="K3646" s="246" t="e">
        <f t="shared" si="399"/>
        <v>#VALUE!</v>
      </c>
      <c r="L3646" s="246" t="e">
        <f t="shared" si="400"/>
        <v>#VALUE!</v>
      </c>
      <c r="M3646" s="247" t="e">
        <f t="shared" si="401"/>
        <v>#VALUE!</v>
      </c>
      <c r="N3646" s="246" t="e">
        <f t="shared" si="402"/>
        <v>#VALUE!</v>
      </c>
      <c r="O3646" s="247" t="e">
        <f t="shared" si="403"/>
        <v>#VALUE!</v>
      </c>
      <c r="P3646" s="247">
        <f t="shared" si="397"/>
        <v>0</v>
      </c>
      <c r="Q3646" s="247" t="e">
        <f t="shared" si="398"/>
        <v>#VALUE!</v>
      </c>
    </row>
    <row r="3647" spans="11:17" x14ac:dyDescent="0.25">
      <c r="K3647" s="246" t="e">
        <f t="shared" si="399"/>
        <v>#VALUE!</v>
      </c>
      <c r="L3647" s="246" t="e">
        <f t="shared" si="400"/>
        <v>#VALUE!</v>
      </c>
      <c r="M3647" s="247" t="e">
        <f t="shared" si="401"/>
        <v>#VALUE!</v>
      </c>
      <c r="N3647" s="246" t="e">
        <f t="shared" si="402"/>
        <v>#VALUE!</v>
      </c>
      <c r="O3647" s="247" t="e">
        <f t="shared" si="403"/>
        <v>#VALUE!</v>
      </c>
      <c r="P3647" s="247">
        <f t="shared" si="397"/>
        <v>0</v>
      </c>
      <c r="Q3647" s="247" t="e">
        <f t="shared" si="398"/>
        <v>#VALUE!</v>
      </c>
    </row>
    <row r="3648" spans="11:17" x14ac:dyDescent="0.25">
      <c r="K3648" s="246" t="e">
        <f t="shared" si="399"/>
        <v>#VALUE!</v>
      </c>
      <c r="L3648" s="246" t="e">
        <f t="shared" si="400"/>
        <v>#VALUE!</v>
      </c>
      <c r="M3648" s="247" t="e">
        <f t="shared" si="401"/>
        <v>#VALUE!</v>
      </c>
      <c r="N3648" s="246" t="e">
        <f t="shared" si="402"/>
        <v>#VALUE!</v>
      </c>
      <c r="O3648" s="247" t="e">
        <f t="shared" si="403"/>
        <v>#VALUE!</v>
      </c>
      <c r="P3648" s="247">
        <f t="shared" si="397"/>
        <v>0</v>
      </c>
      <c r="Q3648" s="247" t="e">
        <f t="shared" si="398"/>
        <v>#VALUE!</v>
      </c>
    </row>
    <row r="3649" spans="11:17" x14ac:dyDescent="0.25">
      <c r="K3649" s="246" t="e">
        <f t="shared" si="399"/>
        <v>#VALUE!</v>
      </c>
      <c r="L3649" s="246" t="e">
        <f t="shared" si="400"/>
        <v>#VALUE!</v>
      </c>
      <c r="M3649" s="247" t="e">
        <f t="shared" si="401"/>
        <v>#VALUE!</v>
      </c>
      <c r="N3649" s="246" t="e">
        <f t="shared" si="402"/>
        <v>#VALUE!</v>
      </c>
      <c r="O3649" s="247" t="e">
        <f t="shared" si="403"/>
        <v>#VALUE!</v>
      </c>
      <c r="P3649" s="247">
        <f t="shared" si="397"/>
        <v>0</v>
      </c>
      <c r="Q3649" s="247" t="e">
        <f t="shared" si="398"/>
        <v>#VALUE!</v>
      </c>
    </row>
    <row r="3650" spans="11:17" x14ac:dyDescent="0.25">
      <c r="K3650" s="246" t="e">
        <f t="shared" si="399"/>
        <v>#VALUE!</v>
      </c>
      <c r="L3650" s="246" t="e">
        <f t="shared" si="400"/>
        <v>#VALUE!</v>
      </c>
      <c r="M3650" s="247" t="e">
        <f t="shared" si="401"/>
        <v>#VALUE!</v>
      </c>
      <c r="N3650" s="246" t="e">
        <f t="shared" si="402"/>
        <v>#VALUE!</v>
      </c>
      <c r="O3650" s="247" t="e">
        <f t="shared" si="403"/>
        <v>#VALUE!</v>
      </c>
      <c r="P3650" s="247">
        <f t="shared" ref="P3650:P3713" si="404">IFERROR(_xlfn.MINIFS($M:$M,$E:$E,$E3650,$K:$K,$K3650,$M:$M,"&gt;"&amp;$O3650),"")</f>
        <v>0</v>
      </c>
      <c r="Q3650" s="247" t="e">
        <f t="shared" ref="Q3650:Q3713" si="405">IF($P3650="","",$P3650-$O3650)</f>
        <v>#VALUE!</v>
      </c>
    </row>
    <row r="3651" spans="11:17" x14ac:dyDescent="0.25">
      <c r="K3651" s="246" t="e">
        <f t="shared" si="399"/>
        <v>#VALUE!</v>
      </c>
      <c r="L3651" s="246" t="e">
        <f t="shared" si="400"/>
        <v>#VALUE!</v>
      </c>
      <c r="M3651" s="247" t="e">
        <f t="shared" si="401"/>
        <v>#VALUE!</v>
      </c>
      <c r="N3651" s="246" t="e">
        <f t="shared" si="402"/>
        <v>#VALUE!</v>
      </c>
      <c r="O3651" s="247" t="e">
        <f t="shared" si="403"/>
        <v>#VALUE!</v>
      </c>
      <c r="P3651" s="247">
        <f t="shared" si="404"/>
        <v>0</v>
      </c>
      <c r="Q3651" s="247" t="e">
        <f t="shared" si="405"/>
        <v>#VALUE!</v>
      </c>
    </row>
    <row r="3652" spans="11:17" x14ac:dyDescent="0.25">
      <c r="K3652" s="246" t="e">
        <f t="shared" si="399"/>
        <v>#VALUE!</v>
      </c>
      <c r="L3652" s="246" t="e">
        <f t="shared" si="400"/>
        <v>#VALUE!</v>
      </c>
      <c r="M3652" s="247" t="e">
        <f t="shared" si="401"/>
        <v>#VALUE!</v>
      </c>
      <c r="N3652" s="246" t="e">
        <f t="shared" si="402"/>
        <v>#VALUE!</v>
      </c>
      <c r="O3652" s="247" t="e">
        <f t="shared" si="403"/>
        <v>#VALUE!</v>
      </c>
      <c r="P3652" s="247">
        <f t="shared" si="404"/>
        <v>0</v>
      </c>
      <c r="Q3652" s="247" t="e">
        <f t="shared" si="405"/>
        <v>#VALUE!</v>
      </c>
    </row>
    <row r="3653" spans="11:17" x14ac:dyDescent="0.25">
      <c r="K3653" s="246" t="e">
        <f t="shared" si="399"/>
        <v>#VALUE!</v>
      </c>
      <c r="L3653" s="246" t="e">
        <f t="shared" si="400"/>
        <v>#VALUE!</v>
      </c>
      <c r="M3653" s="247" t="e">
        <f t="shared" si="401"/>
        <v>#VALUE!</v>
      </c>
      <c r="N3653" s="246" t="e">
        <f t="shared" si="402"/>
        <v>#VALUE!</v>
      </c>
      <c r="O3653" s="247" t="e">
        <f t="shared" si="403"/>
        <v>#VALUE!</v>
      </c>
      <c r="P3653" s="247">
        <f t="shared" si="404"/>
        <v>0</v>
      </c>
      <c r="Q3653" s="247" t="e">
        <f t="shared" si="405"/>
        <v>#VALUE!</v>
      </c>
    </row>
    <row r="3654" spans="11:17" x14ac:dyDescent="0.25">
      <c r="K3654" s="246" t="e">
        <f t="shared" si="399"/>
        <v>#VALUE!</v>
      </c>
      <c r="L3654" s="246" t="e">
        <f t="shared" si="400"/>
        <v>#VALUE!</v>
      </c>
      <c r="M3654" s="247" t="e">
        <f t="shared" si="401"/>
        <v>#VALUE!</v>
      </c>
      <c r="N3654" s="246" t="e">
        <f t="shared" si="402"/>
        <v>#VALUE!</v>
      </c>
      <c r="O3654" s="247" t="e">
        <f t="shared" si="403"/>
        <v>#VALUE!</v>
      </c>
      <c r="P3654" s="247">
        <f t="shared" si="404"/>
        <v>0</v>
      </c>
      <c r="Q3654" s="247" t="e">
        <f t="shared" si="405"/>
        <v>#VALUE!</v>
      </c>
    </row>
    <row r="3655" spans="11:17" x14ac:dyDescent="0.25">
      <c r="K3655" s="246" t="e">
        <f t="shared" si="399"/>
        <v>#VALUE!</v>
      </c>
      <c r="L3655" s="246" t="e">
        <f t="shared" si="400"/>
        <v>#VALUE!</v>
      </c>
      <c r="M3655" s="247" t="e">
        <f t="shared" si="401"/>
        <v>#VALUE!</v>
      </c>
      <c r="N3655" s="246" t="e">
        <f t="shared" si="402"/>
        <v>#VALUE!</v>
      </c>
      <c r="O3655" s="247" t="e">
        <f t="shared" si="403"/>
        <v>#VALUE!</v>
      </c>
      <c r="P3655" s="247">
        <f t="shared" si="404"/>
        <v>0</v>
      </c>
      <c r="Q3655" s="247" t="e">
        <f t="shared" si="405"/>
        <v>#VALUE!</v>
      </c>
    </row>
    <row r="3656" spans="11:17" x14ac:dyDescent="0.25">
      <c r="K3656" s="246" t="e">
        <f t="shared" si="399"/>
        <v>#VALUE!</v>
      </c>
      <c r="L3656" s="246" t="e">
        <f t="shared" si="400"/>
        <v>#VALUE!</v>
      </c>
      <c r="M3656" s="247" t="e">
        <f t="shared" si="401"/>
        <v>#VALUE!</v>
      </c>
      <c r="N3656" s="246" t="e">
        <f t="shared" si="402"/>
        <v>#VALUE!</v>
      </c>
      <c r="O3656" s="247" t="e">
        <f t="shared" si="403"/>
        <v>#VALUE!</v>
      </c>
      <c r="P3656" s="247">
        <f t="shared" si="404"/>
        <v>0</v>
      </c>
      <c r="Q3656" s="247" t="e">
        <f t="shared" si="405"/>
        <v>#VALUE!</v>
      </c>
    </row>
    <row r="3657" spans="11:17" x14ac:dyDescent="0.25">
      <c r="K3657" s="246" t="e">
        <f t="shared" si="399"/>
        <v>#VALUE!</v>
      </c>
      <c r="L3657" s="246" t="e">
        <f t="shared" si="400"/>
        <v>#VALUE!</v>
      </c>
      <c r="M3657" s="247" t="e">
        <f t="shared" si="401"/>
        <v>#VALUE!</v>
      </c>
      <c r="N3657" s="246" t="e">
        <f t="shared" si="402"/>
        <v>#VALUE!</v>
      </c>
      <c r="O3657" s="247" t="e">
        <f t="shared" si="403"/>
        <v>#VALUE!</v>
      </c>
      <c r="P3657" s="247">
        <f t="shared" si="404"/>
        <v>0</v>
      </c>
      <c r="Q3657" s="247" t="e">
        <f t="shared" si="405"/>
        <v>#VALUE!</v>
      </c>
    </row>
    <row r="3658" spans="11:17" x14ac:dyDescent="0.25">
      <c r="K3658" s="246" t="e">
        <f t="shared" si="399"/>
        <v>#VALUE!</v>
      </c>
      <c r="L3658" s="246" t="e">
        <f t="shared" si="400"/>
        <v>#VALUE!</v>
      </c>
      <c r="M3658" s="247" t="e">
        <f t="shared" si="401"/>
        <v>#VALUE!</v>
      </c>
      <c r="N3658" s="246" t="e">
        <f t="shared" si="402"/>
        <v>#VALUE!</v>
      </c>
      <c r="O3658" s="247" t="e">
        <f t="shared" si="403"/>
        <v>#VALUE!</v>
      </c>
      <c r="P3658" s="247">
        <f t="shared" si="404"/>
        <v>0</v>
      </c>
      <c r="Q3658" s="247" t="e">
        <f t="shared" si="405"/>
        <v>#VALUE!</v>
      </c>
    </row>
    <row r="3659" spans="11:17" x14ac:dyDescent="0.25">
      <c r="K3659" s="246" t="e">
        <f t="shared" si="399"/>
        <v>#VALUE!</v>
      </c>
      <c r="L3659" s="246" t="e">
        <f t="shared" si="400"/>
        <v>#VALUE!</v>
      </c>
      <c r="M3659" s="247" t="e">
        <f t="shared" si="401"/>
        <v>#VALUE!</v>
      </c>
      <c r="N3659" s="246" t="e">
        <f t="shared" si="402"/>
        <v>#VALUE!</v>
      </c>
      <c r="O3659" s="247" t="e">
        <f t="shared" si="403"/>
        <v>#VALUE!</v>
      </c>
      <c r="P3659" s="247">
        <f t="shared" si="404"/>
        <v>0</v>
      </c>
      <c r="Q3659" s="247" t="e">
        <f t="shared" si="405"/>
        <v>#VALUE!</v>
      </c>
    </row>
    <row r="3660" spans="11:17" x14ac:dyDescent="0.25">
      <c r="K3660" s="246" t="e">
        <f t="shared" si="399"/>
        <v>#VALUE!</v>
      </c>
      <c r="L3660" s="246" t="e">
        <f t="shared" si="400"/>
        <v>#VALUE!</v>
      </c>
      <c r="M3660" s="247" t="e">
        <f t="shared" si="401"/>
        <v>#VALUE!</v>
      </c>
      <c r="N3660" s="246" t="e">
        <f t="shared" si="402"/>
        <v>#VALUE!</v>
      </c>
      <c r="O3660" s="247" t="e">
        <f t="shared" si="403"/>
        <v>#VALUE!</v>
      </c>
      <c r="P3660" s="247">
        <f t="shared" si="404"/>
        <v>0</v>
      </c>
      <c r="Q3660" s="247" t="e">
        <f t="shared" si="405"/>
        <v>#VALUE!</v>
      </c>
    </row>
    <row r="3661" spans="11:17" x14ac:dyDescent="0.25">
      <c r="K3661" s="246" t="e">
        <f t="shared" si="399"/>
        <v>#VALUE!</v>
      </c>
      <c r="L3661" s="246" t="e">
        <f t="shared" si="400"/>
        <v>#VALUE!</v>
      </c>
      <c r="M3661" s="247" t="e">
        <f t="shared" si="401"/>
        <v>#VALUE!</v>
      </c>
      <c r="N3661" s="246" t="e">
        <f t="shared" si="402"/>
        <v>#VALUE!</v>
      </c>
      <c r="O3661" s="247" t="e">
        <f t="shared" si="403"/>
        <v>#VALUE!</v>
      </c>
      <c r="P3661" s="247">
        <f t="shared" si="404"/>
        <v>0</v>
      </c>
      <c r="Q3661" s="247" t="e">
        <f t="shared" si="405"/>
        <v>#VALUE!</v>
      </c>
    </row>
    <row r="3662" spans="11:17" x14ac:dyDescent="0.25">
      <c r="K3662" s="246" t="e">
        <f t="shared" si="399"/>
        <v>#VALUE!</v>
      </c>
      <c r="L3662" s="246" t="e">
        <f t="shared" si="400"/>
        <v>#VALUE!</v>
      </c>
      <c r="M3662" s="247" t="e">
        <f t="shared" si="401"/>
        <v>#VALUE!</v>
      </c>
      <c r="N3662" s="246" t="e">
        <f t="shared" si="402"/>
        <v>#VALUE!</v>
      </c>
      <c r="O3662" s="247" t="e">
        <f t="shared" si="403"/>
        <v>#VALUE!</v>
      </c>
      <c r="P3662" s="247">
        <f t="shared" si="404"/>
        <v>0</v>
      </c>
      <c r="Q3662" s="247" t="e">
        <f t="shared" si="405"/>
        <v>#VALUE!</v>
      </c>
    </row>
    <row r="3663" spans="11:17" x14ac:dyDescent="0.25">
      <c r="K3663" s="246" t="e">
        <f t="shared" si="399"/>
        <v>#VALUE!</v>
      </c>
      <c r="L3663" s="246" t="e">
        <f t="shared" si="400"/>
        <v>#VALUE!</v>
      </c>
      <c r="M3663" s="247" t="e">
        <f t="shared" si="401"/>
        <v>#VALUE!</v>
      </c>
      <c r="N3663" s="246" t="e">
        <f t="shared" si="402"/>
        <v>#VALUE!</v>
      </c>
      <c r="O3663" s="247" t="e">
        <f t="shared" si="403"/>
        <v>#VALUE!</v>
      </c>
      <c r="P3663" s="247">
        <f t="shared" si="404"/>
        <v>0</v>
      </c>
      <c r="Q3663" s="247" t="e">
        <f t="shared" si="405"/>
        <v>#VALUE!</v>
      </c>
    </row>
    <row r="3664" spans="11:17" x14ac:dyDescent="0.25">
      <c r="K3664" s="246" t="e">
        <f t="shared" si="399"/>
        <v>#VALUE!</v>
      </c>
      <c r="L3664" s="246" t="e">
        <f t="shared" si="400"/>
        <v>#VALUE!</v>
      </c>
      <c r="M3664" s="247" t="e">
        <f t="shared" si="401"/>
        <v>#VALUE!</v>
      </c>
      <c r="N3664" s="246" t="e">
        <f t="shared" si="402"/>
        <v>#VALUE!</v>
      </c>
      <c r="O3664" s="247" t="e">
        <f t="shared" si="403"/>
        <v>#VALUE!</v>
      </c>
      <c r="P3664" s="247">
        <f t="shared" si="404"/>
        <v>0</v>
      </c>
      <c r="Q3664" s="247" t="e">
        <f t="shared" si="405"/>
        <v>#VALUE!</v>
      </c>
    </row>
    <row r="3665" spans="11:17" x14ac:dyDescent="0.25">
      <c r="K3665" s="246" t="e">
        <f t="shared" si="399"/>
        <v>#VALUE!</v>
      </c>
      <c r="L3665" s="246" t="e">
        <f t="shared" si="400"/>
        <v>#VALUE!</v>
      </c>
      <c r="M3665" s="247" t="e">
        <f t="shared" si="401"/>
        <v>#VALUE!</v>
      </c>
      <c r="N3665" s="246" t="e">
        <f t="shared" si="402"/>
        <v>#VALUE!</v>
      </c>
      <c r="O3665" s="247" t="e">
        <f t="shared" si="403"/>
        <v>#VALUE!</v>
      </c>
      <c r="P3665" s="247">
        <f t="shared" si="404"/>
        <v>0</v>
      </c>
      <c r="Q3665" s="247" t="e">
        <f t="shared" si="405"/>
        <v>#VALUE!</v>
      </c>
    </row>
    <row r="3666" spans="11:17" x14ac:dyDescent="0.25">
      <c r="K3666" s="246" t="e">
        <f t="shared" si="399"/>
        <v>#VALUE!</v>
      </c>
      <c r="L3666" s="246" t="e">
        <f t="shared" si="400"/>
        <v>#VALUE!</v>
      </c>
      <c r="M3666" s="247" t="e">
        <f t="shared" si="401"/>
        <v>#VALUE!</v>
      </c>
      <c r="N3666" s="246" t="e">
        <f t="shared" si="402"/>
        <v>#VALUE!</v>
      </c>
      <c r="O3666" s="247" t="e">
        <f t="shared" si="403"/>
        <v>#VALUE!</v>
      </c>
      <c r="P3666" s="247">
        <f t="shared" si="404"/>
        <v>0</v>
      </c>
      <c r="Q3666" s="247" t="e">
        <f t="shared" si="405"/>
        <v>#VALUE!</v>
      </c>
    </row>
    <row r="3667" spans="11:17" x14ac:dyDescent="0.25">
      <c r="K3667" s="246" t="e">
        <f t="shared" si="399"/>
        <v>#VALUE!</v>
      </c>
      <c r="L3667" s="246" t="e">
        <f t="shared" si="400"/>
        <v>#VALUE!</v>
      </c>
      <c r="M3667" s="247" t="e">
        <f t="shared" si="401"/>
        <v>#VALUE!</v>
      </c>
      <c r="N3667" s="246" t="e">
        <f t="shared" si="402"/>
        <v>#VALUE!</v>
      </c>
      <c r="O3667" s="247" t="e">
        <f t="shared" si="403"/>
        <v>#VALUE!</v>
      </c>
      <c r="P3667" s="247">
        <f t="shared" si="404"/>
        <v>0</v>
      </c>
      <c r="Q3667" s="247" t="e">
        <f t="shared" si="405"/>
        <v>#VALUE!</v>
      </c>
    </row>
    <row r="3668" spans="11:17" x14ac:dyDescent="0.25">
      <c r="K3668" s="246" t="e">
        <f t="shared" si="399"/>
        <v>#VALUE!</v>
      </c>
      <c r="L3668" s="246" t="e">
        <f t="shared" si="400"/>
        <v>#VALUE!</v>
      </c>
      <c r="M3668" s="247" t="e">
        <f t="shared" si="401"/>
        <v>#VALUE!</v>
      </c>
      <c r="N3668" s="246" t="e">
        <f t="shared" si="402"/>
        <v>#VALUE!</v>
      </c>
      <c r="O3668" s="247" t="e">
        <f t="shared" si="403"/>
        <v>#VALUE!</v>
      </c>
      <c r="P3668" s="247">
        <f t="shared" si="404"/>
        <v>0</v>
      </c>
      <c r="Q3668" s="247" t="e">
        <f t="shared" si="405"/>
        <v>#VALUE!</v>
      </c>
    </row>
    <row r="3669" spans="11:17" x14ac:dyDescent="0.25">
      <c r="K3669" s="246" t="e">
        <f t="shared" si="399"/>
        <v>#VALUE!</v>
      </c>
      <c r="L3669" s="246" t="e">
        <f t="shared" si="400"/>
        <v>#VALUE!</v>
      </c>
      <c r="M3669" s="247" t="e">
        <f t="shared" si="401"/>
        <v>#VALUE!</v>
      </c>
      <c r="N3669" s="246" t="e">
        <f t="shared" si="402"/>
        <v>#VALUE!</v>
      </c>
      <c r="O3669" s="247" t="e">
        <f t="shared" si="403"/>
        <v>#VALUE!</v>
      </c>
      <c r="P3669" s="247">
        <f t="shared" si="404"/>
        <v>0</v>
      </c>
      <c r="Q3669" s="247" t="e">
        <f t="shared" si="405"/>
        <v>#VALUE!</v>
      </c>
    </row>
    <row r="3670" spans="11:17" x14ac:dyDescent="0.25">
      <c r="K3670" s="246" t="e">
        <f t="shared" si="399"/>
        <v>#VALUE!</v>
      </c>
      <c r="L3670" s="246" t="e">
        <f t="shared" si="400"/>
        <v>#VALUE!</v>
      </c>
      <c r="M3670" s="247" t="e">
        <f t="shared" si="401"/>
        <v>#VALUE!</v>
      </c>
      <c r="N3670" s="246" t="e">
        <f t="shared" si="402"/>
        <v>#VALUE!</v>
      </c>
      <c r="O3670" s="247" t="e">
        <f t="shared" si="403"/>
        <v>#VALUE!</v>
      </c>
      <c r="P3670" s="247">
        <f t="shared" si="404"/>
        <v>0</v>
      </c>
      <c r="Q3670" s="247" t="e">
        <f t="shared" si="405"/>
        <v>#VALUE!</v>
      </c>
    </row>
    <row r="3671" spans="11:17" x14ac:dyDescent="0.25">
      <c r="K3671" s="246" t="e">
        <f t="shared" si="399"/>
        <v>#VALUE!</v>
      </c>
      <c r="L3671" s="246" t="e">
        <f t="shared" si="400"/>
        <v>#VALUE!</v>
      </c>
      <c r="M3671" s="247" t="e">
        <f t="shared" si="401"/>
        <v>#VALUE!</v>
      </c>
      <c r="N3671" s="246" t="e">
        <f t="shared" si="402"/>
        <v>#VALUE!</v>
      </c>
      <c r="O3671" s="247" t="e">
        <f t="shared" si="403"/>
        <v>#VALUE!</v>
      </c>
      <c r="P3671" s="247">
        <f t="shared" si="404"/>
        <v>0</v>
      </c>
      <c r="Q3671" s="247" t="e">
        <f t="shared" si="405"/>
        <v>#VALUE!</v>
      </c>
    </row>
    <row r="3672" spans="11:17" x14ac:dyDescent="0.25">
      <c r="K3672" s="246" t="e">
        <f t="shared" si="399"/>
        <v>#VALUE!</v>
      </c>
      <c r="L3672" s="246" t="e">
        <f t="shared" si="400"/>
        <v>#VALUE!</v>
      </c>
      <c r="M3672" s="247" t="e">
        <f t="shared" si="401"/>
        <v>#VALUE!</v>
      </c>
      <c r="N3672" s="246" t="e">
        <f t="shared" si="402"/>
        <v>#VALUE!</v>
      </c>
      <c r="O3672" s="247" t="e">
        <f t="shared" si="403"/>
        <v>#VALUE!</v>
      </c>
      <c r="P3672" s="247">
        <f t="shared" si="404"/>
        <v>0</v>
      </c>
      <c r="Q3672" s="247" t="e">
        <f t="shared" si="405"/>
        <v>#VALUE!</v>
      </c>
    </row>
    <row r="3673" spans="11:17" x14ac:dyDescent="0.25">
      <c r="K3673" s="246" t="e">
        <f t="shared" si="399"/>
        <v>#VALUE!</v>
      </c>
      <c r="L3673" s="246" t="e">
        <f t="shared" si="400"/>
        <v>#VALUE!</v>
      </c>
      <c r="M3673" s="247" t="e">
        <f t="shared" si="401"/>
        <v>#VALUE!</v>
      </c>
      <c r="N3673" s="246" t="e">
        <f t="shared" si="402"/>
        <v>#VALUE!</v>
      </c>
      <c r="O3673" s="247" t="e">
        <f t="shared" si="403"/>
        <v>#VALUE!</v>
      </c>
      <c r="P3673" s="247">
        <f t="shared" si="404"/>
        <v>0</v>
      </c>
      <c r="Q3673" s="247" t="e">
        <f t="shared" si="405"/>
        <v>#VALUE!</v>
      </c>
    </row>
    <row r="3674" spans="11:17" x14ac:dyDescent="0.25">
      <c r="K3674" s="246" t="e">
        <f t="shared" si="399"/>
        <v>#VALUE!</v>
      </c>
      <c r="L3674" s="246" t="e">
        <f t="shared" si="400"/>
        <v>#VALUE!</v>
      </c>
      <c r="M3674" s="247" t="e">
        <f t="shared" si="401"/>
        <v>#VALUE!</v>
      </c>
      <c r="N3674" s="246" t="e">
        <f t="shared" si="402"/>
        <v>#VALUE!</v>
      </c>
      <c r="O3674" s="247" t="e">
        <f t="shared" si="403"/>
        <v>#VALUE!</v>
      </c>
      <c r="P3674" s="247">
        <f t="shared" si="404"/>
        <v>0</v>
      </c>
      <c r="Q3674" s="247" t="e">
        <f t="shared" si="405"/>
        <v>#VALUE!</v>
      </c>
    </row>
    <row r="3675" spans="11:17" x14ac:dyDescent="0.25">
      <c r="K3675" s="246" t="e">
        <f t="shared" si="399"/>
        <v>#VALUE!</v>
      </c>
      <c r="L3675" s="246" t="e">
        <f t="shared" si="400"/>
        <v>#VALUE!</v>
      </c>
      <c r="M3675" s="247" t="e">
        <f t="shared" si="401"/>
        <v>#VALUE!</v>
      </c>
      <c r="N3675" s="246" t="e">
        <f t="shared" si="402"/>
        <v>#VALUE!</v>
      </c>
      <c r="O3675" s="247" t="e">
        <f t="shared" si="403"/>
        <v>#VALUE!</v>
      </c>
      <c r="P3675" s="247">
        <f t="shared" si="404"/>
        <v>0</v>
      </c>
      <c r="Q3675" s="247" t="e">
        <f t="shared" si="405"/>
        <v>#VALUE!</v>
      </c>
    </row>
    <row r="3676" spans="11:17" x14ac:dyDescent="0.25">
      <c r="K3676" s="246" t="e">
        <f t="shared" si="399"/>
        <v>#VALUE!</v>
      </c>
      <c r="L3676" s="246" t="e">
        <f t="shared" si="400"/>
        <v>#VALUE!</v>
      </c>
      <c r="M3676" s="247" t="e">
        <f t="shared" si="401"/>
        <v>#VALUE!</v>
      </c>
      <c r="N3676" s="246" t="e">
        <f t="shared" si="402"/>
        <v>#VALUE!</v>
      </c>
      <c r="O3676" s="247" t="e">
        <f t="shared" si="403"/>
        <v>#VALUE!</v>
      </c>
      <c r="P3676" s="247">
        <f t="shared" si="404"/>
        <v>0</v>
      </c>
      <c r="Q3676" s="247" t="e">
        <f t="shared" si="405"/>
        <v>#VALUE!</v>
      </c>
    </row>
    <row r="3677" spans="11:17" x14ac:dyDescent="0.25">
      <c r="K3677" s="246" t="e">
        <f t="shared" si="399"/>
        <v>#VALUE!</v>
      </c>
      <c r="L3677" s="246" t="e">
        <f t="shared" si="400"/>
        <v>#VALUE!</v>
      </c>
      <c r="M3677" s="247" t="e">
        <f t="shared" si="401"/>
        <v>#VALUE!</v>
      </c>
      <c r="N3677" s="246" t="e">
        <f t="shared" si="402"/>
        <v>#VALUE!</v>
      </c>
      <c r="O3677" s="247" t="e">
        <f t="shared" si="403"/>
        <v>#VALUE!</v>
      </c>
      <c r="P3677" s="247">
        <f t="shared" si="404"/>
        <v>0</v>
      </c>
      <c r="Q3677" s="247" t="e">
        <f t="shared" si="405"/>
        <v>#VALUE!</v>
      </c>
    </row>
    <row r="3678" spans="11:17" x14ac:dyDescent="0.25">
      <c r="K3678" s="246" t="e">
        <f t="shared" si="399"/>
        <v>#VALUE!</v>
      </c>
      <c r="L3678" s="246" t="e">
        <f t="shared" si="400"/>
        <v>#VALUE!</v>
      </c>
      <c r="M3678" s="247" t="e">
        <f t="shared" si="401"/>
        <v>#VALUE!</v>
      </c>
      <c r="N3678" s="246" t="e">
        <f t="shared" si="402"/>
        <v>#VALUE!</v>
      </c>
      <c r="O3678" s="247" t="e">
        <f t="shared" si="403"/>
        <v>#VALUE!</v>
      </c>
      <c r="P3678" s="247">
        <f t="shared" si="404"/>
        <v>0</v>
      </c>
      <c r="Q3678" s="247" t="e">
        <f t="shared" si="405"/>
        <v>#VALUE!</v>
      </c>
    </row>
    <row r="3679" spans="11:17" x14ac:dyDescent="0.25">
      <c r="K3679" s="246" t="e">
        <f t="shared" si="399"/>
        <v>#VALUE!</v>
      </c>
      <c r="L3679" s="246" t="e">
        <f t="shared" si="400"/>
        <v>#VALUE!</v>
      </c>
      <c r="M3679" s="247" t="e">
        <f t="shared" si="401"/>
        <v>#VALUE!</v>
      </c>
      <c r="N3679" s="246" t="e">
        <f t="shared" si="402"/>
        <v>#VALUE!</v>
      </c>
      <c r="O3679" s="247" t="e">
        <f t="shared" si="403"/>
        <v>#VALUE!</v>
      </c>
      <c r="P3679" s="247">
        <f t="shared" si="404"/>
        <v>0</v>
      </c>
      <c r="Q3679" s="247" t="e">
        <f t="shared" si="405"/>
        <v>#VALUE!</v>
      </c>
    </row>
    <row r="3680" spans="11:17" x14ac:dyDescent="0.25">
      <c r="K3680" s="246" t="e">
        <f t="shared" si="399"/>
        <v>#VALUE!</v>
      </c>
      <c r="L3680" s="246" t="e">
        <f t="shared" si="400"/>
        <v>#VALUE!</v>
      </c>
      <c r="M3680" s="247" t="e">
        <f t="shared" si="401"/>
        <v>#VALUE!</v>
      </c>
      <c r="N3680" s="246" t="e">
        <f t="shared" si="402"/>
        <v>#VALUE!</v>
      </c>
      <c r="O3680" s="247" t="e">
        <f t="shared" si="403"/>
        <v>#VALUE!</v>
      </c>
      <c r="P3680" s="247">
        <f t="shared" si="404"/>
        <v>0</v>
      </c>
      <c r="Q3680" s="247" t="e">
        <f t="shared" si="405"/>
        <v>#VALUE!</v>
      </c>
    </row>
    <row r="3681" spans="11:17" x14ac:dyDescent="0.25">
      <c r="K3681" s="246" t="e">
        <f t="shared" si="399"/>
        <v>#VALUE!</v>
      </c>
      <c r="L3681" s="246" t="e">
        <f t="shared" si="400"/>
        <v>#VALUE!</v>
      </c>
      <c r="M3681" s="247" t="e">
        <f t="shared" si="401"/>
        <v>#VALUE!</v>
      </c>
      <c r="N3681" s="246" t="e">
        <f t="shared" si="402"/>
        <v>#VALUE!</v>
      </c>
      <c r="O3681" s="247" t="e">
        <f t="shared" si="403"/>
        <v>#VALUE!</v>
      </c>
      <c r="P3681" s="247">
        <f t="shared" si="404"/>
        <v>0</v>
      </c>
      <c r="Q3681" s="247" t="e">
        <f t="shared" si="405"/>
        <v>#VALUE!</v>
      </c>
    </row>
    <row r="3682" spans="11:17" x14ac:dyDescent="0.25">
      <c r="K3682" s="246" t="e">
        <f t="shared" si="399"/>
        <v>#VALUE!</v>
      </c>
      <c r="L3682" s="246" t="e">
        <f t="shared" si="400"/>
        <v>#VALUE!</v>
      </c>
      <c r="M3682" s="247" t="e">
        <f t="shared" si="401"/>
        <v>#VALUE!</v>
      </c>
      <c r="N3682" s="246" t="e">
        <f t="shared" si="402"/>
        <v>#VALUE!</v>
      </c>
      <c r="O3682" s="247" t="e">
        <f t="shared" si="403"/>
        <v>#VALUE!</v>
      </c>
      <c r="P3682" s="247">
        <f t="shared" si="404"/>
        <v>0</v>
      </c>
      <c r="Q3682" s="247" t="e">
        <f t="shared" si="405"/>
        <v>#VALUE!</v>
      </c>
    </row>
    <row r="3683" spans="11:17" x14ac:dyDescent="0.25">
      <c r="K3683" s="246" t="e">
        <f t="shared" si="399"/>
        <v>#VALUE!</v>
      </c>
      <c r="L3683" s="246" t="e">
        <f t="shared" si="400"/>
        <v>#VALUE!</v>
      </c>
      <c r="M3683" s="247" t="e">
        <f t="shared" si="401"/>
        <v>#VALUE!</v>
      </c>
      <c r="N3683" s="246" t="e">
        <f t="shared" si="402"/>
        <v>#VALUE!</v>
      </c>
      <c r="O3683" s="247" t="e">
        <f t="shared" si="403"/>
        <v>#VALUE!</v>
      </c>
      <c r="P3683" s="247">
        <f t="shared" si="404"/>
        <v>0</v>
      </c>
      <c r="Q3683" s="247" t="e">
        <f t="shared" si="405"/>
        <v>#VALUE!</v>
      </c>
    </row>
    <row r="3684" spans="11:17" x14ac:dyDescent="0.25">
      <c r="K3684" s="246" t="e">
        <f t="shared" si="399"/>
        <v>#VALUE!</v>
      </c>
      <c r="L3684" s="246" t="e">
        <f t="shared" si="400"/>
        <v>#VALUE!</v>
      </c>
      <c r="M3684" s="247" t="e">
        <f t="shared" si="401"/>
        <v>#VALUE!</v>
      </c>
      <c r="N3684" s="246" t="e">
        <f t="shared" si="402"/>
        <v>#VALUE!</v>
      </c>
      <c r="O3684" s="247" t="e">
        <f t="shared" si="403"/>
        <v>#VALUE!</v>
      </c>
      <c r="P3684" s="247">
        <f t="shared" si="404"/>
        <v>0</v>
      </c>
      <c r="Q3684" s="247" t="e">
        <f t="shared" si="405"/>
        <v>#VALUE!</v>
      </c>
    </row>
    <row r="3685" spans="11:17" x14ac:dyDescent="0.25">
      <c r="K3685" s="246" t="e">
        <f t="shared" si="399"/>
        <v>#VALUE!</v>
      </c>
      <c r="L3685" s="246" t="e">
        <f t="shared" si="400"/>
        <v>#VALUE!</v>
      </c>
      <c r="M3685" s="247" t="e">
        <f t="shared" si="401"/>
        <v>#VALUE!</v>
      </c>
      <c r="N3685" s="246" t="e">
        <f t="shared" si="402"/>
        <v>#VALUE!</v>
      </c>
      <c r="O3685" s="247" t="e">
        <f t="shared" si="403"/>
        <v>#VALUE!</v>
      </c>
      <c r="P3685" s="247">
        <f t="shared" si="404"/>
        <v>0</v>
      </c>
      <c r="Q3685" s="247" t="e">
        <f t="shared" si="405"/>
        <v>#VALUE!</v>
      </c>
    </row>
    <row r="3686" spans="11:17" x14ac:dyDescent="0.25">
      <c r="K3686" s="246" t="e">
        <f t="shared" si="399"/>
        <v>#VALUE!</v>
      </c>
      <c r="L3686" s="246" t="e">
        <f t="shared" si="400"/>
        <v>#VALUE!</v>
      </c>
      <c r="M3686" s="247" t="e">
        <f t="shared" si="401"/>
        <v>#VALUE!</v>
      </c>
      <c r="N3686" s="246" t="e">
        <f t="shared" si="402"/>
        <v>#VALUE!</v>
      </c>
      <c r="O3686" s="247" t="e">
        <f t="shared" si="403"/>
        <v>#VALUE!</v>
      </c>
      <c r="P3686" s="247">
        <f t="shared" si="404"/>
        <v>0</v>
      </c>
      <c r="Q3686" s="247" t="e">
        <f t="shared" si="405"/>
        <v>#VALUE!</v>
      </c>
    </row>
    <row r="3687" spans="11:17" x14ac:dyDescent="0.25">
      <c r="K3687" s="246" t="e">
        <f t="shared" si="399"/>
        <v>#VALUE!</v>
      </c>
      <c r="L3687" s="246" t="e">
        <f t="shared" si="400"/>
        <v>#VALUE!</v>
      </c>
      <c r="M3687" s="247" t="e">
        <f t="shared" si="401"/>
        <v>#VALUE!</v>
      </c>
      <c r="N3687" s="246" t="e">
        <f t="shared" si="402"/>
        <v>#VALUE!</v>
      </c>
      <c r="O3687" s="247" t="e">
        <f t="shared" si="403"/>
        <v>#VALUE!</v>
      </c>
      <c r="P3687" s="247">
        <f t="shared" si="404"/>
        <v>0</v>
      </c>
      <c r="Q3687" s="247" t="e">
        <f t="shared" si="405"/>
        <v>#VALUE!</v>
      </c>
    </row>
    <row r="3688" spans="11:17" x14ac:dyDescent="0.25">
      <c r="K3688" s="246" t="e">
        <f t="shared" si="399"/>
        <v>#VALUE!</v>
      </c>
      <c r="L3688" s="246" t="e">
        <f t="shared" si="400"/>
        <v>#VALUE!</v>
      </c>
      <c r="M3688" s="247" t="e">
        <f t="shared" si="401"/>
        <v>#VALUE!</v>
      </c>
      <c r="N3688" s="246" t="e">
        <f t="shared" si="402"/>
        <v>#VALUE!</v>
      </c>
      <c r="O3688" s="247" t="e">
        <f t="shared" si="403"/>
        <v>#VALUE!</v>
      </c>
      <c r="P3688" s="247">
        <f t="shared" si="404"/>
        <v>0</v>
      </c>
      <c r="Q3688" s="247" t="e">
        <f t="shared" si="405"/>
        <v>#VALUE!</v>
      </c>
    </row>
    <row r="3689" spans="11:17" x14ac:dyDescent="0.25">
      <c r="K3689" s="246" t="e">
        <f t="shared" si="399"/>
        <v>#VALUE!</v>
      </c>
      <c r="L3689" s="246" t="e">
        <f t="shared" si="400"/>
        <v>#VALUE!</v>
      </c>
      <c r="M3689" s="247" t="e">
        <f t="shared" si="401"/>
        <v>#VALUE!</v>
      </c>
      <c r="N3689" s="246" t="e">
        <f t="shared" si="402"/>
        <v>#VALUE!</v>
      </c>
      <c r="O3689" s="247" t="e">
        <f t="shared" si="403"/>
        <v>#VALUE!</v>
      </c>
      <c r="P3689" s="247">
        <f t="shared" si="404"/>
        <v>0</v>
      </c>
      <c r="Q3689" s="247" t="e">
        <f t="shared" si="405"/>
        <v>#VALUE!</v>
      </c>
    </row>
    <row r="3690" spans="11:17" x14ac:dyDescent="0.25">
      <c r="K3690" s="246" t="e">
        <f t="shared" si="399"/>
        <v>#VALUE!</v>
      </c>
      <c r="L3690" s="246" t="e">
        <f t="shared" si="400"/>
        <v>#VALUE!</v>
      </c>
      <c r="M3690" s="247" t="e">
        <f t="shared" si="401"/>
        <v>#VALUE!</v>
      </c>
      <c r="N3690" s="246" t="e">
        <f t="shared" si="402"/>
        <v>#VALUE!</v>
      </c>
      <c r="O3690" s="247" t="e">
        <f t="shared" si="403"/>
        <v>#VALUE!</v>
      </c>
      <c r="P3690" s="247">
        <f t="shared" si="404"/>
        <v>0</v>
      </c>
      <c r="Q3690" s="247" t="e">
        <f t="shared" si="405"/>
        <v>#VALUE!</v>
      </c>
    </row>
    <row r="3691" spans="11:17" x14ac:dyDescent="0.25">
      <c r="K3691" s="246" t="e">
        <f t="shared" si="399"/>
        <v>#VALUE!</v>
      </c>
      <c r="L3691" s="246" t="e">
        <f t="shared" si="400"/>
        <v>#VALUE!</v>
      </c>
      <c r="M3691" s="247" t="e">
        <f t="shared" si="401"/>
        <v>#VALUE!</v>
      </c>
      <c r="N3691" s="246" t="e">
        <f t="shared" si="402"/>
        <v>#VALUE!</v>
      </c>
      <c r="O3691" s="247" t="e">
        <f t="shared" si="403"/>
        <v>#VALUE!</v>
      </c>
      <c r="P3691" s="247">
        <f t="shared" si="404"/>
        <v>0</v>
      </c>
      <c r="Q3691" s="247" t="e">
        <f t="shared" si="405"/>
        <v>#VALUE!</v>
      </c>
    </row>
    <row r="3692" spans="11:17" x14ac:dyDescent="0.25">
      <c r="K3692" s="246" t="e">
        <f t="shared" si="399"/>
        <v>#VALUE!</v>
      </c>
      <c r="L3692" s="246" t="e">
        <f t="shared" si="400"/>
        <v>#VALUE!</v>
      </c>
      <c r="M3692" s="247" t="e">
        <f t="shared" si="401"/>
        <v>#VALUE!</v>
      </c>
      <c r="N3692" s="246" t="e">
        <f t="shared" si="402"/>
        <v>#VALUE!</v>
      </c>
      <c r="O3692" s="247" t="e">
        <f t="shared" si="403"/>
        <v>#VALUE!</v>
      </c>
      <c r="P3692" s="247">
        <f t="shared" si="404"/>
        <v>0</v>
      </c>
      <c r="Q3692" s="247" t="e">
        <f t="shared" si="405"/>
        <v>#VALUE!</v>
      </c>
    </row>
    <row r="3693" spans="11:17" x14ac:dyDescent="0.25">
      <c r="K3693" s="246" t="e">
        <f t="shared" si="399"/>
        <v>#VALUE!</v>
      </c>
      <c r="L3693" s="246" t="e">
        <f t="shared" si="400"/>
        <v>#VALUE!</v>
      </c>
      <c r="M3693" s="247" t="e">
        <f t="shared" si="401"/>
        <v>#VALUE!</v>
      </c>
      <c r="N3693" s="246" t="e">
        <f t="shared" si="402"/>
        <v>#VALUE!</v>
      </c>
      <c r="O3693" s="247" t="e">
        <f t="shared" si="403"/>
        <v>#VALUE!</v>
      </c>
      <c r="P3693" s="247">
        <f t="shared" si="404"/>
        <v>0</v>
      </c>
      <c r="Q3693" s="247" t="e">
        <f t="shared" si="405"/>
        <v>#VALUE!</v>
      </c>
    </row>
    <row r="3694" spans="11:17" x14ac:dyDescent="0.25">
      <c r="K3694" s="246" t="e">
        <f t="shared" si="399"/>
        <v>#VALUE!</v>
      </c>
      <c r="L3694" s="246" t="e">
        <f t="shared" si="400"/>
        <v>#VALUE!</v>
      </c>
      <c r="M3694" s="247" t="e">
        <f t="shared" si="401"/>
        <v>#VALUE!</v>
      </c>
      <c r="N3694" s="246" t="e">
        <f t="shared" si="402"/>
        <v>#VALUE!</v>
      </c>
      <c r="O3694" s="247" t="e">
        <f t="shared" si="403"/>
        <v>#VALUE!</v>
      </c>
      <c r="P3694" s="247">
        <f t="shared" si="404"/>
        <v>0</v>
      </c>
      <c r="Q3694" s="247" t="e">
        <f t="shared" si="405"/>
        <v>#VALUE!</v>
      </c>
    </row>
    <row r="3695" spans="11:17" x14ac:dyDescent="0.25">
      <c r="K3695" s="246" t="e">
        <f t="shared" si="399"/>
        <v>#VALUE!</v>
      </c>
      <c r="L3695" s="246" t="e">
        <f t="shared" si="400"/>
        <v>#VALUE!</v>
      </c>
      <c r="M3695" s="247" t="e">
        <f t="shared" si="401"/>
        <v>#VALUE!</v>
      </c>
      <c r="N3695" s="246" t="e">
        <f t="shared" si="402"/>
        <v>#VALUE!</v>
      </c>
      <c r="O3695" s="247" t="e">
        <f t="shared" si="403"/>
        <v>#VALUE!</v>
      </c>
      <c r="P3695" s="247">
        <f t="shared" si="404"/>
        <v>0</v>
      </c>
      <c r="Q3695" s="247" t="e">
        <f t="shared" si="405"/>
        <v>#VALUE!</v>
      </c>
    </row>
    <row r="3696" spans="11:17" x14ac:dyDescent="0.25">
      <c r="K3696" s="246" t="e">
        <f t="shared" si="399"/>
        <v>#VALUE!</v>
      </c>
      <c r="L3696" s="246" t="e">
        <f t="shared" si="400"/>
        <v>#VALUE!</v>
      </c>
      <c r="M3696" s="247" t="e">
        <f t="shared" si="401"/>
        <v>#VALUE!</v>
      </c>
      <c r="N3696" s="246" t="e">
        <f t="shared" si="402"/>
        <v>#VALUE!</v>
      </c>
      <c r="O3696" s="247" t="e">
        <f t="shared" si="403"/>
        <v>#VALUE!</v>
      </c>
      <c r="P3696" s="247">
        <f t="shared" si="404"/>
        <v>0</v>
      </c>
      <c r="Q3696" s="247" t="e">
        <f t="shared" si="405"/>
        <v>#VALUE!</v>
      </c>
    </row>
    <row r="3697" spans="11:17" x14ac:dyDescent="0.25">
      <c r="K3697" s="246" t="e">
        <f t="shared" si="399"/>
        <v>#VALUE!</v>
      </c>
      <c r="L3697" s="246" t="e">
        <f t="shared" si="400"/>
        <v>#VALUE!</v>
      </c>
      <c r="M3697" s="247" t="e">
        <f t="shared" si="401"/>
        <v>#VALUE!</v>
      </c>
      <c r="N3697" s="246" t="e">
        <f t="shared" si="402"/>
        <v>#VALUE!</v>
      </c>
      <c r="O3697" s="247" t="e">
        <f t="shared" si="403"/>
        <v>#VALUE!</v>
      </c>
      <c r="P3697" s="247">
        <f t="shared" si="404"/>
        <v>0</v>
      </c>
      <c r="Q3697" s="247" t="e">
        <f t="shared" si="405"/>
        <v>#VALUE!</v>
      </c>
    </row>
    <row r="3698" spans="11:17" x14ac:dyDescent="0.25">
      <c r="K3698" s="246" t="e">
        <f t="shared" ref="K3698:K3761" si="406">DATE(VALUE(LEFT(A3698,4)),VALUE(MID(A3698,5,2)),VALUE(RIGHT(A3698,2)))</f>
        <v>#VALUE!</v>
      </c>
      <c r="L3698" s="246" t="e">
        <f t="shared" ref="L3698:L3761" si="407">DATEVALUE(LEFT(F3698,10))</f>
        <v>#VALUE!</v>
      </c>
      <c r="M3698" s="247" t="e">
        <f t="shared" ref="M3698:M3761" si="408">TIMEVALUE(MID(F3698,12,8))</f>
        <v>#VALUE!</v>
      </c>
      <c r="N3698" s="246" t="e">
        <f t="shared" ref="N3698:N3761" si="409">DATEVALUE(LEFT(G3698,10))</f>
        <v>#VALUE!</v>
      </c>
      <c r="O3698" s="247" t="e">
        <f t="shared" ref="O3698:O3761" si="410">TIMEVALUE(MID(G3698,12,8))</f>
        <v>#VALUE!</v>
      </c>
      <c r="P3698" s="247">
        <f t="shared" si="404"/>
        <v>0</v>
      </c>
      <c r="Q3698" s="247" t="e">
        <f t="shared" si="405"/>
        <v>#VALUE!</v>
      </c>
    </row>
    <row r="3699" spans="11:17" x14ac:dyDescent="0.25">
      <c r="K3699" s="246" t="e">
        <f t="shared" si="406"/>
        <v>#VALUE!</v>
      </c>
      <c r="L3699" s="246" t="e">
        <f t="shared" si="407"/>
        <v>#VALUE!</v>
      </c>
      <c r="M3699" s="247" t="e">
        <f t="shared" si="408"/>
        <v>#VALUE!</v>
      </c>
      <c r="N3699" s="246" t="e">
        <f t="shared" si="409"/>
        <v>#VALUE!</v>
      </c>
      <c r="O3699" s="247" t="e">
        <f t="shared" si="410"/>
        <v>#VALUE!</v>
      </c>
      <c r="P3699" s="247">
        <f t="shared" si="404"/>
        <v>0</v>
      </c>
      <c r="Q3699" s="247" t="e">
        <f t="shared" si="405"/>
        <v>#VALUE!</v>
      </c>
    </row>
    <row r="3700" spans="11:17" x14ac:dyDescent="0.25">
      <c r="K3700" s="246" t="e">
        <f t="shared" si="406"/>
        <v>#VALUE!</v>
      </c>
      <c r="L3700" s="246" t="e">
        <f t="shared" si="407"/>
        <v>#VALUE!</v>
      </c>
      <c r="M3700" s="247" t="e">
        <f t="shared" si="408"/>
        <v>#VALUE!</v>
      </c>
      <c r="N3700" s="246" t="e">
        <f t="shared" si="409"/>
        <v>#VALUE!</v>
      </c>
      <c r="O3700" s="247" t="e">
        <f t="shared" si="410"/>
        <v>#VALUE!</v>
      </c>
      <c r="P3700" s="247">
        <f t="shared" si="404"/>
        <v>0</v>
      </c>
      <c r="Q3700" s="247" t="e">
        <f t="shared" si="405"/>
        <v>#VALUE!</v>
      </c>
    </row>
    <row r="3701" spans="11:17" x14ac:dyDescent="0.25">
      <c r="K3701" s="246" t="e">
        <f t="shared" si="406"/>
        <v>#VALUE!</v>
      </c>
      <c r="L3701" s="246" t="e">
        <f t="shared" si="407"/>
        <v>#VALUE!</v>
      </c>
      <c r="M3701" s="247" t="e">
        <f t="shared" si="408"/>
        <v>#VALUE!</v>
      </c>
      <c r="N3701" s="246" t="e">
        <f t="shared" si="409"/>
        <v>#VALUE!</v>
      </c>
      <c r="O3701" s="247" t="e">
        <f t="shared" si="410"/>
        <v>#VALUE!</v>
      </c>
      <c r="P3701" s="247">
        <f t="shared" si="404"/>
        <v>0</v>
      </c>
      <c r="Q3701" s="247" t="e">
        <f t="shared" si="405"/>
        <v>#VALUE!</v>
      </c>
    </row>
    <row r="3702" spans="11:17" x14ac:dyDescent="0.25">
      <c r="K3702" s="246" t="e">
        <f t="shared" si="406"/>
        <v>#VALUE!</v>
      </c>
      <c r="L3702" s="246" t="e">
        <f t="shared" si="407"/>
        <v>#VALUE!</v>
      </c>
      <c r="M3702" s="247" t="e">
        <f t="shared" si="408"/>
        <v>#VALUE!</v>
      </c>
      <c r="N3702" s="246" t="e">
        <f t="shared" si="409"/>
        <v>#VALUE!</v>
      </c>
      <c r="O3702" s="247" t="e">
        <f t="shared" si="410"/>
        <v>#VALUE!</v>
      </c>
      <c r="P3702" s="247">
        <f t="shared" si="404"/>
        <v>0</v>
      </c>
      <c r="Q3702" s="247" t="e">
        <f t="shared" si="405"/>
        <v>#VALUE!</v>
      </c>
    </row>
    <row r="3703" spans="11:17" x14ac:dyDescent="0.25">
      <c r="K3703" s="246" t="e">
        <f t="shared" si="406"/>
        <v>#VALUE!</v>
      </c>
      <c r="L3703" s="246" t="e">
        <f t="shared" si="407"/>
        <v>#VALUE!</v>
      </c>
      <c r="M3703" s="247" t="e">
        <f t="shared" si="408"/>
        <v>#VALUE!</v>
      </c>
      <c r="N3703" s="246" t="e">
        <f t="shared" si="409"/>
        <v>#VALUE!</v>
      </c>
      <c r="O3703" s="247" t="e">
        <f t="shared" si="410"/>
        <v>#VALUE!</v>
      </c>
      <c r="P3703" s="247">
        <f t="shared" si="404"/>
        <v>0</v>
      </c>
      <c r="Q3703" s="247" t="e">
        <f t="shared" si="405"/>
        <v>#VALUE!</v>
      </c>
    </row>
    <row r="3704" spans="11:17" x14ac:dyDescent="0.25">
      <c r="K3704" s="246" t="e">
        <f t="shared" si="406"/>
        <v>#VALUE!</v>
      </c>
      <c r="L3704" s="246" t="e">
        <f t="shared" si="407"/>
        <v>#VALUE!</v>
      </c>
      <c r="M3704" s="247" t="e">
        <f t="shared" si="408"/>
        <v>#VALUE!</v>
      </c>
      <c r="N3704" s="246" t="e">
        <f t="shared" si="409"/>
        <v>#VALUE!</v>
      </c>
      <c r="O3704" s="247" t="e">
        <f t="shared" si="410"/>
        <v>#VALUE!</v>
      </c>
      <c r="P3704" s="247">
        <f t="shared" si="404"/>
        <v>0</v>
      </c>
      <c r="Q3704" s="247" t="e">
        <f t="shared" si="405"/>
        <v>#VALUE!</v>
      </c>
    </row>
    <row r="3705" spans="11:17" x14ac:dyDescent="0.25">
      <c r="K3705" s="246" t="e">
        <f t="shared" si="406"/>
        <v>#VALUE!</v>
      </c>
      <c r="L3705" s="246" t="e">
        <f t="shared" si="407"/>
        <v>#VALUE!</v>
      </c>
      <c r="M3705" s="247" t="e">
        <f t="shared" si="408"/>
        <v>#VALUE!</v>
      </c>
      <c r="N3705" s="246" t="e">
        <f t="shared" si="409"/>
        <v>#VALUE!</v>
      </c>
      <c r="O3705" s="247" t="e">
        <f t="shared" si="410"/>
        <v>#VALUE!</v>
      </c>
      <c r="P3705" s="247">
        <f t="shared" si="404"/>
        <v>0</v>
      </c>
      <c r="Q3705" s="247" t="e">
        <f t="shared" si="405"/>
        <v>#VALUE!</v>
      </c>
    </row>
    <row r="3706" spans="11:17" x14ac:dyDescent="0.25">
      <c r="K3706" s="246" t="e">
        <f t="shared" si="406"/>
        <v>#VALUE!</v>
      </c>
      <c r="L3706" s="246" t="e">
        <f t="shared" si="407"/>
        <v>#VALUE!</v>
      </c>
      <c r="M3706" s="247" t="e">
        <f t="shared" si="408"/>
        <v>#VALUE!</v>
      </c>
      <c r="N3706" s="246" t="e">
        <f t="shared" si="409"/>
        <v>#VALUE!</v>
      </c>
      <c r="O3706" s="247" t="e">
        <f t="shared" si="410"/>
        <v>#VALUE!</v>
      </c>
      <c r="P3706" s="247">
        <f t="shared" si="404"/>
        <v>0</v>
      </c>
      <c r="Q3706" s="247" t="e">
        <f t="shared" si="405"/>
        <v>#VALUE!</v>
      </c>
    </row>
    <row r="3707" spans="11:17" x14ac:dyDescent="0.25">
      <c r="K3707" s="246" t="e">
        <f t="shared" si="406"/>
        <v>#VALUE!</v>
      </c>
      <c r="L3707" s="246" t="e">
        <f t="shared" si="407"/>
        <v>#VALUE!</v>
      </c>
      <c r="M3707" s="247" t="e">
        <f t="shared" si="408"/>
        <v>#VALUE!</v>
      </c>
      <c r="N3707" s="246" t="e">
        <f t="shared" si="409"/>
        <v>#VALUE!</v>
      </c>
      <c r="O3707" s="247" t="e">
        <f t="shared" si="410"/>
        <v>#VALUE!</v>
      </c>
      <c r="P3707" s="247">
        <f t="shared" si="404"/>
        <v>0</v>
      </c>
      <c r="Q3707" s="247" t="e">
        <f t="shared" si="405"/>
        <v>#VALUE!</v>
      </c>
    </row>
    <row r="3708" spans="11:17" x14ac:dyDescent="0.25">
      <c r="K3708" s="246" t="e">
        <f t="shared" si="406"/>
        <v>#VALUE!</v>
      </c>
      <c r="L3708" s="246" t="e">
        <f t="shared" si="407"/>
        <v>#VALUE!</v>
      </c>
      <c r="M3708" s="247" t="e">
        <f t="shared" si="408"/>
        <v>#VALUE!</v>
      </c>
      <c r="N3708" s="246" t="e">
        <f t="shared" si="409"/>
        <v>#VALUE!</v>
      </c>
      <c r="O3708" s="247" t="e">
        <f t="shared" si="410"/>
        <v>#VALUE!</v>
      </c>
      <c r="P3708" s="247">
        <f t="shared" si="404"/>
        <v>0</v>
      </c>
      <c r="Q3708" s="247" t="e">
        <f t="shared" si="405"/>
        <v>#VALUE!</v>
      </c>
    </row>
    <row r="3709" spans="11:17" x14ac:dyDescent="0.25">
      <c r="K3709" s="246" t="e">
        <f t="shared" si="406"/>
        <v>#VALUE!</v>
      </c>
      <c r="L3709" s="246" t="e">
        <f t="shared" si="407"/>
        <v>#VALUE!</v>
      </c>
      <c r="M3709" s="247" t="e">
        <f t="shared" si="408"/>
        <v>#VALUE!</v>
      </c>
      <c r="N3709" s="246" t="e">
        <f t="shared" si="409"/>
        <v>#VALUE!</v>
      </c>
      <c r="O3709" s="247" t="e">
        <f t="shared" si="410"/>
        <v>#VALUE!</v>
      </c>
      <c r="P3709" s="247">
        <f t="shared" si="404"/>
        <v>0</v>
      </c>
      <c r="Q3709" s="247" t="e">
        <f t="shared" si="405"/>
        <v>#VALUE!</v>
      </c>
    </row>
    <row r="3710" spans="11:17" x14ac:dyDescent="0.25">
      <c r="K3710" s="246" t="e">
        <f t="shared" si="406"/>
        <v>#VALUE!</v>
      </c>
      <c r="L3710" s="246" t="e">
        <f t="shared" si="407"/>
        <v>#VALUE!</v>
      </c>
      <c r="M3710" s="247" t="e">
        <f t="shared" si="408"/>
        <v>#VALUE!</v>
      </c>
      <c r="N3710" s="246" t="e">
        <f t="shared" si="409"/>
        <v>#VALUE!</v>
      </c>
      <c r="O3710" s="247" t="e">
        <f t="shared" si="410"/>
        <v>#VALUE!</v>
      </c>
      <c r="P3710" s="247">
        <f t="shared" si="404"/>
        <v>0</v>
      </c>
      <c r="Q3710" s="247" t="e">
        <f t="shared" si="405"/>
        <v>#VALUE!</v>
      </c>
    </row>
    <row r="3711" spans="11:17" x14ac:dyDescent="0.25">
      <c r="K3711" s="246" t="e">
        <f t="shared" si="406"/>
        <v>#VALUE!</v>
      </c>
      <c r="L3711" s="246" t="e">
        <f t="shared" si="407"/>
        <v>#VALUE!</v>
      </c>
      <c r="M3711" s="247" t="e">
        <f t="shared" si="408"/>
        <v>#VALUE!</v>
      </c>
      <c r="N3711" s="246" t="e">
        <f t="shared" si="409"/>
        <v>#VALUE!</v>
      </c>
      <c r="O3711" s="247" t="e">
        <f t="shared" si="410"/>
        <v>#VALUE!</v>
      </c>
      <c r="P3711" s="247">
        <f t="shared" si="404"/>
        <v>0</v>
      </c>
      <c r="Q3711" s="247" t="e">
        <f t="shared" si="405"/>
        <v>#VALUE!</v>
      </c>
    </row>
    <row r="3712" spans="11:17" x14ac:dyDescent="0.25">
      <c r="K3712" s="246" t="e">
        <f t="shared" si="406"/>
        <v>#VALUE!</v>
      </c>
      <c r="L3712" s="246" t="e">
        <f t="shared" si="407"/>
        <v>#VALUE!</v>
      </c>
      <c r="M3712" s="247" t="e">
        <f t="shared" si="408"/>
        <v>#VALUE!</v>
      </c>
      <c r="N3712" s="246" t="e">
        <f t="shared" si="409"/>
        <v>#VALUE!</v>
      </c>
      <c r="O3712" s="247" t="e">
        <f t="shared" si="410"/>
        <v>#VALUE!</v>
      </c>
      <c r="P3712" s="247">
        <f t="shared" si="404"/>
        <v>0</v>
      </c>
      <c r="Q3712" s="247" t="e">
        <f t="shared" si="405"/>
        <v>#VALUE!</v>
      </c>
    </row>
    <row r="3713" spans="11:17" x14ac:dyDescent="0.25">
      <c r="K3713" s="246" t="e">
        <f t="shared" si="406"/>
        <v>#VALUE!</v>
      </c>
      <c r="L3713" s="246" t="e">
        <f t="shared" si="407"/>
        <v>#VALUE!</v>
      </c>
      <c r="M3713" s="247" t="e">
        <f t="shared" si="408"/>
        <v>#VALUE!</v>
      </c>
      <c r="N3713" s="246" t="e">
        <f t="shared" si="409"/>
        <v>#VALUE!</v>
      </c>
      <c r="O3713" s="247" t="e">
        <f t="shared" si="410"/>
        <v>#VALUE!</v>
      </c>
      <c r="P3713" s="247">
        <f t="shared" si="404"/>
        <v>0</v>
      </c>
      <c r="Q3713" s="247" t="e">
        <f t="shared" si="405"/>
        <v>#VALUE!</v>
      </c>
    </row>
    <row r="3714" spans="11:17" x14ac:dyDescent="0.25">
      <c r="K3714" s="246" t="e">
        <f t="shared" si="406"/>
        <v>#VALUE!</v>
      </c>
      <c r="L3714" s="246" t="e">
        <f t="shared" si="407"/>
        <v>#VALUE!</v>
      </c>
      <c r="M3714" s="247" t="e">
        <f t="shared" si="408"/>
        <v>#VALUE!</v>
      </c>
      <c r="N3714" s="246" t="e">
        <f t="shared" si="409"/>
        <v>#VALUE!</v>
      </c>
      <c r="O3714" s="247" t="e">
        <f t="shared" si="410"/>
        <v>#VALUE!</v>
      </c>
      <c r="P3714" s="247">
        <f t="shared" ref="P3714:P3777" si="411">IFERROR(_xlfn.MINIFS($M:$M,$E:$E,$E3714,$K:$K,$K3714,$M:$M,"&gt;"&amp;$O3714),"")</f>
        <v>0</v>
      </c>
      <c r="Q3714" s="247" t="e">
        <f t="shared" ref="Q3714:Q3777" si="412">IF($P3714="","",$P3714-$O3714)</f>
        <v>#VALUE!</v>
      </c>
    </row>
    <row r="3715" spans="11:17" x14ac:dyDescent="0.25">
      <c r="K3715" s="246" t="e">
        <f t="shared" si="406"/>
        <v>#VALUE!</v>
      </c>
      <c r="L3715" s="246" t="e">
        <f t="shared" si="407"/>
        <v>#VALUE!</v>
      </c>
      <c r="M3715" s="247" t="e">
        <f t="shared" si="408"/>
        <v>#VALUE!</v>
      </c>
      <c r="N3715" s="246" t="e">
        <f t="shared" si="409"/>
        <v>#VALUE!</v>
      </c>
      <c r="O3715" s="247" t="e">
        <f t="shared" si="410"/>
        <v>#VALUE!</v>
      </c>
      <c r="P3715" s="247">
        <f t="shared" si="411"/>
        <v>0</v>
      </c>
      <c r="Q3715" s="247" t="e">
        <f t="shared" si="412"/>
        <v>#VALUE!</v>
      </c>
    </row>
    <row r="3716" spans="11:17" x14ac:dyDescent="0.25">
      <c r="K3716" s="246" t="e">
        <f t="shared" si="406"/>
        <v>#VALUE!</v>
      </c>
      <c r="L3716" s="246" t="e">
        <f t="shared" si="407"/>
        <v>#VALUE!</v>
      </c>
      <c r="M3716" s="247" t="e">
        <f t="shared" si="408"/>
        <v>#VALUE!</v>
      </c>
      <c r="N3716" s="246" t="e">
        <f t="shared" si="409"/>
        <v>#VALUE!</v>
      </c>
      <c r="O3716" s="247" t="e">
        <f t="shared" si="410"/>
        <v>#VALUE!</v>
      </c>
      <c r="P3716" s="247">
        <f t="shared" si="411"/>
        <v>0</v>
      </c>
      <c r="Q3716" s="247" t="e">
        <f t="shared" si="412"/>
        <v>#VALUE!</v>
      </c>
    </row>
    <row r="3717" spans="11:17" x14ac:dyDescent="0.25">
      <c r="K3717" s="246" t="e">
        <f t="shared" si="406"/>
        <v>#VALUE!</v>
      </c>
      <c r="L3717" s="246" t="e">
        <f t="shared" si="407"/>
        <v>#VALUE!</v>
      </c>
      <c r="M3717" s="247" t="e">
        <f t="shared" si="408"/>
        <v>#VALUE!</v>
      </c>
      <c r="N3717" s="246" t="e">
        <f t="shared" si="409"/>
        <v>#VALUE!</v>
      </c>
      <c r="O3717" s="247" t="e">
        <f t="shared" si="410"/>
        <v>#VALUE!</v>
      </c>
      <c r="P3717" s="247">
        <f t="shared" si="411"/>
        <v>0</v>
      </c>
      <c r="Q3717" s="247" t="e">
        <f t="shared" si="412"/>
        <v>#VALUE!</v>
      </c>
    </row>
    <row r="3718" spans="11:17" x14ac:dyDescent="0.25">
      <c r="K3718" s="246" t="e">
        <f t="shared" si="406"/>
        <v>#VALUE!</v>
      </c>
      <c r="L3718" s="246" t="e">
        <f t="shared" si="407"/>
        <v>#VALUE!</v>
      </c>
      <c r="M3718" s="247" t="e">
        <f t="shared" si="408"/>
        <v>#VALUE!</v>
      </c>
      <c r="N3718" s="246" t="e">
        <f t="shared" si="409"/>
        <v>#VALUE!</v>
      </c>
      <c r="O3718" s="247" t="e">
        <f t="shared" si="410"/>
        <v>#VALUE!</v>
      </c>
      <c r="P3718" s="247">
        <f t="shared" si="411"/>
        <v>0</v>
      </c>
      <c r="Q3718" s="247" t="e">
        <f t="shared" si="412"/>
        <v>#VALUE!</v>
      </c>
    </row>
    <row r="3719" spans="11:17" x14ac:dyDescent="0.25">
      <c r="K3719" s="246" t="e">
        <f t="shared" si="406"/>
        <v>#VALUE!</v>
      </c>
      <c r="L3719" s="246" t="e">
        <f t="shared" si="407"/>
        <v>#VALUE!</v>
      </c>
      <c r="M3719" s="247" t="e">
        <f t="shared" si="408"/>
        <v>#VALUE!</v>
      </c>
      <c r="N3719" s="246" t="e">
        <f t="shared" si="409"/>
        <v>#VALUE!</v>
      </c>
      <c r="O3719" s="247" t="e">
        <f t="shared" si="410"/>
        <v>#VALUE!</v>
      </c>
      <c r="P3719" s="247">
        <f t="shared" si="411"/>
        <v>0</v>
      </c>
      <c r="Q3719" s="247" t="e">
        <f t="shared" si="412"/>
        <v>#VALUE!</v>
      </c>
    </row>
    <row r="3720" spans="11:17" x14ac:dyDescent="0.25">
      <c r="K3720" s="246" t="e">
        <f t="shared" si="406"/>
        <v>#VALUE!</v>
      </c>
      <c r="L3720" s="246" t="e">
        <f t="shared" si="407"/>
        <v>#VALUE!</v>
      </c>
      <c r="M3720" s="247" t="e">
        <f t="shared" si="408"/>
        <v>#VALUE!</v>
      </c>
      <c r="N3720" s="246" t="e">
        <f t="shared" si="409"/>
        <v>#VALUE!</v>
      </c>
      <c r="O3720" s="247" t="e">
        <f t="shared" si="410"/>
        <v>#VALUE!</v>
      </c>
      <c r="P3720" s="247">
        <f t="shared" si="411"/>
        <v>0</v>
      </c>
      <c r="Q3720" s="247" t="e">
        <f t="shared" si="412"/>
        <v>#VALUE!</v>
      </c>
    </row>
    <row r="3721" spans="11:17" x14ac:dyDescent="0.25">
      <c r="K3721" s="246" t="e">
        <f t="shared" si="406"/>
        <v>#VALUE!</v>
      </c>
      <c r="L3721" s="246" t="e">
        <f t="shared" si="407"/>
        <v>#VALUE!</v>
      </c>
      <c r="M3721" s="247" t="e">
        <f t="shared" si="408"/>
        <v>#VALUE!</v>
      </c>
      <c r="N3721" s="246" t="e">
        <f t="shared" si="409"/>
        <v>#VALUE!</v>
      </c>
      <c r="O3721" s="247" t="e">
        <f t="shared" si="410"/>
        <v>#VALUE!</v>
      </c>
      <c r="P3721" s="247">
        <f t="shared" si="411"/>
        <v>0</v>
      </c>
      <c r="Q3721" s="247" t="e">
        <f t="shared" si="412"/>
        <v>#VALUE!</v>
      </c>
    </row>
    <row r="3722" spans="11:17" x14ac:dyDescent="0.25">
      <c r="K3722" s="246" t="e">
        <f t="shared" si="406"/>
        <v>#VALUE!</v>
      </c>
      <c r="L3722" s="246" t="e">
        <f t="shared" si="407"/>
        <v>#VALUE!</v>
      </c>
      <c r="M3722" s="247" t="e">
        <f t="shared" si="408"/>
        <v>#VALUE!</v>
      </c>
      <c r="N3722" s="246" t="e">
        <f t="shared" si="409"/>
        <v>#VALUE!</v>
      </c>
      <c r="O3722" s="247" t="e">
        <f t="shared" si="410"/>
        <v>#VALUE!</v>
      </c>
      <c r="P3722" s="247">
        <f t="shared" si="411"/>
        <v>0</v>
      </c>
      <c r="Q3722" s="247" t="e">
        <f t="shared" si="412"/>
        <v>#VALUE!</v>
      </c>
    </row>
    <row r="3723" spans="11:17" x14ac:dyDescent="0.25">
      <c r="K3723" s="246" t="e">
        <f t="shared" si="406"/>
        <v>#VALUE!</v>
      </c>
      <c r="L3723" s="246" t="e">
        <f t="shared" si="407"/>
        <v>#VALUE!</v>
      </c>
      <c r="M3723" s="247" t="e">
        <f t="shared" si="408"/>
        <v>#VALUE!</v>
      </c>
      <c r="N3723" s="246" t="e">
        <f t="shared" si="409"/>
        <v>#VALUE!</v>
      </c>
      <c r="O3723" s="247" t="e">
        <f t="shared" si="410"/>
        <v>#VALUE!</v>
      </c>
      <c r="P3723" s="247">
        <f t="shared" si="411"/>
        <v>0</v>
      </c>
      <c r="Q3723" s="247" t="e">
        <f t="shared" si="412"/>
        <v>#VALUE!</v>
      </c>
    </row>
    <row r="3724" spans="11:17" x14ac:dyDescent="0.25">
      <c r="K3724" s="246" t="e">
        <f t="shared" si="406"/>
        <v>#VALUE!</v>
      </c>
      <c r="L3724" s="246" t="e">
        <f t="shared" si="407"/>
        <v>#VALUE!</v>
      </c>
      <c r="M3724" s="247" t="e">
        <f t="shared" si="408"/>
        <v>#VALUE!</v>
      </c>
      <c r="N3724" s="246" t="e">
        <f t="shared" si="409"/>
        <v>#VALUE!</v>
      </c>
      <c r="O3724" s="247" t="e">
        <f t="shared" si="410"/>
        <v>#VALUE!</v>
      </c>
      <c r="P3724" s="247">
        <f t="shared" si="411"/>
        <v>0</v>
      </c>
      <c r="Q3724" s="247" t="e">
        <f t="shared" si="412"/>
        <v>#VALUE!</v>
      </c>
    </row>
    <row r="3725" spans="11:17" x14ac:dyDescent="0.25">
      <c r="K3725" s="246" t="e">
        <f t="shared" si="406"/>
        <v>#VALUE!</v>
      </c>
      <c r="L3725" s="246" t="e">
        <f t="shared" si="407"/>
        <v>#VALUE!</v>
      </c>
      <c r="M3725" s="247" t="e">
        <f t="shared" si="408"/>
        <v>#VALUE!</v>
      </c>
      <c r="N3725" s="246" t="e">
        <f t="shared" si="409"/>
        <v>#VALUE!</v>
      </c>
      <c r="O3725" s="247" t="e">
        <f t="shared" si="410"/>
        <v>#VALUE!</v>
      </c>
      <c r="P3725" s="247">
        <f t="shared" si="411"/>
        <v>0</v>
      </c>
      <c r="Q3725" s="247" t="e">
        <f t="shared" si="412"/>
        <v>#VALUE!</v>
      </c>
    </row>
    <row r="3726" spans="11:17" x14ac:dyDescent="0.25">
      <c r="K3726" s="246" t="e">
        <f t="shared" si="406"/>
        <v>#VALUE!</v>
      </c>
      <c r="L3726" s="246" t="e">
        <f t="shared" si="407"/>
        <v>#VALUE!</v>
      </c>
      <c r="M3726" s="247" t="e">
        <f t="shared" si="408"/>
        <v>#VALUE!</v>
      </c>
      <c r="N3726" s="246" t="e">
        <f t="shared" si="409"/>
        <v>#VALUE!</v>
      </c>
      <c r="O3726" s="247" t="e">
        <f t="shared" si="410"/>
        <v>#VALUE!</v>
      </c>
      <c r="P3726" s="247">
        <f t="shared" si="411"/>
        <v>0</v>
      </c>
      <c r="Q3726" s="247" t="e">
        <f t="shared" si="412"/>
        <v>#VALUE!</v>
      </c>
    </row>
    <row r="3727" spans="11:17" x14ac:dyDescent="0.25">
      <c r="K3727" s="246" t="e">
        <f t="shared" si="406"/>
        <v>#VALUE!</v>
      </c>
      <c r="L3727" s="246" t="e">
        <f t="shared" si="407"/>
        <v>#VALUE!</v>
      </c>
      <c r="M3727" s="247" t="e">
        <f t="shared" si="408"/>
        <v>#VALUE!</v>
      </c>
      <c r="N3727" s="246" t="e">
        <f t="shared" si="409"/>
        <v>#VALUE!</v>
      </c>
      <c r="O3727" s="247" t="e">
        <f t="shared" si="410"/>
        <v>#VALUE!</v>
      </c>
      <c r="P3727" s="247">
        <f t="shared" si="411"/>
        <v>0</v>
      </c>
      <c r="Q3727" s="247" t="e">
        <f t="shared" si="412"/>
        <v>#VALUE!</v>
      </c>
    </row>
    <row r="3728" spans="11:17" x14ac:dyDescent="0.25">
      <c r="K3728" s="246" t="e">
        <f t="shared" si="406"/>
        <v>#VALUE!</v>
      </c>
      <c r="L3728" s="246" t="e">
        <f t="shared" si="407"/>
        <v>#VALUE!</v>
      </c>
      <c r="M3728" s="247" t="e">
        <f t="shared" si="408"/>
        <v>#VALUE!</v>
      </c>
      <c r="N3728" s="246" t="e">
        <f t="shared" si="409"/>
        <v>#VALUE!</v>
      </c>
      <c r="O3728" s="247" t="e">
        <f t="shared" si="410"/>
        <v>#VALUE!</v>
      </c>
      <c r="P3728" s="247">
        <f t="shared" si="411"/>
        <v>0</v>
      </c>
      <c r="Q3728" s="247" t="e">
        <f t="shared" si="412"/>
        <v>#VALUE!</v>
      </c>
    </row>
    <row r="3729" spans="11:17" x14ac:dyDescent="0.25">
      <c r="K3729" s="246" t="e">
        <f t="shared" si="406"/>
        <v>#VALUE!</v>
      </c>
      <c r="L3729" s="246" t="e">
        <f t="shared" si="407"/>
        <v>#VALUE!</v>
      </c>
      <c r="M3729" s="247" t="e">
        <f t="shared" si="408"/>
        <v>#VALUE!</v>
      </c>
      <c r="N3729" s="246" t="e">
        <f t="shared" si="409"/>
        <v>#VALUE!</v>
      </c>
      <c r="O3729" s="247" t="e">
        <f t="shared" si="410"/>
        <v>#VALUE!</v>
      </c>
      <c r="P3729" s="247">
        <f t="shared" si="411"/>
        <v>0</v>
      </c>
      <c r="Q3729" s="247" t="e">
        <f t="shared" si="412"/>
        <v>#VALUE!</v>
      </c>
    </row>
    <row r="3730" spans="11:17" x14ac:dyDescent="0.25">
      <c r="K3730" s="246" t="e">
        <f t="shared" si="406"/>
        <v>#VALUE!</v>
      </c>
      <c r="L3730" s="246" t="e">
        <f t="shared" si="407"/>
        <v>#VALUE!</v>
      </c>
      <c r="M3730" s="247" t="e">
        <f t="shared" si="408"/>
        <v>#VALUE!</v>
      </c>
      <c r="N3730" s="246" t="e">
        <f t="shared" si="409"/>
        <v>#VALUE!</v>
      </c>
      <c r="O3730" s="247" t="e">
        <f t="shared" si="410"/>
        <v>#VALUE!</v>
      </c>
      <c r="P3730" s="247">
        <f t="shared" si="411"/>
        <v>0</v>
      </c>
      <c r="Q3730" s="247" t="e">
        <f t="shared" si="412"/>
        <v>#VALUE!</v>
      </c>
    </row>
    <row r="3731" spans="11:17" x14ac:dyDescent="0.25">
      <c r="K3731" s="246" t="e">
        <f t="shared" si="406"/>
        <v>#VALUE!</v>
      </c>
      <c r="L3731" s="246" t="e">
        <f t="shared" si="407"/>
        <v>#VALUE!</v>
      </c>
      <c r="M3731" s="247" t="e">
        <f t="shared" si="408"/>
        <v>#VALUE!</v>
      </c>
      <c r="N3731" s="246" t="e">
        <f t="shared" si="409"/>
        <v>#VALUE!</v>
      </c>
      <c r="O3731" s="247" t="e">
        <f t="shared" si="410"/>
        <v>#VALUE!</v>
      </c>
      <c r="P3731" s="247">
        <f t="shared" si="411"/>
        <v>0</v>
      </c>
      <c r="Q3731" s="247" t="e">
        <f t="shared" si="412"/>
        <v>#VALUE!</v>
      </c>
    </row>
    <row r="3732" spans="11:17" x14ac:dyDescent="0.25">
      <c r="K3732" s="246" t="e">
        <f t="shared" si="406"/>
        <v>#VALUE!</v>
      </c>
      <c r="L3732" s="246" t="e">
        <f t="shared" si="407"/>
        <v>#VALUE!</v>
      </c>
      <c r="M3732" s="247" t="e">
        <f t="shared" si="408"/>
        <v>#VALUE!</v>
      </c>
      <c r="N3732" s="246" t="e">
        <f t="shared" si="409"/>
        <v>#VALUE!</v>
      </c>
      <c r="O3732" s="247" t="e">
        <f t="shared" si="410"/>
        <v>#VALUE!</v>
      </c>
      <c r="P3732" s="247">
        <f t="shared" si="411"/>
        <v>0</v>
      </c>
      <c r="Q3732" s="247" t="e">
        <f t="shared" si="412"/>
        <v>#VALUE!</v>
      </c>
    </row>
    <row r="3733" spans="11:17" x14ac:dyDescent="0.25">
      <c r="K3733" s="246" t="e">
        <f t="shared" si="406"/>
        <v>#VALUE!</v>
      </c>
      <c r="L3733" s="246" t="e">
        <f t="shared" si="407"/>
        <v>#VALUE!</v>
      </c>
      <c r="M3733" s="247" t="e">
        <f t="shared" si="408"/>
        <v>#VALUE!</v>
      </c>
      <c r="N3733" s="246" t="e">
        <f t="shared" si="409"/>
        <v>#VALUE!</v>
      </c>
      <c r="O3733" s="247" t="e">
        <f t="shared" si="410"/>
        <v>#VALUE!</v>
      </c>
      <c r="P3733" s="247">
        <f t="shared" si="411"/>
        <v>0</v>
      </c>
      <c r="Q3733" s="247" t="e">
        <f t="shared" si="412"/>
        <v>#VALUE!</v>
      </c>
    </row>
    <row r="3734" spans="11:17" x14ac:dyDescent="0.25">
      <c r="K3734" s="246" t="e">
        <f t="shared" si="406"/>
        <v>#VALUE!</v>
      </c>
      <c r="L3734" s="246" t="e">
        <f t="shared" si="407"/>
        <v>#VALUE!</v>
      </c>
      <c r="M3734" s="247" t="e">
        <f t="shared" si="408"/>
        <v>#VALUE!</v>
      </c>
      <c r="N3734" s="246" t="e">
        <f t="shared" si="409"/>
        <v>#VALUE!</v>
      </c>
      <c r="O3734" s="247" t="e">
        <f t="shared" si="410"/>
        <v>#VALUE!</v>
      </c>
      <c r="P3734" s="247">
        <f t="shared" si="411"/>
        <v>0</v>
      </c>
      <c r="Q3734" s="247" t="e">
        <f t="shared" si="412"/>
        <v>#VALUE!</v>
      </c>
    </row>
    <row r="3735" spans="11:17" x14ac:dyDescent="0.25">
      <c r="K3735" s="246" t="e">
        <f t="shared" si="406"/>
        <v>#VALUE!</v>
      </c>
      <c r="L3735" s="246" t="e">
        <f t="shared" si="407"/>
        <v>#VALUE!</v>
      </c>
      <c r="M3735" s="247" t="e">
        <f t="shared" si="408"/>
        <v>#VALUE!</v>
      </c>
      <c r="N3735" s="246" t="e">
        <f t="shared" si="409"/>
        <v>#VALUE!</v>
      </c>
      <c r="O3735" s="247" t="e">
        <f t="shared" si="410"/>
        <v>#VALUE!</v>
      </c>
      <c r="P3735" s="247">
        <f t="shared" si="411"/>
        <v>0</v>
      </c>
      <c r="Q3735" s="247" t="e">
        <f t="shared" si="412"/>
        <v>#VALUE!</v>
      </c>
    </row>
    <row r="3736" spans="11:17" x14ac:dyDescent="0.25">
      <c r="K3736" s="246" t="e">
        <f t="shared" si="406"/>
        <v>#VALUE!</v>
      </c>
      <c r="L3736" s="246" t="e">
        <f t="shared" si="407"/>
        <v>#VALUE!</v>
      </c>
      <c r="M3736" s="247" t="e">
        <f t="shared" si="408"/>
        <v>#VALUE!</v>
      </c>
      <c r="N3736" s="246" t="e">
        <f t="shared" si="409"/>
        <v>#VALUE!</v>
      </c>
      <c r="O3736" s="247" t="e">
        <f t="shared" si="410"/>
        <v>#VALUE!</v>
      </c>
      <c r="P3736" s="247">
        <f t="shared" si="411"/>
        <v>0</v>
      </c>
      <c r="Q3736" s="247" t="e">
        <f t="shared" si="412"/>
        <v>#VALUE!</v>
      </c>
    </row>
    <row r="3737" spans="11:17" x14ac:dyDescent="0.25">
      <c r="K3737" s="246" t="e">
        <f t="shared" si="406"/>
        <v>#VALUE!</v>
      </c>
      <c r="L3737" s="246" t="e">
        <f t="shared" si="407"/>
        <v>#VALUE!</v>
      </c>
      <c r="M3737" s="247" t="e">
        <f t="shared" si="408"/>
        <v>#VALUE!</v>
      </c>
      <c r="N3737" s="246" t="e">
        <f t="shared" si="409"/>
        <v>#VALUE!</v>
      </c>
      <c r="O3737" s="247" t="e">
        <f t="shared" si="410"/>
        <v>#VALUE!</v>
      </c>
      <c r="P3737" s="247">
        <f t="shared" si="411"/>
        <v>0</v>
      </c>
      <c r="Q3737" s="247" t="e">
        <f t="shared" si="412"/>
        <v>#VALUE!</v>
      </c>
    </row>
    <row r="3738" spans="11:17" x14ac:dyDescent="0.25">
      <c r="K3738" s="246" t="e">
        <f t="shared" si="406"/>
        <v>#VALUE!</v>
      </c>
      <c r="L3738" s="246" t="e">
        <f t="shared" si="407"/>
        <v>#VALUE!</v>
      </c>
      <c r="M3738" s="247" t="e">
        <f t="shared" si="408"/>
        <v>#VALUE!</v>
      </c>
      <c r="N3738" s="246" t="e">
        <f t="shared" si="409"/>
        <v>#VALUE!</v>
      </c>
      <c r="O3738" s="247" t="e">
        <f t="shared" si="410"/>
        <v>#VALUE!</v>
      </c>
      <c r="P3738" s="247">
        <f t="shared" si="411"/>
        <v>0</v>
      </c>
      <c r="Q3738" s="247" t="e">
        <f t="shared" si="412"/>
        <v>#VALUE!</v>
      </c>
    </row>
    <row r="3739" spans="11:17" x14ac:dyDescent="0.25">
      <c r="K3739" s="246" t="e">
        <f t="shared" si="406"/>
        <v>#VALUE!</v>
      </c>
      <c r="L3739" s="246" t="e">
        <f t="shared" si="407"/>
        <v>#VALUE!</v>
      </c>
      <c r="M3739" s="247" t="e">
        <f t="shared" si="408"/>
        <v>#VALUE!</v>
      </c>
      <c r="N3739" s="246" t="e">
        <f t="shared" si="409"/>
        <v>#VALUE!</v>
      </c>
      <c r="O3739" s="247" t="e">
        <f t="shared" si="410"/>
        <v>#VALUE!</v>
      </c>
      <c r="P3739" s="247">
        <f t="shared" si="411"/>
        <v>0</v>
      </c>
      <c r="Q3739" s="247" t="e">
        <f t="shared" si="412"/>
        <v>#VALUE!</v>
      </c>
    </row>
    <row r="3740" spans="11:17" x14ac:dyDescent="0.25">
      <c r="K3740" s="246" t="e">
        <f t="shared" si="406"/>
        <v>#VALUE!</v>
      </c>
      <c r="L3740" s="246" t="e">
        <f t="shared" si="407"/>
        <v>#VALUE!</v>
      </c>
      <c r="M3740" s="247" t="e">
        <f t="shared" si="408"/>
        <v>#VALUE!</v>
      </c>
      <c r="N3740" s="246" t="e">
        <f t="shared" si="409"/>
        <v>#VALUE!</v>
      </c>
      <c r="O3740" s="247" t="e">
        <f t="shared" si="410"/>
        <v>#VALUE!</v>
      </c>
      <c r="P3740" s="247">
        <f t="shared" si="411"/>
        <v>0</v>
      </c>
      <c r="Q3740" s="247" t="e">
        <f t="shared" si="412"/>
        <v>#VALUE!</v>
      </c>
    </row>
    <row r="3741" spans="11:17" x14ac:dyDescent="0.25">
      <c r="K3741" s="246" t="e">
        <f t="shared" si="406"/>
        <v>#VALUE!</v>
      </c>
      <c r="L3741" s="246" t="e">
        <f t="shared" si="407"/>
        <v>#VALUE!</v>
      </c>
      <c r="M3741" s="247" t="e">
        <f t="shared" si="408"/>
        <v>#VALUE!</v>
      </c>
      <c r="N3741" s="246" t="e">
        <f t="shared" si="409"/>
        <v>#VALUE!</v>
      </c>
      <c r="O3741" s="247" t="e">
        <f t="shared" si="410"/>
        <v>#VALUE!</v>
      </c>
      <c r="P3741" s="247">
        <f t="shared" si="411"/>
        <v>0</v>
      </c>
      <c r="Q3741" s="247" t="e">
        <f t="shared" si="412"/>
        <v>#VALUE!</v>
      </c>
    </row>
    <row r="3742" spans="11:17" x14ac:dyDescent="0.25">
      <c r="K3742" s="246" t="e">
        <f t="shared" si="406"/>
        <v>#VALUE!</v>
      </c>
      <c r="L3742" s="246" t="e">
        <f t="shared" si="407"/>
        <v>#VALUE!</v>
      </c>
      <c r="M3742" s="247" t="e">
        <f t="shared" si="408"/>
        <v>#VALUE!</v>
      </c>
      <c r="N3742" s="246" t="e">
        <f t="shared" si="409"/>
        <v>#VALUE!</v>
      </c>
      <c r="O3742" s="247" t="e">
        <f t="shared" si="410"/>
        <v>#VALUE!</v>
      </c>
      <c r="P3742" s="247">
        <f t="shared" si="411"/>
        <v>0</v>
      </c>
      <c r="Q3742" s="247" t="e">
        <f t="shared" si="412"/>
        <v>#VALUE!</v>
      </c>
    </row>
    <row r="3743" spans="11:17" x14ac:dyDescent="0.25">
      <c r="K3743" s="246" t="e">
        <f t="shared" si="406"/>
        <v>#VALUE!</v>
      </c>
      <c r="L3743" s="246" t="e">
        <f t="shared" si="407"/>
        <v>#VALUE!</v>
      </c>
      <c r="M3743" s="247" t="e">
        <f t="shared" si="408"/>
        <v>#VALUE!</v>
      </c>
      <c r="N3743" s="246" t="e">
        <f t="shared" si="409"/>
        <v>#VALUE!</v>
      </c>
      <c r="O3743" s="247" t="e">
        <f t="shared" si="410"/>
        <v>#VALUE!</v>
      </c>
      <c r="P3743" s="247">
        <f t="shared" si="411"/>
        <v>0</v>
      </c>
      <c r="Q3743" s="247" t="e">
        <f t="shared" si="412"/>
        <v>#VALUE!</v>
      </c>
    </row>
    <row r="3744" spans="11:17" x14ac:dyDescent="0.25">
      <c r="K3744" s="246" t="e">
        <f t="shared" si="406"/>
        <v>#VALUE!</v>
      </c>
      <c r="L3744" s="246" t="e">
        <f t="shared" si="407"/>
        <v>#VALUE!</v>
      </c>
      <c r="M3744" s="247" t="e">
        <f t="shared" si="408"/>
        <v>#VALUE!</v>
      </c>
      <c r="N3744" s="246" t="e">
        <f t="shared" si="409"/>
        <v>#VALUE!</v>
      </c>
      <c r="O3744" s="247" t="e">
        <f t="shared" si="410"/>
        <v>#VALUE!</v>
      </c>
      <c r="P3744" s="247">
        <f t="shared" si="411"/>
        <v>0</v>
      </c>
      <c r="Q3744" s="247" t="e">
        <f t="shared" si="412"/>
        <v>#VALUE!</v>
      </c>
    </row>
    <row r="3745" spans="11:17" x14ac:dyDescent="0.25">
      <c r="K3745" s="246" t="e">
        <f t="shared" si="406"/>
        <v>#VALUE!</v>
      </c>
      <c r="L3745" s="246" t="e">
        <f t="shared" si="407"/>
        <v>#VALUE!</v>
      </c>
      <c r="M3745" s="247" t="e">
        <f t="shared" si="408"/>
        <v>#VALUE!</v>
      </c>
      <c r="N3745" s="246" t="e">
        <f t="shared" si="409"/>
        <v>#VALUE!</v>
      </c>
      <c r="O3745" s="247" t="e">
        <f t="shared" si="410"/>
        <v>#VALUE!</v>
      </c>
      <c r="P3745" s="247">
        <f t="shared" si="411"/>
        <v>0</v>
      </c>
      <c r="Q3745" s="247" t="e">
        <f t="shared" si="412"/>
        <v>#VALUE!</v>
      </c>
    </row>
    <row r="3746" spans="11:17" x14ac:dyDescent="0.25">
      <c r="K3746" s="246" t="e">
        <f t="shared" si="406"/>
        <v>#VALUE!</v>
      </c>
      <c r="L3746" s="246" t="e">
        <f t="shared" si="407"/>
        <v>#VALUE!</v>
      </c>
      <c r="M3746" s="247" t="e">
        <f t="shared" si="408"/>
        <v>#VALUE!</v>
      </c>
      <c r="N3746" s="246" t="e">
        <f t="shared" si="409"/>
        <v>#VALUE!</v>
      </c>
      <c r="O3746" s="247" t="e">
        <f t="shared" si="410"/>
        <v>#VALUE!</v>
      </c>
      <c r="P3746" s="247">
        <f t="shared" si="411"/>
        <v>0</v>
      </c>
      <c r="Q3746" s="247" t="e">
        <f t="shared" si="412"/>
        <v>#VALUE!</v>
      </c>
    </row>
    <row r="3747" spans="11:17" x14ac:dyDescent="0.25">
      <c r="K3747" s="246" t="e">
        <f t="shared" si="406"/>
        <v>#VALUE!</v>
      </c>
      <c r="L3747" s="246" t="e">
        <f t="shared" si="407"/>
        <v>#VALUE!</v>
      </c>
      <c r="M3747" s="247" t="e">
        <f t="shared" si="408"/>
        <v>#VALUE!</v>
      </c>
      <c r="N3747" s="246" t="e">
        <f t="shared" si="409"/>
        <v>#VALUE!</v>
      </c>
      <c r="O3747" s="247" t="e">
        <f t="shared" si="410"/>
        <v>#VALUE!</v>
      </c>
      <c r="P3747" s="247">
        <f t="shared" si="411"/>
        <v>0</v>
      </c>
      <c r="Q3747" s="247" t="e">
        <f t="shared" si="412"/>
        <v>#VALUE!</v>
      </c>
    </row>
    <row r="3748" spans="11:17" x14ac:dyDescent="0.25">
      <c r="K3748" s="246" t="e">
        <f t="shared" si="406"/>
        <v>#VALUE!</v>
      </c>
      <c r="L3748" s="246" t="e">
        <f t="shared" si="407"/>
        <v>#VALUE!</v>
      </c>
      <c r="M3748" s="247" t="e">
        <f t="shared" si="408"/>
        <v>#VALUE!</v>
      </c>
      <c r="N3748" s="246" t="e">
        <f t="shared" si="409"/>
        <v>#VALUE!</v>
      </c>
      <c r="O3748" s="247" t="e">
        <f t="shared" si="410"/>
        <v>#VALUE!</v>
      </c>
      <c r="P3748" s="247">
        <f t="shared" si="411"/>
        <v>0</v>
      </c>
      <c r="Q3748" s="247" t="e">
        <f t="shared" si="412"/>
        <v>#VALUE!</v>
      </c>
    </row>
    <row r="3749" spans="11:17" x14ac:dyDescent="0.25">
      <c r="K3749" s="246" t="e">
        <f t="shared" si="406"/>
        <v>#VALUE!</v>
      </c>
      <c r="L3749" s="246" t="e">
        <f t="shared" si="407"/>
        <v>#VALUE!</v>
      </c>
      <c r="M3749" s="247" t="e">
        <f t="shared" si="408"/>
        <v>#VALUE!</v>
      </c>
      <c r="N3749" s="246" t="e">
        <f t="shared" si="409"/>
        <v>#VALUE!</v>
      </c>
      <c r="O3749" s="247" t="e">
        <f t="shared" si="410"/>
        <v>#VALUE!</v>
      </c>
      <c r="P3749" s="247">
        <f t="shared" si="411"/>
        <v>0</v>
      </c>
      <c r="Q3749" s="247" t="e">
        <f t="shared" si="412"/>
        <v>#VALUE!</v>
      </c>
    </row>
    <row r="3750" spans="11:17" x14ac:dyDescent="0.25">
      <c r="K3750" s="246" t="e">
        <f t="shared" si="406"/>
        <v>#VALUE!</v>
      </c>
      <c r="L3750" s="246" t="e">
        <f t="shared" si="407"/>
        <v>#VALUE!</v>
      </c>
      <c r="M3750" s="247" t="e">
        <f t="shared" si="408"/>
        <v>#VALUE!</v>
      </c>
      <c r="N3750" s="246" t="e">
        <f t="shared" si="409"/>
        <v>#VALUE!</v>
      </c>
      <c r="O3750" s="247" t="e">
        <f t="shared" si="410"/>
        <v>#VALUE!</v>
      </c>
      <c r="P3750" s="247">
        <f t="shared" si="411"/>
        <v>0</v>
      </c>
      <c r="Q3750" s="247" t="e">
        <f t="shared" si="412"/>
        <v>#VALUE!</v>
      </c>
    </row>
    <row r="3751" spans="11:17" x14ac:dyDescent="0.25">
      <c r="K3751" s="246" t="e">
        <f t="shared" si="406"/>
        <v>#VALUE!</v>
      </c>
      <c r="L3751" s="246" t="e">
        <f t="shared" si="407"/>
        <v>#VALUE!</v>
      </c>
      <c r="M3751" s="247" t="e">
        <f t="shared" si="408"/>
        <v>#VALUE!</v>
      </c>
      <c r="N3751" s="246" t="e">
        <f t="shared" si="409"/>
        <v>#VALUE!</v>
      </c>
      <c r="O3751" s="247" t="e">
        <f t="shared" si="410"/>
        <v>#VALUE!</v>
      </c>
      <c r="P3751" s="247">
        <f t="shared" si="411"/>
        <v>0</v>
      </c>
      <c r="Q3751" s="247" t="e">
        <f t="shared" si="412"/>
        <v>#VALUE!</v>
      </c>
    </row>
    <row r="3752" spans="11:17" x14ac:dyDescent="0.25">
      <c r="K3752" s="246" t="e">
        <f t="shared" si="406"/>
        <v>#VALUE!</v>
      </c>
      <c r="L3752" s="246" t="e">
        <f t="shared" si="407"/>
        <v>#VALUE!</v>
      </c>
      <c r="M3752" s="247" t="e">
        <f t="shared" si="408"/>
        <v>#VALUE!</v>
      </c>
      <c r="N3752" s="246" t="e">
        <f t="shared" si="409"/>
        <v>#VALUE!</v>
      </c>
      <c r="O3752" s="247" t="e">
        <f t="shared" si="410"/>
        <v>#VALUE!</v>
      </c>
      <c r="P3752" s="247">
        <f t="shared" si="411"/>
        <v>0</v>
      </c>
      <c r="Q3752" s="247" t="e">
        <f t="shared" si="412"/>
        <v>#VALUE!</v>
      </c>
    </row>
    <row r="3753" spans="11:17" x14ac:dyDescent="0.25">
      <c r="K3753" s="246" t="e">
        <f t="shared" si="406"/>
        <v>#VALUE!</v>
      </c>
      <c r="L3753" s="246" t="e">
        <f t="shared" si="407"/>
        <v>#VALUE!</v>
      </c>
      <c r="M3753" s="247" t="e">
        <f t="shared" si="408"/>
        <v>#VALUE!</v>
      </c>
      <c r="N3753" s="246" t="e">
        <f t="shared" si="409"/>
        <v>#VALUE!</v>
      </c>
      <c r="O3753" s="247" t="e">
        <f t="shared" si="410"/>
        <v>#VALUE!</v>
      </c>
      <c r="P3753" s="247">
        <f t="shared" si="411"/>
        <v>0</v>
      </c>
      <c r="Q3753" s="247" t="e">
        <f t="shared" si="412"/>
        <v>#VALUE!</v>
      </c>
    </row>
    <row r="3754" spans="11:17" x14ac:dyDescent="0.25">
      <c r="K3754" s="246" t="e">
        <f t="shared" si="406"/>
        <v>#VALUE!</v>
      </c>
      <c r="L3754" s="246" t="e">
        <f t="shared" si="407"/>
        <v>#VALUE!</v>
      </c>
      <c r="M3754" s="247" t="e">
        <f t="shared" si="408"/>
        <v>#VALUE!</v>
      </c>
      <c r="N3754" s="246" t="e">
        <f t="shared" si="409"/>
        <v>#VALUE!</v>
      </c>
      <c r="O3754" s="247" t="e">
        <f t="shared" si="410"/>
        <v>#VALUE!</v>
      </c>
      <c r="P3754" s="247">
        <f t="shared" si="411"/>
        <v>0</v>
      </c>
      <c r="Q3754" s="247" t="e">
        <f t="shared" si="412"/>
        <v>#VALUE!</v>
      </c>
    </row>
    <row r="3755" spans="11:17" x14ac:dyDescent="0.25">
      <c r="K3755" s="246" t="e">
        <f t="shared" si="406"/>
        <v>#VALUE!</v>
      </c>
      <c r="L3755" s="246" t="e">
        <f t="shared" si="407"/>
        <v>#VALUE!</v>
      </c>
      <c r="M3755" s="247" t="e">
        <f t="shared" si="408"/>
        <v>#VALUE!</v>
      </c>
      <c r="N3755" s="246" t="e">
        <f t="shared" si="409"/>
        <v>#VALUE!</v>
      </c>
      <c r="O3755" s="247" t="e">
        <f t="shared" si="410"/>
        <v>#VALUE!</v>
      </c>
      <c r="P3755" s="247">
        <f t="shared" si="411"/>
        <v>0</v>
      </c>
      <c r="Q3755" s="247" t="e">
        <f t="shared" si="412"/>
        <v>#VALUE!</v>
      </c>
    </row>
    <row r="3756" spans="11:17" x14ac:dyDescent="0.25">
      <c r="K3756" s="246" t="e">
        <f t="shared" si="406"/>
        <v>#VALUE!</v>
      </c>
      <c r="L3756" s="246" t="e">
        <f t="shared" si="407"/>
        <v>#VALUE!</v>
      </c>
      <c r="M3756" s="247" t="e">
        <f t="shared" si="408"/>
        <v>#VALUE!</v>
      </c>
      <c r="N3756" s="246" t="e">
        <f t="shared" si="409"/>
        <v>#VALUE!</v>
      </c>
      <c r="O3756" s="247" t="e">
        <f t="shared" si="410"/>
        <v>#VALUE!</v>
      </c>
      <c r="P3756" s="247">
        <f t="shared" si="411"/>
        <v>0</v>
      </c>
      <c r="Q3756" s="247" t="e">
        <f t="shared" si="412"/>
        <v>#VALUE!</v>
      </c>
    </row>
    <row r="3757" spans="11:17" x14ac:dyDescent="0.25">
      <c r="K3757" s="246" t="e">
        <f t="shared" si="406"/>
        <v>#VALUE!</v>
      </c>
      <c r="L3757" s="246" t="e">
        <f t="shared" si="407"/>
        <v>#VALUE!</v>
      </c>
      <c r="M3757" s="247" t="e">
        <f t="shared" si="408"/>
        <v>#VALUE!</v>
      </c>
      <c r="N3757" s="246" t="e">
        <f t="shared" si="409"/>
        <v>#VALUE!</v>
      </c>
      <c r="O3757" s="247" t="e">
        <f t="shared" si="410"/>
        <v>#VALUE!</v>
      </c>
      <c r="P3757" s="247">
        <f t="shared" si="411"/>
        <v>0</v>
      </c>
      <c r="Q3757" s="247" t="e">
        <f t="shared" si="412"/>
        <v>#VALUE!</v>
      </c>
    </row>
    <row r="3758" spans="11:17" x14ac:dyDescent="0.25">
      <c r="K3758" s="246" t="e">
        <f t="shared" si="406"/>
        <v>#VALUE!</v>
      </c>
      <c r="L3758" s="246" t="e">
        <f t="shared" si="407"/>
        <v>#VALUE!</v>
      </c>
      <c r="M3758" s="247" t="e">
        <f t="shared" si="408"/>
        <v>#VALUE!</v>
      </c>
      <c r="N3758" s="246" t="e">
        <f t="shared" si="409"/>
        <v>#VALUE!</v>
      </c>
      <c r="O3758" s="247" t="e">
        <f t="shared" si="410"/>
        <v>#VALUE!</v>
      </c>
      <c r="P3758" s="247">
        <f t="shared" si="411"/>
        <v>0</v>
      </c>
      <c r="Q3758" s="247" t="e">
        <f t="shared" si="412"/>
        <v>#VALUE!</v>
      </c>
    </row>
    <row r="3759" spans="11:17" x14ac:dyDescent="0.25">
      <c r="K3759" s="246" t="e">
        <f t="shared" si="406"/>
        <v>#VALUE!</v>
      </c>
      <c r="L3759" s="246" t="e">
        <f t="shared" si="407"/>
        <v>#VALUE!</v>
      </c>
      <c r="M3759" s="247" t="e">
        <f t="shared" si="408"/>
        <v>#VALUE!</v>
      </c>
      <c r="N3759" s="246" t="e">
        <f t="shared" si="409"/>
        <v>#VALUE!</v>
      </c>
      <c r="O3759" s="247" t="e">
        <f t="shared" si="410"/>
        <v>#VALUE!</v>
      </c>
      <c r="P3759" s="247">
        <f t="shared" si="411"/>
        <v>0</v>
      </c>
      <c r="Q3759" s="247" t="e">
        <f t="shared" si="412"/>
        <v>#VALUE!</v>
      </c>
    </row>
    <row r="3760" spans="11:17" x14ac:dyDescent="0.25">
      <c r="K3760" s="246" t="e">
        <f t="shared" si="406"/>
        <v>#VALUE!</v>
      </c>
      <c r="L3760" s="246" t="e">
        <f t="shared" si="407"/>
        <v>#VALUE!</v>
      </c>
      <c r="M3760" s="247" t="e">
        <f t="shared" si="408"/>
        <v>#VALUE!</v>
      </c>
      <c r="N3760" s="246" t="e">
        <f t="shared" si="409"/>
        <v>#VALUE!</v>
      </c>
      <c r="O3760" s="247" t="e">
        <f t="shared" si="410"/>
        <v>#VALUE!</v>
      </c>
      <c r="P3760" s="247">
        <f t="shared" si="411"/>
        <v>0</v>
      </c>
      <c r="Q3760" s="247" t="e">
        <f t="shared" si="412"/>
        <v>#VALUE!</v>
      </c>
    </row>
    <row r="3761" spans="11:17" x14ac:dyDescent="0.25">
      <c r="K3761" s="246" t="e">
        <f t="shared" si="406"/>
        <v>#VALUE!</v>
      </c>
      <c r="L3761" s="246" t="e">
        <f t="shared" si="407"/>
        <v>#VALUE!</v>
      </c>
      <c r="M3761" s="247" t="e">
        <f t="shared" si="408"/>
        <v>#VALUE!</v>
      </c>
      <c r="N3761" s="246" t="e">
        <f t="shared" si="409"/>
        <v>#VALUE!</v>
      </c>
      <c r="O3761" s="247" t="e">
        <f t="shared" si="410"/>
        <v>#VALUE!</v>
      </c>
      <c r="P3761" s="247">
        <f t="shared" si="411"/>
        <v>0</v>
      </c>
      <c r="Q3761" s="247" t="e">
        <f t="shared" si="412"/>
        <v>#VALUE!</v>
      </c>
    </row>
    <row r="3762" spans="11:17" x14ac:dyDescent="0.25">
      <c r="K3762" s="246" t="e">
        <f t="shared" ref="K3762:K3825" si="413">DATE(VALUE(LEFT(A3762,4)),VALUE(MID(A3762,5,2)),VALUE(RIGHT(A3762,2)))</f>
        <v>#VALUE!</v>
      </c>
      <c r="L3762" s="246" t="e">
        <f t="shared" ref="L3762:L3825" si="414">DATEVALUE(LEFT(F3762,10))</f>
        <v>#VALUE!</v>
      </c>
      <c r="M3762" s="247" t="e">
        <f t="shared" ref="M3762:M3825" si="415">TIMEVALUE(MID(F3762,12,8))</f>
        <v>#VALUE!</v>
      </c>
      <c r="N3762" s="246" t="e">
        <f t="shared" ref="N3762:N3825" si="416">DATEVALUE(LEFT(G3762,10))</f>
        <v>#VALUE!</v>
      </c>
      <c r="O3762" s="247" t="e">
        <f t="shared" ref="O3762:O3825" si="417">TIMEVALUE(MID(G3762,12,8))</f>
        <v>#VALUE!</v>
      </c>
      <c r="P3762" s="247">
        <f t="shared" si="411"/>
        <v>0</v>
      </c>
      <c r="Q3762" s="247" t="e">
        <f t="shared" si="412"/>
        <v>#VALUE!</v>
      </c>
    </row>
    <row r="3763" spans="11:17" x14ac:dyDescent="0.25">
      <c r="K3763" s="246" t="e">
        <f t="shared" si="413"/>
        <v>#VALUE!</v>
      </c>
      <c r="L3763" s="246" t="e">
        <f t="shared" si="414"/>
        <v>#VALUE!</v>
      </c>
      <c r="M3763" s="247" t="e">
        <f t="shared" si="415"/>
        <v>#VALUE!</v>
      </c>
      <c r="N3763" s="246" t="e">
        <f t="shared" si="416"/>
        <v>#VALUE!</v>
      </c>
      <c r="O3763" s="247" t="e">
        <f t="shared" si="417"/>
        <v>#VALUE!</v>
      </c>
      <c r="P3763" s="247">
        <f t="shared" si="411"/>
        <v>0</v>
      </c>
      <c r="Q3763" s="247" t="e">
        <f t="shared" si="412"/>
        <v>#VALUE!</v>
      </c>
    </row>
    <row r="3764" spans="11:17" x14ac:dyDescent="0.25">
      <c r="K3764" s="246" t="e">
        <f t="shared" si="413"/>
        <v>#VALUE!</v>
      </c>
      <c r="L3764" s="246" t="e">
        <f t="shared" si="414"/>
        <v>#VALUE!</v>
      </c>
      <c r="M3764" s="247" t="e">
        <f t="shared" si="415"/>
        <v>#VALUE!</v>
      </c>
      <c r="N3764" s="246" t="e">
        <f t="shared" si="416"/>
        <v>#VALUE!</v>
      </c>
      <c r="O3764" s="247" t="e">
        <f t="shared" si="417"/>
        <v>#VALUE!</v>
      </c>
      <c r="P3764" s="247">
        <f t="shared" si="411"/>
        <v>0</v>
      </c>
      <c r="Q3764" s="247" t="e">
        <f t="shared" si="412"/>
        <v>#VALUE!</v>
      </c>
    </row>
    <row r="3765" spans="11:17" x14ac:dyDescent="0.25">
      <c r="K3765" s="246" t="e">
        <f t="shared" si="413"/>
        <v>#VALUE!</v>
      </c>
      <c r="L3765" s="246" t="e">
        <f t="shared" si="414"/>
        <v>#VALUE!</v>
      </c>
      <c r="M3765" s="247" t="e">
        <f t="shared" si="415"/>
        <v>#VALUE!</v>
      </c>
      <c r="N3765" s="246" t="e">
        <f t="shared" si="416"/>
        <v>#VALUE!</v>
      </c>
      <c r="O3765" s="247" t="e">
        <f t="shared" si="417"/>
        <v>#VALUE!</v>
      </c>
      <c r="P3765" s="247">
        <f t="shared" si="411"/>
        <v>0</v>
      </c>
      <c r="Q3765" s="247" t="e">
        <f t="shared" si="412"/>
        <v>#VALUE!</v>
      </c>
    </row>
    <row r="3766" spans="11:17" x14ac:dyDescent="0.25">
      <c r="K3766" s="246" t="e">
        <f t="shared" si="413"/>
        <v>#VALUE!</v>
      </c>
      <c r="L3766" s="246" t="e">
        <f t="shared" si="414"/>
        <v>#VALUE!</v>
      </c>
      <c r="M3766" s="247" t="e">
        <f t="shared" si="415"/>
        <v>#VALUE!</v>
      </c>
      <c r="N3766" s="246" t="e">
        <f t="shared" si="416"/>
        <v>#VALUE!</v>
      </c>
      <c r="O3766" s="247" t="e">
        <f t="shared" si="417"/>
        <v>#VALUE!</v>
      </c>
      <c r="P3766" s="247">
        <f t="shared" si="411"/>
        <v>0</v>
      </c>
      <c r="Q3766" s="247" t="e">
        <f t="shared" si="412"/>
        <v>#VALUE!</v>
      </c>
    </row>
    <row r="3767" spans="11:17" x14ac:dyDescent="0.25">
      <c r="K3767" s="246" t="e">
        <f t="shared" si="413"/>
        <v>#VALUE!</v>
      </c>
      <c r="L3767" s="246" t="e">
        <f t="shared" si="414"/>
        <v>#VALUE!</v>
      </c>
      <c r="M3767" s="247" t="e">
        <f t="shared" si="415"/>
        <v>#VALUE!</v>
      </c>
      <c r="N3767" s="246" t="e">
        <f t="shared" si="416"/>
        <v>#VALUE!</v>
      </c>
      <c r="O3767" s="247" t="e">
        <f t="shared" si="417"/>
        <v>#VALUE!</v>
      </c>
      <c r="P3767" s="247">
        <f t="shared" si="411"/>
        <v>0</v>
      </c>
      <c r="Q3767" s="247" t="e">
        <f t="shared" si="412"/>
        <v>#VALUE!</v>
      </c>
    </row>
    <row r="3768" spans="11:17" x14ac:dyDescent="0.25">
      <c r="K3768" s="246" t="e">
        <f t="shared" si="413"/>
        <v>#VALUE!</v>
      </c>
      <c r="L3768" s="246" t="e">
        <f t="shared" si="414"/>
        <v>#VALUE!</v>
      </c>
      <c r="M3768" s="247" t="e">
        <f t="shared" si="415"/>
        <v>#VALUE!</v>
      </c>
      <c r="N3768" s="246" t="e">
        <f t="shared" si="416"/>
        <v>#VALUE!</v>
      </c>
      <c r="O3768" s="247" t="e">
        <f t="shared" si="417"/>
        <v>#VALUE!</v>
      </c>
      <c r="P3768" s="247">
        <f t="shared" si="411"/>
        <v>0</v>
      </c>
      <c r="Q3768" s="247" t="e">
        <f t="shared" si="412"/>
        <v>#VALUE!</v>
      </c>
    </row>
    <row r="3769" spans="11:17" x14ac:dyDescent="0.25">
      <c r="K3769" s="246" t="e">
        <f t="shared" si="413"/>
        <v>#VALUE!</v>
      </c>
      <c r="L3769" s="246" t="e">
        <f t="shared" si="414"/>
        <v>#VALUE!</v>
      </c>
      <c r="M3769" s="247" t="e">
        <f t="shared" si="415"/>
        <v>#VALUE!</v>
      </c>
      <c r="N3769" s="246" t="e">
        <f t="shared" si="416"/>
        <v>#VALUE!</v>
      </c>
      <c r="O3769" s="247" t="e">
        <f t="shared" si="417"/>
        <v>#VALUE!</v>
      </c>
      <c r="P3769" s="247">
        <f t="shared" si="411"/>
        <v>0</v>
      </c>
      <c r="Q3769" s="247" t="e">
        <f t="shared" si="412"/>
        <v>#VALUE!</v>
      </c>
    </row>
    <row r="3770" spans="11:17" x14ac:dyDescent="0.25">
      <c r="K3770" s="246" t="e">
        <f t="shared" si="413"/>
        <v>#VALUE!</v>
      </c>
      <c r="L3770" s="246" t="e">
        <f t="shared" si="414"/>
        <v>#VALUE!</v>
      </c>
      <c r="M3770" s="247" t="e">
        <f t="shared" si="415"/>
        <v>#VALUE!</v>
      </c>
      <c r="N3770" s="246" t="e">
        <f t="shared" si="416"/>
        <v>#VALUE!</v>
      </c>
      <c r="O3770" s="247" t="e">
        <f t="shared" si="417"/>
        <v>#VALUE!</v>
      </c>
      <c r="P3770" s="247">
        <f t="shared" si="411"/>
        <v>0</v>
      </c>
      <c r="Q3770" s="247" t="e">
        <f t="shared" si="412"/>
        <v>#VALUE!</v>
      </c>
    </row>
    <row r="3771" spans="11:17" x14ac:dyDescent="0.25">
      <c r="K3771" s="246" t="e">
        <f t="shared" si="413"/>
        <v>#VALUE!</v>
      </c>
      <c r="L3771" s="246" t="e">
        <f t="shared" si="414"/>
        <v>#VALUE!</v>
      </c>
      <c r="M3771" s="247" t="e">
        <f t="shared" si="415"/>
        <v>#VALUE!</v>
      </c>
      <c r="N3771" s="246" t="e">
        <f t="shared" si="416"/>
        <v>#VALUE!</v>
      </c>
      <c r="O3771" s="247" t="e">
        <f t="shared" si="417"/>
        <v>#VALUE!</v>
      </c>
      <c r="P3771" s="247">
        <f t="shared" si="411"/>
        <v>0</v>
      </c>
      <c r="Q3771" s="247" t="e">
        <f t="shared" si="412"/>
        <v>#VALUE!</v>
      </c>
    </row>
    <row r="3772" spans="11:17" x14ac:dyDescent="0.25">
      <c r="K3772" s="246" t="e">
        <f t="shared" si="413"/>
        <v>#VALUE!</v>
      </c>
      <c r="L3772" s="246" t="e">
        <f t="shared" si="414"/>
        <v>#VALUE!</v>
      </c>
      <c r="M3772" s="247" t="e">
        <f t="shared" si="415"/>
        <v>#VALUE!</v>
      </c>
      <c r="N3772" s="246" t="e">
        <f t="shared" si="416"/>
        <v>#VALUE!</v>
      </c>
      <c r="O3772" s="247" t="e">
        <f t="shared" si="417"/>
        <v>#VALUE!</v>
      </c>
      <c r="P3772" s="247">
        <f t="shared" si="411"/>
        <v>0</v>
      </c>
      <c r="Q3772" s="247" t="e">
        <f t="shared" si="412"/>
        <v>#VALUE!</v>
      </c>
    </row>
    <row r="3773" spans="11:17" x14ac:dyDescent="0.25">
      <c r="K3773" s="246" t="e">
        <f t="shared" si="413"/>
        <v>#VALUE!</v>
      </c>
      <c r="L3773" s="246" t="e">
        <f t="shared" si="414"/>
        <v>#VALUE!</v>
      </c>
      <c r="M3773" s="247" t="e">
        <f t="shared" si="415"/>
        <v>#VALUE!</v>
      </c>
      <c r="N3773" s="246" t="e">
        <f t="shared" si="416"/>
        <v>#VALUE!</v>
      </c>
      <c r="O3773" s="247" t="e">
        <f t="shared" si="417"/>
        <v>#VALUE!</v>
      </c>
      <c r="P3773" s="247">
        <f t="shared" si="411"/>
        <v>0</v>
      </c>
      <c r="Q3773" s="247" t="e">
        <f t="shared" si="412"/>
        <v>#VALUE!</v>
      </c>
    </row>
    <row r="3774" spans="11:17" x14ac:dyDescent="0.25">
      <c r="K3774" s="246" t="e">
        <f t="shared" si="413"/>
        <v>#VALUE!</v>
      </c>
      <c r="L3774" s="246" t="e">
        <f t="shared" si="414"/>
        <v>#VALUE!</v>
      </c>
      <c r="M3774" s="247" t="e">
        <f t="shared" si="415"/>
        <v>#VALUE!</v>
      </c>
      <c r="N3774" s="246" t="e">
        <f t="shared" si="416"/>
        <v>#VALUE!</v>
      </c>
      <c r="O3774" s="247" t="e">
        <f t="shared" si="417"/>
        <v>#VALUE!</v>
      </c>
      <c r="P3774" s="247">
        <f t="shared" si="411"/>
        <v>0</v>
      </c>
      <c r="Q3774" s="247" t="e">
        <f t="shared" si="412"/>
        <v>#VALUE!</v>
      </c>
    </row>
    <row r="3775" spans="11:17" x14ac:dyDescent="0.25">
      <c r="K3775" s="246" t="e">
        <f t="shared" si="413"/>
        <v>#VALUE!</v>
      </c>
      <c r="L3775" s="246" t="e">
        <f t="shared" si="414"/>
        <v>#VALUE!</v>
      </c>
      <c r="M3775" s="247" t="e">
        <f t="shared" si="415"/>
        <v>#VALUE!</v>
      </c>
      <c r="N3775" s="246" t="e">
        <f t="shared" si="416"/>
        <v>#VALUE!</v>
      </c>
      <c r="O3775" s="247" t="e">
        <f t="shared" si="417"/>
        <v>#VALUE!</v>
      </c>
      <c r="P3775" s="247">
        <f t="shared" si="411"/>
        <v>0</v>
      </c>
      <c r="Q3775" s="247" t="e">
        <f t="shared" si="412"/>
        <v>#VALUE!</v>
      </c>
    </row>
    <row r="3776" spans="11:17" x14ac:dyDescent="0.25">
      <c r="K3776" s="246" t="e">
        <f t="shared" si="413"/>
        <v>#VALUE!</v>
      </c>
      <c r="L3776" s="246" t="e">
        <f t="shared" si="414"/>
        <v>#VALUE!</v>
      </c>
      <c r="M3776" s="247" t="e">
        <f t="shared" si="415"/>
        <v>#VALUE!</v>
      </c>
      <c r="N3776" s="246" t="e">
        <f t="shared" si="416"/>
        <v>#VALUE!</v>
      </c>
      <c r="O3776" s="247" t="e">
        <f t="shared" si="417"/>
        <v>#VALUE!</v>
      </c>
      <c r="P3776" s="247">
        <f t="shared" si="411"/>
        <v>0</v>
      </c>
      <c r="Q3776" s="247" t="e">
        <f t="shared" si="412"/>
        <v>#VALUE!</v>
      </c>
    </row>
    <row r="3777" spans="11:17" x14ac:dyDescent="0.25">
      <c r="K3777" s="246" t="e">
        <f t="shared" si="413"/>
        <v>#VALUE!</v>
      </c>
      <c r="L3777" s="246" t="e">
        <f t="shared" si="414"/>
        <v>#VALUE!</v>
      </c>
      <c r="M3777" s="247" t="e">
        <f t="shared" si="415"/>
        <v>#VALUE!</v>
      </c>
      <c r="N3777" s="246" t="e">
        <f t="shared" si="416"/>
        <v>#VALUE!</v>
      </c>
      <c r="O3777" s="247" t="e">
        <f t="shared" si="417"/>
        <v>#VALUE!</v>
      </c>
      <c r="P3777" s="247">
        <f t="shared" si="411"/>
        <v>0</v>
      </c>
      <c r="Q3777" s="247" t="e">
        <f t="shared" si="412"/>
        <v>#VALUE!</v>
      </c>
    </row>
    <row r="3778" spans="11:17" x14ac:dyDescent="0.25">
      <c r="K3778" s="246" t="e">
        <f t="shared" si="413"/>
        <v>#VALUE!</v>
      </c>
      <c r="L3778" s="246" t="e">
        <f t="shared" si="414"/>
        <v>#VALUE!</v>
      </c>
      <c r="M3778" s="247" t="e">
        <f t="shared" si="415"/>
        <v>#VALUE!</v>
      </c>
      <c r="N3778" s="246" t="e">
        <f t="shared" si="416"/>
        <v>#VALUE!</v>
      </c>
      <c r="O3778" s="247" t="e">
        <f t="shared" si="417"/>
        <v>#VALUE!</v>
      </c>
      <c r="P3778" s="247">
        <f t="shared" ref="P3778:P3841" si="418">IFERROR(_xlfn.MINIFS($M:$M,$E:$E,$E3778,$K:$K,$K3778,$M:$M,"&gt;"&amp;$O3778),"")</f>
        <v>0</v>
      </c>
      <c r="Q3778" s="247" t="e">
        <f t="shared" ref="Q3778:Q3841" si="419">IF($P3778="","",$P3778-$O3778)</f>
        <v>#VALUE!</v>
      </c>
    </row>
    <row r="3779" spans="11:17" x14ac:dyDescent="0.25">
      <c r="K3779" s="246" t="e">
        <f t="shared" si="413"/>
        <v>#VALUE!</v>
      </c>
      <c r="L3779" s="246" t="e">
        <f t="shared" si="414"/>
        <v>#VALUE!</v>
      </c>
      <c r="M3779" s="247" t="e">
        <f t="shared" si="415"/>
        <v>#VALUE!</v>
      </c>
      <c r="N3779" s="246" t="e">
        <f t="shared" si="416"/>
        <v>#VALUE!</v>
      </c>
      <c r="O3779" s="247" t="e">
        <f t="shared" si="417"/>
        <v>#VALUE!</v>
      </c>
      <c r="P3779" s="247">
        <f t="shared" si="418"/>
        <v>0</v>
      </c>
      <c r="Q3779" s="247" t="e">
        <f t="shared" si="419"/>
        <v>#VALUE!</v>
      </c>
    </row>
    <row r="3780" spans="11:17" x14ac:dyDescent="0.25">
      <c r="K3780" s="246" t="e">
        <f t="shared" si="413"/>
        <v>#VALUE!</v>
      </c>
      <c r="L3780" s="246" t="e">
        <f t="shared" si="414"/>
        <v>#VALUE!</v>
      </c>
      <c r="M3780" s="247" t="e">
        <f t="shared" si="415"/>
        <v>#VALUE!</v>
      </c>
      <c r="N3780" s="246" t="e">
        <f t="shared" si="416"/>
        <v>#VALUE!</v>
      </c>
      <c r="O3780" s="247" t="e">
        <f t="shared" si="417"/>
        <v>#VALUE!</v>
      </c>
      <c r="P3780" s="247">
        <f t="shared" si="418"/>
        <v>0</v>
      </c>
      <c r="Q3780" s="247" t="e">
        <f t="shared" si="419"/>
        <v>#VALUE!</v>
      </c>
    </row>
    <row r="3781" spans="11:17" x14ac:dyDescent="0.25">
      <c r="K3781" s="246" t="e">
        <f t="shared" si="413"/>
        <v>#VALUE!</v>
      </c>
      <c r="L3781" s="246" t="e">
        <f t="shared" si="414"/>
        <v>#VALUE!</v>
      </c>
      <c r="M3781" s="247" t="e">
        <f t="shared" si="415"/>
        <v>#VALUE!</v>
      </c>
      <c r="N3781" s="246" t="e">
        <f t="shared" si="416"/>
        <v>#VALUE!</v>
      </c>
      <c r="O3781" s="247" t="e">
        <f t="shared" si="417"/>
        <v>#VALUE!</v>
      </c>
      <c r="P3781" s="247">
        <f t="shared" si="418"/>
        <v>0</v>
      </c>
      <c r="Q3781" s="247" t="e">
        <f t="shared" si="419"/>
        <v>#VALUE!</v>
      </c>
    </row>
    <row r="3782" spans="11:17" x14ac:dyDescent="0.25">
      <c r="K3782" s="246" t="e">
        <f t="shared" si="413"/>
        <v>#VALUE!</v>
      </c>
      <c r="L3782" s="246" t="e">
        <f t="shared" si="414"/>
        <v>#VALUE!</v>
      </c>
      <c r="M3782" s="247" t="e">
        <f t="shared" si="415"/>
        <v>#VALUE!</v>
      </c>
      <c r="N3782" s="246" t="e">
        <f t="shared" si="416"/>
        <v>#VALUE!</v>
      </c>
      <c r="O3782" s="247" t="e">
        <f t="shared" si="417"/>
        <v>#VALUE!</v>
      </c>
      <c r="P3782" s="247">
        <f t="shared" si="418"/>
        <v>0</v>
      </c>
      <c r="Q3782" s="247" t="e">
        <f t="shared" si="419"/>
        <v>#VALUE!</v>
      </c>
    </row>
    <row r="3783" spans="11:17" x14ac:dyDescent="0.25">
      <c r="K3783" s="246" t="e">
        <f t="shared" si="413"/>
        <v>#VALUE!</v>
      </c>
      <c r="L3783" s="246" t="e">
        <f t="shared" si="414"/>
        <v>#VALUE!</v>
      </c>
      <c r="M3783" s="247" t="e">
        <f t="shared" si="415"/>
        <v>#VALUE!</v>
      </c>
      <c r="N3783" s="246" t="e">
        <f t="shared" si="416"/>
        <v>#VALUE!</v>
      </c>
      <c r="O3783" s="247" t="e">
        <f t="shared" si="417"/>
        <v>#VALUE!</v>
      </c>
      <c r="P3783" s="247">
        <f t="shared" si="418"/>
        <v>0</v>
      </c>
      <c r="Q3783" s="247" t="e">
        <f t="shared" si="419"/>
        <v>#VALUE!</v>
      </c>
    </row>
    <row r="3784" spans="11:17" x14ac:dyDescent="0.25">
      <c r="K3784" s="246" t="e">
        <f t="shared" si="413"/>
        <v>#VALUE!</v>
      </c>
      <c r="L3784" s="246" t="e">
        <f t="shared" si="414"/>
        <v>#VALUE!</v>
      </c>
      <c r="M3784" s="247" t="e">
        <f t="shared" si="415"/>
        <v>#VALUE!</v>
      </c>
      <c r="N3784" s="246" t="e">
        <f t="shared" si="416"/>
        <v>#VALUE!</v>
      </c>
      <c r="O3784" s="247" t="e">
        <f t="shared" si="417"/>
        <v>#VALUE!</v>
      </c>
      <c r="P3784" s="247">
        <f t="shared" si="418"/>
        <v>0</v>
      </c>
      <c r="Q3784" s="247" t="e">
        <f t="shared" si="419"/>
        <v>#VALUE!</v>
      </c>
    </row>
    <row r="3785" spans="11:17" x14ac:dyDescent="0.25">
      <c r="K3785" s="246" t="e">
        <f t="shared" si="413"/>
        <v>#VALUE!</v>
      </c>
      <c r="L3785" s="246" t="e">
        <f t="shared" si="414"/>
        <v>#VALUE!</v>
      </c>
      <c r="M3785" s="247" t="e">
        <f t="shared" si="415"/>
        <v>#VALUE!</v>
      </c>
      <c r="N3785" s="246" t="e">
        <f t="shared" si="416"/>
        <v>#VALUE!</v>
      </c>
      <c r="O3785" s="247" t="e">
        <f t="shared" si="417"/>
        <v>#VALUE!</v>
      </c>
      <c r="P3785" s="247">
        <f t="shared" si="418"/>
        <v>0</v>
      </c>
      <c r="Q3785" s="247" t="e">
        <f t="shared" si="419"/>
        <v>#VALUE!</v>
      </c>
    </row>
    <row r="3786" spans="11:17" x14ac:dyDescent="0.25">
      <c r="K3786" s="246" t="e">
        <f t="shared" si="413"/>
        <v>#VALUE!</v>
      </c>
      <c r="L3786" s="246" t="e">
        <f t="shared" si="414"/>
        <v>#VALUE!</v>
      </c>
      <c r="M3786" s="247" t="e">
        <f t="shared" si="415"/>
        <v>#VALUE!</v>
      </c>
      <c r="N3786" s="246" t="e">
        <f t="shared" si="416"/>
        <v>#VALUE!</v>
      </c>
      <c r="O3786" s="247" t="e">
        <f t="shared" si="417"/>
        <v>#VALUE!</v>
      </c>
      <c r="P3786" s="247">
        <f t="shared" si="418"/>
        <v>0</v>
      </c>
      <c r="Q3786" s="247" t="e">
        <f t="shared" si="419"/>
        <v>#VALUE!</v>
      </c>
    </row>
    <row r="3787" spans="11:17" x14ac:dyDescent="0.25">
      <c r="K3787" s="246" t="e">
        <f t="shared" si="413"/>
        <v>#VALUE!</v>
      </c>
      <c r="L3787" s="246" t="e">
        <f t="shared" si="414"/>
        <v>#VALUE!</v>
      </c>
      <c r="M3787" s="247" t="e">
        <f t="shared" si="415"/>
        <v>#VALUE!</v>
      </c>
      <c r="N3787" s="246" t="e">
        <f t="shared" si="416"/>
        <v>#VALUE!</v>
      </c>
      <c r="O3787" s="247" t="e">
        <f t="shared" si="417"/>
        <v>#VALUE!</v>
      </c>
      <c r="P3787" s="247">
        <f t="shared" si="418"/>
        <v>0</v>
      </c>
      <c r="Q3787" s="247" t="e">
        <f t="shared" si="419"/>
        <v>#VALUE!</v>
      </c>
    </row>
    <row r="3788" spans="11:17" x14ac:dyDescent="0.25">
      <c r="K3788" s="246" t="e">
        <f t="shared" si="413"/>
        <v>#VALUE!</v>
      </c>
      <c r="L3788" s="246" t="e">
        <f t="shared" si="414"/>
        <v>#VALUE!</v>
      </c>
      <c r="M3788" s="247" t="e">
        <f t="shared" si="415"/>
        <v>#VALUE!</v>
      </c>
      <c r="N3788" s="246" t="e">
        <f t="shared" si="416"/>
        <v>#VALUE!</v>
      </c>
      <c r="O3788" s="247" t="e">
        <f t="shared" si="417"/>
        <v>#VALUE!</v>
      </c>
      <c r="P3788" s="247">
        <f t="shared" si="418"/>
        <v>0</v>
      </c>
      <c r="Q3788" s="247" t="e">
        <f t="shared" si="419"/>
        <v>#VALUE!</v>
      </c>
    </row>
    <row r="3789" spans="11:17" x14ac:dyDescent="0.25">
      <c r="K3789" s="246" t="e">
        <f t="shared" si="413"/>
        <v>#VALUE!</v>
      </c>
      <c r="L3789" s="246" t="e">
        <f t="shared" si="414"/>
        <v>#VALUE!</v>
      </c>
      <c r="M3789" s="247" t="e">
        <f t="shared" si="415"/>
        <v>#VALUE!</v>
      </c>
      <c r="N3789" s="246" t="e">
        <f t="shared" si="416"/>
        <v>#VALUE!</v>
      </c>
      <c r="O3789" s="247" t="e">
        <f t="shared" si="417"/>
        <v>#VALUE!</v>
      </c>
      <c r="P3789" s="247">
        <f t="shared" si="418"/>
        <v>0</v>
      </c>
      <c r="Q3789" s="247" t="e">
        <f t="shared" si="419"/>
        <v>#VALUE!</v>
      </c>
    </row>
    <row r="3790" spans="11:17" x14ac:dyDescent="0.25">
      <c r="K3790" s="246" t="e">
        <f t="shared" si="413"/>
        <v>#VALUE!</v>
      </c>
      <c r="L3790" s="246" t="e">
        <f t="shared" si="414"/>
        <v>#VALUE!</v>
      </c>
      <c r="M3790" s="247" t="e">
        <f t="shared" si="415"/>
        <v>#VALUE!</v>
      </c>
      <c r="N3790" s="246" t="e">
        <f t="shared" si="416"/>
        <v>#VALUE!</v>
      </c>
      <c r="O3790" s="247" t="e">
        <f t="shared" si="417"/>
        <v>#VALUE!</v>
      </c>
      <c r="P3790" s="247">
        <f t="shared" si="418"/>
        <v>0</v>
      </c>
      <c r="Q3790" s="247" t="e">
        <f t="shared" si="419"/>
        <v>#VALUE!</v>
      </c>
    </row>
    <row r="3791" spans="11:17" x14ac:dyDescent="0.25">
      <c r="K3791" s="246" t="e">
        <f t="shared" si="413"/>
        <v>#VALUE!</v>
      </c>
      <c r="L3791" s="246" t="e">
        <f t="shared" si="414"/>
        <v>#VALUE!</v>
      </c>
      <c r="M3791" s="247" t="e">
        <f t="shared" si="415"/>
        <v>#VALUE!</v>
      </c>
      <c r="N3791" s="246" t="e">
        <f t="shared" si="416"/>
        <v>#VALUE!</v>
      </c>
      <c r="O3791" s="247" t="e">
        <f t="shared" si="417"/>
        <v>#VALUE!</v>
      </c>
      <c r="P3791" s="247">
        <f t="shared" si="418"/>
        <v>0</v>
      </c>
      <c r="Q3791" s="247" t="e">
        <f t="shared" si="419"/>
        <v>#VALUE!</v>
      </c>
    </row>
    <row r="3792" spans="11:17" x14ac:dyDescent="0.25">
      <c r="K3792" s="246" t="e">
        <f t="shared" si="413"/>
        <v>#VALUE!</v>
      </c>
      <c r="L3792" s="246" t="e">
        <f t="shared" si="414"/>
        <v>#VALUE!</v>
      </c>
      <c r="M3792" s="247" t="e">
        <f t="shared" si="415"/>
        <v>#VALUE!</v>
      </c>
      <c r="N3792" s="246" t="e">
        <f t="shared" si="416"/>
        <v>#VALUE!</v>
      </c>
      <c r="O3792" s="247" t="e">
        <f t="shared" si="417"/>
        <v>#VALUE!</v>
      </c>
      <c r="P3792" s="247">
        <f t="shared" si="418"/>
        <v>0</v>
      </c>
      <c r="Q3792" s="247" t="e">
        <f t="shared" si="419"/>
        <v>#VALUE!</v>
      </c>
    </row>
    <row r="3793" spans="11:17" x14ac:dyDescent="0.25">
      <c r="K3793" s="246" t="e">
        <f t="shared" si="413"/>
        <v>#VALUE!</v>
      </c>
      <c r="L3793" s="246" t="e">
        <f t="shared" si="414"/>
        <v>#VALUE!</v>
      </c>
      <c r="M3793" s="247" t="e">
        <f t="shared" si="415"/>
        <v>#VALUE!</v>
      </c>
      <c r="N3793" s="246" t="e">
        <f t="shared" si="416"/>
        <v>#VALUE!</v>
      </c>
      <c r="O3793" s="247" t="e">
        <f t="shared" si="417"/>
        <v>#VALUE!</v>
      </c>
      <c r="P3793" s="247">
        <f t="shared" si="418"/>
        <v>0</v>
      </c>
      <c r="Q3793" s="247" t="e">
        <f t="shared" si="419"/>
        <v>#VALUE!</v>
      </c>
    </row>
    <row r="3794" spans="11:17" x14ac:dyDescent="0.25">
      <c r="K3794" s="246" t="e">
        <f t="shared" si="413"/>
        <v>#VALUE!</v>
      </c>
      <c r="L3794" s="246" t="e">
        <f t="shared" si="414"/>
        <v>#VALUE!</v>
      </c>
      <c r="M3794" s="247" t="e">
        <f t="shared" si="415"/>
        <v>#VALUE!</v>
      </c>
      <c r="N3794" s="246" t="e">
        <f t="shared" si="416"/>
        <v>#VALUE!</v>
      </c>
      <c r="O3794" s="247" t="e">
        <f t="shared" si="417"/>
        <v>#VALUE!</v>
      </c>
      <c r="P3794" s="247">
        <f t="shared" si="418"/>
        <v>0</v>
      </c>
      <c r="Q3794" s="247" t="e">
        <f t="shared" si="419"/>
        <v>#VALUE!</v>
      </c>
    </row>
    <row r="3795" spans="11:17" x14ac:dyDescent="0.25">
      <c r="K3795" s="246" t="e">
        <f t="shared" si="413"/>
        <v>#VALUE!</v>
      </c>
      <c r="L3795" s="246" t="e">
        <f t="shared" si="414"/>
        <v>#VALUE!</v>
      </c>
      <c r="M3795" s="247" t="e">
        <f t="shared" si="415"/>
        <v>#VALUE!</v>
      </c>
      <c r="N3795" s="246" t="e">
        <f t="shared" si="416"/>
        <v>#VALUE!</v>
      </c>
      <c r="O3795" s="247" t="e">
        <f t="shared" si="417"/>
        <v>#VALUE!</v>
      </c>
      <c r="P3795" s="247">
        <f t="shared" si="418"/>
        <v>0</v>
      </c>
      <c r="Q3795" s="247" t="e">
        <f t="shared" si="419"/>
        <v>#VALUE!</v>
      </c>
    </row>
    <row r="3796" spans="11:17" x14ac:dyDescent="0.25">
      <c r="K3796" s="246" t="e">
        <f t="shared" si="413"/>
        <v>#VALUE!</v>
      </c>
      <c r="L3796" s="246" t="e">
        <f t="shared" si="414"/>
        <v>#VALUE!</v>
      </c>
      <c r="M3796" s="247" t="e">
        <f t="shared" si="415"/>
        <v>#VALUE!</v>
      </c>
      <c r="N3796" s="246" t="e">
        <f t="shared" si="416"/>
        <v>#VALUE!</v>
      </c>
      <c r="O3796" s="247" t="e">
        <f t="shared" si="417"/>
        <v>#VALUE!</v>
      </c>
      <c r="P3796" s="247">
        <f t="shared" si="418"/>
        <v>0</v>
      </c>
      <c r="Q3796" s="247" t="e">
        <f t="shared" si="419"/>
        <v>#VALUE!</v>
      </c>
    </row>
    <row r="3797" spans="11:17" x14ac:dyDescent="0.25">
      <c r="K3797" s="246" t="e">
        <f t="shared" si="413"/>
        <v>#VALUE!</v>
      </c>
      <c r="L3797" s="246" t="e">
        <f t="shared" si="414"/>
        <v>#VALUE!</v>
      </c>
      <c r="M3797" s="247" t="e">
        <f t="shared" si="415"/>
        <v>#VALUE!</v>
      </c>
      <c r="N3797" s="246" t="e">
        <f t="shared" si="416"/>
        <v>#VALUE!</v>
      </c>
      <c r="O3797" s="247" t="e">
        <f t="shared" si="417"/>
        <v>#VALUE!</v>
      </c>
      <c r="P3797" s="247">
        <f t="shared" si="418"/>
        <v>0</v>
      </c>
      <c r="Q3797" s="247" t="e">
        <f t="shared" si="419"/>
        <v>#VALUE!</v>
      </c>
    </row>
    <row r="3798" spans="11:17" x14ac:dyDescent="0.25">
      <c r="K3798" s="246" t="e">
        <f t="shared" si="413"/>
        <v>#VALUE!</v>
      </c>
      <c r="L3798" s="246" t="e">
        <f t="shared" si="414"/>
        <v>#VALUE!</v>
      </c>
      <c r="M3798" s="247" t="e">
        <f t="shared" si="415"/>
        <v>#VALUE!</v>
      </c>
      <c r="N3798" s="246" t="e">
        <f t="shared" si="416"/>
        <v>#VALUE!</v>
      </c>
      <c r="O3798" s="247" t="e">
        <f t="shared" si="417"/>
        <v>#VALUE!</v>
      </c>
      <c r="P3798" s="247">
        <f t="shared" si="418"/>
        <v>0</v>
      </c>
      <c r="Q3798" s="247" t="e">
        <f t="shared" si="419"/>
        <v>#VALUE!</v>
      </c>
    </row>
    <row r="3799" spans="11:17" x14ac:dyDescent="0.25">
      <c r="K3799" s="246" t="e">
        <f t="shared" si="413"/>
        <v>#VALUE!</v>
      </c>
      <c r="L3799" s="246" t="e">
        <f t="shared" si="414"/>
        <v>#VALUE!</v>
      </c>
      <c r="M3799" s="247" t="e">
        <f t="shared" si="415"/>
        <v>#VALUE!</v>
      </c>
      <c r="N3799" s="246" t="e">
        <f t="shared" si="416"/>
        <v>#VALUE!</v>
      </c>
      <c r="O3799" s="247" t="e">
        <f t="shared" si="417"/>
        <v>#VALUE!</v>
      </c>
      <c r="P3799" s="247">
        <f t="shared" si="418"/>
        <v>0</v>
      </c>
      <c r="Q3799" s="247" t="e">
        <f t="shared" si="419"/>
        <v>#VALUE!</v>
      </c>
    </row>
    <row r="3800" spans="11:17" x14ac:dyDescent="0.25">
      <c r="K3800" s="246" t="e">
        <f t="shared" si="413"/>
        <v>#VALUE!</v>
      </c>
      <c r="L3800" s="246" t="e">
        <f t="shared" si="414"/>
        <v>#VALUE!</v>
      </c>
      <c r="M3800" s="247" t="e">
        <f t="shared" si="415"/>
        <v>#VALUE!</v>
      </c>
      <c r="N3800" s="246" t="e">
        <f t="shared" si="416"/>
        <v>#VALUE!</v>
      </c>
      <c r="O3800" s="247" t="e">
        <f t="shared" si="417"/>
        <v>#VALUE!</v>
      </c>
      <c r="P3800" s="247">
        <f t="shared" si="418"/>
        <v>0</v>
      </c>
      <c r="Q3800" s="247" t="e">
        <f t="shared" si="419"/>
        <v>#VALUE!</v>
      </c>
    </row>
    <row r="3801" spans="11:17" x14ac:dyDescent="0.25">
      <c r="K3801" s="246" t="e">
        <f t="shared" si="413"/>
        <v>#VALUE!</v>
      </c>
      <c r="L3801" s="246" t="e">
        <f t="shared" si="414"/>
        <v>#VALUE!</v>
      </c>
      <c r="M3801" s="247" t="e">
        <f t="shared" si="415"/>
        <v>#VALUE!</v>
      </c>
      <c r="N3801" s="246" t="e">
        <f t="shared" si="416"/>
        <v>#VALUE!</v>
      </c>
      <c r="O3801" s="247" t="e">
        <f t="shared" si="417"/>
        <v>#VALUE!</v>
      </c>
      <c r="P3801" s="247">
        <f t="shared" si="418"/>
        <v>0</v>
      </c>
      <c r="Q3801" s="247" t="e">
        <f t="shared" si="419"/>
        <v>#VALUE!</v>
      </c>
    </row>
    <row r="3802" spans="11:17" x14ac:dyDescent="0.25">
      <c r="K3802" s="246" t="e">
        <f t="shared" si="413"/>
        <v>#VALUE!</v>
      </c>
      <c r="L3802" s="246" t="e">
        <f t="shared" si="414"/>
        <v>#VALUE!</v>
      </c>
      <c r="M3802" s="247" t="e">
        <f t="shared" si="415"/>
        <v>#VALUE!</v>
      </c>
      <c r="N3802" s="246" t="e">
        <f t="shared" si="416"/>
        <v>#VALUE!</v>
      </c>
      <c r="O3802" s="247" t="e">
        <f t="shared" si="417"/>
        <v>#VALUE!</v>
      </c>
      <c r="P3802" s="247">
        <f t="shared" si="418"/>
        <v>0</v>
      </c>
      <c r="Q3802" s="247" t="e">
        <f t="shared" si="419"/>
        <v>#VALUE!</v>
      </c>
    </row>
    <row r="3803" spans="11:17" x14ac:dyDescent="0.25">
      <c r="K3803" s="246" t="e">
        <f t="shared" si="413"/>
        <v>#VALUE!</v>
      </c>
      <c r="L3803" s="246" t="e">
        <f t="shared" si="414"/>
        <v>#VALUE!</v>
      </c>
      <c r="M3803" s="247" t="e">
        <f t="shared" si="415"/>
        <v>#VALUE!</v>
      </c>
      <c r="N3803" s="246" t="e">
        <f t="shared" si="416"/>
        <v>#VALUE!</v>
      </c>
      <c r="O3803" s="247" t="e">
        <f t="shared" si="417"/>
        <v>#VALUE!</v>
      </c>
      <c r="P3803" s="247">
        <f t="shared" si="418"/>
        <v>0</v>
      </c>
      <c r="Q3803" s="247" t="e">
        <f t="shared" si="419"/>
        <v>#VALUE!</v>
      </c>
    </row>
    <row r="3804" spans="11:17" x14ac:dyDescent="0.25">
      <c r="K3804" s="246" t="e">
        <f t="shared" si="413"/>
        <v>#VALUE!</v>
      </c>
      <c r="L3804" s="246" t="e">
        <f t="shared" si="414"/>
        <v>#VALUE!</v>
      </c>
      <c r="M3804" s="247" t="e">
        <f t="shared" si="415"/>
        <v>#VALUE!</v>
      </c>
      <c r="N3804" s="246" t="e">
        <f t="shared" si="416"/>
        <v>#VALUE!</v>
      </c>
      <c r="O3804" s="247" t="e">
        <f t="shared" si="417"/>
        <v>#VALUE!</v>
      </c>
      <c r="P3804" s="247">
        <f t="shared" si="418"/>
        <v>0</v>
      </c>
      <c r="Q3804" s="247" t="e">
        <f t="shared" si="419"/>
        <v>#VALUE!</v>
      </c>
    </row>
    <row r="3805" spans="11:17" x14ac:dyDescent="0.25">
      <c r="K3805" s="246" t="e">
        <f t="shared" si="413"/>
        <v>#VALUE!</v>
      </c>
      <c r="L3805" s="246" t="e">
        <f t="shared" si="414"/>
        <v>#VALUE!</v>
      </c>
      <c r="M3805" s="247" t="e">
        <f t="shared" si="415"/>
        <v>#VALUE!</v>
      </c>
      <c r="N3805" s="246" t="e">
        <f t="shared" si="416"/>
        <v>#VALUE!</v>
      </c>
      <c r="O3805" s="247" t="e">
        <f t="shared" si="417"/>
        <v>#VALUE!</v>
      </c>
      <c r="P3805" s="247">
        <f t="shared" si="418"/>
        <v>0</v>
      </c>
      <c r="Q3805" s="247" t="e">
        <f t="shared" si="419"/>
        <v>#VALUE!</v>
      </c>
    </row>
    <row r="3806" spans="11:17" x14ac:dyDescent="0.25">
      <c r="K3806" s="246" t="e">
        <f t="shared" si="413"/>
        <v>#VALUE!</v>
      </c>
      <c r="L3806" s="246" t="e">
        <f t="shared" si="414"/>
        <v>#VALUE!</v>
      </c>
      <c r="M3806" s="247" t="e">
        <f t="shared" si="415"/>
        <v>#VALUE!</v>
      </c>
      <c r="N3806" s="246" t="e">
        <f t="shared" si="416"/>
        <v>#VALUE!</v>
      </c>
      <c r="O3806" s="247" t="e">
        <f t="shared" si="417"/>
        <v>#VALUE!</v>
      </c>
      <c r="P3806" s="247">
        <f t="shared" si="418"/>
        <v>0</v>
      </c>
      <c r="Q3806" s="247" t="e">
        <f t="shared" si="419"/>
        <v>#VALUE!</v>
      </c>
    </row>
    <row r="3807" spans="11:17" x14ac:dyDescent="0.25">
      <c r="K3807" s="246" t="e">
        <f t="shared" si="413"/>
        <v>#VALUE!</v>
      </c>
      <c r="L3807" s="246" t="e">
        <f t="shared" si="414"/>
        <v>#VALUE!</v>
      </c>
      <c r="M3807" s="247" t="e">
        <f t="shared" si="415"/>
        <v>#VALUE!</v>
      </c>
      <c r="N3807" s="246" t="e">
        <f t="shared" si="416"/>
        <v>#VALUE!</v>
      </c>
      <c r="O3807" s="247" t="e">
        <f t="shared" si="417"/>
        <v>#VALUE!</v>
      </c>
      <c r="P3807" s="247">
        <f t="shared" si="418"/>
        <v>0</v>
      </c>
      <c r="Q3807" s="247" t="e">
        <f t="shared" si="419"/>
        <v>#VALUE!</v>
      </c>
    </row>
    <row r="3808" spans="11:17" x14ac:dyDescent="0.25">
      <c r="K3808" s="246" t="e">
        <f t="shared" si="413"/>
        <v>#VALUE!</v>
      </c>
      <c r="L3808" s="246" t="e">
        <f t="shared" si="414"/>
        <v>#VALUE!</v>
      </c>
      <c r="M3808" s="247" t="e">
        <f t="shared" si="415"/>
        <v>#VALUE!</v>
      </c>
      <c r="N3808" s="246" t="e">
        <f t="shared" si="416"/>
        <v>#VALUE!</v>
      </c>
      <c r="O3808" s="247" t="e">
        <f t="shared" si="417"/>
        <v>#VALUE!</v>
      </c>
      <c r="P3808" s="247">
        <f t="shared" si="418"/>
        <v>0</v>
      </c>
      <c r="Q3808" s="247" t="e">
        <f t="shared" si="419"/>
        <v>#VALUE!</v>
      </c>
    </row>
    <row r="3809" spans="11:17" x14ac:dyDescent="0.25">
      <c r="K3809" s="246" t="e">
        <f t="shared" si="413"/>
        <v>#VALUE!</v>
      </c>
      <c r="L3809" s="246" t="e">
        <f t="shared" si="414"/>
        <v>#VALUE!</v>
      </c>
      <c r="M3809" s="247" t="e">
        <f t="shared" si="415"/>
        <v>#VALUE!</v>
      </c>
      <c r="N3809" s="246" t="e">
        <f t="shared" si="416"/>
        <v>#VALUE!</v>
      </c>
      <c r="O3809" s="247" t="e">
        <f t="shared" si="417"/>
        <v>#VALUE!</v>
      </c>
      <c r="P3809" s="247">
        <f t="shared" si="418"/>
        <v>0</v>
      </c>
      <c r="Q3809" s="247" t="e">
        <f t="shared" si="419"/>
        <v>#VALUE!</v>
      </c>
    </row>
    <row r="3810" spans="11:17" x14ac:dyDescent="0.25">
      <c r="K3810" s="246" t="e">
        <f t="shared" si="413"/>
        <v>#VALUE!</v>
      </c>
      <c r="L3810" s="246" t="e">
        <f t="shared" si="414"/>
        <v>#VALUE!</v>
      </c>
      <c r="M3810" s="247" t="e">
        <f t="shared" si="415"/>
        <v>#VALUE!</v>
      </c>
      <c r="N3810" s="246" t="e">
        <f t="shared" si="416"/>
        <v>#VALUE!</v>
      </c>
      <c r="O3810" s="247" t="e">
        <f t="shared" si="417"/>
        <v>#VALUE!</v>
      </c>
      <c r="P3810" s="247">
        <f t="shared" si="418"/>
        <v>0</v>
      </c>
      <c r="Q3810" s="247" t="e">
        <f t="shared" si="419"/>
        <v>#VALUE!</v>
      </c>
    </row>
    <row r="3811" spans="11:17" x14ac:dyDescent="0.25">
      <c r="K3811" s="246" t="e">
        <f t="shared" si="413"/>
        <v>#VALUE!</v>
      </c>
      <c r="L3811" s="246" t="e">
        <f t="shared" si="414"/>
        <v>#VALUE!</v>
      </c>
      <c r="M3811" s="247" t="e">
        <f t="shared" si="415"/>
        <v>#VALUE!</v>
      </c>
      <c r="N3811" s="246" t="e">
        <f t="shared" si="416"/>
        <v>#VALUE!</v>
      </c>
      <c r="O3811" s="247" t="e">
        <f t="shared" si="417"/>
        <v>#VALUE!</v>
      </c>
      <c r="P3811" s="247">
        <f t="shared" si="418"/>
        <v>0</v>
      </c>
      <c r="Q3811" s="247" t="e">
        <f t="shared" si="419"/>
        <v>#VALUE!</v>
      </c>
    </row>
    <row r="3812" spans="11:17" x14ac:dyDescent="0.25">
      <c r="K3812" s="246" t="e">
        <f t="shared" si="413"/>
        <v>#VALUE!</v>
      </c>
      <c r="L3812" s="246" t="e">
        <f t="shared" si="414"/>
        <v>#VALUE!</v>
      </c>
      <c r="M3812" s="247" t="e">
        <f t="shared" si="415"/>
        <v>#VALUE!</v>
      </c>
      <c r="N3812" s="246" t="e">
        <f t="shared" si="416"/>
        <v>#VALUE!</v>
      </c>
      <c r="O3812" s="247" t="e">
        <f t="shared" si="417"/>
        <v>#VALUE!</v>
      </c>
      <c r="P3812" s="247">
        <f t="shared" si="418"/>
        <v>0</v>
      </c>
      <c r="Q3812" s="247" t="e">
        <f t="shared" si="419"/>
        <v>#VALUE!</v>
      </c>
    </row>
    <row r="3813" spans="11:17" x14ac:dyDescent="0.25">
      <c r="K3813" s="246" t="e">
        <f t="shared" si="413"/>
        <v>#VALUE!</v>
      </c>
      <c r="L3813" s="246" t="e">
        <f t="shared" si="414"/>
        <v>#VALUE!</v>
      </c>
      <c r="M3813" s="247" t="e">
        <f t="shared" si="415"/>
        <v>#VALUE!</v>
      </c>
      <c r="N3813" s="246" t="e">
        <f t="shared" si="416"/>
        <v>#VALUE!</v>
      </c>
      <c r="O3813" s="247" t="e">
        <f t="shared" si="417"/>
        <v>#VALUE!</v>
      </c>
      <c r="P3813" s="247">
        <f t="shared" si="418"/>
        <v>0</v>
      </c>
      <c r="Q3813" s="247" t="e">
        <f t="shared" si="419"/>
        <v>#VALUE!</v>
      </c>
    </row>
    <row r="3814" spans="11:17" x14ac:dyDescent="0.25">
      <c r="K3814" s="246" t="e">
        <f t="shared" si="413"/>
        <v>#VALUE!</v>
      </c>
      <c r="L3814" s="246" t="e">
        <f t="shared" si="414"/>
        <v>#VALUE!</v>
      </c>
      <c r="M3814" s="247" t="e">
        <f t="shared" si="415"/>
        <v>#VALUE!</v>
      </c>
      <c r="N3814" s="246" t="e">
        <f t="shared" si="416"/>
        <v>#VALUE!</v>
      </c>
      <c r="O3814" s="247" t="e">
        <f t="shared" si="417"/>
        <v>#VALUE!</v>
      </c>
      <c r="P3814" s="247">
        <f t="shared" si="418"/>
        <v>0</v>
      </c>
      <c r="Q3814" s="247" t="e">
        <f t="shared" si="419"/>
        <v>#VALUE!</v>
      </c>
    </row>
    <row r="3815" spans="11:17" x14ac:dyDescent="0.25">
      <c r="K3815" s="246" t="e">
        <f t="shared" si="413"/>
        <v>#VALUE!</v>
      </c>
      <c r="L3815" s="246" t="e">
        <f t="shared" si="414"/>
        <v>#VALUE!</v>
      </c>
      <c r="M3815" s="247" t="e">
        <f t="shared" si="415"/>
        <v>#VALUE!</v>
      </c>
      <c r="N3815" s="246" t="e">
        <f t="shared" si="416"/>
        <v>#VALUE!</v>
      </c>
      <c r="O3815" s="247" t="e">
        <f t="shared" si="417"/>
        <v>#VALUE!</v>
      </c>
      <c r="P3815" s="247">
        <f t="shared" si="418"/>
        <v>0</v>
      </c>
      <c r="Q3815" s="247" t="e">
        <f t="shared" si="419"/>
        <v>#VALUE!</v>
      </c>
    </row>
    <row r="3816" spans="11:17" x14ac:dyDescent="0.25">
      <c r="K3816" s="246" t="e">
        <f t="shared" si="413"/>
        <v>#VALUE!</v>
      </c>
      <c r="L3816" s="246" t="e">
        <f t="shared" si="414"/>
        <v>#VALUE!</v>
      </c>
      <c r="M3816" s="247" t="e">
        <f t="shared" si="415"/>
        <v>#VALUE!</v>
      </c>
      <c r="N3816" s="246" t="e">
        <f t="shared" si="416"/>
        <v>#VALUE!</v>
      </c>
      <c r="O3816" s="247" t="e">
        <f t="shared" si="417"/>
        <v>#VALUE!</v>
      </c>
      <c r="P3816" s="247">
        <f t="shared" si="418"/>
        <v>0</v>
      </c>
      <c r="Q3816" s="247" t="e">
        <f t="shared" si="419"/>
        <v>#VALUE!</v>
      </c>
    </row>
    <row r="3817" spans="11:17" x14ac:dyDescent="0.25">
      <c r="K3817" s="246" t="e">
        <f t="shared" si="413"/>
        <v>#VALUE!</v>
      </c>
      <c r="L3817" s="246" t="e">
        <f t="shared" si="414"/>
        <v>#VALUE!</v>
      </c>
      <c r="M3817" s="247" t="e">
        <f t="shared" si="415"/>
        <v>#VALUE!</v>
      </c>
      <c r="N3817" s="246" t="e">
        <f t="shared" si="416"/>
        <v>#VALUE!</v>
      </c>
      <c r="O3817" s="247" t="e">
        <f t="shared" si="417"/>
        <v>#VALUE!</v>
      </c>
      <c r="P3817" s="247">
        <f t="shared" si="418"/>
        <v>0</v>
      </c>
      <c r="Q3817" s="247" t="e">
        <f t="shared" si="419"/>
        <v>#VALUE!</v>
      </c>
    </row>
    <row r="3818" spans="11:17" x14ac:dyDescent="0.25">
      <c r="K3818" s="246" t="e">
        <f t="shared" si="413"/>
        <v>#VALUE!</v>
      </c>
      <c r="L3818" s="246" t="e">
        <f t="shared" si="414"/>
        <v>#VALUE!</v>
      </c>
      <c r="M3818" s="247" t="e">
        <f t="shared" si="415"/>
        <v>#VALUE!</v>
      </c>
      <c r="N3818" s="246" t="e">
        <f t="shared" si="416"/>
        <v>#VALUE!</v>
      </c>
      <c r="O3818" s="247" t="e">
        <f t="shared" si="417"/>
        <v>#VALUE!</v>
      </c>
      <c r="P3818" s="247">
        <f t="shared" si="418"/>
        <v>0</v>
      </c>
      <c r="Q3818" s="247" t="e">
        <f t="shared" si="419"/>
        <v>#VALUE!</v>
      </c>
    </row>
    <row r="3819" spans="11:17" x14ac:dyDescent="0.25">
      <c r="K3819" s="246" t="e">
        <f t="shared" si="413"/>
        <v>#VALUE!</v>
      </c>
      <c r="L3819" s="246" t="e">
        <f t="shared" si="414"/>
        <v>#VALUE!</v>
      </c>
      <c r="M3819" s="247" t="e">
        <f t="shared" si="415"/>
        <v>#VALUE!</v>
      </c>
      <c r="N3819" s="246" t="e">
        <f t="shared" si="416"/>
        <v>#VALUE!</v>
      </c>
      <c r="O3819" s="247" t="e">
        <f t="shared" si="417"/>
        <v>#VALUE!</v>
      </c>
      <c r="P3819" s="247">
        <f t="shared" si="418"/>
        <v>0</v>
      </c>
      <c r="Q3819" s="247" t="e">
        <f t="shared" si="419"/>
        <v>#VALUE!</v>
      </c>
    </row>
    <row r="3820" spans="11:17" x14ac:dyDescent="0.25">
      <c r="K3820" s="246" t="e">
        <f t="shared" si="413"/>
        <v>#VALUE!</v>
      </c>
      <c r="L3820" s="246" t="e">
        <f t="shared" si="414"/>
        <v>#VALUE!</v>
      </c>
      <c r="M3820" s="247" t="e">
        <f t="shared" si="415"/>
        <v>#VALUE!</v>
      </c>
      <c r="N3820" s="246" t="e">
        <f t="shared" si="416"/>
        <v>#VALUE!</v>
      </c>
      <c r="O3820" s="247" t="e">
        <f t="shared" si="417"/>
        <v>#VALUE!</v>
      </c>
      <c r="P3820" s="247">
        <f t="shared" si="418"/>
        <v>0</v>
      </c>
      <c r="Q3820" s="247" t="e">
        <f t="shared" si="419"/>
        <v>#VALUE!</v>
      </c>
    </row>
    <row r="3821" spans="11:17" x14ac:dyDescent="0.25">
      <c r="K3821" s="246" t="e">
        <f t="shared" si="413"/>
        <v>#VALUE!</v>
      </c>
      <c r="L3821" s="246" t="e">
        <f t="shared" si="414"/>
        <v>#VALUE!</v>
      </c>
      <c r="M3821" s="247" t="e">
        <f t="shared" si="415"/>
        <v>#VALUE!</v>
      </c>
      <c r="N3821" s="246" t="e">
        <f t="shared" si="416"/>
        <v>#VALUE!</v>
      </c>
      <c r="O3821" s="247" t="e">
        <f t="shared" si="417"/>
        <v>#VALUE!</v>
      </c>
      <c r="P3821" s="247">
        <f t="shared" si="418"/>
        <v>0</v>
      </c>
      <c r="Q3821" s="247" t="e">
        <f t="shared" si="419"/>
        <v>#VALUE!</v>
      </c>
    </row>
    <row r="3822" spans="11:17" x14ac:dyDescent="0.25">
      <c r="K3822" s="246" t="e">
        <f t="shared" si="413"/>
        <v>#VALUE!</v>
      </c>
      <c r="L3822" s="246" t="e">
        <f t="shared" si="414"/>
        <v>#VALUE!</v>
      </c>
      <c r="M3822" s="247" t="e">
        <f t="shared" si="415"/>
        <v>#VALUE!</v>
      </c>
      <c r="N3822" s="246" t="e">
        <f t="shared" si="416"/>
        <v>#VALUE!</v>
      </c>
      <c r="O3822" s="247" t="e">
        <f t="shared" si="417"/>
        <v>#VALUE!</v>
      </c>
      <c r="P3822" s="247">
        <f t="shared" si="418"/>
        <v>0</v>
      </c>
      <c r="Q3822" s="247" t="e">
        <f t="shared" si="419"/>
        <v>#VALUE!</v>
      </c>
    </row>
    <row r="3823" spans="11:17" x14ac:dyDescent="0.25">
      <c r="K3823" s="246" t="e">
        <f t="shared" si="413"/>
        <v>#VALUE!</v>
      </c>
      <c r="L3823" s="246" t="e">
        <f t="shared" si="414"/>
        <v>#VALUE!</v>
      </c>
      <c r="M3823" s="247" t="e">
        <f t="shared" si="415"/>
        <v>#VALUE!</v>
      </c>
      <c r="N3823" s="246" t="e">
        <f t="shared" si="416"/>
        <v>#VALUE!</v>
      </c>
      <c r="O3823" s="247" t="e">
        <f t="shared" si="417"/>
        <v>#VALUE!</v>
      </c>
      <c r="P3823" s="247">
        <f t="shared" si="418"/>
        <v>0</v>
      </c>
      <c r="Q3823" s="247" t="e">
        <f t="shared" si="419"/>
        <v>#VALUE!</v>
      </c>
    </row>
    <row r="3824" spans="11:17" x14ac:dyDescent="0.25">
      <c r="K3824" s="246" t="e">
        <f t="shared" si="413"/>
        <v>#VALUE!</v>
      </c>
      <c r="L3824" s="246" t="e">
        <f t="shared" si="414"/>
        <v>#VALUE!</v>
      </c>
      <c r="M3824" s="247" t="e">
        <f t="shared" si="415"/>
        <v>#VALUE!</v>
      </c>
      <c r="N3824" s="246" t="e">
        <f t="shared" si="416"/>
        <v>#VALUE!</v>
      </c>
      <c r="O3824" s="247" t="e">
        <f t="shared" si="417"/>
        <v>#VALUE!</v>
      </c>
      <c r="P3824" s="247">
        <f t="shared" si="418"/>
        <v>0</v>
      </c>
      <c r="Q3824" s="247" t="e">
        <f t="shared" si="419"/>
        <v>#VALUE!</v>
      </c>
    </row>
    <row r="3825" spans="11:17" x14ac:dyDescent="0.25">
      <c r="K3825" s="246" t="e">
        <f t="shared" si="413"/>
        <v>#VALUE!</v>
      </c>
      <c r="L3825" s="246" t="e">
        <f t="shared" si="414"/>
        <v>#VALUE!</v>
      </c>
      <c r="M3825" s="247" t="e">
        <f t="shared" si="415"/>
        <v>#VALUE!</v>
      </c>
      <c r="N3825" s="246" t="e">
        <f t="shared" si="416"/>
        <v>#VALUE!</v>
      </c>
      <c r="O3825" s="247" t="e">
        <f t="shared" si="417"/>
        <v>#VALUE!</v>
      </c>
      <c r="P3825" s="247">
        <f t="shared" si="418"/>
        <v>0</v>
      </c>
      <c r="Q3825" s="247" t="e">
        <f t="shared" si="419"/>
        <v>#VALUE!</v>
      </c>
    </row>
    <row r="3826" spans="11:17" x14ac:dyDescent="0.25">
      <c r="K3826" s="246" t="e">
        <f t="shared" ref="K3826:K3889" si="420">DATE(VALUE(LEFT(A3826,4)),VALUE(MID(A3826,5,2)),VALUE(RIGHT(A3826,2)))</f>
        <v>#VALUE!</v>
      </c>
      <c r="L3826" s="246" t="e">
        <f t="shared" ref="L3826:L3889" si="421">DATEVALUE(LEFT(F3826,10))</f>
        <v>#VALUE!</v>
      </c>
      <c r="M3826" s="247" t="e">
        <f t="shared" ref="M3826:M3889" si="422">TIMEVALUE(MID(F3826,12,8))</f>
        <v>#VALUE!</v>
      </c>
      <c r="N3826" s="246" t="e">
        <f t="shared" ref="N3826:N3889" si="423">DATEVALUE(LEFT(G3826,10))</f>
        <v>#VALUE!</v>
      </c>
      <c r="O3826" s="247" t="e">
        <f t="shared" ref="O3826:O3889" si="424">TIMEVALUE(MID(G3826,12,8))</f>
        <v>#VALUE!</v>
      </c>
      <c r="P3826" s="247">
        <f t="shared" si="418"/>
        <v>0</v>
      </c>
      <c r="Q3826" s="247" t="e">
        <f t="shared" si="419"/>
        <v>#VALUE!</v>
      </c>
    </row>
    <row r="3827" spans="11:17" x14ac:dyDescent="0.25">
      <c r="K3827" s="246" t="e">
        <f t="shared" si="420"/>
        <v>#VALUE!</v>
      </c>
      <c r="L3827" s="246" t="e">
        <f t="shared" si="421"/>
        <v>#VALUE!</v>
      </c>
      <c r="M3827" s="247" t="e">
        <f t="shared" si="422"/>
        <v>#VALUE!</v>
      </c>
      <c r="N3827" s="246" t="e">
        <f t="shared" si="423"/>
        <v>#VALUE!</v>
      </c>
      <c r="O3827" s="247" t="e">
        <f t="shared" si="424"/>
        <v>#VALUE!</v>
      </c>
      <c r="P3827" s="247">
        <f t="shared" si="418"/>
        <v>0</v>
      </c>
      <c r="Q3827" s="247" t="e">
        <f t="shared" si="419"/>
        <v>#VALUE!</v>
      </c>
    </row>
    <row r="3828" spans="11:17" x14ac:dyDescent="0.25">
      <c r="K3828" s="246" t="e">
        <f t="shared" si="420"/>
        <v>#VALUE!</v>
      </c>
      <c r="L3828" s="246" t="e">
        <f t="shared" si="421"/>
        <v>#VALUE!</v>
      </c>
      <c r="M3828" s="247" t="e">
        <f t="shared" si="422"/>
        <v>#VALUE!</v>
      </c>
      <c r="N3828" s="246" t="e">
        <f t="shared" si="423"/>
        <v>#VALUE!</v>
      </c>
      <c r="O3828" s="247" t="e">
        <f t="shared" si="424"/>
        <v>#VALUE!</v>
      </c>
      <c r="P3828" s="247">
        <f t="shared" si="418"/>
        <v>0</v>
      </c>
      <c r="Q3828" s="247" t="e">
        <f t="shared" si="419"/>
        <v>#VALUE!</v>
      </c>
    </row>
    <row r="3829" spans="11:17" x14ac:dyDescent="0.25">
      <c r="K3829" s="246" t="e">
        <f t="shared" si="420"/>
        <v>#VALUE!</v>
      </c>
      <c r="L3829" s="246" t="e">
        <f t="shared" si="421"/>
        <v>#VALUE!</v>
      </c>
      <c r="M3829" s="247" t="e">
        <f t="shared" si="422"/>
        <v>#VALUE!</v>
      </c>
      <c r="N3829" s="246" t="e">
        <f t="shared" si="423"/>
        <v>#VALUE!</v>
      </c>
      <c r="O3829" s="247" t="e">
        <f t="shared" si="424"/>
        <v>#VALUE!</v>
      </c>
      <c r="P3829" s="247">
        <f t="shared" si="418"/>
        <v>0</v>
      </c>
      <c r="Q3829" s="247" t="e">
        <f t="shared" si="419"/>
        <v>#VALUE!</v>
      </c>
    </row>
    <row r="3830" spans="11:17" x14ac:dyDescent="0.25">
      <c r="K3830" s="246" t="e">
        <f t="shared" si="420"/>
        <v>#VALUE!</v>
      </c>
      <c r="L3830" s="246" t="e">
        <f t="shared" si="421"/>
        <v>#VALUE!</v>
      </c>
      <c r="M3830" s="247" t="e">
        <f t="shared" si="422"/>
        <v>#VALUE!</v>
      </c>
      <c r="N3830" s="246" t="e">
        <f t="shared" si="423"/>
        <v>#VALUE!</v>
      </c>
      <c r="O3830" s="247" t="e">
        <f t="shared" si="424"/>
        <v>#VALUE!</v>
      </c>
      <c r="P3830" s="247">
        <f t="shared" si="418"/>
        <v>0</v>
      </c>
      <c r="Q3830" s="247" t="e">
        <f t="shared" si="419"/>
        <v>#VALUE!</v>
      </c>
    </row>
    <row r="3831" spans="11:17" x14ac:dyDescent="0.25">
      <c r="K3831" s="246" t="e">
        <f t="shared" si="420"/>
        <v>#VALUE!</v>
      </c>
      <c r="L3831" s="246" t="e">
        <f t="shared" si="421"/>
        <v>#VALUE!</v>
      </c>
      <c r="M3831" s="247" t="e">
        <f t="shared" si="422"/>
        <v>#VALUE!</v>
      </c>
      <c r="N3831" s="246" t="e">
        <f t="shared" si="423"/>
        <v>#VALUE!</v>
      </c>
      <c r="O3831" s="247" t="e">
        <f t="shared" si="424"/>
        <v>#VALUE!</v>
      </c>
      <c r="P3831" s="247">
        <f t="shared" si="418"/>
        <v>0</v>
      </c>
      <c r="Q3831" s="247" t="e">
        <f t="shared" si="419"/>
        <v>#VALUE!</v>
      </c>
    </row>
    <row r="3832" spans="11:17" x14ac:dyDescent="0.25">
      <c r="K3832" s="246" t="e">
        <f t="shared" si="420"/>
        <v>#VALUE!</v>
      </c>
      <c r="L3832" s="246" t="e">
        <f t="shared" si="421"/>
        <v>#VALUE!</v>
      </c>
      <c r="M3832" s="247" t="e">
        <f t="shared" si="422"/>
        <v>#VALUE!</v>
      </c>
      <c r="N3832" s="246" t="e">
        <f t="shared" si="423"/>
        <v>#VALUE!</v>
      </c>
      <c r="O3832" s="247" t="e">
        <f t="shared" si="424"/>
        <v>#VALUE!</v>
      </c>
      <c r="P3832" s="247">
        <f t="shared" si="418"/>
        <v>0</v>
      </c>
      <c r="Q3832" s="247" t="e">
        <f t="shared" si="419"/>
        <v>#VALUE!</v>
      </c>
    </row>
    <row r="3833" spans="11:17" x14ac:dyDescent="0.25">
      <c r="K3833" s="246" t="e">
        <f t="shared" si="420"/>
        <v>#VALUE!</v>
      </c>
      <c r="L3833" s="246" t="e">
        <f t="shared" si="421"/>
        <v>#VALUE!</v>
      </c>
      <c r="M3833" s="247" t="e">
        <f t="shared" si="422"/>
        <v>#VALUE!</v>
      </c>
      <c r="N3833" s="246" t="e">
        <f t="shared" si="423"/>
        <v>#VALUE!</v>
      </c>
      <c r="O3833" s="247" t="e">
        <f t="shared" si="424"/>
        <v>#VALUE!</v>
      </c>
      <c r="P3833" s="247">
        <f t="shared" si="418"/>
        <v>0</v>
      </c>
      <c r="Q3833" s="247" t="e">
        <f t="shared" si="419"/>
        <v>#VALUE!</v>
      </c>
    </row>
    <row r="3834" spans="11:17" x14ac:dyDescent="0.25">
      <c r="K3834" s="246" t="e">
        <f t="shared" si="420"/>
        <v>#VALUE!</v>
      </c>
      <c r="L3834" s="246" t="e">
        <f t="shared" si="421"/>
        <v>#VALUE!</v>
      </c>
      <c r="M3834" s="247" t="e">
        <f t="shared" si="422"/>
        <v>#VALUE!</v>
      </c>
      <c r="N3834" s="246" t="e">
        <f t="shared" si="423"/>
        <v>#VALUE!</v>
      </c>
      <c r="O3834" s="247" t="e">
        <f t="shared" si="424"/>
        <v>#VALUE!</v>
      </c>
      <c r="P3834" s="247">
        <f t="shared" si="418"/>
        <v>0</v>
      </c>
      <c r="Q3834" s="247" t="e">
        <f t="shared" si="419"/>
        <v>#VALUE!</v>
      </c>
    </row>
    <row r="3835" spans="11:17" x14ac:dyDescent="0.25">
      <c r="K3835" s="246" t="e">
        <f t="shared" si="420"/>
        <v>#VALUE!</v>
      </c>
      <c r="L3835" s="246" t="e">
        <f t="shared" si="421"/>
        <v>#VALUE!</v>
      </c>
      <c r="M3835" s="247" t="e">
        <f t="shared" si="422"/>
        <v>#VALUE!</v>
      </c>
      <c r="N3835" s="246" t="e">
        <f t="shared" si="423"/>
        <v>#VALUE!</v>
      </c>
      <c r="O3835" s="247" t="e">
        <f t="shared" si="424"/>
        <v>#VALUE!</v>
      </c>
      <c r="P3835" s="247">
        <f t="shared" si="418"/>
        <v>0</v>
      </c>
      <c r="Q3835" s="247" t="e">
        <f t="shared" si="419"/>
        <v>#VALUE!</v>
      </c>
    </row>
    <row r="3836" spans="11:17" x14ac:dyDescent="0.25">
      <c r="K3836" s="246" t="e">
        <f t="shared" si="420"/>
        <v>#VALUE!</v>
      </c>
      <c r="L3836" s="246" t="e">
        <f t="shared" si="421"/>
        <v>#VALUE!</v>
      </c>
      <c r="M3836" s="247" t="e">
        <f t="shared" si="422"/>
        <v>#VALUE!</v>
      </c>
      <c r="N3836" s="246" t="e">
        <f t="shared" si="423"/>
        <v>#VALUE!</v>
      </c>
      <c r="O3836" s="247" t="e">
        <f t="shared" si="424"/>
        <v>#VALUE!</v>
      </c>
      <c r="P3836" s="247">
        <f t="shared" si="418"/>
        <v>0</v>
      </c>
      <c r="Q3836" s="247" t="e">
        <f t="shared" si="419"/>
        <v>#VALUE!</v>
      </c>
    </row>
    <row r="3837" spans="11:17" x14ac:dyDescent="0.25">
      <c r="K3837" s="246" t="e">
        <f t="shared" si="420"/>
        <v>#VALUE!</v>
      </c>
      <c r="L3837" s="246" t="e">
        <f t="shared" si="421"/>
        <v>#VALUE!</v>
      </c>
      <c r="M3837" s="247" t="e">
        <f t="shared" si="422"/>
        <v>#VALUE!</v>
      </c>
      <c r="N3837" s="246" t="e">
        <f t="shared" si="423"/>
        <v>#VALUE!</v>
      </c>
      <c r="O3837" s="247" t="e">
        <f t="shared" si="424"/>
        <v>#VALUE!</v>
      </c>
      <c r="P3837" s="247">
        <f t="shared" si="418"/>
        <v>0</v>
      </c>
      <c r="Q3837" s="247" t="e">
        <f t="shared" si="419"/>
        <v>#VALUE!</v>
      </c>
    </row>
    <row r="3838" spans="11:17" x14ac:dyDescent="0.25">
      <c r="K3838" s="246" t="e">
        <f t="shared" si="420"/>
        <v>#VALUE!</v>
      </c>
      <c r="L3838" s="246" t="e">
        <f t="shared" si="421"/>
        <v>#VALUE!</v>
      </c>
      <c r="M3838" s="247" t="e">
        <f t="shared" si="422"/>
        <v>#VALUE!</v>
      </c>
      <c r="N3838" s="246" t="e">
        <f t="shared" si="423"/>
        <v>#VALUE!</v>
      </c>
      <c r="O3838" s="247" t="e">
        <f t="shared" si="424"/>
        <v>#VALUE!</v>
      </c>
      <c r="P3838" s="247">
        <f t="shared" si="418"/>
        <v>0</v>
      </c>
      <c r="Q3838" s="247" t="e">
        <f t="shared" si="419"/>
        <v>#VALUE!</v>
      </c>
    </row>
    <row r="3839" spans="11:17" x14ac:dyDescent="0.25">
      <c r="K3839" s="246" t="e">
        <f t="shared" si="420"/>
        <v>#VALUE!</v>
      </c>
      <c r="L3839" s="246" t="e">
        <f t="shared" si="421"/>
        <v>#VALUE!</v>
      </c>
      <c r="M3839" s="247" t="e">
        <f t="shared" si="422"/>
        <v>#VALUE!</v>
      </c>
      <c r="N3839" s="246" t="e">
        <f t="shared" si="423"/>
        <v>#VALUE!</v>
      </c>
      <c r="O3839" s="247" t="e">
        <f t="shared" si="424"/>
        <v>#VALUE!</v>
      </c>
      <c r="P3839" s="247">
        <f t="shared" si="418"/>
        <v>0</v>
      </c>
      <c r="Q3839" s="247" t="e">
        <f t="shared" si="419"/>
        <v>#VALUE!</v>
      </c>
    </row>
    <row r="3840" spans="11:17" x14ac:dyDescent="0.25">
      <c r="K3840" s="246" t="e">
        <f t="shared" si="420"/>
        <v>#VALUE!</v>
      </c>
      <c r="L3840" s="246" t="e">
        <f t="shared" si="421"/>
        <v>#VALUE!</v>
      </c>
      <c r="M3840" s="247" t="e">
        <f t="shared" si="422"/>
        <v>#VALUE!</v>
      </c>
      <c r="N3840" s="246" t="e">
        <f t="shared" si="423"/>
        <v>#VALUE!</v>
      </c>
      <c r="O3840" s="247" t="e">
        <f t="shared" si="424"/>
        <v>#VALUE!</v>
      </c>
      <c r="P3840" s="247">
        <f t="shared" si="418"/>
        <v>0</v>
      </c>
      <c r="Q3840" s="247" t="e">
        <f t="shared" si="419"/>
        <v>#VALUE!</v>
      </c>
    </row>
    <row r="3841" spans="11:17" x14ac:dyDescent="0.25">
      <c r="K3841" s="246" t="e">
        <f t="shared" si="420"/>
        <v>#VALUE!</v>
      </c>
      <c r="L3841" s="246" t="e">
        <f t="shared" si="421"/>
        <v>#VALUE!</v>
      </c>
      <c r="M3841" s="247" t="e">
        <f t="shared" si="422"/>
        <v>#VALUE!</v>
      </c>
      <c r="N3841" s="246" t="e">
        <f t="shared" si="423"/>
        <v>#VALUE!</v>
      </c>
      <c r="O3841" s="247" t="e">
        <f t="shared" si="424"/>
        <v>#VALUE!</v>
      </c>
      <c r="P3841" s="247">
        <f t="shared" si="418"/>
        <v>0</v>
      </c>
      <c r="Q3841" s="247" t="e">
        <f t="shared" si="419"/>
        <v>#VALUE!</v>
      </c>
    </row>
    <row r="3842" spans="11:17" x14ac:dyDescent="0.25">
      <c r="K3842" s="246" t="e">
        <f t="shared" si="420"/>
        <v>#VALUE!</v>
      </c>
      <c r="L3842" s="246" t="e">
        <f t="shared" si="421"/>
        <v>#VALUE!</v>
      </c>
      <c r="M3842" s="247" t="e">
        <f t="shared" si="422"/>
        <v>#VALUE!</v>
      </c>
      <c r="N3842" s="246" t="e">
        <f t="shared" si="423"/>
        <v>#VALUE!</v>
      </c>
      <c r="O3842" s="247" t="e">
        <f t="shared" si="424"/>
        <v>#VALUE!</v>
      </c>
      <c r="P3842" s="247">
        <f t="shared" ref="P3842:P3905" si="425">IFERROR(_xlfn.MINIFS($M:$M,$E:$E,$E3842,$K:$K,$K3842,$M:$M,"&gt;"&amp;$O3842),"")</f>
        <v>0</v>
      </c>
      <c r="Q3842" s="247" t="e">
        <f t="shared" ref="Q3842:Q3905" si="426">IF($P3842="","",$P3842-$O3842)</f>
        <v>#VALUE!</v>
      </c>
    </row>
    <row r="3843" spans="11:17" x14ac:dyDescent="0.25">
      <c r="K3843" s="246" t="e">
        <f t="shared" si="420"/>
        <v>#VALUE!</v>
      </c>
      <c r="L3843" s="246" t="e">
        <f t="shared" si="421"/>
        <v>#VALUE!</v>
      </c>
      <c r="M3843" s="247" t="e">
        <f t="shared" si="422"/>
        <v>#VALUE!</v>
      </c>
      <c r="N3843" s="246" t="e">
        <f t="shared" si="423"/>
        <v>#VALUE!</v>
      </c>
      <c r="O3843" s="247" t="e">
        <f t="shared" si="424"/>
        <v>#VALUE!</v>
      </c>
      <c r="P3843" s="247">
        <f t="shared" si="425"/>
        <v>0</v>
      </c>
      <c r="Q3843" s="247" t="e">
        <f t="shared" si="426"/>
        <v>#VALUE!</v>
      </c>
    </row>
    <row r="3844" spans="11:17" x14ac:dyDescent="0.25">
      <c r="K3844" s="246" t="e">
        <f t="shared" si="420"/>
        <v>#VALUE!</v>
      </c>
      <c r="L3844" s="246" t="e">
        <f t="shared" si="421"/>
        <v>#VALUE!</v>
      </c>
      <c r="M3844" s="247" t="e">
        <f t="shared" si="422"/>
        <v>#VALUE!</v>
      </c>
      <c r="N3844" s="246" t="e">
        <f t="shared" si="423"/>
        <v>#VALUE!</v>
      </c>
      <c r="O3844" s="247" t="e">
        <f t="shared" si="424"/>
        <v>#VALUE!</v>
      </c>
      <c r="P3844" s="247">
        <f t="shared" si="425"/>
        <v>0</v>
      </c>
      <c r="Q3844" s="247" t="e">
        <f t="shared" si="426"/>
        <v>#VALUE!</v>
      </c>
    </row>
    <row r="3845" spans="11:17" x14ac:dyDescent="0.25">
      <c r="K3845" s="246" t="e">
        <f t="shared" si="420"/>
        <v>#VALUE!</v>
      </c>
      <c r="L3845" s="246" t="e">
        <f t="shared" si="421"/>
        <v>#VALUE!</v>
      </c>
      <c r="M3845" s="247" t="e">
        <f t="shared" si="422"/>
        <v>#VALUE!</v>
      </c>
      <c r="N3845" s="246" t="e">
        <f t="shared" si="423"/>
        <v>#VALUE!</v>
      </c>
      <c r="O3845" s="247" t="e">
        <f t="shared" si="424"/>
        <v>#VALUE!</v>
      </c>
      <c r="P3845" s="247">
        <f t="shared" si="425"/>
        <v>0</v>
      </c>
      <c r="Q3845" s="247" t="e">
        <f t="shared" si="426"/>
        <v>#VALUE!</v>
      </c>
    </row>
    <row r="3846" spans="11:17" x14ac:dyDescent="0.25">
      <c r="K3846" s="246" t="e">
        <f t="shared" si="420"/>
        <v>#VALUE!</v>
      </c>
      <c r="L3846" s="246" t="e">
        <f t="shared" si="421"/>
        <v>#VALUE!</v>
      </c>
      <c r="M3846" s="247" t="e">
        <f t="shared" si="422"/>
        <v>#VALUE!</v>
      </c>
      <c r="N3846" s="246" t="e">
        <f t="shared" si="423"/>
        <v>#VALUE!</v>
      </c>
      <c r="O3846" s="247" t="e">
        <f t="shared" si="424"/>
        <v>#VALUE!</v>
      </c>
      <c r="P3846" s="247">
        <f t="shared" si="425"/>
        <v>0</v>
      </c>
      <c r="Q3846" s="247" t="e">
        <f t="shared" si="426"/>
        <v>#VALUE!</v>
      </c>
    </row>
    <row r="3847" spans="11:17" x14ac:dyDescent="0.25">
      <c r="K3847" s="246" t="e">
        <f t="shared" si="420"/>
        <v>#VALUE!</v>
      </c>
      <c r="L3847" s="246" t="e">
        <f t="shared" si="421"/>
        <v>#VALUE!</v>
      </c>
      <c r="M3847" s="247" t="e">
        <f t="shared" si="422"/>
        <v>#VALUE!</v>
      </c>
      <c r="N3847" s="246" t="e">
        <f t="shared" si="423"/>
        <v>#VALUE!</v>
      </c>
      <c r="O3847" s="247" t="e">
        <f t="shared" si="424"/>
        <v>#VALUE!</v>
      </c>
      <c r="P3847" s="247">
        <f t="shared" si="425"/>
        <v>0</v>
      </c>
      <c r="Q3847" s="247" t="e">
        <f t="shared" si="426"/>
        <v>#VALUE!</v>
      </c>
    </row>
    <row r="3848" spans="11:17" x14ac:dyDescent="0.25">
      <c r="K3848" s="246" t="e">
        <f t="shared" si="420"/>
        <v>#VALUE!</v>
      </c>
      <c r="L3848" s="246" t="e">
        <f t="shared" si="421"/>
        <v>#VALUE!</v>
      </c>
      <c r="M3848" s="247" t="e">
        <f t="shared" si="422"/>
        <v>#VALUE!</v>
      </c>
      <c r="N3848" s="246" t="e">
        <f t="shared" si="423"/>
        <v>#VALUE!</v>
      </c>
      <c r="O3848" s="247" t="e">
        <f t="shared" si="424"/>
        <v>#VALUE!</v>
      </c>
      <c r="P3848" s="247">
        <f t="shared" si="425"/>
        <v>0</v>
      </c>
      <c r="Q3848" s="247" t="e">
        <f t="shared" si="426"/>
        <v>#VALUE!</v>
      </c>
    </row>
    <row r="3849" spans="11:17" x14ac:dyDescent="0.25">
      <c r="K3849" s="246" t="e">
        <f t="shared" si="420"/>
        <v>#VALUE!</v>
      </c>
      <c r="L3849" s="246" t="e">
        <f t="shared" si="421"/>
        <v>#VALUE!</v>
      </c>
      <c r="M3849" s="247" t="e">
        <f t="shared" si="422"/>
        <v>#VALUE!</v>
      </c>
      <c r="N3849" s="246" t="e">
        <f t="shared" si="423"/>
        <v>#VALUE!</v>
      </c>
      <c r="O3849" s="247" t="e">
        <f t="shared" si="424"/>
        <v>#VALUE!</v>
      </c>
      <c r="P3849" s="247">
        <f t="shared" si="425"/>
        <v>0</v>
      </c>
      <c r="Q3849" s="247" t="e">
        <f t="shared" si="426"/>
        <v>#VALUE!</v>
      </c>
    </row>
    <row r="3850" spans="11:17" x14ac:dyDescent="0.25">
      <c r="K3850" s="246" t="e">
        <f t="shared" si="420"/>
        <v>#VALUE!</v>
      </c>
      <c r="L3850" s="246" t="e">
        <f t="shared" si="421"/>
        <v>#VALUE!</v>
      </c>
      <c r="M3850" s="247" t="e">
        <f t="shared" si="422"/>
        <v>#VALUE!</v>
      </c>
      <c r="N3850" s="246" t="e">
        <f t="shared" si="423"/>
        <v>#VALUE!</v>
      </c>
      <c r="O3850" s="247" t="e">
        <f t="shared" si="424"/>
        <v>#VALUE!</v>
      </c>
      <c r="P3850" s="247">
        <f t="shared" si="425"/>
        <v>0</v>
      </c>
      <c r="Q3850" s="247" t="e">
        <f t="shared" si="426"/>
        <v>#VALUE!</v>
      </c>
    </row>
    <row r="3851" spans="11:17" x14ac:dyDescent="0.25">
      <c r="K3851" s="246" t="e">
        <f t="shared" si="420"/>
        <v>#VALUE!</v>
      </c>
      <c r="L3851" s="246" t="e">
        <f t="shared" si="421"/>
        <v>#VALUE!</v>
      </c>
      <c r="M3851" s="247" t="e">
        <f t="shared" si="422"/>
        <v>#VALUE!</v>
      </c>
      <c r="N3851" s="246" t="e">
        <f t="shared" si="423"/>
        <v>#VALUE!</v>
      </c>
      <c r="O3851" s="247" t="e">
        <f t="shared" si="424"/>
        <v>#VALUE!</v>
      </c>
      <c r="P3851" s="247">
        <f t="shared" si="425"/>
        <v>0</v>
      </c>
      <c r="Q3851" s="247" t="e">
        <f t="shared" si="426"/>
        <v>#VALUE!</v>
      </c>
    </row>
    <row r="3852" spans="11:17" x14ac:dyDescent="0.25">
      <c r="K3852" s="246" t="e">
        <f t="shared" si="420"/>
        <v>#VALUE!</v>
      </c>
      <c r="L3852" s="246" t="e">
        <f t="shared" si="421"/>
        <v>#VALUE!</v>
      </c>
      <c r="M3852" s="247" t="e">
        <f t="shared" si="422"/>
        <v>#VALUE!</v>
      </c>
      <c r="N3852" s="246" t="e">
        <f t="shared" si="423"/>
        <v>#VALUE!</v>
      </c>
      <c r="O3852" s="247" t="e">
        <f t="shared" si="424"/>
        <v>#VALUE!</v>
      </c>
      <c r="P3852" s="247">
        <f t="shared" si="425"/>
        <v>0</v>
      </c>
      <c r="Q3852" s="247" t="e">
        <f t="shared" si="426"/>
        <v>#VALUE!</v>
      </c>
    </row>
    <row r="3853" spans="11:17" x14ac:dyDescent="0.25">
      <c r="K3853" s="246" t="e">
        <f t="shared" si="420"/>
        <v>#VALUE!</v>
      </c>
      <c r="L3853" s="246" t="e">
        <f t="shared" si="421"/>
        <v>#VALUE!</v>
      </c>
      <c r="M3853" s="247" t="e">
        <f t="shared" si="422"/>
        <v>#VALUE!</v>
      </c>
      <c r="N3853" s="246" t="e">
        <f t="shared" si="423"/>
        <v>#VALUE!</v>
      </c>
      <c r="O3853" s="247" t="e">
        <f t="shared" si="424"/>
        <v>#VALUE!</v>
      </c>
      <c r="P3853" s="247">
        <f t="shared" si="425"/>
        <v>0</v>
      </c>
      <c r="Q3853" s="247" t="e">
        <f t="shared" si="426"/>
        <v>#VALUE!</v>
      </c>
    </row>
    <row r="3854" spans="11:17" x14ac:dyDescent="0.25">
      <c r="K3854" s="246" t="e">
        <f t="shared" si="420"/>
        <v>#VALUE!</v>
      </c>
      <c r="L3854" s="246" t="e">
        <f t="shared" si="421"/>
        <v>#VALUE!</v>
      </c>
      <c r="M3854" s="247" t="e">
        <f t="shared" si="422"/>
        <v>#VALUE!</v>
      </c>
      <c r="N3854" s="246" t="e">
        <f t="shared" si="423"/>
        <v>#VALUE!</v>
      </c>
      <c r="O3854" s="247" t="e">
        <f t="shared" si="424"/>
        <v>#VALUE!</v>
      </c>
      <c r="P3854" s="247">
        <f t="shared" si="425"/>
        <v>0</v>
      </c>
      <c r="Q3854" s="247" t="e">
        <f t="shared" si="426"/>
        <v>#VALUE!</v>
      </c>
    </row>
    <row r="3855" spans="11:17" x14ac:dyDescent="0.25">
      <c r="K3855" s="246" t="e">
        <f t="shared" si="420"/>
        <v>#VALUE!</v>
      </c>
      <c r="L3855" s="246" t="e">
        <f t="shared" si="421"/>
        <v>#VALUE!</v>
      </c>
      <c r="M3855" s="247" t="e">
        <f t="shared" si="422"/>
        <v>#VALUE!</v>
      </c>
      <c r="N3855" s="246" t="e">
        <f t="shared" si="423"/>
        <v>#VALUE!</v>
      </c>
      <c r="O3855" s="247" t="e">
        <f t="shared" si="424"/>
        <v>#VALUE!</v>
      </c>
      <c r="P3855" s="247">
        <f t="shared" si="425"/>
        <v>0</v>
      </c>
      <c r="Q3855" s="247" t="e">
        <f t="shared" si="426"/>
        <v>#VALUE!</v>
      </c>
    </row>
    <row r="3856" spans="11:17" x14ac:dyDescent="0.25">
      <c r="K3856" s="246" t="e">
        <f t="shared" si="420"/>
        <v>#VALUE!</v>
      </c>
      <c r="L3856" s="246" t="e">
        <f t="shared" si="421"/>
        <v>#VALUE!</v>
      </c>
      <c r="M3856" s="247" t="e">
        <f t="shared" si="422"/>
        <v>#VALUE!</v>
      </c>
      <c r="N3856" s="246" t="e">
        <f t="shared" si="423"/>
        <v>#VALUE!</v>
      </c>
      <c r="O3856" s="247" t="e">
        <f t="shared" si="424"/>
        <v>#VALUE!</v>
      </c>
      <c r="P3856" s="247">
        <f t="shared" si="425"/>
        <v>0</v>
      </c>
      <c r="Q3856" s="247" t="e">
        <f t="shared" si="426"/>
        <v>#VALUE!</v>
      </c>
    </row>
    <row r="3857" spans="11:17" x14ac:dyDescent="0.25">
      <c r="K3857" s="246" t="e">
        <f t="shared" si="420"/>
        <v>#VALUE!</v>
      </c>
      <c r="L3857" s="246" t="e">
        <f t="shared" si="421"/>
        <v>#VALUE!</v>
      </c>
      <c r="M3857" s="247" t="e">
        <f t="shared" si="422"/>
        <v>#VALUE!</v>
      </c>
      <c r="N3857" s="246" t="e">
        <f t="shared" si="423"/>
        <v>#VALUE!</v>
      </c>
      <c r="O3857" s="247" t="e">
        <f t="shared" si="424"/>
        <v>#VALUE!</v>
      </c>
      <c r="P3857" s="247">
        <f t="shared" si="425"/>
        <v>0</v>
      </c>
      <c r="Q3857" s="247" t="e">
        <f t="shared" si="426"/>
        <v>#VALUE!</v>
      </c>
    </row>
    <row r="3858" spans="11:17" x14ac:dyDescent="0.25">
      <c r="K3858" s="246" t="e">
        <f t="shared" si="420"/>
        <v>#VALUE!</v>
      </c>
      <c r="L3858" s="246" t="e">
        <f t="shared" si="421"/>
        <v>#VALUE!</v>
      </c>
      <c r="M3858" s="247" t="e">
        <f t="shared" si="422"/>
        <v>#VALUE!</v>
      </c>
      <c r="N3858" s="246" t="e">
        <f t="shared" si="423"/>
        <v>#VALUE!</v>
      </c>
      <c r="O3858" s="247" t="e">
        <f t="shared" si="424"/>
        <v>#VALUE!</v>
      </c>
      <c r="P3858" s="247">
        <f t="shared" si="425"/>
        <v>0</v>
      </c>
      <c r="Q3858" s="247" t="e">
        <f t="shared" si="426"/>
        <v>#VALUE!</v>
      </c>
    </row>
    <row r="3859" spans="11:17" x14ac:dyDescent="0.25">
      <c r="K3859" s="246" t="e">
        <f t="shared" si="420"/>
        <v>#VALUE!</v>
      </c>
      <c r="L3859" s="246" t="e">
        <f t="shared" si="421"/>
        <v>#VALUE!</v>
      </c>
      <c r="M3859" s="247" t="e">
        <f t="shared" si="422"/>
        <v>#VALUE!</v>
      </c>
      <c r="N3859" s="246" t="e">
        <f t="shared" si="423"/>
        <v>#VALUE!</v>
      </c>
      <c r="O3859" s="247" t="e">
        <f t="shared" si="424"/>
        <v>#VALUE!</v>
      </c>
      <c r="P3859" s="247">
        <f t="shared" si="425"/>
        <v>0</v>
      </c>
      <c r="Q3859" s="247" t="e">
        <f t="shared" si="426"/>
        <v>#VALUE!</v>
      </c>
    </row>
    <row r="3860" spans="11:17" x14ac:dyDescent="0.25">
      <c r="K3860" s="246" t="e">
        <f t="shared" si="420"/>
        <v>#VALUE!</v>
      </c>
      <c r="L3860" s="246" t="e">
        <f t="shared" si="421"/>
        <v>#VALUE!</v>
      </c>
      <c r="M3860" s="247" t="e">
        <f t="shared" si="422"/>
        <v>#VALUE!</v>
      </c>
      <c r="N3860" s="246" t="e">
        <f t="shared" si="423"/>
        <v>#VALUE!</v>
      </c>
      <c r="O3860" s="247" t="e">
        <f t="shared" si="424"/>
        <v>#VALUE!</v>
      </c>
      <c r="P3860" s="247">
        <f t="shared" si="425"/>
        <v>0</v>
      </c>
      <c r="Q3860" s="247" t="e">
        <f t="shared" si="426"/>
        <v>#VALUE!</v>
      </c>
    </row>
    <row r="3861" spans="11:17" x14ac:dyDescent="0.25">
      <c r="K3861" s="246" t="e">
        <f t="shared" si="420"/>
        <v>#VALUE!</v>
      </c>
      <c r="L3861" s="246" t="e">
        <f t="shared" si="421"/>
        <v>#VALUE!</v>
      </c>
      <c r="M3861" s="247" t="e">
        <f t="shared" si="422"/>
        <v>#VALUE!</v>
      </c>
      <c r="N3861" s="246" t="e">
        <f t="shared" si="423"/>
        <v>#VALUE!</v>
      </c>
      <c r="O3861" s="247" t="e">
        <f t="shared" si="424"/>
        <v>#VALUE!</v>
      </c>
      <c r="P3861" s="247">
        <f t="shared" si="425"/>
        <v>0</v>
      </c>
      <c r="Q3861" s="247" t="e">
        <f t="shared" si="426"/>
        <v>#VALUE!</v>
      </c>
    </row>
    <row r="3862" spans="11:17" x14ac:dyDescent="0.25">
      <c r="K3862" s="246" t="e">
        <f t="shared" si="420"/>
        <v>#VALUE!</v>
      </c>
      <c r="L3862" s="246" t="e">
        <f t="shared" si="421"/>
        <v>#VALUE!</v>
      </c>
      <c r="M3862" s="247" t="e">
        <f t="shared" si="422"/>
        <v>#VALUE!</v>
      </c>
      <c r="N3862" s="246" t="e">
        <f t="shared" si="423"/>
        <v>#VALUE!</v>
      </c>
      <c r="O3862" s="247" t="e">
        <f t="shared" si="424"/>
        <v>#VALUE!</v>
      </c>
      <c r="P3862" s="247">
        <f t="shared" si="425"/>
        <v>0</v>
      </c>
      <c r="Q3862" s="247" t="e">
        <f t="shared" si="426"/>
        <v>#VALUE!</v>
      </c>
    </row>
    <row r="3863" spans="11:17" x14ac:dyDescent="0.25">
      <c r="K3863" s="246" t="e">
        <f t="shared" si="420"/>
        <v>#VALUE!</v>
      </c>
      <c r="L3863" s="246" t="e">
        <f t="shared" si="421"/>
        <v>#VALUE!</v>
      </c>
      <c r="M3863" s="247" t="e">
        <f t="shared" si="422"/>
        <v>#VALUE!</v>
      </c>
      <c r="N3863" s="246" t="e">
        <f t="shared" si="423"/>
        <v>#VALUE!</v>
      </c>
      <c r="O3863" s="247" t="e">
        <f t="shared" si="424"/>
        <v>#VALUE!</v>
      </c>
      <c r="P3863" s="247">
        <f t="shared" si="425"/>
        <v>0</v>
      </c>
      <c r="Q3863" s="247" t="e">
        <f t="shared" si="426"/>
        <v>#VALUE!</v>
      </c>
    </row>
    <row r="3864" spans="11:17" x14ac:dyDescent="0.25">
      <c r="K3864" s="246" t="e">
        <f t="shared" si="420"/>
        <v>#VALUE!</v>
      </c>
      <c r="L3864" s="246" t="e">
        <f t="shared" si="421"/>
        <v>#VALUE!</v>
      </c>
      <c r="M3864" s="247" t="e">
        <f t="shared" si="422"/>
        <v>#VALUE!</v>
      </c>
      <c r="N3864" s="246" t="e">
        <f t="shared" si="423"/>
        <v>#VALUE!</v>
      </c>
      <c r="O3864" s="247" t="e">
        <f t="shared" si="424"/>
        <v>#VALUE!</v>
      </c>
      <c r="P3864" s="247">
        <f t="shared" si="425"/>
        <v>0</v>
      </c>
      <c r="Q3864" s="247" t="e">
        <f t="shared" si="426"/>
        <v>#VALUE!</v>
      </c>
    </row>
    <row r="3865" spans="11:17" x14ac:dyDescent="0.25">
      <c r="K3865" s="246" t="e">
        <f t="shared" si="420"/>
        <v>#VALUE!</v>
      </c>
      <c r="L3865" s="246" t="e">
        <f t="shared" si="421"/>
        <v>#VALUE!</v>
      </c>
      <c r="M3865" s="247" t="e">
        <f t="shared" si="422"/>
        <v>#VALUE!</v>
      </c>
      <c r="N3865" s="246" t="e">
        <f t="shared" si="423"/>
        <v>#VALUE!</v>
      </c>
      <c r="O3865" s="247" t="e">
        <f t="shared" si="424"/>
        <v>#VALUE!</v>
      </c>
      <c r="P3865" s="247">
        <f t="shared" si="425"/>
        <v>0</v>
      </c>
      <c r="Q3865" s="247" t="e">
        <f t="shared" si="426"/>
        <v>#VALUE!</v>
      </c>
    </row>
    <row r="3866" spans="11:17" x14ac:dyDescent="0.25">
      <c r="K3866" s="246" t="e">
        <f t="shared" si="420"/>
        <v>#VALUE!</v>
      </c>
      <c r="L3866" s="246" t="e">
        <f t="shared" si="421"/>
        <v>#VALUE!</v>
      </c>
      <c r="M3866" s="247" t="e">
        <f t="shared" si="422"/>
        <v>#VALUE!</v>
      </c>
      <c r="N3866" s="246" t="e">
        <f t="shared" si="423"/>
        <v>#VALUE!</v>
      </c>
      <c r="O3866" s="247" t="e">
        <f t="shared" si="424"/>
        <v>#VALUE!</v>
      </c>
      <c r="P3866" s="247">
        <f t="shared" si="425"/>
        <v>0</v>
      </c>
      <c r="Q3866" s="247" t="e">
        <f t="shared" si="426"/>
        <v>#VALUE!</v>
      </c>
    </row>
    <row r="3867" spans="11:17" x14ac:dyDescent="0.25">
      <c r="K3867" s="246" t="e">
        <f t="shared" si="420"/>
        <v>#VALUE!</v>
      </c>
      <c r="L3867" s="246" t="e">
        <f t="shared" si="421"/>
        <v>#VALUE!</v>
      </c>
      <c r="M3867" s="247" t="e">
        <f t="shared" si="422"/>
        <v>#VALUE!</v>
      </c>
      <c r="N3867" s="246" t="e">
        <f t="shared" si="423"/>
        <v>#VALUE!</v>
      </c>
      <c r="O3867" s="247" t="e">
        <f t="shared" si="424"/>
        <v>#VALUE!</v>
      </c>
      <c r="P3867" s="247">
        <f t="shared" si="425"/>
        <v>0</v>
      </c>
      <c r="Q3867" s="247" t="e">
        <f t="shared" si="426"/>
        <v>#VALUE!</v>
      </c>
    </row>
    <row r="3868" spans="11:17" x14ac:dyDescent="0.25">
      <c r="K3868" s="246" t="e">
        <f t="shared" si="420"/>
        <v>#VALUE!</v>
      </c>
      <c r="L3868" s="246" t="e">
        <f t="shared" si="421"/>
        <v>#VALUE!</v>
      </c>
      <c r="M3868" s="247" t="e">
        <f t="shared" si="422"/>
        <v>#VALUE!</v>
      </c>
      <c r="N3868" s="246" t="e">
        <f t="shared" si="423"/>
        <v>#VALUE!</v>
      </c>
      <c r="O3868" s="247" t="e">
        <f t="shared" si="424"/>
        <v>#VALUE!</v>
      </c>
      <c r="P3868" s="247">
        <f t="shared" si="425"/>
        <v>0</v>
      </c>
      <c r="Q3868" s="247" t="e">
        <f t="shared" si="426"/>
        <v>#VALUE!</v>
      </c>
    </row>
    <row r="3869" spans="11:17" x14ac:dyDescent="0.25">
      <c r="K3869" s="246" t="e">
        <f t="shared" si="420"/>
        <v>#VALUE!</v>
      </c>
      <c r="L3869" s="246" t="e">
        <f t="shared" si="421"/>
        <v>#VALUE!</v>
      </c>
      <c r="M3869" s="247" t="e">
        <f t="shared" si="422"/>
        <v>#VALUE!</v>
      </c>
      <c r="N3869" s="246" t="e">
        <f t="shared" si="423"/>
        <v>#VALUE!</v>
      </c>
      <c r="O3869" s="247" t="e">
        <f t="shared" si="424"/>
        <v>#VALUE!</v>
      </c>
      <c r="P3869" s="247">
        <f t="shared" si="425"/>
        <v>0</v>
      </c>
      <c r="Q3869" s="247" t="e">
        <f t="shared" si="426"/>
        <v>#VALUE!</v>
      </c>
    </row>
    <row r="3870" spans="11:17" x14ac:dyDescent="0.25">
      <c r="K3870" s="246" t="e">
        <f t="shared" si="420"/>
        <v>#VALUE!</v>
      </c>
      <c r="L3870" s="246" t="e">
        <f t="shared" si="421"/>
        <v>#VALUE!</v>
      </c>
      <c r="M3870" s="247" t="e">
        <f t="shared" si="422"/>
        <v>#VALUE!</v>
      </c>
      <c r="N3870" s="246" t="e">
        <f t="shared" si="423"/>
        <v>#VALUE!</v>
      </c>
      <c r="O3870" s="247" t="e">
        <f t="shared" si="424"/>
        <v>#VALUE!</v>
      </c>
      <c r="P3870" s="247">
        <f t="shared" si="425"/>
        <v>0</v>
      </c>
      <c r="Q3870" s="247" t="e">
        <f t="shared" si="426"/>
        <v>#VALUE!</v>
      </c>
    </row>
    <row r="3871" spans="11:17" x14ac:dyDescent="0.25">
      <c r="K3871" s="246" t="e">
        <f t="shared" si="420"/>
        <v>#VALUE!</v>
      </c>
      <c r="L3871" s="246" t="e">
        <f t="shared" si="421"/>
        <v>#VALUE!</v>
      </c>
      <c r="M3871" s="247" t="e">
        <f t="shared" si="422"/>
        <v>#VALUE!</v>
      </c>
      <c r="N3871" s="246" t="e">
        <f t="shared" si="423"/>
        <v>#VALUE!</v>
      </c>
      <c r="O3871" s="247" t="e">
        <f t="shared" si="424"/>
        <v>#VALUE!</v>
      </c>
      <c r="P3871" s="247">
        <f t="shared" si="425"/>
        <v>0</v>
      </c>
      <c r="Q3871" s="247" t="e">
        <f t="shared" si="426"/>
        <v>#VALUE!</v>
      </c>
    </row>
    <row r="3872" spans="11:17" x14ac:dyDescent="0.25">
      <c r="K3872" s="246" t="e">
        <f t="shared" si="420"/>
        <v>#VALUE!</v>
      </c>
      <c r="L3872" s="246" t="e">
        <f t="shared" si="421"/>
        <v>#VALUE!</v>
      </c>
      <c r="M3872" s="247" t="e">
        <f t="shared" si="422"/>
        <v>#VALUE!</v>
      </c>
      <c r="N3872" s="246" t="e">
        <f t="shared" si="423"/>
        <v>#VALUE!</v>
      </c>
      <c r="O3872" s="247" t="e">
        <f t="shared" si="424"/>
        <v>#VALUE!</v>
      </c>
      <c r="P3872" s="247">
        <f t="shared" si="425"/>
        <v>0</v>
      </c>
      <c r="Q3872" s="247" t="e">
        <f t="shared" si="426"/>
        <v>#VALUE!</v>
      </c>
    </row>
    <row r="3873" spans="11:17" x14ac:dyDescent="0.25">
      <c r="K3873" s="246" t="e">
        <f t="shared" si="420"/>
        <v>#VALUE!</v>
      </c>
      <c r="L3873" s="246" t="e">
        <f t="shared" si="421"/>
        <v>#VALUE!</v>
      </c>
      <c r="M3873" s="247" t="e">
        <f t="shared" si="422"/>
        <v>#VALUE!</v>
      </c>
      <c r="N3873" s="246" t="e">
        <f t="shared" si="423"/>
        <v>#VALUE!</v>
      </c>
      <c r="O3873" s="247" t="e">
        <f t="shared" si="424"/>
        <v>#VALUE!</v>
      </c>
      <c r="P3873" s="247">
        <f t="shared" si="425"/>
        <v>0</v>
      </c>
      <c r="Q3873" s="247" t="e">
        <f t="shared" si="426"/>
        <v>#VALUE!</v>
      </c>
    </row>
    <row r="3874" spans="11:17" x14ac:dyDescent="0.25">
      <c r="K3874" s="246" t="e">
        <f t="shared" si="420"/>
        <v>#VALUE!</v>
      </c>
      <c r="L3874" s="246" t="e">
        <f t="shared" si="421"/>
        <v>#VALUE!</v>
      </c>
      <c r="M3874" s="247" t="e">
        <f t="shared" si="422"/>
        <v>#VALUE!</v>
      </c>
      <c r="N3874" s="246" t="e">
        <f t="shared" si="423"/>
        <v>#VALUE!</v>
      </c>
      <c r="O3874" s="247" t="e">
        <f t="shared" si="424"/>
        <v>#VALUE!</v>
      </c>
      <c r="P3874" s="247">
        <f t="shared" si="425"/>
        <v>0</v>
      </c>
      <c r="Q3874" s="247" t="e">
        <f t="shared" si="426"/>
        <v>#VALUE!</v>
      </c>
    </row>
    <row r="3875" spans="11:17" x14ac:dyDescent="0.25">
      <c r="K3875" s="246" t="e">
        <f t="shared" si="420"/>
        <v>#VALUE!</v>
      </c>
      <c r="L3875" s="246" t="e">
        <f t="shared" si="421"/>
        <v>#VALUE!</v>
      </c>
      <c r="M3875" s="247" t="e">
        <f t="shared" si="422"/>
        <v>#VALUE!</v>
      </c>
      <c r="N3875" s="246" t="e">
        <f t="shared" si="423"/>
        <v>#VALUE!</v>
      </c>
      <c r="O3875" s="247" t="e">
        <f t="shared" si="424"/>
        <v>#VALUE!</v>
      </c>
      <c r="P3875" s="247">
        <f t="shared" si="425"/>
        <v>0</v>
      </c>
      <c r="Q3875" s="247" t="e">
        <f t="shared" si="426"/>
        <v>#VALUE!</v>
      </c>
    </row>
    <row r="3876" spans="11:17" x14ac:dyDescent="0.25">
      <c r="K3876" s="246" t="e">
        <f t="shared" si="420"/>
        <v>#VALUE!</v>
      </c>
      <c r="L3876" s="246" t="e">
        <f t="shared" si="421"/>
        <v>#VALUE!</v>
      </c>
      <c r="M3876" s="247" t="e">
        <f t="shared" si="422"/>
        <v>#VALUE!</v>
      </c>
      <c r="N3876" s="246" t="e">
        <f t="shared" si="423"/>
        <v>#VALUE!</v>
      </c>
      <c r="O3876" s="247" t="e">
        <f t="shared" si="424"/>
        <v>#VALUE!</v>
      </c>
      <c r="P3876" s="247">
        <f t="shared" si="425"/>
        <v>0</v>
      </c>
      <c r="Q3876" s="247" t="e">
        <f t="shared" si="426"/>
        <v>#VALUE!</v>
      </c>
    </row>
    <row r="3877" spans="11:17" x14ac:dyDescent="0.25">
      <c r="K3877" s="246" t="e">
        <f t="shared" si="420"/>
        <v>#VALUE!</v>
      </c>
      <c r="L3877" s="246" t="e">
        <f t="shared" si="421"/>
        <v>#VALUE!</v>
      </c>
      <c r="M3877" s="247" t="e">
        <f t="shared" si="422"/>
        <v>#VALUE!</v>
      </c>
      <c r="N3877" s="246" t="e">
        <f t="shared" si="423"/>
        <v>#VALUE!</v>
      </c>
      <c r="O3877" s="247" t="e">
        <f t="shared" si="424"/>
        <v>#VALUE!</v>
      </c>
      <c r="P3877" s="247">
        <f t="shared" si="425"/>
        <v>0</v>
      </c>
      <c r="Q3877" s="247" t="e">
        <f t="shared" si="426"/>
        <v>#VALUE!</v>
      </c>
    </row>
    <row r="3878" spans="11:17" x14ac:dyDescent="0.25">
      <c r="K3878" s="246" t="e">
        <f t="shared" si="420"/>
        <v>#VALUE!</v>
      </c>
      <c r="L3878" s="246" t="e">
        <f t="shared" si="421"/>
        <v>#VALUE!</v>
      </c>
      <c r="M3878" s="247" t="e">
        <f t="shared" si="422"/>
        <v>#VALUE!</v>
      </c>
      <c r="N3878" s="246" t="e">
        <f t="shared" si="423"/>
        <v>#VALUE!</v>
      </c>
      <c r="O3878" s="247" t="e">
        <f t="shared" si="424"/>
        <v>#VALUE!</v>
      </c>
      <c r="P3878" s="247">
        <f t="shared" si="425"/>
        <v>0</v>
      </c>
      <c r="Q3878" s="247" t="e">
        <f t="shared" si="426"/>
        <v>#VALUE!</v>
      </c>
    </row>
    <row r="3879" spans="11:17" x14ac:dyDescent="0.25">
      <c r="K3879" s="246" t="e">
        <f t="shared" si="420"/>
        <v>#VALUE!</v>
      </c>
      <c r="L3879" s="246" t="e">
        <f t="shared" si="421"/>
        <v>#VALUE!</v>
      </c>
      <c r="M3879" s="247" t="e">
        <f t="shared" si="422"/>
        <v>#VALUE!</v>
      </c>
      <c r="N3879" s="246" t="e">
        <f t="shared" si="423"/>
        <v>#VALUE!</v>
      </c>
      <c r="O3879" s="247" t="e">
        <f t="shared" si="424"/>
        <v>#VALUE!</v>
      </c>
      <c r="P3879" s="247">
        <f t="shared" si="425"/>
        <v>0</v>
      </c>
      <c r="Q3879" s="247" t="e">
        <f t="shared" si="426"/>
        <v>#VALUE!</v>
      </c>
    </row>
    <row r="3880" spans="11:17" x14ac:dyDescent="0.25">
      <c r="K3880" s="246" t="e">
        <f t="shared" si="420"/>
        <v>#VALUE!</v>
      </c>
      <c r="L3880" s="246" t="e">
        <f t="shared" si="421"/>
        <v>#VALUE!</v>
      </c>
      <c r="M3880" s="247" t="e">
        <f t="shared" si="422"/>
        <v>#VALUE!</v>
      </c>
      <c r="N3880" s="246" t="e">
        <f t="shared" si="423"/>
        <v>#VALUE!</v>
      </c>
      <c r="O3880" s="247" t="e">
        <f t="shared" si="424"/>
        <v>#VALUE!</v>
      </c>
      <c r="P3880" s="247">
        <f t="shared" si="425"/>
        <v>0</v>
      </c>
      <c r="Q3880" s="247" t="e">
        <f t="shared" si="426"/>
        <v>#VALUE!</v>
      </c>
    </row>
    <row r="3881" spans="11:17" x14ac:dyDescent="0.25">
      <c r="K3881" s="246" t="e">
        <f t="shared" si="420"/>
        <v>#VALUE!</v>
      </c>
      <c r="L3881" s="246" t="e">
        <f t="shared" si="421"/>
        <v>#VALUE!</v>
      </c>
      <c r="M3881" s="247" t="e">
        <f t="shared" si="422"/>
        <v>#VALUE!</v>
      </c>
      <c r="N3881" s="246" t="e">
        <f t="shared" si="423"/>
        <v>#VALUE!</v>
      </c>
      <c r="O3881" s="247" t="e">
        <f t="shared" si="424"/>
        <v>#VALUE!</v>
      </c>
      <c r="P3881" s="247">
        <f t="shared" si="425"/>
        <v>0</v>
      </c>
      <c r="Q3881" s="247" t="e">
        <f t="shared" si="426"/>
        <v>#VALUE!</v>
      </c>
    </row>
    <row r="3882" spans="11:17" x14ac:dyDescent="0.25">
      <c r="K3882" s="246" t="e">
        <f t="shared" si="420"/>
        <v>#VALUE!</v>
      </c>
      <c r="L3882" s="246" t="e">
        <f t="shared" si="421"/>
        <v>#VALUE!</v>
      </c>
      <c r="M3882" s="247" t="e">
        <f t="shared" si="422"/>
        <v>#VALUE!</v>
      </c>
      <c r="N3882" s="246" t="e">
        <f t="shared" si="423"/>
        <v>#VALUE!</v>
      </c>
      <c r="O3882" s="247" t="e">
        <f t="shared" si="424"/>
        <v>#VALUE!</v>
      </c>
      <c r="P3882" s="247">
        <f t="shared" si="425"/>
        <v>0</v>
      </c>
      <c r="Q3882" s="247" t="e">
        <f t="shared" si="426"/>
        <v>#VALUE!</v>
      </c>
    </row>
    <row r="3883" spans="11:17" x14ac:dyDescent="0.25">
      <c r="K3883" s="246" t="e">
        <f t="shared" si="420"/>
        <v>#VALUE!</v>
      </c>
      <c r="L3883" s="246" t="e">
        <f t="shared" si="421"/>
        <v>#VALUE!</v>
      </c>
      <c r="M3883" s="247" t="e">
        <f t="shared" si="422"/>
        <v>#VALUE!</v>
      </c>
      <c r="N3883" s="246" t="e">
        <f t="shared" si="423"/>
        <v>#VALUE!</v>
      </c>
      <c r="O3883" s="247" t="e">
        <f t="shared" si="424"/>
        <v>#VALUE!</v>
      </c>
      <c r="P3883" s="247">
        <f t="shared" si="425"/>
        <v>0</v>
      </c>
      <c r="Q3883" s="247" t="e">
        <f t="shared" si="426"/>
        <v>#VALUE!</v>
      </c>
    </row>
    <row r="3884" spans="11:17" x14ac:dyDescent="0.25">
      <c r="K3884" s="246" t="e">
        <f t="shared" si="420"/>
        <v>#VALUE!</v>
      </c>
      <c r="L3884" s="246" t="e">
        <f t="shared" si="421"/>
        <v>#VALUE!</v>
      </c>
      <c r="M3884" s="247" t="e">
        <f t="shared" si="422"/>
        <v>#VALUE!</v>
      </c>
      <c r="N3884" s="246" t="e">
        <f t="shared" si="423"/>
        <v>#VALUE!</v>
      </c>
      <c r="O3884" s="247" t="e">
        <f t="shared" si="424"/>
        <v>#VALUE!</v>
      </c>
      <c r="P3884" s="247">
        <f t="shared" si="425"/>
        <v>0</v>
      </c>
      <c r="Q3884" s="247" t="e">
        <f t="shared" si="426"/>
        <v>#VALUE!</v>
      </c>
    </row>
    <row r="3885" spans="11:17" x14ac:dyDescent="0.25">
      <c r="K3885" s="246" t="e">
        <f t="shared" si="420"/>
        <v>#VALUE!</v>
      </c>
      <c r="L3885" s="246" t="e">
        <f t="shared" si="421"/>
        <v>#VALUE!</v>
      </c>
      <c r="M3885" s="247" t="e">
        <f t="shared" si="422"/>
        <v>#VALUE!</v>
      </c>
      <c r="N3885" s="246" t="e">
        <f t="shared" si="423"/>
        <v>#VALUE!</v>
      </c>
      <c r="O3885" s="247" t="e">
        <f t="shared" si="424"/>
        <v>#VALUE!</v>
      </c>
      <c r="P3885" s="247">
        <f t="shared" si="425"/>
        <v>0</v>
      </c>
      <c r="Q3885" s="247" t="e">
        <f t="shared" si="426"/>
        <v>#VALUE!</v>
      </c>
    </row>
    <row r="3886" spans="11:17" x14ac:dyDescent="0.25">
      <c r="K3886" s="246" t="e">
        <f t="shared" si="420"/>
        <v>#VALUE!</v>
      </c>
      <c r="L3886" s="246" t="e">
        <f t="shared" si="421"/>
        <v>#VALUE!</v>
      </c>
      <c r="M3886" s="247" t="e">
        <f t="shared" si="422"/>
        <v>#VALUE!</v>
      </c>
      <c r="N3886" s="246" t="e">
        <f t="shared" si="423"/>
        <v>#VALUE!</v>
      </c>
      <c r="O3886" s="247" t="e">
        <f t="shared" si="424"/>
        <v>#VALUE!</v>
      </c>
      <c r="P3886" s="247">
        <f t="shared" si="425"/>
        <v>0</v>
      </c>
      <c r="Q3886" s="247" t="e">
        <f t="shared" si="426"/>
        <v>#VALUE!</v>
      </c>
    </row>
    <row r="3887" spans="11:17" x14ac:dyDescent="0.25">
      <c r="K3887" s="246" t="e">
        <f t="shared" si="420"/>
        <v>#VALUE!</v>
      </c>
      <c r="L3887" s="246" t="e">
        <f t="shared" si="421"/>
        <v>#VALUE!</v>
      </c>
      <c r="M3887" s="247" t="e">
        <f t="shared" si="422"/>
        <v>#VALUE!</v>
      </c>
      <c r="N3887" s="246" t="e">
        <f t="shared" si="423"/>
        <v>#VALUE!</v>
      </c>
      <c r="O3887" s="247" t="e">
        <f t="shared" si="424"/>
        <v>#VALUE!</v>
      </c>
      <c r="P3887" s="247">
        <f t="shared" si="425"/>
        <v>0</v>
      </c>
      <c r="Q3887" s="247" t="e">
        <f t="shared" si="426"/>
        <v>#VALUE!</v>
      </c>
    </row>
    <row r="3888" spans="11:17" x14ac:dyDescent="0.25">
      <c r="K3888" s="246" t="e">
        <f t="shared" si="420"/>
        <v>#VALUE!</v>
      </c>
      <c r="L3888" s="246" t="e">
        <f t="shared" si="421"/>
        <v>#VALUE!</v>
      </c>
      <c r="M3888" s="247" t="e">
        <f t="shared" si="422"/>
        <v>#VALUE!</v>
      </c>
      <c r="N3888" s="246" t="e">
        <f t="shared" si="423"/>
        <v>#VALUE!</v>
      </c>
      <c r="O3888" s="247" t="e">
        <f t="shared" si="424"/>
        <v>#VALUE!</v>
      </c>
      <c r="P3888" s="247">
        <f t="shared" si="425"/>
        <v>0</v>
      </c>
      <c r="Q3888" s="247" t="e">
        <f t="shared" si="426"/>
        <v>#VALUE!</v>
      </c>
    </row>
    <row r="3889" spans="11:17" x14ac:dyDescent="0.25">
      <c r="K3889" s="246" t="e">
        <f t="shared" si="420"/>
        <v>#VALUE!</v>
      </c>
      <c r="L3889" s="246" t="e">
        <f t="shared" si="421"/>
        <v>#VALUE!</v>
      </c>
      <c r="M3889" s="247" t="e">
        <f t="shared" si="422"/>
        <v>#VALUE!</v>
      </c>
      <c r="N3889" s="246" t="e">
        <f t="shared" si="423"/>
        <v>#VALUE!</v>
      </c>
      <c r="O3889" s="247" t="e">
        <f t="shared" si="424"/>
        <v>#VALUE!</v>
      </c>
      <c r="P3889" s="247">
        <f t="shared" si="425"/>
        <v>0</v>
      </c>
      <c r="Q3889" s="247" t="e">
        <f t="shared" si="426"/>
        <v>#VALUE!</v>
      </c>
    </row>
    <row r="3890" spans="11:17" x14ac:dyDescent="0.25">
      <c r="K3890" s="246" t="e">
        <f t="shared" ref="K3890:K3953" si="427">DATE(VALUE(LEFT(A3890,4)),VALUE(MID(A3890,5,2)),VALUE(RIGHT(A3890,2)))</f>
        <v>#VALUE!</v>
      </c>
      <c r="L3890" s="246" t="e">
        <f t="shared" ref="L3890:L3953" si="428">DATEVALUE(LEFT(F3890,10))</f>
        <v>#VALUE!</v>
      </c>
      <c r="M3890" s="247" t="e">
        <f t="shared" ref="M3890:M3953" si="429">TIMEVALUE(MID(F3890,12,8))</f>
        <v>#VALUE!</v>
      </c>
      <c r="N3890" s="246" t="e">
        <f t="shared" ref="N3890:N3953" si="430">DATEVALUE(LEFT(G3890,10))</f>
        <v>#VALUE!</v>
      </c>
      <c r="O3890" s="247" t="e">
        <f t="shared" ref="O3890:O3953" si="431">TIMEVALUE(MID(G3890,12,8))</f>
        <v>#VALUE!</v>
      </c>
      <c r="P3890" s="247">
        <f t="shared" si="425"/>
        <v>0</v>
      </c>
      <c r="Q3890" s="247" t="e">
        <f t="shared" si="426"/>
        <v>#VALUE!</v>
      </c>
    </row>
    <row r="3891" spans="11:17" x14ac:dyDescent="0.25">
      <c r="K3891" s="246" t="e">
        <f t="shared" si="427"/>
        <v>#VALUE!</v>
      </c>
      <c r="L3891" s="246" t="e">
        <f t="shared" si="428"/>
        <v>#VALUE!</v>
      </c>
      <c r="M3891" s="247" t="e">
        <f t="shared" si="429"/>
        <v>#VALUE!</v>
      </c>
      <c r="N3891" s="246" t="e">
        <f t="shared" si="430"/>
        <v>#VALUE!</v>
      </c>
      <c r="O3891" s="247" t="e">
        <f t="shared" si="431"/>
        <v>#VALUE!</v>
      </c>
      <c r="P3891" s="247">
        <f t="shared" si="425"/>
        <v>0</v>
      </c>
      <c r="Q3891" s="247" t="e">
        <f t="shared" si="426"/>
        <v>#VALUE!</v>
      </c>
    </row>
    <row r="3892" spans="11:17" x14ac:dyDescent="0.25">
      <c r="K3892" s="246" t="e">
        <f t="shared" si="427"/>
        <v>#VALUE!</v>
      </c>
      <c r="L3892" s="246" t="e">
        <f t="shared" si="428"/>
        <v>#VALUE!</v>
      </c>
      <c r="M3892" s="247" t="e">
        <f t="shared" si="429"/>
        <v>#VALUE!</v>
      </c>
      <c r="N3892" s="246" t="e">
        <f t="shared" si="430"/>
        <v>#VALUE!</v>
      </c>
      <c r="O3892" s="247" t="e">
        <f t="shared" si="431"/>
        <v>#VALUE!</v>
      </c>
      <c r="P3892" s="247">
        <f t="shared" si="425"/>
        <v>0</v>
      </c>
      <c r="Q3892" s="247" t="e">
        <f t="shared" si="426"/>
        <v>#VALUE!</v>
      </c>
    </row>
    <row r="3893" spans="11:17" x14ac:dyDescent="0.25">
      <c r="K3893" s="246" t="e">
        <f t="shared" si="427"/>
        <v>#VALUE!</v>
      </c>
      <c r="L3893" s="246" t="e">
        <f t="shared" si="428"/>
        <v>#VALUE!</v>
      </c>
      <c r="M3893" s="247" t="e">
        <f t="shared" si="429"/>
        <v>#VALUE!</v>
      </c>
      <c r="N3893" s="246" t="e">
        <f t="shared" si="430"/>
        <v>#VALUE!</v>
      </c>
      <c r="O3893" s="247" t="e">
        <f t="shared" si="431"/>
        <v>#VALUE!</v>
      </c>
      <c r="P3893" s="247">
        <f t="shared" si="425"/>
        <v>0</v>
      </c>
      <c r="Q3893" s="247" t="e">
        <f t="shared" si="426"/>
        <v>#VALUE!</v>
      </c>
    </row>
    <row r="3894" spans="11:17" x14ac:dyDescent="0.25">
      <c r="K3894" s="246" t="e">
        <f t="shared" si="427"/>
        <v>#VALUE!</v>
      </c>
      <c r="L3894" s="246" t="e">
        <f t="shared" si="428"/>
        <v>#VALUE!</v>
      </c>
      <c r="M3894" s="247" t="e">
        <f t="shared" si="429"/>
        <v>#VALUE!</v>
      </c>
      <c r="N3894" s="246" t="e">
        <f t="shared" si="430"/>
        <v>#VALUE!</v>
      </c>
      <c r="O3894" s="247" t="e">
        <f t="shared" si="431"/>
        <v>#VALUE!</v>
      </c>
      <c r="P3894" s="247">
        <f t="shared" si="425"/>
        <v>0</v>
      </c>
      <c r="Q3894" s="247" t="e">
        <f t="shared" si="426"/>
        <v>#VALUE!</v>
      </c>
    </row>
    <row r="3895" spans="11:17" x14ac:dyDescent="0.25">
      <c r="K3895" s="246" t="e">
        <f t="shared" si="427"/>
        <v>#VALUE!</v>
      </c>
      <c r="L3895" s="246" t="e">
        <f t="shared" si="428"/>
        <v>#VALUE!</v>
      </c>
      <c r="M3895" s="247" t="e">
        <f t="shared" si="429"/>
        <v>#VALUE!</v>
      </c>
      <c r="N3895" s="246" t="e">
        <f t="shared" si="430"/>
        <v>#VALUE!</v>
      </c>
      <c r="O3895" s="247" t="e">
        <f t="shared" si="431"/>
        <v>#VALUE!</v>
      </c>
      <c r="P3895" s="247">
        <f t="shared" si="425"/>
        <v>0</v>
      </c>
      <c r="Q3895" s="247" t="e">
        <f t="shared" si="426"/>
        <v>#VALUE!</v>
      </c>
    </row>
    <row r="3896" spans="11:17" x14ac:dyDescent="0.25">
      <c r="K3896" s="246" t="e">
        <f t="shared" si="427"/>
        <v>#VALUE!</v>
      </c>
      <c r="L3896" s="246" t="e">
        <f t="shared" si="428"/>
        <v>#VALUE!</v>
      </c>
      <c r="M3896" s="247" t="e">
        <f t="shared" si="429"/>
        <v>#VALUE!</v>
      </c>
      <c r="N3896" s="246" t="e">
        <f t="shared" si="430"/>
        <v>#VALUE!</v>
      </c>
      <c r="O3896" s="247" t="e">
        <f t="shared" si="431"/>
        <v>#VALUE!</v>
      </c>
      <c r="P3896" s="247">
        <f t="shared" si="425"/>
        <v>0</v>
      </c>
      <c r="Q3896" s="247" t="e">
        <f t="shared" si="426"/>
        <v>#VALUE!</v>
      </c>
    </row>
    <row r="3897" spans="11:17" x14ac:dyDescent="0.25">
      <c r="K3897" s="246" t="e">
        <f t="shared" si="427"/>
        <v>#VALUE!</v>
      </c>
      <c r="L3897" s="246" t="e">
        <f t="shared" si="428"/>
        <v>#VALUE!</v>
      </c>
      <c r="M3897" s="247" t="e">
        <f t="shared" si="429"/>
        <v>#VALUE!</v>
      </c>
      <c r="N3897" s="246" t="e">
        <f t="shared" si="430"/>
        <v>#VALUE!</v>
      </c>
      <c r="O3897" s="247" t="e">
        <f t="shared" si="431"/>
        <v>#VALUE!</v>
      </c>
      <c r="P3897" s="247">
        <f t="shared" si="425"/>
        <v>0</v>
      </c>
      <c r="Q3897" s="247" t="e">
        <f t="shared" si="426"/>
        <v>#VALUE!</v>
      </c>
    </row>
    <row r="3898" spans="11:17" x14ac:dyDescent="0.25">
      <c r="K3898" s="246" t="e">
        <f t="shared" si="427"/>
        <v>#VALUE!</v>
      </c>
      <c r="L3898" s="246" t="e">
        <f t="shared" si="428"/>
        <v>#VALUE!</v>
      </c>
      <c r="M3898" s="247" t="e">
        <f t="shared" si="429"/>
        <v>#VALUE!</v>
      </c>
      <c r="N3898" s="246" t="e">
        <f t="shared" si="430"/>
        <v>#VALUE!</v>
      </c>
      <c r="O3898" s="247" t="e">
        <f t="shared" si="431"/>
        <v>#VALUE!</v>
      </c>
      <c r="P3898" s="247">
        <f t="shared" si="425"/>
        <v>0</v>
      </c>
      <c r="Q3898" s="247" t="e">
        <f t="shared" si="426"/>
        <v>#VALUE!</v>
      </c>
    </row>
    <row r="3899" spans="11:17" x14ac:dyDescent="0.25">
      <c r="K3899" s="246" t="e">
        <f t="shared" si="427"/>
        <v>#VALUE!</v>
      </c>
      <c r="L3899" s="246" t="e">
        <f t="shared" si="428"/>
        <v>#VALUE!</v>
      </c>
      <c r="M3899" s="247" t="e">
        <f t="shared" si="429"/>
        <v>#VALUE!</v>
      </c>
      <c r="N3899" s="246" t="e">
        <f t="shared" si="430"/>
        <v>#VALUE!</v>
      </c>
      <c r="O3899" s="247" t="e">
        <f t="shared" si="431"/>
        <v>#VALUE!</v>
      </c>
      <c r="P3899" s="247">
        <f t="shared" si="425"/>
        <v>0</v>
      </c>
      <c r="Q3899" s="247" t="e">
        <f t="shared" si="426"/>
        <v>#VALUE!</v>
      </c>
    </row>
    <row r="3900" spans="11:17" x14ac:dyDescent="0.25">
      <c r="K3900" s="246" t="e">
        <f t="shared" si="427"/>
        <v>#VALUE!</v>
      </c>
      <c r="L3900" s="246" t="e">
        <f t="shared" si="428"/>
        <v>#VALUE!</v>
      </c>
      <c r="M3900" s="247" t="e">
        <f t="shared" si="429"/>
        <v>#VALUE!</v>
      </c>
      <c r="N3900" s="246" t="e">
        <f t="shared" si="430"/>
        <v>#VALUE!</v>
      </c>
      <c r="O3900" s="247" t="e">
        <f t="shared" si="431"/>
        <v>#VALUE!</v>
      </c>
      <c r="P3900" s="247">
        <f t="shared" si="425"/>
        <v>0</v>
      </c>
      <c r="Q3900" s="247" t="e">
        <f t="shared" si="426"/>
        <v>#VALUE!</v>
      </c>
    </row>
    <row r="3901" spans="11:17" x14ac:dyDescent="0.25">
      <c r="K3901" s="246" t="e">
        <f t="shared" si="427"/>
        <v>#VALUE!</v>
      </c>
      <c r="L3901" s="246" t="e">
        <f t="shared" si="428"/>
        <v>#VALUE!</v>
      </c>
      <c r="M3901" s="247" t="e">
        <f t="shared" si="429"/>
        <v>#VALUE!</v>
      </c>
      <c r="N3901" s="246" t="e">
        <f t="shared" si="430"/>
        <v>#VALUE!</v>
      </c>
      <c r="O3901" s="247" t="e">
        <f t="shared" si="431"/>
        <v>#VALUE!</v>
      </c>
      <c r="P3901" s="247">
        <f t="shared" si="425"/>
        <v>0</v>
      </c>
      <c r="Q3901" s="247" t="e">
        <f t="shared" si="426"/>
        <v>#VALUE!</v>
      </c>
    </row>
    <row r="3902" spans="11:17" x14ac:dyDescent="0.25">
      <c r="K3902" s="246" t="e">
        <f t="shared" si="427"/>
        <v>#VALUE!</v>
      </c>
      <c r="L3902" s="246" t="e">
        <f t="shared" si="428"/>
        <v>#VALUE!</v>
      </c>
      <c r="M3902" s="247" t="e">
        <f t="shared" si="429"/>
        <v>#VALUE!</v>
      </c>
      <c r="N3902" s="246" t="e">
        <f t="shared" si="430"/>
        <v>#VALUE!</v>
      </c>
      <c r="O3902" s="247" t="e">
        <f t="shared" si="431"/>
        <v>#VALUE!</v>
      </c>
      <c r="P3902" s="247">
        <f t="shared" si="425"/>
        <v>0</v>
      </c>
      <c r="Q3902" s="247" t="e">
        <f t="shared" si="426"/>
        <v>#VALUE!</v>
      </c>
    </row>
    <row r="3903" spans="11:17" x14ac:dyDescent="0.25">
      <c r="K3903" s="246" t="e">
        <f t="shared" si="427"/>
        <v>#VALUE!</v>
      </c>
      <c r="L3903" s="246" t="e">
        <f t="shared" si="428"/>
        <v>#VALUE!</v>
      </c>
      <c r="M3903" s="247" t="e">
        <f t="shared" si="429"/>
        <v>#VALUE!</v>
      </c>
      <c r="N3903" s="246" t="e">
        <f t="shared" si="430"/>
        <v>#VALUE!</v>
      </c>
      <c r="O3903" s="247" t="e">
        <f t="shared" si="431"/>
        <v>#VALUE!</v>
      </c>
      <c r="P3903" s="247">
        <f t="shared" si="425"/>
        <v>0</v>
      </c>
      <c r="Q3903" s="247" t="e">
        <f t="shared" si="426"/>
        <v>#VALUE!</v>
      </c>
    </row>
    <row r="3904" spans="11:17" x14ac:dyDescent="0.25">
      <c r="K3904" s="246" t="e">
        <f t="shared" si="427"/>
        <v>#VALUE!</v>
      </c>
      <c r="L3904" s="246" t="e">
        <f t="shared" si="428"/>
        <v>#VALUE!</v>
      </c>
      <c r="M3904" s="247" t="e">
        <f t="shared" si="429"/>
        <v>#VALUE!</v>
      </c>
      <c r="N3904" s="246" t="e">
        <f t="shared" si="430"/>
        <v>#VALUE!</v>
      </c>
      <c r="O3904" s="247" t="e">
        <f t="shared" si="431"/>
        <v>#VALUE!</v>
      </c>
      <c r="P3904" s="247">
        <f t="shared" si="425"/>
        <v>0</v>
      </c>
      <c r="Q3904" s="247" t="e">
        <f t="shared" si="426"/>
        <v>#VALUE!</v>
      </c>
    </row>
    <row r="3905" spans="11:17" x14ac:dyDescent="0.25">
      <c r="K3905" s="246" t="e">
        <f t="shared" si="427"/>
        <v>#VALUE!</v>
      </c>
      <c r="L3905" s="246" t="e">
        <f t="shared" si="428"/>
        <v>#VALUE!</v>
      </c>
      <c r="M3905" s="247" t="e">
        <f t="shared" si="429"/>
        <v>#VALUE!</v>
      </c>
      <c r="N3905" s="246" t="e">
        <f t="shared" si="430"/>
        <v>#VALUE!</v>
      </c>
      <c r="O3905" s="247" t="e">
        <f t="shared" si="431"/>
        <v>#VALUE!</v>
      </c>
      <c r="P3905" s="247">
        <f t="shared" si="425"/>
        <v>0</v>
      </c>
      <c r="Q3905" s="247" t="e">
        <f t="shared" si="426"/>
        <v>#VALUE!</v>
      </c>
    </row>
    <row r="3906" spans="11:17" x14ac:dyDescent="0.25">
      <c r="K3906" s="246" t="e">
        <f t="shared" si="427"/>
        <v>#VALUE!</v>
      </c>
      <c r="L3906" s="246" t="e">
        <f t="shared" si="428"/>
        <v>#VALUE!</v>
      </c>
      <c r="M3906" s="247" t="e">
        <f t="shared" si="429"/>
        <v>#VALUE!</v>
      </c>
      <c r="N3906" s="246" t="e">
        <f t="shared" si="430"/>
        <v>#VALUE!</v>
      </c>
      <c r="O3906" s="247" t="e">
        <f t="shared" si="431"/>
        <v>#VALUE!</v>
      </c>
      <c r="P3906" s="247">
        <f t="shared" ref="P3906:P3969" si="432">IFERROR(_xlfn.MINIFS($M:$M,$E:$E,$E3906,$K:$K,$K3906,$M:$M,"&gt;"&amp;$O3906),"")</f>
        <v>0</v>
      </c>
      <c r="Q3906" s="247" t="e">
        <f t="shared" ref="Q3906:Q3969" si="433">IF($P3906="","",$P3906-$O3906)</f>
        <v>#VALUE!</v>
      </c>
    </row>
    <row r="3907" spans="11:17" x14ac:dyDescent="0.25">
      <c r="K3907" s="246" t="e">
        <f t="shared" si="427"/>
        <v>#VALUE!</v>
      </c>
      <c r="L3907" s="246" t="e">
        <f t="shared" si="428"/>
        <v>#VALUE!</v>
      </c>
      <c r="M3907" s="247" t="e">
        <f t="shared" si="429"/>
        <v>#VALUE!</v>
      </c>
      <c r="N3907" s="246" t="e">
        <f t="shared" si="430"/>
        <v>#VALUE!</v>
      </c>
      <c r="O3907" s="247" t="e">
        <f t="shared" si="431"/>
        <v>#VALUE!</v>
      </c>
      <c r="P3907" s="247">
        <f t="shared" si="432"/>
        <v>0</v>
      </c>
      <c r="Q3907" s="247" t="e">
        <f t="shared" si="433"/>
        <v>#VALUE!</v>
      </c>
    </row>
    <row r="3908" spans="11:17" x14ac:dyDescent="0.25">
      <c r="K3908" s="246" t="e">
        <f t="shared" si="427"/>
        <v>#VALUE!</v>
      </c>
      <c r="L3908" s="246" t="e">
        <f t="shared" si="428"/>
        <v>#VALUE!</v>
      </c>
      <c r="M3908" s="247" t="e">
        <f t="shared" si="429"/>
        <v>#VALUE!</v>
      </c>
      <c r="N3908" s="246" t="e">
        <f t="shared" si="430"/>
        <v>#VALUE!</v>
      </c>
      <c r="O3908" s="247" t="e">
        <f t="shared" si="431"/>
        <v>#VALUE!</v>
      </c>
      <c r="P3908" s="247">
        <f t="shared" si="432"/>
        <v>0</v>
      </c>
      <c r="Q3908" s="247" t="e">
        <f t="shared" si="433"/>
        <v>#VALUE!</v>
      </c>
    </row>
    <row r="3909" spans="11:17" x14ac:dyDescent="0.25">
      <c r="K3909" s="246" t="e">
        <f t="shared" si="427"/>
        <v>#VALUE!</v>
      </c>
      <c r="L3909" s="246" t="e">
        <f t="shared" si="428"/>
        <v>#VALUE!</v>
      </c>
      <c r="M3909" s="247" t="e">
        <f t="shared" si="429"/>
        <v>#VALUE!</v>
      </c>
      <c r="N3909" s="246" t="e">
        <f t="shared" si="430"/>
        <v>#VALUE!</v>
      </c>
      <c r="O3909" s="247" t="e">
        <f t="shared" si="431"/>
        <v>#VALUE!</v>
      </c>
      <c r="P3909" s="247">
        <f t="shared" si="432"/>
        <v>0</v>
      </c>
      <c r="Q3909" s="247" t="e">
        <f t="shared" si="433"/>
        <v>#VALUE!</v>
      </c>
    </row>
    <row r="3910" spans="11:17" x14ac:dyDescent="0.25">
      <c r="K3910" s="246" t="e">
        <f t="shared" si="427"/>
        <v>#VALUE!</v>
      </c>
      <c r="L3910" s="246" t="e">
        <f t="shared" si="428"/>
        <v>#VALUE!</v>
      </c>
      <c r="M3910" s="247" t="e">
        <f t="shared" si="429"/>
        <v>#VALUE!</v>
      </c>
      <c r="N3910" s="246" t="e">
        <f t="shared" si="430"/>
        <v>#VALUE!</v>
      </c>
      <c r="O3910" s="247" t="e">
        <f t="shared" si="431"/>
        <v>#VALUE!</v>
      </c>
      <c r="P3910" s="247">
        <f t="shared" si="432"/>
        <v>0</v>
      </c>
      <c r="Q3910" s="247" t="e">
        <f t="shared" si="433"/>
        <v>#VALUE!</v>
      </c>
    </row>
    <row r="3911" spans="11:17" x14ac:dyDescent="0.25">
      <c r="K3911" s="246" t="e">
        <f t="shared" si="427"/>
        <v>#VALUE!</v>
      </c>
      <c r="L3911" s="246" t="e">
        <f t="shared" si="428"/>
        <v>#VALUE!</v>
      </c>
      <c r="M3911" s="247" t="e">
        <f t="shared" si="429"/>
        <v>#VALUE!</v>
      </c>
      <c r="N3911" s="246" t="e">
        <f t="shared" si="430"/>
        <v>#VALUE!</v>
      </c>
      <c r="O3911" s="247" t="e">
        <f t="shared" si="431"/>
        <v>#VALUE!</v>
      </c>
      <c r="P3911" s="247">
        <f t="shared" si="432"/>
        <v>0</v>
      </c>
      <c r="Q3911" s="247" t="e">
        <f t="shared" si="433"/>
        <v>#VALUE!</v>
      </c>
    </row>
    <row r="3912" spans="11:17" x14ac:dyDescent="0.25">
      <c r="K3912" s="246" t="e">
        <f t="shared" si="427"/>
        <v>#VALUE!</v>
      </c>
      <c r="L3912" s="246" t="e">
        <f t="shared" si="428"/>
        <v>#VALUE!</v>
      </c>
      <c r="M3912" s="247" t="e">
        <f t="shared" si="429"/>
        <v>#VALUE!</v>
      </c>
      <c r="N3912" s="246" t="e">
        <f t="shared" si="430"/>
        <v>#VALUE!</v>
      </c>
      <c r="O3912" s="247" t="e">
        <f t="shared" si="431"/>
        <v>#VALUE!</v>
      </c>
      <c r="P3912" s="247">
        <f t="shared" si="432"/>
        <v>0</v>
      </c>
      <c r="Q3912" s="247" t="e">
        <f t="shared" si="433"/>
        <v>#VALUE!</v>
      </c>
    </row>
    <row r="3913" spans="11:17" x14ac:dyDescent="0.25">
      <c r="K3913" s="246" t="e">
        <f t="shared" si="427"/>
        <v>#VALUE!</v>
      </c>
      <c r="L3913" s="246" t="e">
        <f t="shared" si="428"/>
        <v>#VALUE!</v>
      </c>
      <c r="M3913" s="247" t="e">
        <f t="shared" si="429"/>
        <v>#VALUE!</v>
      </c>
      <c r="N3913" s="246" t="e">
        <f t="shared" si="430"/>
        <v>#VALUE!</v>
      </c>
      <c r="O3913" s="247" t="e">
        <f t="shared" si="431"/>
        <v>#VALUE!</v>
      </c>
      <c r="P3913" s="247">
        <f t="shared" si="432"/>
        <v>0</v>
      </c>
      <c r="Q3913" s="247" t="e">
        <f t="shared" si="433"/>
        <v>#VALUE!</v>
      </c>
    </row>
    <row r="3914" spans="11:17" x14ac:dyDescent="0.25">
      <c r="K3914" s="246" t="e">
        <f t="shared" si="427"/>
        <v>#VALUE!</v>
      </c>
      <c r="L3914" s="246" t="e">
        <f t="shared" si="428"/>
        <v>#VALUE!</v>
      </c>
      <c r="M3914" s="247" t="e">
        <f t="shared" si="429"/>
        <v>#VALUE!</v>
      </c>
      <c r="N3914" s="246" t="e">
        <f t="shared" si="430"/>
        <v>#VALUE!</v>
      </c>
      <c r="O3914" s="247" t="e">
        <f t="shared" si="431"/>
        <v>#VALUE!</v>
      </c>
      <c r="P3914" s="247">
        <f t="shared" si="432"/>
        <v>0</v>
      </c>
      <c r="Q3914" s="247" t="e">
        <f t="shared" si="433"/>
        <v>#VALUE!</v>
      </c>
    </row>
    <row r="3915" spans="11:17" x14ac:dyDescent="0.25">
      <c r="K3915" s="246" t="e">
        <f t="shared" si="427"/>
        <v>#VALUE!</v>
      </c>
      <c r="L3915" s="246" t="e">
        <f t="shared" si="428"/>
        <v>#VALUE!</v>
      </c>
      <c r="M3915" s="247" t="e">
        <f t="shared" si="429"/>
        <v>#VALUE!</v>
      </c>
      <c r="N3915" s="246" t="e">
        <f t="shared" si="430"/>
        <v>#VALUE!</v>
      </c>
      <c r="O3915" s="247" t="e">
        <f t="shared" si="431"/>
        <v>#VALUE!</v>
      </c>
      <c r="P3915" s="247">
        <f t="shared" si="432"/>
        <v>0</v>
      </c>
      <c r="Q3915" s="247" t="e">
        <f t="shared" si="433"/>
        <v>#VALUE!</v>
      </c>
    </row>
    <row r="3916" spans="11:17" x14ac:dyDescent="0.25">
      <c r="K3916" s="246" t="e">
        <f t="shared" si="427"/>
        <v>#VALUE!</v>
      </c>
      <c r="L3916" s="246" t="e">
        <f t="shared" si="428"/>
        <v>#VALUE!</v>
      </c>
      <c r="M3916" s="247" t="e">
        <f t="shared" si="429"/>
        <v>#VALUE!</v>
      </c>
      <c r="N3916" s="246" t="e">
        <f t="shared" si="430"/>
        <v>#VALUE!</v>
      </c>
      <c r="O3916" s="247" t="e">
        <f t="shared" si="431"/>
        <v>#VALUE!</v>
      </c>
      <c r="P3916" s="247">
        <f t="shared" si="432"/>
        <v>0</v>
      </c>
      <c r="Q3916" s="247" t="e">
        <f t="shared" si="433"/>
        <v>#VALUE!</v>
      </c>
    </row>
    <row r="3917" spans="11:17" x14ac:dyDescent="0.25">
      <c r="K3917" s="246" t="e">
        <f t="shared" si="427"/>
        <v>#VALUE!</v>
      </c>
      <c r="L3917" s="246" t="e">
        <f t="shared" si="428"/>
        <v>#VALUE!</v>
      </c>
      <c r="M3917" s="247" t="e">
        <f t="shared" si="429"/>
        <v>#VALUE!</v>
      </c>
      <c r="N3917" s="246" t="e">
        <f t="shared" si="430"/>
        <v>#VALUE!</v>
      </c>
      <c r="O3917" s="247" t="e">
        <f t="shared" si="431"/>
        <v>#VALUE!</v>
      </c>
      <c r="P3917" s="247">
        <f t="shared" si="432"/>
        <v>0</v>
      </c>
      <c r="Q3917" s="247" t="e">
        <f t="shared" si="433"/>
        <v>#VALUE!</v>
      </c>
    </row>
    <row r="3918" spans="11:17" x14ac:dyDescent="0.25">
      <c r="K3918" s="246" t="e">
        <f t="shared" si="427"/>
        <v>#VALUE!</v>
      </c>
      <c r="L3918" s="246" t="e">
        <f t="shared" si="428"/>
        <v>#VALUE!</v>
      </c>
      <c r="M3918" s="247" t="e">
        <f t="shared" si="429"/>
        <v>#VALUE!</v>
      </c>
      <c r="N3918" s="246" t="e">
        <f t="shared" si="430"/>
        <v>#VALUE!</v>
      </c>
      <c r="O3918" s="247" t="e">
        <f t="shared" si="431"/>
        <v>#VALUE!</v>
      </c>
      <c r="P3918" s="247">
        <f t="shared" si="432"/>
        <v>0</v>
      </c>
      <c r="Q3918" s="247" t="e">
        <f t="shared" si="433"/>
        <v>#VALUE!</v>
      </c>
    </row>
    <row r="3919" spans="11:17" x14ac:dyDescent="0.25">
      <c r="K3919" s="246" t="e">
        <f t="shared" si="427"/>
        <v>#VALUE!</v>
      </c>
      <c r="L3919" s="246" t="e">
        <f t="shared" si="428"/>
        <v>#VALUE!</v>
      </c>
      <c r="M3919" s="247" t="e">
        <f t="shared" si="429"/>
        <v>#VALUE!</v>
      </c>
      <c r="N3919" s="246" t="e">
        <f t="shared" si="430"/>
        <v>#VALUE!</v>
      </c>
      <c r="O3919" s="247" t="e">
        <f t="shared" si="431"/>
        <v>#VALUE!</v>
      </c>
      <c r="P3919" s="247">
        <f t="shared" si="432"/>
        <v>0</v>
      </c>
      <c r="Q3919" s="247" t="e">
        <f t="shared" si="433"/>
        <v>#VALUE!</v>
      </c>
    </row>
    <row r="3920" spans="11:17" x14ac:dyDescent="0.25">
      <c r="K3920" s="246" t="e">
        <f t="shared" si="427"/>
        <v>#VALUE!</v>
      </c>
      <c r="L3920" s="246" t="e">
        <f t="shared" si="428"/>
        <v>#VALUE!</v>
      </c>
      <c r="M3920" s="247" t="e">
        <f t="shared" si="429"/>
        <v>#VALUE!</v>
      </c>
      <c r="N3920" s="246" t="e">
        <f t="shared" si="430"/>
        <v>#VALUE!</v>
      </c>
      <c r="O3920" s="247" t="e">
        <f t="shared" si="431"/>
        <v>#VALUE!</v>
      </c>
      <c r="P3920" s="247">
        <f t="shared" si="432"/>
        <v>0</v>
      </c>
      <c r="Q3920" s="247" t="e">
        <f t="shared" si="433"/>
        <v>#VALUE!</v>
      </c>
    </row>
    <row r="3921" spans="11:17" x14ac:dyDescent="0.25">
      <c r="K3921" s="246" t="e">
        <f t="shared" si="427"/>
        <v>#VALUE!</v>
      </c>
      <c r="L3921" s="246" t="e">
        <f t="shared" si="428"/>
        <v>#VALUE!</v>
      </c>
      <c r="M3921" s="247" t="e">
        <f t="shared" si="429"/>
        <v>#VALUE!</v>
      </c>
      <c r="N3921" s="246" t="e">
        <f t="shared" si="430"/>
        <v>#VALUE!</v>
      </c>
      <c r="O3921" s="247" t="e">
        <f t="shared" si="431"/>
        <v>#VALUE!</v>
      </c>
      <c r="P3921" s="247">
        <f t="shared" si="432"/>
        <v>0</v>
      </c>
      <c r="Q3921" s="247" t="e">
        <f t="shared" si="433"/>
        <v>#VALUE!</v>
      </c>
    </row>
    <row r="3922" spans="11:17" x14ac:dyDescent="0.25">
      <c r="K3922" s="246" t="e">
        <f t="shared" si="427"/>
        <v>#VALUE!</v>
      </c>
      <c r="L3922" s="246" t="e">
        <f t="shared" si="428"/>
        <v>#VALUE!</v>
      </c>
      <c r="M3922" s="247" t="e">
        <f t="shared" si="429"/>
        <v>#VALUE!</v>
      </c>
      <c r="N3922" s="246" t="e">
        <f t="shared" si="430"/>
        <v>#VALUE!</v>
      </c>
      <c r="O3922" s="247" t="e">
        <f t="shared" si="431"/>
        <v>#VALUE!</v>
      </c>
      <c r="P3922" s="247">
        <f t="shared" si="432"/>
        <v>0</v>
      </c>
      <c r="Q3922" s="247" t="e">
        <f t="shared" si="433"/>
        <v>#VALUE!</v>
      </c>
    </row>
    <row r="3923" spans="11:17" x14ac:dyDescent="0.25">
      <c r="K3923" s="246" t="e">
        <f t="shared" si="427"/>
        <v>#VALUE!</v>
      </c>
      <c r="L3923" s="246" t="e">
        <f t="shared" si="428"/>
        <v>#VALUE!</v>
      </c>
      <c r="M3923" s="247" t="e">
        <f t="shared" si="429"/>
        <v>#VALUE!</v>
      </c>
      <c r="N3923" s="246" t="e">
        <f t="shared" si="430"/>
        <v>#VALUE!</v>
      </c>
      <c r="O3923" s="247" t="e">
        <f t="shared" si="431"/>
        <v>#VALUE!</v>
      </c>
      <c r="P3923" s="247">
        <f t="shared" si="432"/>
        <v>0</v>
      </c>
      <c r="Q3923" s="247" t="e">
        <f t="shared" si="433"/>
        <v>#VALUE!</v>
      </c>
    </row>
    <row r="3924" spans="11:17" x14ac:dyDescent="0.25">
      <c r="K3924" s="246" t="e">
        <f t="shared" si="427"/>
        <v>#VALUE!</v>
      </c>
      <c r="L3924" s="246" t="e">
        <f t="shared" si="428"/>
        <v>#VALUE!</v>
      </c>
      <c r="M3924" s="247" t="e">
        <f t="shared" si="429"/>
        <v>#VALUE!</v>
      </c>
      <c r="N3924" s="246" t="e">
        <f t="shared" si="430"/>
        <v>#VALUE!</v>
      </c>
      <c r="O3924" s="247" t="e">
        <f t="shared" si="431"/>
        <v>#VALUE!</v>
      </c>
      <c r="P3924" s="247">
        <f t="shared" si="432"/>
        <v>0</v>
      </c>
      <c r="Q3924" s="247" t="e">
        <f t="shared" si="433"/>
        <v>#VALUE!</v>
      </c>
    </row>
    <row r="3925" spans="11:17" x14ac:dyDescent="0.25">
      <c r="K3925" s="246" t="e">
        <f t="shared" si="427"/>
        <v>#VALUE!</v>
      </c>
      <c r="L3925" s="246" t="e">
        <f t="shared" si="428"/>
        <v>#VALUE!</v>
      </c>
      <c r="M3925" s="247" t="e">
        <f t="shared" si="429"/>
        <v>#VALUE!</v>
      </c>
      <c r="N3925" s="246" t="e">
        <f t="shared" si="430"/>
        <v>#VALUE!</v>
      </c>
      <c r="O3925" s="247" t="e">
        <f t="shared" si="431"/>
        <v>#VALUE!</v>
      </c>
      <c r="P3925" s="247">
        <f t="shared" si="432"/>
        <v>0</v>
      </c>
      <c r="Q3925" s="247" t="e">
        <f t="shared" si="433"/>
        <v>#VALUE!</v>
      </c>
    </row>
    <row r="3926" spans="11:17" x14ac:dyDescent="0.25">
      <c r="K3926" s="246" t="e">
        <f t="shared" si="427"/>
        <v>#VALUE!</v>
      </c>
      <c r="L3926" s="246" t="e">
        <f t="shared" si="428"/>
        <v>#VALUE!</v>
      </c>
      <c r="M3926" s="247" t="e">
        <f t="shared" si="429"/>
        <v>#VALUE!</v>
      </c>
      <c r="N3926" s="246" t="e">
        <f t="shared" si="430"/>
        <v>#VALUE!</v>
      </c>
      <c r="O3926" s="247" t="e">
        <f t="shared" si="431"/>
        <v>#VALUE!</v>
      </c>
      <c r="P3926" s="247">
        <f t="shared" si="432"/>
        <v>0</v>
      </c>
      <c r="Q3926" s="247" t="e">
        <f t="shared" si="433"/>
        <v>#VALUE!</v>
      </c>
    </row>
    <row r="3927" spans="11:17" x14ac:dyDescent="0.25">
      <c r="K3927" s="246" t="e">
        <f t="shared" si="427"/>
        <v>#VALUE!</v>
      </c>
      <c r="L3927" s="246" t="e">
        <f t="shared" si="428"/>
        <v>#VALUE!</v>
      </c>
      <c r="M3927" s="247" t="e">
        <f t="shared" si="429"/>
        <v>#VALUE!</v>
      </c>
      <c r="N3927" s="246" t="e">
        <f t="shared" si="430"/>
        <v>#VALUE!</v>
      </c>
      <c r="O3927" s="247" t="e">
        <f t="shared" si="431"/>
        <v>#VALUE!</v>
      </c>
      <c r="P3927" s="247">
        <f t="shared" si="432"/>
        <v>0</v>
      </c>
      <c r="Q3927" s="247" t="e">
        <f t="shared" si="433"/>
        <v>#VALUE!</v>
      </c>
    </row>
    <row r="3928" spans="11:17" x14ac:dyDescent="0.25">
      <c r="K3928" s="246" t="e">
        <f t="shared" si="427"/>
        <v>#VALUE!</v>
      </c>
      <c r="L3928" s="246" t="e">
        <f t="shared" si="428"/>
        <v>#VALUE!</v>
      </c>
      <c r="M3928" s="247" t="e">
        <f t="shared" si="429"/>
        <v>#VALUE!</v>
      </c>
      <c r="N3928" s="246" t="e">
        <f t="shared" si="430"/>
        <v>#VALUE!</v>
      </c>
      <c r="O3928" s="247" t="e">
        <f t="shared" si="431"/>
        <v>#VALUE!</v>
      </c>
      <c r="P3928" s="247">
        <f t="shared" si="432"/>
        <v>0</v>
      </c>
      <c r="Q3928" s="247" t="e">
        <f t="shared" si="433"/>
        <v>#VALUE!</v>
      </c>
    </row>
    <row r="3929" spans="11:17" x14ac:dyDescent="0.25">
      <c r="K3929" s="246" t="e">
        <f t="shared" si="427"/>
        <v>#VALUE!</v>
      </c>
      <c r="L3929" s="246" t="e">
        <f t="shared" si="428"/>
        <v>#VALUE!</v>
      </c>
      <c r="M3929" s="247" t="e">
        <f t="shared" si="429"/>
        <v>#VALUE!</v>
      </c>
      <c r="N3929" s="246" t="e">
        <f t="shared" si="430"/>
        <v>#VALUE!</v>
      </c>
      <c r="O3929" s="247" t="e">
        <f t="shared" si="431"/>
        <v>#VALUE!</v>
      </c>
      <c r="P3929" s="247">
        <f t="shared" si="432"/>
        <v>0</v>
      </c>
      <c r="Q3929" s="247" t="e">
        <f t="shared" si="433"/>
        <v>#VALUE!</v>
      </c>
    </row>
    <row r="3930" spans="11:17" x14ac:dyDescent="0.25">
      <c r="K3930" s="246" t="e">
        <f t="shared" si="427"/>
        <v>#VALUE!</v>
      </c>
      <c r="L3930" s="246" t="e">
        <f t="shared" si="428"/>
        <v>#VALUE!</v>
      </c>
      <c r="M3930" s="247" t="e">
        <f t="shared" si="429"/>
        <v>#VALUE!</v>
      </c>
      <c r="N3930" s="246" t="e">
        <f t="shared" si="430"/>
        <v>#VALUE!</v>
      </c>
      <c r="O3930" s="247" t="e">
        <f t="shared" si="431"/>
        <v>#VALUE!</v>
      </c>
      <c r="P3930" s="247">
        <f t="shared" si="432"/>
        <v>0</v>
      </c>
      <c r="Q3930" s="247" t="e">
        <f t="shared" si="433"/>
        <v>#VALUE!</v>
      </c>
    </row>
    <row r="3931" spans="11:17" x14ac:dyDescent="0.25">
      <c r="K3931" s="246" t="e">
        <f t="shared" si="427"/>
        <v>#VALUE!</v>
      </c>
      <c r="L3931" s="246" t="e">
        <f t="shared" si="428"/>
        <v>#VALUE!</v>
      </c>
      <c r="M3931" s="247" t="e">
        <f t="shared" si="429"/>
        <v>#VALUE!</v>
      </c>
      <c r="N3931" s="246" t="e">
        <f t="shared" si="430"/>
        <v>#VALUE!</v>
      </c>
      <c r="O3931" s="247" t="e">
        <f t="shared" si="431"/>
        <v>#VALUE!</v>
      </c>
      <c r="P3931" s="247">
        <f t="shared" si="432"/>
        <v>0</v>
      </c>
      <c r="Q3931" s="247" t="e">
        <f t="shared" si="433"/>
        <v>#VALUE!</v>
      </c>
    </row>
    <row r="3932" spans="11:17" x14ac:dyDescent="0.25">
      <c r="K3932" s="246" t="e">
        <f t="shared" si="427"/>
        <v>#VALUE!</v>
      </c>
      <c r="L3932" s="246" t="e">
        <f t="shared" si="428"/>
        <v>#VALUE!</v>
      </c>
      <c r="M3932" s="247" t="e">
        <f t="shared" si="429"/>
        <v>#VALUE!</v>
      </c>
      <c r="N3932" s="246" t="e">
        <f t="shared" si="430"/>
        <v>#VALUE!</v>
      </c>
      <c r="O3932" s="247" t="e">
        <f t="shared" si="431"/>
        <v>#VALUE!</v>
      </c>
      <c r="P3932" s="247">
        <f t="shared" si="432"/>
        <v>0</v>
      </c>
      <c r="Q3932" s="247" t="e">
        <f t="shared" si="433"/>
        <v>#VALUE!</v>
      </c>
    </row>
    <row r="3933" spans="11:17" x14ac:dyDescent="0.25">
      <c r="K3933" s="246" t="e">
        <f t="shared" si="427"/>
        <v>#VALUE!</v>
      </c>
      <c r="L3933" s="246" t="e">
        <f t="shared" si="428"/>
        <v>#VALUE!</v>
      </c>
      <c r="M3933" s="247" t="e">
        <f t="shared" si="429"/>
        <v>#VALUE!</v>
      </c>
      <c r="N3933" s="246" t="e">
        <f t="shared" si="430"/>
        <v>#VALUE!</v>
      </c>
      <c r="O3933" s="247" t="e">
        <f t="shared" si="431"/>
        <v>#VALUE!</v>
      </c>
      <c r="P3933" s="247">
        <f t="shared" si="432"/>
        <v>0</v>
      </c>
      <c r="Q3933" s="247" t="e">
        <f t="shared" si="433"/>
        <v>#VALUE!</v>
      </c>
    </row>
    <row r="3934" spans="11:17" x14ac:dyDescent="0.25">
      <c r="K3934" s="246" t="e">
        <f t="shared" si="427"/>
        <v>#VALUE!</v>
      </c>
      <c r="L3934" s="246" t="e">
        <f t="shared" si="428"/>
        <v>#VALUE!</v>
      </c>
      <c r="M3934" s="247" t="e">
        <f t="shared" si="429"/>
        <v>#VALUE!</v>
      </c>
      <c r="N3934" s="246" t="e">
        <f t="shared" si="430"/>
        <v>#VALUE!</v>
      </c>
      <c r="O3934" s="247" t="e">
        <f t="shared" si="431"/>
        <v>#VALUE!</v>
      </c>
      <c r="P3934" s="247">
        <f t="shared" si="432"/>
        <v>0</v>
      </c>
      <c r="Q3934" s="247" t="e">
        <f t="shared" si="433"/>
        <v>#VALUE!</v>
      </c>
    </row>
    <row r="3935" spans="11:17" x14ac:dyDescent="0.25">
      <c r="K3935" s="246" t="e">
        <f t="shared" si="427"/>
        <v>#VALUE!</v>
      </c>
      <c r="L3935" s="246" t="e">
        <f t="shared" si="428"/>
        <v>#VALUE!</v>
      </c>
      <c r="M3935" s="247" t="e">
        <f t="shared" si="429"/>
        <v>#VALUE!</v>
      </c>
      <c r="N3935" s="246" t="e">
        <f t="shared" si="430"/>
        <v>#VALUE!</v>
      </c>
      <c r="O3935" s="247" t="e">
        <f t="shared" si="431"/>
        <v>#VALUE!</v>
      </c>
      <c r="P3935" s="247">
        <f t="shared" si="432"/>
        <v>0</v>
      </c>
      <c r="Q3935" s="247" t="e">
        <f t="shared" si="433"/>
        <v>#VALUE!</v>
      </c>
    </row>
    <row r="3936" spans="11:17" x14ac:dyDescent="0.25">
      <c r="K3936" s="246" t="e">
        <f t="shared" si="427"/>
        <v>#VALUE!</v>
      </c>
      <c r="L3936" s="246" t="e">
        <f t="shared" si="428"/>
        <v>#VALUE!</v>
      </c>
      <c r="M3936" s="247" t="e">
        <f t="shared" si="429"/>
        <v>#VALUE!</v>
      </c>
      <c r="N3936" s="246" t="e">
        <f t="shared" si="430"/>
        <v>#VALUE!</v>
      </c>
      <c r="O3936" s="247" t="e">
        <f t="shared" si="431"/>
        <v>#VALUE!</v>
      </c>
      <c r="P3936" s="247">
        <f t="shared" si="432"/>
        <v>0</v>
      </c>
      <c r="Q3936" s="247" t="e">
        <f t="shared" si="433"/>
        <v>#VALUE!</v>
      </c>
    </row>
    <row r="3937" spans="11:17" x14ac:dyDescent="0.25">
      <c r="K3937" s="246" t="e">
        <f t="shared" si="427"/>
        <v>#VALUE!</v>
      </c>
      <c r="L3937" s="246" t="e">
        <f t="shared" si="428"/>
        <v>#VALUE!</v>
      </c>
      <c r="M3937" s="247" t="e">
        <f t="shared" si="429"/>
        <v>#VALUE!</v>
      </c>
      <c r="N3937" s="246" t="e">
        <f t="shared" si="430"/>
        <v>#VALUE!</v>
      </c>
      <c r="O3937" s="247" t="e">
        <f t="shared" si="431"/>
        <v>#VALUE!</v>
      </c>
      <c r="P3937" s="247">
        <f t="shared" si="432"/>
        <v>0</v>
      </c>
      <c r="Q3937" s="247" t="e">
        <f t="shared" si="433"/>
        <v>#VALUE!</v>
      </c>
    </row>
    <row r="3938" spans="11:17" x14ac:dyDescent="0.25">
      <c r="K3938" s="246" t="e">
        <f t="shared" si="427"/>
        <v>#VALUE!</v>
      </c>
      <c r="L3938" s="246" t="e">
        <f t="shared" si="428"/>
        <v>#VALUE!</v>
      </c>
      <c r="M3938" s="247" t="e">
        <f t="shared" si="429"/>
        <v>#VALUE!</v>
      </c>
      <c r="N3938" s="246" t="e">
        <f t="shared" si="430"/>
        <v>#VALUE!</v>
      </c>
      <c r="O3938" s="247" t="e">
        <f t="shared" si="431"/>
        <v>#VALUE!</v>
      </c>
      <c r="P3938" s="247">
        <f t="shared" si="432"/>
        <v>0</v>
      </c>
      <c r="Q3938" s="247" t="e">
        <f t="shared" si="433"/>
        <v>#VALUE!</v>
      </c>
    </row>
    <row r="3939" spans="11:17" x14ac:dyDescent="0.25">
      <c r="K3939" s="246" t="e">
        <f t="shared" si="427"/>
        <v>#VALUE!</v>
      </c>
      <c r="L3939" s="246" t="e">
        <f t="shared" si="428"/>
        <v>#VALUE!</v>
      </c>
      <c r="M3939" s="247" t="e">
        <f t="shared" si="429"/>
        <v>#VALUE!</v>
      </c>
      <c r="N3939" s="246" t="e">
        <f t="shared" si="430"/>
        <v>#VALUE!</v>
      </c>
      <c r="O3939" s="247" t="e">
        <f t="shared" si="431"/>
        <v>#VALUE!</v>
      </c>
      <c r="P3939" s="247">
        <f t="shared" si="432"/>
        <v>0</v>
      </c>
      <c r="Q3939" s="247" t="e">
        <f t="shared" si="433"/>
        <v>#VALUE!</v>
      </c>
    </row>
    <row r="3940" spans="11:17" x14ac:dyDescent="0.25">
      <c r="K3940" s="246" t="e">
        <f t="shared" si="427"/>
        <v>#VALUE!</v>
      </c>
      <c r="L3940" s="246" t="e">
        <f t="shared" si="428"/>
        <v>#VALUE!</v>
      </c>
      <c r="M3940" s="247" t="e">
        <f t="shared" si="429"/>
        <v>#VALUE!</v>
      </c>
      <c r="N3940" s="246" t="e">
        <f t="shared" si="430"/>
        <v>#VALUE!</v>
      </c>
      <c r="O3940" s="247" t="e">
        <f t="shared" si="431"/>
        <v>#VALUE!</v>
      </c>
      <c r="P3940" s="247">
        <f t="shared" si="432"/>
        <v>0</v>
      </c>
      <c r="Q3940" s="247" t="e">
        <f t="shared" si="433"/>
        <v>#VALUE!</v>
      </c>
    </row>
    <row r="3941" spans="11:17" x14ac:dyDescent="0.25">
      <c r="K3941" s="246" t="e">
        <f t="shared" si="427"/>
        <v>#VALUE!</v>
      </c>
      <c r="L3941" s="246" t="e">
        <f t="shared" si="428"/>
        <v>#VALUE!</v>
      </c>
      <c r="M3941" s="247" t="e">
        <f t="shared" si="429"/>
        <v>#VALUE!</v>
      </c>
      <c r="N3941" s="246" t="e">
        <f t="shared" si="430"/>
        <v>#VALUE!</v>
      </c>
      <c r="O3941" s="247" t="e">
        <f t="shared" si="431"/>
        <v>#VALUE!</v>
      </c>
      <c r="P3941" s="247">
        <f t="shared" si="432"/>
        <v>0</v>
      </c>
      <c r="Q3941" s="247" t="e">
        <f t="shared" si="433"/>
        <v>#VALUE!</v>
      </c>
    </row>
    <row r="3942" spans="11:17" x14ac:dyDescent="0.25">
      <c r="K3942" s="246" t="e">
        <f t="shared" si="427"/>
        <v>#VALUE!</v>
      </c>
      <c r="L3942" s="246" t="e">
        <f t="shared" si="428"/>
        <v>#VALUE!</v>
      </c>
      <c r="M3942" s="247" t="e">
        <f t="shared" si="429"/>
        <v>#VALUE!</v>
      </c>
      <c r="N3942" s="246" t="e">
        <f t="shared" si="430"/>
        <v>#VALUE!</v>
      </c>
      <c r="O3942" s="247" t="e">
        <f t="shared" si="431"/>
        <v>#VALUE!</v>
      </c>
      <c r="P3942" s="247">
        <f t="shared" si="432"/>
        <v>0</v>
      </c>
      <c r="Q3942" s="247" t="e">
        <f t="shared" si="433"/>
        <v>#VALUE!</v>
      </c>
    </row>
    <row r="3943" spans="11:17" x14ac:dyDescent="0.25">
      <c r="K3943" s="246" t="e">
        <f t="shared" si="427"/>
        <v>#VALUE!</v>
      </c>
      <c r="L3943" s="246" t="e">
        <f t="shared" si="428"/>
        <v>#VALUE!</v>
      </c>
      <c r="M3943" s="247" t="e">
        <f t="shared" si="429"/>
        <v>#VALUE!</v>
      </c>
      <c r="N3943" s="246" t="e">
        <f t="shared" si="430"/>
        <v>#VALUE!</v>
      </c>
      <c r="O3943" s="247" t="e">
        <f t="shared" si="431"/>
        <v>#VALUE!</v>
      </c>
      <c r="P3943" s="247">
        <f t="shared" si="432"/>
        <v>0</v>
      </c>
      <c r="Q3943" s="247" t="e">
        <f t="shared" si="433"/>
        <v>#VALUE!</v>
      </c>
    </row>
    <row r="3944" spans="11:17" x14ac:dyDescent="0.25">
      <c r="K3944" s="246" t="e">
        <f t="shared" si="427"/>
        <v>#VALUE!</v>
      </c>
      <c r="L3944" s="246" t="e">
        <f t="shared" si="428"/>
        <v>#VALUE!</v>
      </c>
      <c r="M3944" s="247" t="e">
        <f t="shared" si="429"/>
        <v>#VALUE!</v>
      </c>
      <c r="N3944" s="246" t="e">
        <f t="shared" si="430"/>
        <v>#VALUE!</v>
      </c>
      <c r="O3944" s="247" t="e">
        <f t="shared" si="431"/>
        <v>#VALUE!</v>
      </c>
      <c r="P3944" s="247">
        <f t="shared" si="432"/>
        <v>0</v>
      </c>
      <c r="Q3944" s="247" t="e">
        <f t="shared" si="433"/>
        <v>#VALUE!</v>
      </c>
    </row>
    <row r="3945" spans="11:17" x14ac:dyDescent="0.25">
      <c r="K3945" s="246" t="e">
        <f t="shared" si="427"/>
        <v>#VALUE!</v>
      </c>
      <c r="L3945" s="246" t="e">
        <f t="shared" si="428"/>
        <v>#VALUE!</v>
      </c>
      <c r="M3945" s="247" t="e">
        <f t="shared" si="429"/>
        <v>#VALUE!</v>
      </c>
      <c r="N3945" s="246" t="e">
        <f t="shared" si="430"/>
        <v>#VALUE!</v>
      </c>
      <c r="O3945" s="247" t="e">
        <f t="shared" si="431"/>
        <v>#VALUE!</v>
      </c>
      <c r="P3945" s="247">
        <f t="shared" si="432"/>
        <v>0</v>
      </c>
      <c r="Q3945" s="247" t="e">
        <f t="shared" si="433"/>
        <v>#VALUE!</v>
      </c>
    </row>
    <row r="3946" spans="11:17" x14ac:dyDescent="0.25">
      <c r="K3946" s="246" t="e">
        <f t="shared" si="427"/>
        <v>#VALUE!</v>
      </c>
      <c r="L3946" s="246" t="e">
        <f t="shared" si="428"/>
        <v>#VALUE!</v>
      </c>
      <c r="M3946" s="247" t="e">
        <f t="shared" si="429"/>
        <v>#VALUE!</v>
      </c>
      <c r="N3946" s="246" t="e">
        <f t="shared" si="430"/>
        <v>#VALUE!</v>
      </c>
      <c r="O3946" s="247" t="e">
        <f t="shared" si="431"/>
        <v>#VALUE!</v>
      </c>
      <c r="P3946" s="247">
        <f t="shared" si="432"/>
        <v>0</v>
      </c>
      <c r="Q3946" s="247" t="e">
        <f t="shared" si="433"/>
        <v>#VALUE!</v>
      </c>
    </row>
    <row r="3947" spans="11:17" x14ac:dyDescent="0.25">
      <c r="K3947" s="246" t="e">
        <f t="shared" si="427"/>
        <v>#VALUE!</v>
      </c>
      <c r="L3947" s="246" t="e">
        <f t="shared" si="428"/>
        <v>#VALUE!</v>
      </c>
      <c r="M3947" s="247" t="e">
        <f t="shared" si="429"/>
        <v>#VALUE!</v>
      </c>
      <c r="N3947" s="246" t="e">
        <f t="shared" si="430"/>
        <v>#VALUE!</v>
      </c>
      <c r="O3947" s="247" t="e">
        <f t="shared" si="431"/>
        <v>#VALUE!</v>
      </c>
      <c r="P3947" s="247">
        <f t="shared" si="432"/>
        <v>0</v>
      </c>
      <c r="Q3947" s="247" t="e">
        <f t="shared" si="433"/>
        <v>#VALUE!</v>
      </c>
    </row>
    <row r="3948" spans="11:17" x14ac:dyDescent="0.25">
      <c r="K3948" s="246" t="e">
        <f t="shared" si="427"/>
        <v>#VALUE!</v>
      </c>
      <c r="L3948" s="246" t="e">
        <f t="shared" si="428"/>
        <v>#VALUE!</v>
      </c>
      <c r="M3948" s="247" t="e">
        <f t="shared" si="429"/>
        <v>#VALUE!</v>
      </c>
      <c r="N3948" s="246" t="e">
        <f t="shared" si="430"/>
        <v>#VALUE!</v>
      </c>
      <c r="O3948" s="247" t="e">
        <f t="shared" si="431"/>
        <v>#VALUE!</v>
      </c>
      <c r="P3948" s="247">
        <f t="shared" si="432"/>
        <v>0</v>
      </c>
      <c r="Q3948" s="247" t="e">
        <f t="shared" si="433"/>
        <v>#VALUE!</v>
      </c>
    </row>
    <row r="3949" spans="11:17" x14ac:dyDescent="0.25">
      <c r="K3949" s="246" t="e">
        <f t="shared" si="427"/>
        <v>#VALUE!</v>
      </c>
      <c r="L3949" s="246" t="e">
        <f t="shared" si="428"/>
        <v>#VALUE!</v>
      </c>
      <c r="M3949" s="247" t="e">
        <f t="shared" si="429"/>
        <v>#VALUE!</v>
      </c>
      <c r="N3949" s="246" t="e">
        <f t="shared" si="430"/>
        <v>#VALUE!</v>
      </c>
      <c r="O3949" s="247" t="e">
        <f t="shared" si="431"/>
        <v>#VALUE!</v>
      </c>
      <c r="P3949" s="247">
        <f t="shared" si="432"/>
        <v>0</v>
      </c>
      <c r="Q3949" s="247" t="e">
        <f t="shared" si="433"/>
        <v>#VALUE!</v>
      </c>
    </row>
    <row r="3950" spans="11:17" x14ac:dyDescent="0.25">
      <c r="K3950" s="246" t="e">
        <f t="shared" si="427"/>
        <v>#VALUE!</v>
      </c>
      <c r="L3950" s="246" t="e">
        <f t="shared" si="428"/>
        <v>#VALUE!</v>
      </c>
      <c r="M3950" s="247" t="e">
        <f t="shared" si="429"/>
        <v>#VALUE!</v>
      </c>
      <c r="N3950" s="246" t="e">
        <f t="shared" si="430"/>
        <v>#VALUE!</v>
      </c>
      <c r="O3950" s="247" t="e">
        <f t="shared" si="431"/>
        <v>#VALUE!</v>
      </c>
      <c r="P3950" s="247">
        <f t="shared" si="432"/>
        <v>0</v>
      </c>
      <c r="Q3950" s="247" t="e">
        <f t="shared" si="433"/>
        <v>#VALUE!</v>
      </c>
    </row>
    <row r="3951" spans="11:17" x14ac:dyDescent="0.25">
      <c r="K3951" s="246" t="e">
        <f t="shared" si="427"/>
        <v>#VALUE!</v>
      </c>
      <c r="L3951" s="246" t="e">
        <f t="shared" si="428"/>
        <v>#VALUE!</v>
      </c>
      <c r="M3951" s="247" t="e">
        <f t="shared" si="429"/>
        <v>#VALUE!</v>
      </c>
      <c r="N3951" s="246" t="e">
        <f t="shared" si="430"/>
        <v>#VALUE!</v>
      </c>
      <c r="O3951" s="247" t="e">
        <f t="shared" si="431"/>
        <v>#VALUE!</v>
      </c>
      <c r="P3951" s="247">
        <f t="shared" si="432"/>
        <v>0</v>
      </c>
      <c r="Q3951" s="247" t="e">
        <f t="shared" si="433"/>
        <v>#VALUE!</v>
      </c>
    </row>
    <row r="3952" spans="11:17" x14ac:dyDescent="0.25">
      <c r="K3952" s="246" t="e">
        <f t="shared" si="427"/>
        <v>#VALUE!</v>
      </c>
      <c r="L3952" s="246" t="e">
        <f t="shared" si="428"/>
        <v>#VALUE!</v>
      </c>
      <c r="M3952" s="247" t="e">
        <f t="shared" si="429"/>
        <v>#VALUE!</v>
      </c>
      <c r="N3952" s="246" t="e">
        <f t="shared" si="430"/>
        <v>#VALUE!</v>
      </c>
      <c r="O3952" s="247" t="e">
        <f t="shared" si="431"/>
        <v>#VALUE!</v>
      </c>
      <c r="P3952" s="247">
        <f t="shared" si="432"/>
        <v>0</v>
      </c>
      <c r="Q3952" s="247" t="e">
        <f t="shared" si="433"/>
        <v>#VALUE!</v>
      </c>
    </row>
    <row r="3953" spans="11:17" x14ac:dyDescent="0.25">
      <c r="K3953" s="246" t="e">
        <f t="shared" si="427"/>
        <v>#VALUE!</v>
      </c>
      <c r="L3953" s="246" t="e">
        <f t="shared" si="428"/>
        <v>#VALUE!</v>
      </c>
      <c r="M3953" s="247" t="e">
        <f t="shared" si="429"/>
        <v>#VALUE!</v>
      </c>
      <c r="N3953" s="246" t="e">
        <f t="shared" si="430"/>
        <v>#VALUE!</v>
      </c>
      <c r="O3953" s="247" t="e">
        <f t="shared" si="431"/>
        <v>#VALUE!</v>
      </c>
      <c r="P3953" s="247">
        <f t="shared" si="432"/>
        <v>0</v>
      </c>
      <c r="Q3953" s="247" t="e">
        <f t="shared" si="433"/>
        <v>#VALUE!</v>
      </c>
    </row>
    <row r="3954" spans="11:17" x14ac:dyDescent="0.25">
      <c r="K3954" s="246" t="e">
        <f t="shared" ref="K3954:K4017" si="434">DATE(VALUE(LEFT(A3954,4)),VALUE(MID(A3954,5,2)),VALUE(RIGHT(A3954,2)))</f>
        <v>#VALUE!</v>
      </c>
      <c r="L3954" s="246" t="e">
        <f t="shared" ref="L3954:L4017" si="435">DATEVALUE(LEFT(F3954,10))</f>
        <v>#VALUE!</v>
      </c>
      <c r="M3954" s="247" t="e">
        <f t="shared" ref="M3954:M4017" si="436">TIMEVALUE(MID(F3954,12,8))</f>
        <v>#VALUE!</v>
      </c>
      <c r="N3954" s="246" t="e">
        <f t="shared" ref="N3954:N4017" si="437">DATEVALUE(LEFT(G3954,10))</f>
        <v>#VALUE!</v>
      </c>
      <c r="O3954" s="247" t="e">
        <f t="shared" ref="O3954:O4017" si="438">TIMEVALUE(MID(G3954,12,8))</f>
        <v>#VALUE!</v>
      </c>
      <c r="P3954" s="247">
        <f t="shared" si="432"/>
        <v>0</v>
      </c>
      <c r="Q3954" s="247" t="e">
        <f t="shared" si="433"/>
        <v>#VALUE!</v>
      </c>
    </row>
    <row r="3955" spans="11:17" x14ac:dyDescent="0.25">
      <c r="K3955" s="246" t="e">
        <f t="shared" si="434"/>
        <v>#VALUE!</v>
      </c>
      <c r="L3955" s="246" t="e">
        <f t="shared" si="435"/>
        <v>#VALUE!</v>
      </c>
      <c r="M3955" s="247" t="e">
        <f t="shared" si="436"/>
        <v>#VALUE!</v>
      </c>
      <c r="N3955" s="246" t="e">
        <f t="shared" si="437"/>
        <v>#VALUE!</v>
      </c>
      <c r="O3955" s="247" t="e">
        <f t="shared" si="438"/>
        <v>#VALUE!</v>
      </c>
      <c r="P3955" s="247">
        <f t="shared" si="432"/>
        <v>0</v>
      </c>
      <c r="Q3955" s="247" t="e">
        <f t="shared" si="433"/>
        <v>#VALUE!</v>
      </c>
    </row>
    <row r="3956" spans="11:17" x14ac:dyDescent="0.25">
      <c r="K3956" s="246" t="e">
        <f t="shared" si="434"/>
        <v>#VALUE!</v>
      </c>
      <c r="L3956" s="246" t="e">
        <f t="shared" si="435"/>
        <v>#VALUE!</v>
      </c>
      <c r="M3956" s="247" t="e">
        <f t="shared" si="436"/>
        <v>#VALUE!</v>
      </c>
      <c r="N3956" s="246" t="e">
        <f t="shared" si="437"/>
        <v>#VALUE!</v>
      </c>
      <c r="O3956" s="247" t="e">
        <f t="shared" si="438"/>
        <v>#VALUE!</v>
      </c>
      <c r="P3956" s="247">
        <f t="shared" si="432"/>
        <v>0</v>
      </c>
      <c r="Q3956" s="247" t="e">
        <f t="shared" si="433"/>
        <v>#VALUE!</v>
      </c>
    </row>
    <row r="3957" spans="11:17" x14ac:dyDescent="0.25">
      <c r="K3957" s="246" t="e">
        <f t="shared" si="434"/>
        <v>#VALUE!</v>
      </c>
      <c r="L3957" s="246" t="e">
        <f t="shared" si="435"/>
        <v>#VALUE!</v>
      </c>
      <c r="M3957" s="247" t="e">
        <f t="shared" si="436"/>
        <v>#VALUE!</v>
      </c>
      <c r="N3957" s="246" t="e">
        <f t="shared" si="437"/>
        <v>#VALUE!</v>
      </c>
      <c r="O3957" s="247" t="e">
        <f t="shared" si="438"/>
        <v>#VALUE!</v>
      </c>
      <c r="P3957" s="247">
        <f t="shared" si="432"/>
        <v>0</v>
      </c>
      <c r="Q3957" s="247" t="e">
        <f t="shared" si="433"/>
        <v>#VALUE!</v>
      </c>
    </row>
    <row r="3958" spans="11:17" x14ac:dyDescent="0.25">
      <c r="K3958" s="246" t="e">
        <f t="shared" si="434"/>
        <v>#VALUE!</v>
      </c>
      <c r="L3958" s="246" t="e">
        <f t="shared" si="435"/>
        <v>#VALUE!</v>
      </c>
      <c r="M3958" s="247" t="e">
        <f t="shared" si="436"/>
        <v>#VALUE!</v>
      </c>
      <c r="N3958" s="246" t="e">
        <f t="shared" si="437"/>
        <v>#VALUE!</v>
      </c>
      <c r="O3958" s="247" t="e">
        <f t="shared" si="438"/>
        <v>#VALUE!</v>
      </c>
      <c r="P3958" s="247">
        <f t="shared" si="432"/>
        <v>0</v>
      </c>
      <c r="Q3958" s="247" t="e">
        <f t="shared" si="433"/>
        <v>#VALUE!</v>
      </c>
    </row>
    <row r="3959" spans="11:17" x14ac:dyDescent="0.25">
      <c r="K3959" s="246" t="e">
        <f t="shared" si="434"/>
        <v>#VALUE!</v>
      </c>
      <c r="L3959" s="246" t="e">
        <f t="shared" si="435"/>
        <v>#VALUE!</v>
      </c>
      <c r="M3959" s="247" t="e">
        <f t="shared" si="436"/>
        <v>#VALUE!</v>
      </c>
      <c r="N3959" s="246" t="e">
        <f t="shared" si="437"/>
        <v>#VALUE!</v>
      </c>
      <c r="O3959" s="247" t="e">
        <f t="shared" si="438"/>
        <v>#VALUE!</v>
      </c>
      <c r="P3959" s="247">
        <f t="shared" si="432"/>
        <v>0</v>
      </c>
      <c r="Q3959" s="247" t="e">
        <f t="shared" si="433"/>
        <v>#VALUE!</v>
      </c>
    </row>
    <row r="3960" spans="11:17" x14ac:dyDescent="0.25">
      <c r="K3960" s="246" t="e">
        <f t="shared" si="434"/>
        <v>#VALUE!</v>
      </c>
      <c r="L3960" s="246" t="e">
        <f t="shared" si="435"/>
        <v>#VALUE!</v>
      </c>
      <c r="M3960" s="247" t="e">
        <f t="shared" si="436"/>
        <v>#VALUE!</v>
      </c>
      <c r="N3960" s="246" t="e">
        <f t="shared" si="437"/>
        <v>#VALUE!</v>
      </c>
      <c r="O3960" s="247" t="e">
        <f t="shared" si="438"/>
        <v>#VALUE!</v>
      </c>
      <c r="P3960" s="247">
        <f t="shared" si="432"/>
        <v>0</v>
      </c>
      <c r="Q3960" s="247" t="e">
        <f t="shared" si="433"/>
        <v>#VALUE!</v>
      </c>
    </row>
    <row r="3961" spans="11:17" x14ac:dyDescent="0.25">
      <c r="K3961" s="246" t="e">
        <f t="shared" si="434"/>
        <v>#VALUE!</v>
      </c>
      <c r="L3961" s="246" t="e">
        <f t="shared" si="435"/>
        <v>#VALUE!</v>
      </c>
      <c r="M3961" s="247" t="e">
        <f t="shared" si="436"/>
        <v>#VALUE!</v>
      </c>
      <c r="N3961" s="246" t="e">
        <f t="shared" si="437"/>
        <v>#VALUE!</v>
      </c>
      <c r="O3961" s="247" t="e">
        <f t="shared" si="438"/>
        <v>#VALUE!</v>
      </c>
      <c r="P3961" s="247">
        <f t="shared" si="432"/>
        <v>0</v>
      </c>
      <c r="Q3961" s="247" t="e">
        <f t="shared" si="433"/>
        <v>#VALUE!</v>
      </c>
    </row>
    <row r="3962" spans="11:17" x14ac:dyDescent="0.25">
      <c r="K3962" s="246" t="e">
        <f t="shared" si="434"/>
        <v>#VALUE!</v>
      </c>
      <c r="L3962" s="246" t="e">
        <f t="shared" si="435"/>
        <v>#VALUE!</v>
      </c>
      <c r="M3962" s="247" t="e">
        <f t="shared" si="436"/>
        <v>#VALUE!</v>
      </c>
      <c r="N3962" s="246" t="e">
        <f t="shared" si="437"/>
        <v>#VALUE!</v>
      </c>
      <c r="O3962" s="247" t="e">
        <f t="shared" si="438"/>
        <v>#VALUE!</v>
      </c>
      <c r="P3962" s="247">
        <f t="shared" si="432"/>
        <v>0</v>
      </c>
      <c r="Q3962" s="247" t="e">
        <f t="shared" si="433"/>
        <v>#VALUE!</v>
      </c>
    </row>
    <row r="3963" spans="11:17" x14ac:dyDescent="0.25">
      <c r="K3963" s="246" t="e">
        <f t="shared" si="434"/>
        <v>#VALUE!</v>
      </c>
      <c r="L3963" s="246" t="e">
        <f t="shared" si="435"/>
        <v>#VALUE!</v>
      </c>
      <c r="M3963" s="247" t="e">
        <f t="shared" si="436"/>
        <v>#VALUE!</v>
      </c>
      <c r="N3963" s="246" t="e">
        <f t="shared" si="437"/>
        <v>#VALUE!</v>
      </c>
      <c r="O3963" s="247" t="e">
        <f t="shared" si="438"/>
        <v>#VALUE!</v>
      </c>
      <c r="P3963" s="247">
        <f t="shared" si="432"/>
        <v>0</v>
      </c>
      <c r="Q3963" s="247" t="e">
        <f t="shared" si="433"/>
        <v>#VALUE!</v>
      </c>
    </row>
    <row r="3964" spans="11:17" x14ac:dyDescent="0.25">
      <c r="K3964" s="246" t="e">
        <f t="shared" si="434"/>
        <v>#VALUE!</v>
      </c>
      <c r="L3964" s="246" t="e">
        <f t="shared" si="435"/>
        <v>#VALUE!</v>
      </c>
      <c r="M3964" s="247" t="e">
        <f t="shared" si="436"/>
        <v>#VALUE!</v>
      </c>
      <c r="N3964" s="246" t="e">
        <f t="shared" si="437"/>
        <v>#VALUE!</v>
      </c>
      <c r="O3964" s="247" t="e">
        <f t="shared" si="438"/>
        <v>#VALUE!</v>
      </c>
      <c r="P3964" s="247">
        <f t="shared" si="432"/>
        <v>0</v>
      </c>
      <c r="Q3964" s="247" t="e">
        <f t="shared" si="433"/>
        <v>#VALUE!</v>
      </c>
    </row>
    <row r="3965" spans="11:17" x14ac:dyDescent="0.25">
      <c r="K3965" s="246" t="e">
        <f t="shared" si="434"/>
        <v>#VALUE!</v>
      </c>
      <c r="L3965" s="246" t="e">
        <f t="shared" si="435"/>
        <v>#VALUE!</v>
      </c>
      <c r="M3965" s="247" t="e">
        <f t="shared" si="436"/>
        <v>#VALUE!</v>
      </c>
      <c r="N3965" s="246" t="e">
        <f t="shared" si="437"/>
        <v>#VALUE!</v>
      </c>
      <c r="O3965" s="247" t="e">
        <f t="shared" si="438"/>
        <v>#VALUE!</v>
      </c>
      <c r="P3965" s="247">
        <f t="shared" si="432"/>
        <v>0</v>
      </c>
      <c r="Q3965" s="247" t="e">
        <f t="shared" si="433"/>
        <v>#VALUE!</v>
      </c>
    </row>
    <row r="3966" spans="11:17" x14ac:dyDescent="0.25">
      <c r="K3966" s="246" t="e">
        <f t="shared" si="434"/>
        <v>#VALUE!</v>
      </c>
      <c r="L3966" s="246" t="e">
        <f t="shared" si="435"/>
        <v>#VALUE!</v>
      </c>
      <c r="M3966" s="247" t="e">
        <f t="shared" si="436"/>
        <v>#VALUE!</v>
      </c>
      <c r="N3966" s="246" t="e">
        <f t="shared" si="437"/>
        <v>#VALUE!</v>
      </c>
      <c r="O3966" s="247" t="e">
        <f t="shared" si="438"/>
        <v>#VALUE!</v>
      </c>
      <c r="P3966" s="247">
        <f t="shared" si="432"/>
        <v>0</v>
      </c>
      <c r="Q3966" s="247" t="e">
        <f t="shared" si="433"/>
        <v>#VALUE!</v>
      </c>
    </row>
    <row r="3967" spans="11:17" x14ac:dyDescent="0.25">
      <c r="K3967" s="246" t="e">
        <f t="shared" si="434"/>
        <v>#VALUE!</v>
      </c>
      <c r="L3967" s="246" t="e">
        <f t="shared" si="435"/>
        <v>#VALUE!</v>
      </c>
      <c r="M3967" s="247" t="e">
        <f t="shared" si="436"/>
        <v>#VALUE!</v>
      </c>
      <c r="N3967" s="246" t="e">
        <f t="shared" si="437"/>
        <v>#VALUE!</v>
      </c>
      <c r="O3967" s="247" t="e">
        <f t="shared" si="438"/>
        <v>#VALUE!</v>
      </c>
      <c r="P3967" s="247">
        <f t="shared" si="432"/>
        <v>0</v>
      </c>
      <c r="Q3967" s="247" t="e">
        <f t="shared" si="433"/>
        <v>#VALUE!</v>
      </c>
    </row>
    <row r="3968" spans="11:17" x14ac:dyDescent="0.25">
      <c r="K3968" s="246" t="e">
        <f t="shared" si="434"/>
        <v>#VALUE!</v>
      </c>
      <c r="L3968" s="246" t="e">
        <f t="shared" si="435"/>
        <v>#VALUE!</v>
      </c>
      <c r="M3968" s="247" t="e">
        <f t="shared" si="436"/>
        <v>#VALUE!</v>
      </c>
      <c r="N3968" s="246" t="e">
        <f t="shared" si="437"/>
        <v>#VALUE!</v>
      </c>
      <c r="O3968" s="247" t="e">
        <f t="shared" si="438"/>
        <v>#VALUE!</v>
      </c>
      <c r="P3968" s="247">
        <f t="shared" si="432"/>
        <v>0</v>
      </c>
      <c r="Q3968" s="247" t="e">
        <f t="shared" si="433"/>
        <v>#VALUE!</v>
      </c>
    </row>
    <row r="3969" spans="11:17" x14ac:dyDescent="0.25">
      <c r="K3969" s="246" t="e">
        <f t="shared" si="434"/>
        <v>#VALUE!</v>
      </c>
      <c r="L3969" s="246" t="e">
        <f t="shared" si="435"/>
        <v>#VALUE!</v>
      </c>
      <c r="M3969" s="247" t="e">
        <f t="shared" si="436"/>
        <v>#VALUE!</v>
      </c>
      <c r="N3969" s="246" t="e">
        <f t="shared" si="437"/>
        <v>#VALUE!</v>
      </c>
      <c r="O3969" s="247" t="e">
        <f t="shared" si="438"/>
        <v>#VALUE!</v>
      </c>
      <c r="P3969" s="247">
        <f t="shared" si="432"/>
        <v>0</v>
      </c>
      <c r="Q3969" s="247" t="e">
        <f t="shared" si="433"/>
        <v>#VALUE!</v>
      </c>
    </row>
    <row r="3970" spans="11:17" x14ac:dyDescent="0.25">
      <c r="K3970" s="246" t="e">
        <f t="shared" si="434"/>
        <v>#VALUE!</v>
      </c>
      <c r="L3970" s="246" t="e">
        <f t="shared" si="435"/>
        <v>#VALUE!</v>
      </c>
      <c r="M3970" s="247" t="e">
        <f t="shared" si="436"/>
        <v>#VALUE!</v>
      </c>
      <c r="N3970" s="246" t="e">
        <f t="shared" si="437"/>
        <v>#VALUE!</v>
      </c>
      <c r="O3970" s="247" t="e">
        <f t="shared" si="438"/>
        <v>#VALUE!</v>
      </c>
      <c r="P3970" s="247">
        <f t="shared" ref="P3970:P4033" si="439">IFERROR(_xlfn.MINIFS($M:$M,$E:$E,$E3970,$K:$K,$K3970,$M:$M,"&gt;"&amp;$O3970),"")</f>
        <v>0</v>
      </c>
      <c r="Q3970" s="247" t="e">
        <f t="shared" ref="Q3970:Q4033" si="440">IF($P3970="","",$P3970-$O3970)</f>
        <v>#VALUE!</v>
      </c>
    </row>
    <row r="3971" spans="11:17" x14ac:dyDescent="0.25">
      <c r="K3971" s="246" t="e">
        <f t="shared" si="434"/>
        <v>#VALUE!</v>
      </c>
      <c r="L3971" s="246" t="e">
        <f t="shared" si="435"/>
        <v>#VALUE!</v>
      </c>
      <c r="M3971" s="247" t="e">
        <f t="shared" si="436"/>
        <v>#VALUE!</v>
      </c>
      <c r="N3971" s="246" t="e">
        <f t="shared" si="437"/>
        <v>#VALUE!</v>
      </c>
      <c r="O3971" s="247" t="e">
        <f t="shared" si="438"/>
        <v>#VALUE!</v>
      </c>
      <c r="P3971" s="247">
        <f t="shared" si="439"/>
        <v>0</v>
      </c>
      <c r="Q3971" s="247" t="e">
        <f t="shared" si="440"/>
        <v>#VALUE!</v>
      </c>
    </row>
    <row r="3972" spans="11:17" x14ac:dyDescent="0.25">
      <c r="K3972" s="246" t="e">
        <f t="shared" si="434"/>
        <v>#VALUE!</v>
      </c>
      <c r="L3972" s="246" t="e">
        <f t="shared" si="435"/>
        <v>#VALUE!</v>
      </c>
      <c r="M3972" s="247" t="e">
        <f t="shared" si="436"/>
        <v>#VALUE!</v>
      </c>
      <c r="N3972" s="246" t="e">
        <f t="shared" si="437"/>
        <v>#VALUE!</v>
      </c>
      <c r="O3972" s="247" t="e">
        <f t="shared" si="438"/>
        <v>#VALUE!</v>
      </c>
      <c r="P3972" s="247">
        <f t="shared" si="439"/>
        <v>0</v>
      </c>
      <c r="Q3972" s="247" t="e">
        <f t="shared" si="440"/>
        <v>#VALUE!</v>
      </c>
    </row>
    <row r="3973" spans="11:17" x14ac:dyDescent="0.25">
      <c r="K3973" s="246" t="e">
        <f t="shared" si="434"/>
        <v>#VALUE!</v>
      </c>
      <c r="L3973" s="246" t="e">
        <f t="shared" si="435"/>
        <v>#VALUE!</v>
      </c>
      <c r="M3973" s="247" t="e">
        <f t="shared" si="436"/>
        <v>#VALUE!</v>
      </c>
      <c r="N3973" s="246" t="e">
        <f t="shared" si="437"/>
        <v>#VALUE!</v>
      </c>
      <c r="O3973" s="247" t="e">
        <f t="shared" si="438"/>
        <v>#VALUE!</v>
      </c>
      <c r="P3973" s="247">
        <f t="shared" si="439"/>
        <v>0</v>
      </c>
      <c r="Q3973" s="247" t="e">
        <f t="shared" si="440"/>
        <v>#VALUE!</v>
      </c>
    </row>
    <row r="3974" spans="11:17" x14ac:dyDescent="0.25">
      <c r="K3974" s="246" t="e">
        <f t="shared" si="434"/>
        <v>#VALUE!</v>
      </c>
      <c r="L3974" s="246" t="e">
        <f t="shared" si="435"/>
        <v>#VALUE!</v>
      </c>
      <c r="M3974" s="247" t="e">
        <f t="shared" si="436"/>
        <v>#VALUE!</v>
      </c>
      <c r="N3974" s="246" t="e">
        <f t="shared" si="437"/>
        <v>#VALUE!</v>
      </c>
      <c r="O3974" s="247" t="e">
        <f t="shared" si="438"/>
        <v>#VALUE!</v>
      </c>
      <c r="P3974" s="247">
        <f t="shared" si="439"/>
        <v>0</v>
      </c>
      <c r="Q3974" s="247" t="e">
        <f t="shared" si="440"/>
        <v>#VALUE!</v>
      </c>
    </row>
    <row r="3975" spans="11:17" x14ac:dyDescent="0.25">
      <c r="K3975" s="246" t="e">
        <f t="shared" si="434"/>
        <v>#VALUE!</v>
      </c>
      <c r="L3975" s="246" t="e">
        <f t="shared" si="435"/>
        <v>#VALUE!</v>
      </c>
      <c r="M3975" s="247" t="e">
        <f t="shared" si="436"/>
        <v>#VALUE!</v>
      </c>
      <c r="N3975" s="246" t="e">
        <f t="shared" si="437"/>
        <v>#VALUE!</v>
      </c>
      <c r="O3975" s="247" t="e">
        <f t="shared" si="438"/>
        <v>#VALUE!</v>
      </c>
      <c r="P3975" s="247">
        <f t="shared" si="439"/>
        <v>0</v>
      </c>
      <c r="Q3975" s="247" t="e">
        <f t="shared" si="440"/>
        <v>#VALUE!</v>
      </c>
    </row>
    <row r="3976" spans="11:17" x14ac:dyDescent="0.25">
      <c r="K3976" s="246" t="e">
        <f t="shared" si="434"/>
        <v>#VALUE!</v>
      </c>
      <c r="L3976" s="246" t="e">
        <f t="shared" si="435"/>
        <v>#VALUE!</v>
      </c>
      <c r="M3976" s="247" t="e">
        <f t="shared" si="436"/>
        <v>#VALUE!</v>
      </c>
      <c r="N3976" s="246" t="e">
        <f t="shared" si="437"/>
        <v>#VALUE!</v>
      </c>
      <c r="O3976" s="247" t="e">
        <f t="shared" si="438"/>
        <v>#VALUE!</v>
      </c>
      <c r="P3976" s="247">
        <f t="shared" si="439"/>
        <v>0</v>
      </c>
      <c r="Q3976" s="247" t="e">
        <f t="shared" si="440"/>
        <v>#VALUE!</v>
      </c>
    </row>
    <row r="3977" spans="11:17" x14ac:dyDescent="0.25">
      <c r="K3977" s="246" t="e">
        <f t="shared" si="434"/>
        <v>#VALUE!</v>
      </c>
      <c r="L3977" s="246" t="e">
        <f t="shared" si="435"/>
        <v>#VALUE!</v>
      </c>
      <c r="M3977" s="247" t="e">
        <f t="shared" si="436"/>
        <v>#VALUE!</v>
      </c>
      <c r="N3977" s="246" t="e">
        <f t="shared" si="437"/>
        <v>#VALUE!</v>
      </c>
      <c r="O3977" s="247" t="e">
        <f t="shared" si="438"/>
        <v>#VALUE!</v>
      </c>
      <c r="P3977" s="247">
        <f t="shared" si="439"/>
        <v>0</v>
      </c>
      <c r="Q3977" s="247" t="e">
        <f t="shared" si="440"/>
        <v>#VALUE!</v>
      </c>
    </row>
    <row r="3978" spans="11:17" x14ac:dyDescent="0.25">
      <c r="K3978" s="246" t="e">
        <f t="shared" si="434"/>
        <v>#VALUE!</v>
      </c>
      <c r="L3978" s="246" t="e">
        <f t="shared" si="435"/>
        <v>#VALUE!</v>
      </c>
      <c r="M3978" s="247" t="e">
        <f t="shared" si="436"/>
        <v>#VALUE!</v>
      </c>
      <c r="N3978" s="246" t="e">
        <f t="shared" si="437"/>
        <v>#VALUE!</v>
      </c>
      <c r="O3978" s="247" t="e">
        <f t="shared" si="438"/>
        <v>#VALUE!</v>
      </c>
      <c r="P3978" s="247">
        <f t="shared" si="439"/>
        <v>0</v>
      </c>
      <c r="Q3978" s="247" t="e">
        <f t="shared" si="440"/>
        <v>#VALUE!</v>
      </c>
    </row>
    <row r="3979" spans="11:17" x14ac:dyDescent="0.25">
      <c r="K3979" s="246" t="e">
        <f t="shared" si="434"/>
        <v>#VALUE!</v>
      </c>
      <c r="L3979" s="246" t="e">
        <f t="shared" si="435"/>
        <v>#VALUE!</v>
      </c>
      <c r="M3979" s="247" t="e">
        <f t="shared" si="436"/>
        <v>#VALUE!</v>
      </c>
      <c r="N3979" s="246" t="e">
        <f t="shared" si="437"/>
        <v>#VALUE!</v>
      </c>
      <c r="O3979" s="247" t="e">
        <f t="shared" si="438"/>
        <v>#VALUE!</v>
      </c>
      <c r="P3979" s="247">
        <f t="shared" si="439"/>
        <v>0</v>
      </c>
      <c r="Q3979" s="247" t="e">
        <f t="shared" si="440"/>
        <v>#VALUE!</v>
      </c>
    </row>
    <row r="3980" spans="11:17" x14ac:dyDescent="0.25">
      <c r="K3980" s="246" t="e">
        <f t="shared" si="434"/>
        <v>#VALUE!</v>
      </c>
      <c r="L3980" s="246" t="e">
        <f t="shared" si="435"/>
        <v>#VALUE!</v>
      </c>
      <c r="M3980" s="247" t="e">
        <f t="shared" si="436"/>
        <v>#VALUE!</v>
      </c>
      <c r="N3980" s="246" t="e">
        <f t="shared" si="437"/>
        <v>#VALUE!</v>
      </c>
      <c r="O3980" s="247" t="e">
        <f t="shared" si="438"/>
        <v>#VALUE!</v>
      </c>
      <c r="P3980" s="247">
        <f t="shared" si="439"/>
        <v>0</v>
      </c>
      <c r="Q3980" s="247" t="e">
        <f t="shared" si="440"/>
        <v>#VALUE!</v>
      </c>
    </row>
    <row r="3981" spans="11:17" x14ac:dyDescent="0.25">
      <c r="K3981" s="246" t="e">
        <f t="shared" si="434"/>
        <v>#VALUE!</v>
      </c>
      <c r="L3981" s="246" t="e">
        <f t="shared" si="435"/>
        <v>#VALUE!</v>
      </c>
      <c r="M3981" s="247" t="e">
        <f t="shared" si="436"/>
        <v>#VALUE!</v>
      </c>
      <c r="N3981" s="246" t="e">
        <f t="shared" si="437"/>
        <v>#VALUE!</v>
      </c>
      <c r="O3981" s="247" t="e">
        <f t="shared" si="438"/>
        <v>#VALUE!</v>
      </c>
      <c r="P3981" s="247">
        <f t="shared" si="439"/>
        <v>0</v>
      </c>
      <c r="Q3981" s="247" t="e">
        <f t="shared" si="440"/>
        <v>#VALUE!</v>
      </c>
    </row>
    <row r="3982" spans="11:17" x14ac:dyDescent="0.25">
      <c r="K3982" s="246" t="e">
        <f t="shared" si="434"/>
        <v>#VALUE!</v>
      </c>
      <c r="L3982" s="246" t="e">
        <f t="shared" si="435"/>
        <v>#VALUE!</v>
      </c>
      <c r="M3982" s="247" t="e">
        <f t="shared" si="436"/>
        <v>#VALUE!</v>
      </c>
      <c r="N3982" s="246" t="e">
        <f t="shared" si="437"/>
        <v>#VALUE!</v>
      </c>
      <c r="O3982" s="247" t="e">
        <f t="shared" si="438"/>
        <v>#VALUE!</v>
      </c>
      <c r="P3982" s="247">
        <f t="shared" si="439"/>
        <v>0</v>
      </c>
      <c r="Q3982" s="247" t="e">
        <f t="shared" si="440"/>
        <v>#VALUE!</v>
      </c>
    </row>
    <row r="3983" spans="11:17" x14ac:dyDescent="0.25">
      <c r="K3983" s="246" t="e">
        <f t="shared" si="434"/>
        <v>#VALUE!</v>
      </c>
      <c r="L3983" s="246" t="e">
        <f t="shared" si="435"/>
        <v>#VALUE!</v>
      </c>
      <c r="M3983" s="247" t="e">
        <f t="shared" si="436"/>
        <v>#VALUE!</v>
      </c>
      <c r="N3983" s="246" t="e">
        <f t="shared" si="437"/>
        <v>#VALUE!</v>
      </c>
      <c r="O3983" s="247" t="e">
        <f t="shared" si="438"/>
        <v>#VALUE!</v>
      </c>
      <c r="P3983" s="247">
        <f t="shared" si="439"/>
        <v>0</v>
      </c>
      <c r="Q3983" s="247" t="e">
        <f t="shared" si="440"/>
        <v>#VALUE!</v>
      </c>
    </row>
    <row r="3984" spans="11:17" x14ac:dyDescent="0.25">
      <c r="K3984" s="246" t="e">
        <f t="shared" si="434"/>
        <v>#VALUE!</v>
      </c>
      <c r="L3984" s="246" t="e">
        <f t="shared" si="435"/>
        <v>#VALUE!</v>
      </c>
      <c r="M3984" s="247" t="e">
        <f t="shared" si="436"/>
        <v>#VALUE!</v>
      </c>
      <c r="N3984" s="246" t="e">
        <f t="shared" si="437"/>
        <v>#VALUE!</v>
      </c>
      <c r="O3984" s="247" t="e">
        <f t="shared" si="438"/>
        <v>#VALUE!</v>
      </c>
      <c r="P3984" s="247">
        <f t="shared" si="439"/>
        <v>0</v>
      </c>
      <c r="Q3984" s="247" t="e">
        <f t="shared" si="440"/>
        <v>#VALUE!</v>
      </c>
    </row>
    <row r="3985" spans="11:17" x14ac:dyDescent="0.25">
      <c r="K3985" s="246" t="e">
        <f t="shared" si="434"/>
        <v>#VALUE!</v>
      </c>
      <c r="L3985" s="246" t="e">
        <f t="shared" si="435"/>
        <v>#VALUE!</v>
      </c>
      <c r="M3985" s="247" t="e">
        <f t="shared" si="436"/>
        <v>#VALUE!</v>
      </c>
      <c r="N3985" s="246" t="e">
        <f t="shared" si="437"/>
        <v>#VALUE!</v>
      </c>
      <c r="O3985" s="247" t="e">
        <f t="shared" si="438"/>
        <v>#VALUE!</v>
      </c>
      <c r="P3985" s="247">
        <f t="shared" si="439"/>
        <v>0</v>
      </c>
      <c r="Q3985" s="247" t="e">
        <f t="shared" si="440"/>
        <v>#VALUE!</v>
      </c>
    </row>
    <row r="3986" spans="11:17" x14ac:dyDescent="0.25">
      <c r="K3986" s="246" t="e">
        <f t="shared" si="434"/>
        <v>#VALUE!</v>
      </c>
      <c r="L3986" s="246" t="e">
        <f t="shared" si="435"/>
        <v>#VALUE!</v>
      </c>
      <c r="M3986" s="247" t="e">
        <f t="shared" si="436"/>
        <v>#VALUE!</v>
      </c>
      <c r="N3986" s="246" t="e">
        <f t="shared" si="437"/>
        <v>#VALUE!</v>
      </c>
      <c r="O3986" s="247" t="e">
        <f t="shared" si="438"/>
        <v>#VALUE!</v>
      </c>
      <c r="P3986" s="247">
        <f t="shared" si="439"/>
        <v>0</v>
      </c>
      <c r="Q3986" s="247" t="e">
        <f t="shared" si="440"/>
        <v>#VALUE!</v>
      </c>
    </row>
    <row r="3987" spans="11:17" x14ac:dyDescent="0.25">
      <c r="K3987" s="246" t="e">
        <f t="shared" si="434"/>
        <v>#VALUE!</v>
      </c>
      <c r="L3987" s="246" t="e">
        <f t="shared" si="435"/>
        <v>#VALUE!</v>
      </c>
      <c r="M3987" s="247" t="e">
        <f t="shared" si="436"/>
        <v>#VALUE!</v>
      </c>
      <c r="N3987" s="246" t="e">
        <f t="shared" si="437"/>
        <v>#VALUE!</v>
      </c>
      <c r="O3987" s="247" t="e">
        <f t="shared" si="438"/>
        <v>#VALUE!</v>
      </c>
      <c r="P3987" s="247">
        <f t="shared" si="439"/>
        <v>0</v>
      </c>
      <c r="Q3987" s="247" t="e">
        <f t="shared" si="440"/>
        <v>#VALUE!</v>
      </c>
    </row>
    <row r="3988" spans="11:17" x14ac:dyDescent="0.25">
      <c r="K3988" s="246" t="e">
        <f t="shared" si="434"/>
        <v>#VALUE!</v>
      </c>
      <c r="L3988" s="246" t="e">
        <f t="shared" si="435"/>
        <v>#VALUE!</v>
      </c>
      <c r="M3988" s="247" t="e">
        <f t="shared" si="436"/>
        <v>#VALUE!</v>
      </c>
      <c r="N3988" s="246" t="e">
        <f t="shared" si="437"/>
        <v>#VALUE!</v>
      </c>
      <c r="O3988" s="247" t="e">
        <f t="shared" si="438"/>
        <v>#VALUE!</v>
      </c>
      <c r="P3988" s="247">
        <f t="shared" si="439"/>
        <v>0</v>
      </c>
      <c r="Q3988" s="247" t="e">
        <f t="shared" si="440"/>
        <v>#VALUE!</v>
      </c>
    </row>
    <row r="3989" spans="11:17" x14ac:dyDescent="0.25">
      <c r="K3989" s="246" t="e">
        <f t="shared" si="434"/>
        <v>#VALUE!</v>
      </c>
      <c r="L3989" s="246" t="e">
        <f t="shared" si="435"/>
        <v>#VALUE!</v>
      </c>
      <c r="M3989" s="247" t="e">
        <f t="shared" si="436"/>
        <v>#VALUE!</v>
      </c>
      <c r="N3989" s="246" t="e">
        <f t="shared" si="437"/>
        <v>#VALUE!</v>
      </c>
      <c r="O3989" s="247" t="e">
        <f t="shared" si="438"/>
        <v>#VALUE!</v>
      </c>
      <c r="P3989" s="247">
        <f t="shared" si="439"/>
        <v>0</v>
      </c>
      <c r="Q3989" s="247" t="e">
        <f t="shared" si="440"/>
        <v>#VALUE!</v>
      </c>
    </row>
    <row r="3990" spans="11:17" x14ac:dyDescent="0.25">
      <c r="K3990" s="246" t="e">
        <f t="shared" si="434"/>
        <v>#VALUE!</v>
      </c>
      <c r="L3990" s="246" t="e">
        <f t="shared" si="435"/>
        <v>#VALUE!</v>
      </c>
      <c r="M3990" s="247" t="e">
        <f t="shared" si="436"/>
        <v>#VALUE!</v>
      </c>
      <c r="N3990" s="246" t="e">
        <f t="shared" si="437"/>
        <v>#VALUE!</v>
      </c>
      <c r="O3990" s="247" t="e">
        <f t="shared" si="438"/>
        <v>#VALUE!</v>
      </c>
      <c r="P3990" s="247">
        <f t="shared" si="439"/>
        <v>0</v>
      </c>
      <c r="Q3990" s="247" t="e">
        <f t="shared" si="440"/>
        <v>#VALUE!</v>
      </c>
    </row>
    <row r="3991" spans="11:17" x14ac:dyDescent="0.25">
      <c r="K3991" s="246" t="e">
        <f t="shared" si="434"/>
        <v>#VALUE!</v>
      </c>
      <c r="L3991" s="246" t="e">
        <f t="shared" si="435"/>
        <v>#VALUE!</v>
      </c>
      <c r="M3991" s="247" t="e">
        <f t="shared" si="436"/>
        <v>#VALUE!</v>
      </c>
      <c r="N3991" s="246" t="e">
        <f t="shared" si="437"/>
        <v>#VALUE!</v>
      </c>
      <c r="O3991" s="247" t="e">
        <f t="shared" si="438"/>
        <v>#VALUE!</v>
      </c>
      <c r="P3991" s="247">
        <f t="shared" si="439"/>
        <v>0</v>
      </c>
      <c r="Q3991" s="247" t="e">
        <f t="shared" si="440"/>
        <v>#VALUE!</v>
      </c>
    </row>
    <row r="3992" spans="11:17" x14ac:dyDescent="0.25">
      <c r="K3992" s="246" t="e">
        <f t="shared" si="434"/>
        <v>#VALUE!</v>
      </c>
      <c r="L3992" s="246" t="e">
        <f t="shared" si="435"/>
        <v>#VALUE!</v>
      </c>
      <c r="M3992" s="247" t="e">
        <f t="shared" si="436"/>
        <v>#VALUE!</v>
      </c>
      <c r="N3992" s="246" t="e">
        <f t="shared" si="437"/>
        <v>#VALUE!</v>
      </c>
      <c r="O3992" s="247" t="e">
        <f t="shared" si="438"/>
        <v>#VALUE!</v>
      </c>
      <c r="P3992" s="247">
        <f t="shared" si="439"/>
        <v>0</v>
      </c>
      <c r="Q3992" s="247" t="e">
        <f t="shared" si="440"/>
        <v>#VALUE!</v>
      </c>
    </row>
    <row r="3993" spans="11:17" x14ac:dyDescent="0.25">
      <c r="K3993" s="246" t="e">
        <f t="shared" si="434"/>
        <v>#VALUE!</v>
      </c>
      <c r="L3993" s="246" t="e">
        <f t="shared" si="435"/>
        <v>#VALUE!</v>
      </c>
      <c r="M3993" s="247" t="e">
        <f t="shared" si="436"/>
        <v>#VALUE!</v>
      </c>
      <c r="N3993" s="246" t="e">
        <f t="shared" si="437"/>
        <v>#VALUE!</v>
      </c>
      <c r="O3993" s="247" t="e">
        <f t="shared" si="438"/>
        <v>#VALUE!</v>
      </c>
      <c r="P3993" s="247">
        <f t="shared" si="439"/>
        <v>0</v>
      </c>
      <c r="Q3993" s="247" t="e">
        <f t="shared" si="440"/>
        <v>#VALUE!</v>
      </c>
    </row>
    <row r="3994" spans="11:17" x14ac:dyDescent="0.25">
      <c r="K3994" s="246" t="e">
        <f t="shared" si="434"/>
        <v>#VALUE!</v>
      </c>
      <c r="L3994" s="246" t="e">
        <f t="shared" si="435"/>
        <v>#VALUE!</v>
      </c>
      <c r="M3994" s="247" t="e">
        <f t="shared" si="436"/>
        <v>#VALUE!</v>
      </c>
      <c r="N3994" s="246" t="e">
        <f t="shared" si="437"/>
        <v>#VALUE!</v>
      </c>
      <c r="O3994" s="247" t="e">
        <f t="shared" si="438"/>
        <v>#VALUE!</v>
      </c>
      <c r="P3994" s="247">
        <f t="shared" si="439"/>
        <v>0</v>
      </c>
      <c r="Q3994" s="247" t="e">
        <f t="shared" si="440"/>
        <v>#VALUE!</v>
      </c>
    </row>
    <row r="3995" spans="11:17" x14ac:dyDescent="0.25">
      <c r="K3995" s="246" t="e">
        <f t="shared" si="434"/>
        <v>#VALUE!</v>
      </c>
      <c r="L3995" s="246" t="e">
        <f t="shared" si="435"/>
        <v>#VALUE!</v>
      </c>
      <c r="M3995" s="247" t="e">
        <f t="shared" si="436"/>
        <v>#VALUE!</v>
      </c>
      <c r="N3995" s="246" t="e">
        <f t="shared" si="437"/>
        <v>#VALUE!</v>
      </c>
      <c r="O3995" s="247" t="e">
        <f t="shared" si="438"/>
        <v>#VALUE!</v>
      </c>
      <c r="P3995" s="247">
        <f t="shared" si="439"/>
        <v>0</v>
      </c>
      <c r="Q3995" s="247" t="e">
        <f t="shared" si="440"/>
        <v>#VALUE!</v>
      </c>
    </row>
    <row r="3996" spans="11:17" x14ac:dyDescent="0.25">
      <c r="K3996" s="246" t="e">
        <f t="shared" si="434"/>
        <v>#VALUE!</v>
      </c>
      <c r="L3996" s="246" t="e">
        <f t="shared" si="435"/>
        <v>#VALUE!</v>
      </c>
      <c r="M3996" s="247" t="e">
        <f t="shared" si="436"/>
        <v>#VALUE!</v>
      </c>
      <c r="N3996" s="246" t="e">
        <f t="shared" si="437"/>
        <v>#VALUE!</v>
      </c>
      <c r="O3996" s="247" t="e">
        <f t="shared" si="438"/>
        <v>#VALUE!</v>
      </c>
      <c r="P3996" s="247">
        <f t="shared" si="439"/>
        <v>0</v>
      </c>
      <c r="Q3996" s="247" t="e">
        <f t="shared" si="440"/>
        <v>#VALUE!</v>
      </c>
    </row>
    <row r="3997" spans="11:17" x14ac:dyDescent="0.25">
      <c r="K3997" s="246" t="e">
        <f t="shared" si="434"/>
        <v>#VALUE!</v>
      </c>
      <c r="L3997" s="246" t="e">
        <f t="shared" si="435"/>
        <v>#VALUE!</v>
      </c>
      <c r="M3997" s="247" t="e">
        <f t="shared" si="436"/>
        <v>#VALUE!</v>
      </c>
      <c r="N3997" s="246" t="e">
        <f t="shared" si="437"/>
        <v>#VALUE!</v>
      </c>
      <c r="O3997" s="247" t="e">
        <f t="shared" si="438"/>
        <v>#VALUE!</v>
      </c>
      <c r="P3997" s="247">
        <f t="shared" si="439"/>
        <v>0</v>
      </c>
      <c r="Q3997" s="247" t="e">
        <f t="shared" si="440"/>
        <v>#VALUE!</v>
      </c>
    </row>
    <row r="3998" spans="11:17" x14ac:dyDescent="0.25">
      <c r="K3998" s="246" t="e">
        <f t="shared" si="434"/>
        <v>#VALUE!</v>
      </c>
      <c r="L3998" s="246" t="e">
        <f t="shared" si="435"/>
        <v>#VALUE!</v>
      </c>
      <c r="M3998" s="247" t="e">
        <f t="shared" si="436"/>
        <v>#VALUE!</v>
      </c>
      <c r="N3998" s="246" t="e">
        <f t="shared" si="437"/>
        <v>#VALUE!</v>
      </c>
      <c r="O3998" s="247" t="e">
        <f t="shared" si="438"/>
        <v>#VALUE!</v>
      </c>
      <c r="P3998" s="247">
        <f t="shared" si="439"/>
        <v>0</v>
      </c>
      <c r="Q3998" s="247" t="e">
        <f t="shared" si="440"/>
        <v>#VALUE!</v>
      </c>
    </row>
    <row r="3999" spans="11:17" x14ac:dyDescent="0.25">
      <c r="K3999" s="246" t="e">
        <f t="shared" si="434"/>
        <v>#VALUE!</v>
      </c>
      <c r="L3999" s="246" t="e">
        <f t="shared" si="435"/>
        <v>#VALUE!</v>
      </c>
      <c r="M3999" s="247" t="e">
        <f t="shared" si="436"/>
        <v>#VALUE!</v>
      </c>
      <c r="N3999" s="246" t="e">
        <f t="shared" si="437"/>
        <v>#VALUE!</v>
      </c>
      <c r="O3999" s="247" t="e">
        <f t="shared" si="438"/>
        <v>#VALUE!</v>
      </c>
      <c r="P3999" s="247">
        <f t="shared" si="439"/>
        <v>0</v>
      </c>
      <c r="Q3999" s="247" t="e">
        <f t="shared" si="440"/>
        <v>#VALUE!</v>
      </c>
    </row>
    <row r="4000" spans="11:17" x14ac:dyDescent="0.25">
      <c r="K4000" s="246" t="e">
        <f t="shared" si="434"/>
        <v>#VALUE!</v>
      </c>
      <c r="L4000" s="246" t="e">
        <f t="shared" si="435"/>
        <v>#VALUE!</v>
      </c>
      <c r="M4000" s="247" t="e">
        <f t="shared" si="436"/>
        <v>#VALUE!</v>
      </c>
      <c r="N4000" s="246" t="e">
        <f t="shared" si="437"/>
        <v>#VALUE!</v>
      </c>
      <c r="O4000" s="247" t="e">
        <f t="shared" si="438"/>
        <v>#VALUE!</v>
      </c>
      <c r="P4000" s="247">
        <f t="shared" si="439"/>
        <v>0</v>
      </c>
      <c r="Q4000" s="247" t="e">
        <f t="shared" si="440"/>
        <v>#VALUE!</v>
      </c>
    </row>
    <row r="4001" spans="11:17" x14ac:dyDescent="0.25">
      <c r="K4001" s="246" t="e">
        <f t="shared" si="434"/>
        <v>#VALUE!</v>
      </c>
      <c r="L4001" s="246" t="e">
        <f t="shared" si="435"/>
        <v>#VALUE!</v>
      </c>
      <c r="M4001" s="247" t="e">
        <f t="shared" si="436"/>
        <v>#VALUE!</v>
      </c>
      <c r="N4001" s="246" t="e">
        <f t="shared" si="437"/>
        <v>#VALUE!</v>
      </c>
      <c r="O4001" s="247" t="e">
        <f t="shared" si="438"/>
        <v>#VALUE!</v>
      </c>
      <c r="P4001" s="247">
        <f t="shared" si="439"/>
        <v>0</v>
      </c>
      <c r="Q4001" s="247" t="e">
        <f t="shared" si="440"/>
        <v>#VALUE!</v>
      </c>
    </row>
    <row r="4002" spans="11:17" x14ac:dyDescent="0.25">
      <c r="K4002" s="246" t="e">
        <f t="shared" si="434"/>
        <v>#VALUE!</v>
      </c>
      <c r="L4002" s="246" t="e">
        <f t="shared" si="435"/>
        <v>#VALUE!</v>
      </c>
      <c r="M4002" s="247" t="e">
        <f t="shared" si="436"/>
        <v>#VALUE!</v>
      </c>
      <c r="N4002" s="246" t="e">
        <f t="shared" si="437"/>
        <v>#VALUE!</v>
      </c>
      <c r="O4002" s="247" t="e">
        <f t="shared" si="438"/>
        <v>#VALUE!</v>
      </c>
      <c r="P4002" s="247">
        <f t="shared" si="439"/>
        <v>0</v>
      </c>
      <c r="Q4002" s="247" t="e">
        <f t="shared" si="440"/>
        <v>#VALUE!</v>
      </c>
    </row>
    <row r="4003" spans="11:17" x14ac:dyDescent="0.25">
      <c r="K4003" s="246" t="e">
        <f t="shared" si="434"/>
        <v>#VALUE!</v>
      </c>
      <c r="L4003" s="246" t="e">
        <f t="shared" si="435"/>
        <v>#VALUE!</v>
      </c>
      <c r="M4003" s="247" t="e">
        <f t="shared" si="436"/>
        <v>#VALUE!</v>
      </c>
      <c r="N4003" s="246" t="e">
        <f t="shared" si="437"/>
        <v>#VALUE!</v>
      </c>
      <c r="O4003" s="247" t="e">
        <f t="shared" si="438"/>
        <v>#VALUE!</v>
      </c>
      <c r="P4003" s="247">
        <f t="shared" si="439"/>
        <v>0</v>
      </c>
      <c r="Q4003" s="247" t="e">
        <f t="shared" si="440"/>
        <v>#VALUE!</v>
      </c>
    </row>
    <row r="4004" spans="11:17" x14ac:dyDescent="0.25">
      <c r="K4004" s="246" t="e">
        <f t="shared" si="434"/>
        <v>#VALUE!</v>
      </c>
      <c r="L4004" s="246" t="e">
        <f t="shared" si="435"/>
        <v>#VALUE!</v>
      </c>
      <c r="M4004" s="247" t="e">
        <f t="shared" si="436"/>
        <v>#VALUE!</v>
      </c>
      <c r="N4004" s="246" t="e">
        <f t="shared" si="437"/>
        <v>#VALUE!</v>
      </c>
      <c r="O4004" s="247" t="e">
        <f t="shared" si="438"/>
        <v>#VALUE!</v>
      </c>
      <c r="P4004" s="247">
        <f t="shared" si="439"/>
        <v>0</v>
      </c>
      <c r="Q4004" s="247" t="e">
        <f t="shared" si="440"/>
        <v>#VALUE!</v>
      </c>
    </row>
    <row r="4005" spans="11:17" x14ac:dyDescent="0.25">
      <c r="K4005" s="246" t="e">
        <f t="shared" si="434"/>
        <v>#VALUE!</v>
      </c>
      <c r="L4005" s="246" t="e">
        <f t="shared" si="435"/>
        <v>#VALUE!</v>
      </c>
      <c r="M4005" s="247" t="e">
        <f t="shared" si="436"/>
        <v>#VALUE!</v>
      </c>
      <c r="N4005" s="246" t="e">
        <f t="shared" si="437"/>
        <v>#VALUE!</v>
      </c>
      <c r="O4005" s="247" t="e">
        <f t="shared" si="438"/>
        <v>#VALUE!</v>
      </c>
      <c r="P4005" s="247">
        <f t="shared" si="439"/>
        <v>0</v>
      </c>
      <c r="Q4005" s="247" t="e">
        <f t="shared" si="440"/>
        <v>#VALUE!</v>
      </c>
    </row>
    <row r="4006" spans="11:17" x14ac:dyDescent="0.25">
      <c r="K4006" s="246" t="e">
        <f t="shared" si="434"/>
        <v>#VALUE!</v>
      </c>
      <c r="L4006" s="246" t="e">
        <f t="shared" si="435"/>
        <v>#VALUE!</v>
      </c>
      <c r="M4006" s="247" t="e">
        <f t="shared" si="436"/>
        <v>#VALUE!</v>
      </c>
      <c r="N4006" s="246" t="e">
        <f t="shared" si="437"/>
        <v>#VALUE!</v>
      </c>
      <c r="O4006" s="247" t="e">
        <f t="shared" si="438"/>
        <v>#VALUE!</v>
      </c>
      <c r="P4006" s="247">
        <f t="shared" si="439"/>
        <v>0</v>
      </c>
      <c r="Q4006" s="247" t="e">
        <f t="shared" si="440"/>
        <v>#VALUE!</v>
      </c>
    </row>
    <row r="4007" spans="11:17" x14ac:dyDescent="0.25">
      <c r="K4007" s="246" t="e">
        <f t="shared" si="434"/>
        <v>#VALUE!</v>
      </c>
      <c r="L4007" s="246" t="e">
        <f t="shared" si="435"/>
        <v>#VALUE!</v>
      </c>
      <c r="M4007" s="247" t="e">
        <f t="shared" si="436"/>
        <v>#VALUE!</v>
      </c>
      <c r="N4007" s="246" t="e">
        <f t="shared" si="437"/>
        <v>#VALUE!</v>
      </c>
      <c r="O4007" s="247" t="e">
        <f t="shared" si="438"/>
        <v>#VALUE!</v>
      </c>
      <c r="P4007" s="247">
        <f t="shared" si="439"/>
        <v>0</v>
      </c>
      <c r="Q4007" s="247" t="e">
        <f t="shared" si="440"/>
        <v>#VALUE!</v>
      </c>
    </row>
    <row r="4008" spans="11:17" x14ac:dyDescent="0.25">
      <c r="K4008" s="246" t="e">
        <f t="shared" si="434"/>
        <v>#VALUE!</v>
      </c>
      <c r="L4008" s="246" t="e">
        <f t="shared" si="435"/>
        <v>#VALUE!</v>
      </c>
      <c r="M4008" s="247" t="e">
        <f t="shared" si="436"/>
        <v>#VALUE!</v>
      </c>
      <c r="N4008" s="246" t="e">
        <f t="shared" si="437"/>
        <v>#VALUE!</v>
      </c>
      <c r="O4008" s="247" t="e">
        <f t="shared" si="438"/>
        <v>#VALUE!</v>
      </c>
      <c r="P4008" s="247">
        <f t="shared" si="439"/>
        <v>0</v>
      </c>
      <c r="Q4008" s="247" t="e">
        <f t="shared" si="440"/>
        <v>#VALUE!</v>
      </c>
    </row>
    <row r="4009" spans="11:17" x14ac:dyDescent="0.25">
      <c r="K4009" s="246" t="e">
        <f t="shared" si="434"/>
        <v>#VALUE!</v>
      </c>
      <c r="L4009" s="246" t="e">
        <f t="shared" si="435"/>
        <v>#VALUE!</v>
      </c>
      <c r="M4009" s="247" t="e">
        <f t="shared" si="436"/>
        <v>#VALUE!</v>
      </c>
      <c r="N4009" s="246" t="e">
        <f t="shared" si="437"/>
        <v>#VALUE!</v>
      </c>
      <c r="O4009" s="247" t="e">
        <f t="shared" si="438"/>
        <v>#VALUE!</v>
      </c>
      <c r="P4009" s="247">
        <f t="shared" si="439"/>
        <v>0</v>
      </c>
      <c r="Q4009" s="247" t="e">
        <f t="shared" si="440"/>
        <v>#VALUE!</v>
      </c>
    </row>
    <row r="4010" spans="11:17" x14ac:dyDescent="0.25">
      <c r="K4010" s="246" t="e">
        <f t="shared" si="434"/>
        <v>#VALUE!</v>
      </c>
      <c r="L4010" s="246" t="e">
        <f t="shared" si="435"/>
        <v>#VALUE!</v>
      </c>
      <c r="M4010" s="247" t="e">
        <f t="shared" si="436"/>
        <v>#VALUE!</v>
      </c>
      <c r="N4010" s="246" t="e">
        <f t="shared" si="437"/>
        <v>#VALUE!</v>
      </c>
      <c r="O4010" s="247" t="e">
        <f t="shared" si="438"/>
        <v>#VALUE!</v>
      </c>
      <c r="P4010" s="247">
        <f t="shared" si="439"/>
        <v>0</v>
      </c>
      <c r="Q4010" s="247" t="e">
        <f t="shared" si="440"/>
        <v>#VALUE!</v>
      </c>
    </row>
    <row r="4011" spans="11:17" x14ac:dyDescent="0.25">
      <c r="K4011" s="246" t="e">
        <f t="shared" si="434"/>
        <v>#VALUE!</v>
      </c>
      <c r="L4011" s="246" t="e">
        <f t="shared" si="435"/>
        <v>#VALUE!</v>
      </c>
      <c r="M4011" s="247" t="e">
        <f t="shared" si="436"/>
        <v>#VALUE!</v>
      </c>
      <c r="N4011" s="246" t="e">
        <f t="shared" si="437"/>
        <v>#VALUE!</v>
      </c>
      <c r="O4011" s="247" t="e">
        <f t="shared" si="438"/>
        <v>#VALUE!</v>
      </c>
      <c r="P4011" s="247">
        <f t="shared" si="439"/>
        <v>0</v>
      </c>
      <c r="Q4011" s="247" t="e">
        <f t="shared" si="440"/>
        <v>#VALUE!</v>
      </c>
    </row>
    <row r="4012" spans="11:17" x14ac:dyDescent="0.25">
      <c r="K4012" s="246" t="e">
        <f t="shared" si="434"/>
        <v>#VALUE!</v>
      </c>
      <c r="L4012" s="246" t="e">
        <f t="shared" si="435"/>
        <v>#VALUE!</v>
      </c>
      <c r="M4012" s="247" t="e">
        <f t="shared" si="436"/>
        <v>#VALUE!</v>
      </c>
      <c r="N4012" s="246" t="e">
        <f t="shared" si="437"/>
        <v>#VALUE!</v>
      </c>
      <c r="O4012" s="247" t="e">
        <f t="shared" si="438"/>
        <v>#VALUE!</v>
      </c>
      <c r="P4012" s="247">
        <f t="shared" si="439"/>
        <v>0</v>
      </c>
      <c r="Q4012" s="247" t="e">
        <f t="shared" si="440"/>
        <v>#VALUE!</v>
      </c>
    </row>
    <row r="4013" spans="11:17" x14ac:dyDescent="0.25">
      <c r="K4013" s="246" t="e">
        <f t="shared" si="434"/>
        <v>#VALUE!</v>
      </c>
      <c r="L4013" s="246" t="e">
        <f t="shared" si="435"/>
        <v>#VALUE!</v>
      </c>
      <c r="M4013" s="247" t="e">
        <f t="shared" si="436"/>
        <v>#VALUE!</v>
      </c>
      <c r="N4013" s="246" t="e">
        <f t="shared" si="437"/>
        <v>#VALUE!</v>
      </c>
      <c r="O4013" s="247" t="e">
        <f t="shared" si="438"/>
        <v>#VALUE!</v>
      </c>
      <c r="P4013" s="247">
        <f t="shared" si="439"/>
        <v>0</v>
      </c>
      <c r="Q4013" s="247" t="e">
        <f t="shared" si="440"/>
        <v>#VALUE!</v>
      </c>
    </row>
    <row r="4014" spans="11:17" x14ac:dyDescent="0.25">
      <c r="K4014" s="246" t="e">
        <f t="shared" si="434"/>
        <v>#VALUE!</v>
      </c>
      <c r="L4014" s="246" t="e">
        <f t="shared" si="435"/>
        <v>#VALUE!</v>
      </c>
      <c r="M4014" s="247" t="e">
        <f t="shared" si="436"/>
        <v>#VALUE!</v>
      </c>
      <c r="N4014" s="246" t="e">
        <f t="shared" si="437"/>
        <v>#VALUE!</v>
      </c>
      <c r="O4014" s="247" t="e">
        <f t="shared" si="438"/>
        <v>#VALUE!</v>
      </c>
      <c r="P4014" s="247">
        <f t="shared" si="439"/>
        <v>0</v>
      </c>
      <c r="Q4014" s="247" t="e">
        <f t="shared" si="440"/>
        <v>#VALUE!</v>
      </c>
    </row>
    <row r="4015" spans="11:17" x14ac:dyDescent="0.25">
      <c r="K4015" s="246" t="e">
        <f t="shared" si="434"/>
        <v>#VALUE!</v>
      </c>
      <c r="L4015" s="246" t="e">
        <f t="shared" si="435"/>
        <v>#VALUE!</v>
      </c>
      <c r="M4015" s="247" t="e">
        <f t="shared" si="436"/>
        <v>#VALUE!</v>
      </c>
      <c r="N4015" s="246" t="e">
        <f t="shared" si="437"/>
        <v>#VALUE!</v>
      </c>
      <c r="O4015" s="247" t="e">
        <f t="shared" si="438"/>
        <v>#VALUE!</v>
      </c>
      <c r="P4015" s="247">
        <f t="shared" si="439"/>
        <v>0</v>
      </c>
      <c r="Q4015" s="247" t="e">
        <f t="shared" si="440"/>
        <v>#VALUE!</v>
      </c>
    </row>
    <row r="4016" spans="11:17" x14ac:dyDescent="0.25">
      <c r="K4016" s="246" t="e">
        <f t="shared" si="434"/>
        <v>#VALUE!</v>
      </c>
      <c r="L4016" s="246" t="e">
        <f t="shared" si="435"/>
        <v>#VALUE!</v>
      </c>
      <c r="M4016" s="247" t="e">
        <f t="shared" si="436"/>
        <v>#VALUE!</v>
      </c>
      <c r="N4016" s="246" t="e">
        <f t="shared" si="437"/>
        <v>#VALUE!</v>
      </c>
      <c r="O4016" s="247" t="e">
        <f t="shared" si="438"/>
        <v>#VALUE!</v>
      </c>
      <c r="P4016" s="247">
        <f t="shared" si="439"/>
        <v>0</v>
      </c>
      <c r="Q4016" s="247" t="e">
        <f t="shared" si="440"/>
        <v>#VALUE!</v>
      </c>
    </row>
    <row r="4017" spans="11:17" x14ac:dyDescent="0.25">
      <c r="K4017" s="246" t="e">
        <f t="shared" si="434"/>
        <v>#VALUE!</v>
      </c>
      <c r="L4017" s="246" t="e">
        <f t="shared" si="435"/>
        <v>#VALUE!</v>
      </c>
      <c r="M4017" s="247" t="e">
        <f t="shared" si="436"/>
        <v>#VALUE!</v>
      </c>
      <c r="N4017" s="246" t="e">
        <f t="shared" si="437"/>
        <v>#VALUE!</v>
      </c>
      <c r="O4017" s="247" t="e">
        <f t="shared" si="438"/>
        <v>#VALUE!</v>
      </c>
      <c r="P4017" s="247">
        <f t="shared" si="439"/>
        <v>0</v>
      </c>
      <c r="Q4017" s="247" t="e">
        <f t="shared" si="440"/>
        <v>#VALUE!</v>
      </c>
    </row>
    <row r="4018" spans="11:17" x14ac:dyDescent="0.25">
      <c r="K4018" s="246" t="e">
        <f t="shared" ref="K4018:K4033" si="441">DATE(VALUE(LEFT(A4018,4)),VALUE(MID(A4018,5,2)),VALUE(RIGHT(A4018,2)))</f>
        <v>#VALUE!</v>
      </c>
      <c r="L4018" s="246" t="e">
        <f t="shared" ref="L4018:L4033" si="442">DATEVALUE(LEFT(F4018,10))</f>
        <v>#VALUE!</v>
      </c>
      <c r="M4018" s="247" t="e">
        <f t="shared" ref="M4018:M4033" si="443">TIMEVALUE(MID(F4018,12,8))</f>
        <v>#VALUE!</v>
      </c>
      <c r="N4018" s="246" t="e">
        <f t="shared" ref="N4018:N4033" si="444">DATEVALUE(LEFT(G4018,10))</f>
        <v>#VALUE!</v>
      </c>
      <c r="O4018" s="247" t="e">
        <f t="shared" ref="O4018:O4033" si="445">TIMEVALUE(MID(G4018,12,8))</f>
        <v>#VALUE!</v>
      </c>
      <c r="P4018" s="247">
        <f t="shared" si="439"/>
        <v>0</v>
      </c>
      <c r="Q4018" s="247" t="e">
        <f t="shared" si="440"/>
        <v>#VALUE!</v>
      </c>
    </row>
    <row r="4019" spans="11:17" x14ac:dyDescent="0.25">
      <c r="K4019" s="246" t="e">
        <f t="shared" si="441"/>
        <v>#VALUE!</v>
      </c>
      <c r="L4019" s="246" t="e">
        <f t="shared" si="442"/>
        <v>#VALUE!</v>
      </c>
      <c r="M4019" s="247" t="e">
        <f t="shared" si="443"/>
        <v>#VALUE!</v>
      </c>
      <c r="N4019" s="246" t="e">
        <f t="shared" si="444"/>
        <v>#VALUE!</v>
      </c>
      <c r="O4019" s="247" t="e">
        <f t="shared" si="445"/>
        <v>#VALUE!</v>
      </c>
      <c r="P4019" s="247">
        <f t="shared" si="439"/>
        <v>0</v>
      </c>
      <c r="Q4019" s="247" t="e">
        <f t="shared" si="440"/>
        <v>#VALUE!</v>
      </c>
    </row>
    <row r="4020" spans="11:17" x14ac:dyDescent="0.25">
      <c r="K4020" s="246" t="e">
        <f t="shared" si="441"/>
        <v>#VALUE!</v>
      </c>
      <c r="L4020" s="246" t="e">
        <f t="shared" si="442"/>
        <v>#VALUE!</v>
      </c>
      <c r="M4020" s="247" t="e">
        <f t="shared" si="443"/>
        <v>#VALUE!</v>
      </c>
      <c r="N4020" s="246" t="e">
        <f t="shared" si="444"/>
        <v>#VALUE!</v>
      </c>
      <c r="O4020" s="247" t="e">
        <f t="shared" si="445"/>
        <v>#VALUE!</v>
      </c>
      <c r="P4020" s="247">
        <f t="shared" si="439"/>
        <v>0</v>
      </c>
      <c r="Q4020" s="247" t="e">
        <f t="shared" si="440"/>
        <v>#VALUE!</v>
      </c>
    </row>
    <row r="4021" spans="11:17" x14ac:dyDescent="0.25">
      <c r="K4021" s="246" t="e">
        <f t="shared" si="441"/>
        <v>#VALUE!</v>
      </c>
      <c r="L4021" s="246" t="e">
        <f t="shared" si="442"/>
        <v>#VALUE!</v>
      </c>
      <c r="M4021" s="247" t="e">
        <f t="shared" si="443"/>
        <v>#VALUE!</v>
      </c>
      <c r="N4021" s="246" t="e">
        <f t="shared" si="444"/>
        <v>#VALUE!</v>
      </c>
      <c r="O4021" s="247" t="e">
        <f t="shared" si="445"/>
        <v>#VALUE!</v>
      </c>
      <c r="P4021" s="247">
        <f t="shared" si="439"/>
        <v>0</v>
      </c>
      <c r="Q4021" s="247" t="e">
        <f t="shared" si="440"/>
        <v>#VALUE!</v>
      </c>
    </row>
    <row r="4022" spans="11:17" x14ac:dyDescent="0.25">
      <c r="K4022" s="246" t="e">
        <f t="shared" si="441"/>
        <v>#VALUE!</v>
      </c>
      <c r="L4022" s="246" t="e">
        <f t="shared" si="442"/>
        <v>#VALUE!</v>
      </c>
      <c r="M4022" s="247" t="e">
        <f t="shared" si="443"/>
        <v>#VALUE!</v>
      </c>
      <c r="N4022" s="246" t="e">
        <f t="shared" si="444"/>
        <v>#VALUE!</v>
      </c>
      <c r="O4022" s="247" t="e">
        <f t="shared" si="445"/>
        <v>#VALUE!</v>
      </c>
      <c r="P4022" s="247">
        <f t="shared" si="439"/>
        <v>0</v>
      </c>
      <c r="Q4022" s="247" t="e">
        <f t="shared" si="440"/>
        <v>#VALUE!</v>
      </c>
    </row>
    <row r="4023" spans="11:17" x14ac:dyDescent="0.25">
      <c r="K4023" s="246" t="e">
        <f t="shared" si="441"/>
        <v>#VALUE!</v>
      </c>
      <c r="L4023" s="246" t="e">
        <f t="shared" si="442"/>
        <v>#VALUE!</v>
      </c>
      <c r="M4023" s="247" t="e">
        <f t="shared" si="443"/>
        <v>#VALUE!</v>
      </c>
      <c r="N4023" s="246" t="e">
        <f t="shared" si="444"/>
        <v>#VALUE!</v>
      </c>
      <c r="O4023" s="247" t="e">
        <f t="shared" si="445"/>
        <v>#VALUE!</v>
      </c>
      <c r="P4023" s="247">
        <f t="shared" si="439"/>
        <v>0</v>
      </c>
      <c r="Q4023" s="247" t="e">
        <f t="shared" si="440"/>
        <v>#VALUE!</v>
      </c>
    </row>
    <row r="4024" spans="11:17" x14ac:dyDescent="0.25">
      <c r="K4024" s="246" t="e">
        <f t="shared" si="441"/>
        <v>#VALUE!</v>
      </c>
      <c r="L4024" s="246" t="e">
        <f t="shared" si="442"/>
        <v>#VALUE!</v>
      </c>
      <c r="M4024" s="247" t="e">
        <f t="shared" si="443"/>
        <v>#VALUE!</v>
      </c>
      <c r="N4024" s="246" t="e">
        <f t="shared" si="444"/>
        <v>#VALUE!</v>
      </c>
      <c r="O4024" s="247" t="e">
        <f t="shared" si="445"/>
        <v>#VALUE!</v>
      </c>
      <c r="P4024" s="247">
        <f t="shared" si="439"/>
        <v>0</v>
      </c>
      <c r="Q4024" s="247" t="e">
        <f t="shared" si="440"/>
        <v>#VALUE!</v>
      </c>
    </row>
    <row r="4025" spans="11:17" x14ac:dyDescent="0.25">
      <c r="K4025" s="246" t="e">
        <f t="shared" si="441"/>
        <v>#VALUE!</v>
      </c>
      <c r="L4025" s="246" t="e">
        <f t="shared" si="442"/>
        <v>#VALUE!</v>
      </c>
      <c r="M4025" s="247" t="e">
        <f t="shared" si="443"/>
        <v>#VALUE!</v>
      </c>
      <c r="N4025" s="246" t="e">
        <f t="shared" si="444"/>
        <v>#VALUE!</v>
      </c>
      <c r="O4025" s="247" t="e">
        <f t="shared" si="445"/>
        <v>#VALUE!</v>
      </c>
      <c r="P4025" s="247">
        <f t="shared" si="439"/>
        <v>0</v>
      </c>
      <c r="Q4025" s="247" t="e">
        <f t="shared" si="440"/>
        <v>#VALUE!</v>
      </c>
    </row>
    <row r="4026" spans="11:17" x14ac:dyDescent="0.25">
      <c r="K4026" s="246" t="e">
        <f t="shared" si="441"/>
        <v>#VALUE!</v>
      </c>
      <c r="L4026" s="246" t="e">
        <f t="shared" si="442"/>
        <v>#VALUE!</v>
      </c>
      <c r="M4026" s="247" t="e">
        <f t="shared" si="443"/>
        <v>#VALUE!</v>
      </c>
      <c r="N4026" s="246" t="e">
        <f t="shared" si="444"/>
        <v>#VALUE!</v>
      </c>
      <c r="O4026" s="247" t="e">
        <f t="shared" si="445"/>
        <v>#VALUE!</v>
      </c>
      <c r="P4026" s="247">
        <f t="shared" si="439"/>
        <v>0</v>
      </c>
      <c r="Q4026" s="247" t="e">
        <f t="shared" si="440"/>
        <v>#VALUE!</v>
      </c>
    </row>
    <row r="4027" spans="11:17" x14ac:dyDescent="0.25">
      <c r="K4027" s="246" t="e">
        <f t="shared" si="441"/>
        <v>#VALUE!</v>
      </c>
      <c r="L4027" s="246" t="e">
        <f t="shared" si="442"/>
        <v>#VALUE!</v>
      </c>
      <c r="M4027" s="247" t="e">
        <f t="shared" si="443"/>
        <v>#VALUE!</v>
      </c>
      <c r="N4027" s="246" t="e">
        <f t="shared" si="444"/>
        <v>#VALUE!</v>
      </c>
      <c r="O4027" s="247" t="e">
        <f t="shared" si="445"/>
        <v>#VALUE!</v>
      </c>
      <c r="P4027" s="247">
        <f t="shared" si="439"/>
        <v>0</v>
      </c>
      <c r="Q4027" s="247" t="e">
        <f t="shared" si="440"/>
        <v>#VALUE!</v>
      </c>
    </row>
    <row r="4028" spans="11:17" x14ac:dyDescent="0.25">
      <c r="K4028" s="246" t="e">
        <f t="shared" si="441"/>
        <v>#VALUE!</v>
      </c>
      <c r="L4028" s="246" t="e">
        <f t="shared" si="442"/>
        <v>#VALUE!</v>
      </c>
      <c r="M4028" s="247" t="e">
        <f t="shared" si="443"/>
        <v>#VALUE!</v>
      </c>
      <c r="N4028" s="246" t="e">
        <f t="shared" si="444"/>
        <v>#VALUE!</v>
      </c>
      <c r="O4028" s="247" t="e">
        <f t="shared" si="445"/>
        <v>#VALUE!</v>
      </c>
      <c r="P4028" s="247">
        <f t="shared" si="439"/>
        <v>0</v>
      </c>
      <c r="Q4028" s="247" t="e">
        <f t="shared" si="440"/>
        <v>#VALUE!</v>
      </c>
    </row>
    <row r="4029" spans="11:17" x14ac:dyDescent="0.25">
      <c r="K4029" s="246" t="e">
        <f t="shared" si="441"/>
        <v>#VALUE!</v>
      </c>
      <c r="L4029" s="246" t="e">
        <f t="shared" si="442"/>
        <v>#VALUE!</v>
      </c>
      <c r="M4029" s="247" t="e">
        <f t="shared" si="443"/>
        <v>#VALUE!</v>
      </c>
      <c r="N4029" s="246" t="e">
        <f t="shared" si="444"/>
        <v>#VALUE!</v>
      </c>
      <c r="O4029" s="247" t="e">
        <f t="shared" si="445"/>
        <v>#VALUE!</v>
      </c>
      <c r="P4029" s="247">
        <f t="shared" si="439"/>
        <v>0</v>
      </c>
      <c r="Q4029" s="247" t="e">
        <f t="shared" si="440"/>
        <v>#VALUE!</v>
      </c>
    </row>
    <row r="4030" spans="11:17" x14ac:dyDescent="0.25">
      <c r="K4030" s="246" t="e">
        <f t="shared" si="441"/>
        <v>#VALUE!</v>
      </c>
      <c r="L4030" s="246" t="e">
        <f t="shared" si="442"/>
        <v>#VALUE!</v>
      </c>
      <c r="M4030" s="247" t="e">
        <f t="shared" si="443"/>
        <v>#VALUE!</v>
      </c>
      <c r="N4030" s="246" t="e">
        <f t="shared" si="444"/>
        <v>#VALUE!</v>
      </c>
      <c r="O4030" s="247" t="e">
        <f t="shared" si="445"/>
        <v>#VALUE!</v>
      </c>
      <c r="P4030" s="247">
        <f t="shared" si="439"/>
        <v>0</v>
      </c>
      <c r="Q4030" s="247" t="e">
        <f t="shared" si="440"/>
        <v>#VALUE!</v>
      </c>
    </row>
    <row r="4031" spans="11:17" x14ac:dyDescent="0.25">
      <c r="K4031" s="246" t="e">
        <f t="shared" si="441"/>
        <v>#VALUE!</v>
      </c>
      <c r="L4031" s="246" t="e">
        <f t="shared" si="442"/>
        <v>#VALUE!</v>
      </c>
      <c r="M4031" s="247" t="e">
        <f t="shared" si="443"/>
        <v>#VALUE!</v>
      </c>
      <c r="N4031" s="246" t="e">
        <f t="shared" si="444"/>
        <v>#VALUE!</v>
      </c>
      <c r="O4031" s="247" t="e">
        <f t="shared" si="445"/>
        <v>#VALUE!</v>
      </c>
      <c r="P4031" s="247">
        <f t="shared" si="439"/>
        <v>0</v>
      </c>
      <c r="Q4031" s="247" t="e">
        <f t="shared" si="440"/>
        <v>#VALUE!</v>
      </c>
    </row>
    <row r="4032" spans="11:17" x14ac:dyDescent="0.25">
      <c r="K4032" s="246" t="e">
        <f t="shared" si="441"/>
        <v>#VALUE!</v>
      </c>
      <c r="L4032" s="246" t="e">
        <f t="shared" si="442"/>
        <v>#VALUE!</v>
      </c>
      <c r="M4032" s="247" t="e">
        <f t="shared" si="443"/>
        <v>#VALUE!</v>
      </c>
      <c r="N4032" s="246" t="e">
        <f t="shared" si="444"/>
        <v>#VALUE!</v>
      </c>
      <c r="O4032" s="247" t="e">
        <f t="shared" si="445"/>
        <v>#VALUE!</v>
      </c>
      <c r="P4032" s="247">
        <f t="shared" si="439"/>
        <v>0</v>
      </c>
      <c r="Q4032" s="247" t="e">
        <f t="shared" si="440"/>
        <v>#VALUE!</v>
      </c>
    </row>
    <row r="4033" spans="11:17" x14ac:dyDescent="0.25">
      <c r="K4033" s="246" t="e">
        <f t="shared" si="441"/>
        <v>#VALUE!</v>
      </c>
      <c r="L4033" s="246" t="e">
        <f t="shared" si="442"/>
        <v>#VALUE!</v>
      </c>
      <c r="M4033" s="247" t="e">
        <f t="shared" si="443"/>
        <v>#VALUE!</v>
      </c>
      <c r="N4033" s="246" t="e">
        <f t="shared" si="444"/>
        <v>#VALUE!</v>
      </c>
      <c r="O4033" s="247" t="e">
        <f t="shared" si="445"/>
        <v>#VALUE!</v>
      </c>
      <c r="P4033" s="247">
        <f t="shared" si="439"/>
        <v>0</v>
      </c>
      <c r="Q4033" s="247" t="e">
        <f t="shared" si="440"/>
        <v>#VALUE!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BD69-DAF3-48E6-845A-B2CEC1F57692}">
  <dimension ref="A1:C33"/>
  <sheetViews>
    <sheetView zoomScaleNormal="100" workbookViewId="0">
      <selection activeCell="B2" sqref="B2"/>
    </sheetView>
  </sheetViews>
  <sheetFormatPr baseColWidth="10" defaultColWidth="8.7109375" defaultRowHeight="15" x14ac:dyDescent="0.25"/>
  <cols>
    <col min="1" max="1" width="32" style="243" customWidth="1"/>
    <col min="2" max="2" width="22" style="243" customWidth="1"/>
    <col min="3" max="3" width="55" style="243" customWidth="1"/>
    <col min="4" max="16384" width="8.7109375" style="243"/>
  </cols>
  <sheetData>
    <row r="1" spans="1:3" ht="15" customHeight="1" x14ac:dyDescent="0.25">
      <c r="A1" s="249" t="s">
        <v>377</v>
      </c>
      <c r="B1" s="249" t="s">
        <v>378</v>
      </c>
      <c r="C1" s="249" t="s">
        <v>3</v>
      </c>
    </row>
    <row r="2" spans="1:3" ht="15" customHeight="1" x14ac:dyDescent="0.25">
      <c r="A2" s="243" t="s">
        <v>76</v>
      </c>
      <c r="B2" s="243" t="s">
        <v>346</v>
      </c>
      <c r="C2" s="243" t="s">
        <v>379</v>
      </c>
    </row>
    <row r="3" spans="1:3" ht="15" customHeight="1" x14ac:dyDescent="0.25">
      <c r="A3" s="243" t="s">
        <v>196</v>
      </c>
      <c r="B3" s="243" t="s">
        <v>285</v>
      </c>
      <c r="C3" s="243" t="s">
        <v>379</v>
      </c>
    </row>
    <row r="4" spans="1:3" ht="15" customHeight="1" x14ac:dyDescent="0.25">
      <c r="A4" s="243" t="s">
        <v>198</v>
      </c>
      <c r="B4" s="243" t="s">
        <v>322</v>
      </c>
      <c r="C4" s="243" t="s">
        <v>379</v>
      </c>
    </row>
    <row r="5" spans="1:3" ht="15" customHeight="1" x14ac:dyDescent="0.25">
      <c r="A5" s="243" t="s">
        <v>210</v>
      </c>
      <c r="B5" s="243" t="s">
        <v>296</v>
      </c>
      <c r="C5" s="243" t="s">
        <v>379</v>
      </c>
    </row>
    <row r="6" spans="1:3" ht="15" customHeight="1" x14ac:dyDescent="0.25">
      <c r="A6" s="243" t="s">
        <v>220</v>
      </c>
      <c r="B6" s="243" t="s">
        <v>375</v>
      </c>
      <c r="C6" s="243" t="s">
        <v>379</v>
      </c>
    </row>
    <row r="7" spans="1:3" ht="15" customHeight="1" x14ac:dyDescent="0.25">
      <c r="A7" s="243" t="s">
        <v>45</v>
      </c>
      <c r="B7" s="243" t="s">
        <v>328</v>
      </c>
      <c r="C7" s="243" t="s">
        <v>379</v>
      </c>
    </row>
    <row r="8" spans="1:3" ht="15" customHeight="1" x14ac:dyDescent="0.25">
      <c r="A8" s="243" t="s">
        <v>219</v>
      </c>
      <c r="B8" s="243" t="s">
        <v>294</v>
      </c>
      <c r="C8" s="243" t="s">
        <v>379</v>
      </c>
    </row>
    <row r="9" spans="1:3" ht="15" customHeight="1" x14ac:dyDescent="0.25">
      <c r="A9" s="243" t="s">
        <v>120</v>
      </c>
      <c r="B9" s="243" t="s">
        <v>324</v>
      </c>
      <c r="C9" s="243" t="s">
        <v>379</v>
      </c>
    </row>
    <row r="10" spans="1:3" ht="15" customHeight="1" x14ac:dyDescent="0.25">
      <c r="A10" s="243" t="s">
        <v>144</v>
      </c>
      <c r="B10" s="243" t="s">
        <v>306</v>
      </c>
      <c r="C10" s="243" t="s">
        <v>379</v>
      </c>
    </row>
    <row r="11" spans="1:3" ht="15" customHeight="1" x14ac:dyDescent="0.25">
      <c r="A11" s="243" t="s">
        <v>212</v>
      </c>
      <c r="B11" s="243" t="s">
        <v>361</v>
      </c>
      <c r="C11" s="243" t="s">
        <v>379</v>
      </c>
    </row>
    <row r="12" spans="1:3" ht="15" customHeight="1" x14ac:dyDescent="0.25">
      <c r="A12" s="243" t="s">
        <v>213</v>
      </c>
      <c r="B12" s="250" t="s">
        <v>281</v>
      </c>
      <c r="C12" s="243" t="s">
        <v>379</v>
      </c>
    </row>
    <row r="13" spans="1:3" ht="15" customHeight="1" x14ac:dyDescent="0.25">
      <c r="A13" s="243" t="s">
        <v>91</v>
      </c>
      <c r="B13" s="243" t="s">
        <v>347</v>
      </c>
      <c r="C13" s="243" t="s">
        <v>379</v>
      </c>
    </row>
    <row r="14" spans="1:3" ht="15" customHeight="1" x14ac:dyDescent="0.25">
      <c r="A14" s="243" t="s">
        <v>197</v>
      </c>
      <c r="B14" s="243" t="s">
        <v>330</v>
      </c>
      <c r="C14" s="243" t="s">
        <v>379</v>
      </c>
    </row>
    <row r="15" spans="1:3" ht="15" customHeight="1" x14ac:dyDescent="0.25">
      <c r="A15" s="243" t="s">
        <v>209</v>
      </c>
      <c r="B15" s="243" t="s">
        <v>326</v>
      </c>
      <c r="C15" s="243" t="s">
        <v>379</v>
      </c>
    </row>
    <row r="16" spans="1:3" ht="15" customHeight="1" x14ac:dyDescent="0.25">
      <c r="A16" s="243" t="s">
        <v>223</v>
      </c>
      <c r="B16" s="243" t="s">
        <v>340</v>
      </c>
      <c r="C16" s="243" t="s">
        <v>379</v>
      </c>
    </row>
    <row r="17" spans="1:3" ht="15" customHeight="1" x14ac:dyDescent="0.25">
      <c r="A17" s="243" t="s">
        <v>85</v>
      </c>
      <c r="B17" s="243" t="s">
        <v>321</v>
      </c>
      <c r="C17" s="243" t="s">
        <v>379</v>
      </c>
    </row>
    <row r="18" spans="1:3" ht="15" customHeight="1" x14ac:dyDescent="0.25">
      <c r="A18" s="243" t="s">
        <v>216</v>
      </c>
      <c r="B18" s="243" t="s">
        <v>338</v>
      </c>
      <c r="C18" s="243" t="s">
        <v>379</v>
      </c>
    </row>
    <row r="19" spans="1:3" ht="15" customHeight="1" x14ac:dyDescent="0.25">
      <c r="A19" s="243" t="s">
        <v>214</v>
      </c>
      <c r="B19" s="243" t="s">
        <v>314</v>
      </c>
      <c r="C19" s="243" t="s">
        <v>379</v>
      </c>
    </row>
    <row r="20" spans="1:3" ht="15" customHeight="1" x14ac:dyDescent="0.25">
      <c r="A20" s="243" t="s">
        <v>217</v>
      </c>
      <c r="B20" s="243" t="s">
        <v>351</v>
      </c>
      <c r="C20" s="243" t="s">
        <v>379</v>
      </c>
    </row>
    <row r="21" spans="1:3" ht="15" customHeight="1" x14ac:dyDescent="0.25">
      <c r="A21" s="243" t="s">
        <v>88</v>
      </c>
      <c r="B21" s="243" t="s">
        <v>353</v>
      </c>
      <c r="C21" s="243" t="s">
        <v>379</v>
      </c>
    </row>
    <row r="22" spans="1:3" ht="15" customHeight="1" x14ac:dyDescent="0.25">
      <c r="A22" s="243" t="s">
        <v>110</v>
      </c>
      <c r="B22" s="243" t="s">
        <v>319</v>
      </c>
      <c r="C22" s="243" t="s">
        <v>379</v>
      </c>
    </row>
    <row r="23" spans="1:3" ht="15" customHeight="1" x14ac:dyDescent="0.25">
      <c r="A23" s="243" t="s">
        <v>141</v>
      </c>
      <c r="B23" s="243" t="s">
        <v>277</v>
      </c>
      <c r="C23" s="243" t="s">
        <v>379</v>
      </c>
    </row>
    <row r="24" spans="1:3" ht="15" customHeight="1" x14ac:dyDescent="0.25">
      <c r="A24" s="243" t="s">
        <v>126</v>
      </c>
      <c r="B24" s="243" t="s">
        <v>376</v>
      </c>
      <c r="C24" s="243" t="s">
        <v>379</v>
      </c>
    </row>
    <row r="25" spans="1:3" ht="15" customHeight="1" x14ac:dyDescent="0.25">
      <c r="A25" s="243" t="s">
        <v>215</v>
      </c>
      <c r="B25" s="250" t="s">
        <v>380</v>
      </c>
      <c r="C25" s="243" t="s">
        <v>379</v>
      </c>
    </row>
    <row r="26" spans="1:3" ht="15" customHeight="1" x14ac:dyDescent="0.25">
      <c r="A26" s="243" t="s">
        <v>80</v>
      </c>
      <c r="B26" s="250" t="s">
        <v>381</v>
      </c>
      <c r="C26" s="243" t="s">
        <v>379</v>
      </c>
    </row>
    <row r="27" spans="1:3" ht="15" customHeight="1" x14ac:dyDescent="0.25">
      <c r="A27" s="243" t="s">
        <v>83</v>
      </c>
      <c r="B27" s="243" t="s">
        <v>308</v>
      </c>
      <c r="C27" s="243" t="s">
        <v>379</v>
      </c>
    </row>
    <row r="28" spans="1:3" ht="15" customHeight="1" x14ac:dyDescent="0.25">
      <c r="A28" s="243" t="s">
        <v>89</v>
      </c>
      <c r="B28" s="243" t="s">
        <v>316</v>
      </c>
      <c r="C28" s="243" t="s">
        <v>379</v>
      </c>
    </row>
    <row r="29" spans="1:3" ht="15" customHeight="1" x14ac:dyDescent="0.25">
      <c r="A29" s="243" t="s">
        <v>94</v>
      </c>
      <c r="B29" s="243" t="s">
        <v>334</v>
      </c>
      <c r="C29" s="243" t="s">
        <v>379</v>
      </c>
    </row>
    <row r="30" spans="1:3" ht="15" customHeight="1" x14ac:dyDescent="0.25">
      <c r="A30" s="243" t="s">
        <v>102</v>
      </c>
      <c r="B30" s="243" t="s">
        <v>365</v>
      </c>
      <c r="C30" s="243" t="s">
        <v>379</v>
      </c>
    </row>
    <row r="31" spans="1:3" ht="15" customHeight="1" x14ac:dyDescent="0.25">
      <c r="A31" s="243" t="s">
        <v>221</v>
      </c>
      <c r="B31" s="243" t="s">
        <v>332</v>
      </c>
      <c r="C31" s="243" t="s">
        <v>379</v>
      </c>
    </row>
    <row r="32" spans="1:3" ht="15" customHeight="1" x14ac:dyDescent="0.25">
      <c r="A32" s="243" t="s">
        <v>87</v>
      </c>
      <c r="B32" s="243" t="s">
        <v>304</v>
      </c>
      <c r="C32" s="243" t="s">
        <v>379</v>
      </c>
    </row>
    <row r="33" spans="1:3" ht="15" customHeight="1" x14ac:dyDescent="0.25">
      <c r="A33" s="243" t="s">
        <v>106</v>
      </c>
      <c r="B33" s="243" t="s">
        <v>342</v>
      </c>
      <c r="C33" s="243" t="s">
        <v>379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4769-BA54-4B0C-961F-18005D83E8D7}">
  <dimension ref="A1:F225"/>
  <sheetViews>
    <sheetView zoomScaleNormal="100" workbookViewId="0">
      <selection activeCell="D22" sqref="D22"/>
    </sheetView>
  </sheetViews>
  <sheetFormatPr baseColWidth="10" defaultColWidth="8.7109375" defaultRowHeight="15" x14ac:dyDescent="0.25"/>
  <cols>
    <col min="1" max="1" width="30" style="243" customWidth="1"/>
    <col min="2" max="2" width="14" style="243" customWidth="1"/>
    <col min="3" max="4" width="22" style="243" customWidth="1"/>
    <col min="5" max="5" width="14" style="243" customWidth="1"/>
    <col min="6" max="16384" width="8.7109375" style="243"/>
  </cols>
  <sheetData>
    <row r="1" spans="1:6" ht="15" customHeight="1" x14ac:dyDescent="0.25">
      <c r="A1" s="249" t="s">
        <v>12</v>
      </c>
      <c r="B1" s="249" t="s">
        <v>4</v>
      </c>
      <c r="C1" s="249" t="s">
        <v>382</v>
      </c>
      <c r="D1" s="249" t="s">
        <v>383</v>
      </c>
      <c r="E1" s="249" t="s">
        <v>384</v>
      </c>
      <c r="F1" s="243" t="s">
        <v>385</v>
      </c>
    </row>
    <row r="2" spans="1:6" ht="15" customHeight="1" x14ac:dyDescent="0.25">
      <c r="A2" s="243" t="s">
        <v>76</v>
      </c>
      <c r="B2" s="251">
        <v>44717</v>
      </c>
      <c r="C2" s="252"/>
      <c r="D2" s="252"/>
      <c r="E2" s="253" t="str">
        <f t="shared" ref="E2:E65" si="0">IF(OR($C2="",$D2=""),"",$D2-$C2)</f>
        <v/>
      </c>
      <c r="F2" s="243" t="str">
        <f t="shared" ref="F2:F65" si="1">$A2&amp;"|"&amp;TEXT($B2,"YYYYMMDD")</f>
        <v>ZAKI OMAR|YYYY06DD</v>
      </c>
    </row>
    <row r="3" spans="1:6" ht="15" customHeight="1" x14ac:dyDescent="0.25">
      <c r="A3" s="243" t="s">
        <v>196</v>
      </c>
      <c r="B3" s="251">
        <v>44717</v>
      </c>
      <c r="C3" s="252"/>
      <c r="D3" s="252"/>
      <c r="E3" s="253" t="str">
        <f t="shared" si="0"/>
        <v/>
      </c>
      <c r="F3" s="243" t="str">
        <f t="shared" si="1"/>
        <v>AZHARI ABDELHAMID|YYYY06DD</v>
      </c>
    </row>
    <row r="4" spans="1:6" ht="15" customHeight="1" x14ac:dyDescent="0.25">
      <c r="A4" s="243" t="s">
        <v>198</v>
      </c>
      <c r="B4" s="251">
        <v>44717</v>
      </c>
      <c r="C4" s="252"/>
      <c r="D4" s="252"/>
      <c r="E4" s="253" t="str">
        <f t="shared" si="0"/>
        <v/>
      </c>
      <c r="F4" s="243" t="str">
        <f t="shared" si="1"/>
        <v>LALOUN MANAL |YYYY06DD</v>
      </c>
    </row>
    <row r="5" spans="1:6" ht="15" customHeight="1" x14ac:dyDescent="0.25">
      <c r="A5" s="243" t="s">
        <v>210</v>
      </c>
      <c r="B5" s="251">
        <v>44717</v>
      </c>
      <c r="C5" s="252"/>
      <c r="D5" s="252"/>
      <c r="E5" s="253" t="str">
        <f t="shared" si="0"/>
        <v/>
      </c>
      <c r="F5" s="243" t="str">
        <f t="shared" si="1"/>
        <v>BOULHROUD SALMA|YYYY06DD</v>
      </c>
    </row>
    <row r="6" spans="1:6" ht="15" customHeight="1" x14ac:dyDescent="0.25">
      <c r="A6" s="243" t="s">
        <v>220</v>
      </c>
      <c r="B6" s="251">
        <v>44717</v>
      </c>
      <c r="C6" s="252"/>
      <c r="D6" s="252"/>
      <c r="E6" s="253" t="str">
        <f t="shared" si="0"/>
        <v/>
      </c>
      <c r="F6" s="243" t="str">
        <f t="shared" si="1"/>
        <v>NEMMAOUI MOUNIRA|YYYY06DD</v>
      </c>
    </row>
    <row r="7" spans="1:6" ht="15" customHeight="1" x14ac:dyDescent="0.25">
      <c r="A7" s="243" t="s">
        <v>45</v>
      </c>
      <c r="B7" s="251">
        <v>44717</v>
      </c>
      <c r="C7" s="252"/>
      <c r="D7" s="252"/>
      <c r="E7" s="253" t="str">
        <f t="shared" si="0"/>
        <v/>
      </c>
      <c r="F7" s="243" t="str">
        <f t="shared" si="1"/>
        <v>NIANG NDEYE ABSA|YYYY06DD</v>
      </c>
    </row>
    <row r="8" spans="1:6" ht="15" customHeight="1" x14ac:dyDescent="0.25">
      <c r="A8" s="243" t="s">
        <v>219</v>
      </c>
      <c r="B8" s="251">
        <v>44717</v>
      </c>
      <c r="C8" s="252"/>
      <c r="D8" s="252"/>
      <c r="E8" s="253" t="str">
        <f t="shared" si="0"/>
        <v/>
      </c>
      <c r="F8" s="243" t="str">
        <f t="shared" si="1"/>
        <v>BENSAR ANAS|YYYY06DD</v>
      </c>
    </row>
    <row r="9" spans="1:6" ht="15" customHeight="1" x14ac:dyDescent="0.25">
      <c r="A9" s="243" t="s">
        <v>120</v>
      </c>
      <c r="B9" s="251">
        <v>44717</v>
      </c>
      <c r="C9" s="252"/>
      <c r="D9" s="252"/>
      <c r="E9" s="253" t="str">
        <f t="shared" si="0"/>
        <v/>
      </c>
      <c r="F9" s="243" t="str">
        <f t="shared" si="1"/>
        <v>MELLAHI YOUSSEF|YYYY06DD</v>
      </c>
    </row>
    <row r="10" spans="1:6" ht="15" customHeight="1" x14ac:dyDescent="0.25">
      <c r="A10" s="243" t="s">
        <v>144</v>
      </c>
      <c r="B10" s="251">
        <v>44717</v>
      </c>
      <c r="C10" s="252"/>
      <c r="D10" s="252"/>
      <c r="E10" s="253" t="str">
        <f t="shared" si="0"/>
        <v/>
      </c>
      <c r="F10" s="243" t="str">
        <f t="shared" si="1"/>
        <v>EL HOUJJAJI Soufiane |YYYY06DD</v>
      </c>
    </row>
    <row r="11" spans="1:6" ht="15" customHeight="1" x14ac:dyDescent="0.25">
      <c r="A11" s="243" t="s">
        <v>212</v>
      </c>
      <c r="B11" s="251">
        <v>44717</v>
      </c>
      <c r="C11" s="252"/>
      <c r="D11" s="252"/>
      <c r="E11" s="253" t="str">
        <f t="shared" si="0"/>
        <v/>
      </c>
      <c r="F11" s="243" t="str">
        <f t="shared" si="1"/>
        <v>BOURABAA HASSAN|YYYY06DD</v>
      </c>
    </row>
    <row r="12" spans="1:6" ht="15" customHeight="1" x14ac:dyDescent="0.25">
      <c r="A12" s="243" t="s">
        <v>213</v>
      </c>
      <c r="B12" s="251">
        <v>44717</v>
      </c>
      <c r="C12" s="252"/>
      <c r="D12" s="252"/>
      <c r="E12" s="253" t="str">
        <f t="shared" si="0"/>
        <v/>
      </c>
      <c r="F12" s="243" t="str">
        <f t="shared" si="1"/>
        <v>EL-AOUAQUI BOUCHRA|YYYY06DD</v>
      </c>
    </row>
    <row r="13" spans="1:6" ht="15" customHeight="1" x14ac:dyDescent="0.25">
      <c r="A13" s="243" t="s">
        <v>91</v>
      </c>
      <c r="B13" s="251">
        <v>44717</v>
      </c>
      <c r="C13" s="252"/>
      <c r="D13" s="252"/>
      <c r="E13" s="253" t="str">
        <f t="shared" si="0"/>
        <v/>
      </c>
      <c r="F13" s="243" t="str">
        <f t="shared" si="1"/>
        <v>ZITOUNI LAMYA|YYYY06DD</v>
      </c>
    </row>
    <row r="14" spans="1:6" ht="15" customHeight="1" x14ac:dyDescent="0.25">
      <c r="A14" s="243" t="s">
        <v>197</v>
      </c>
      <c r="B14" s="251">
        <v>44717</v>
      </c>
      <c r="C14" s="252"/>
      <c r="D14" s="252"/>
      <c r="E14" s="253" t="str">
        <f t="shared" si="0"/>
        <v/>
      </c>
      <c r="F14" s="243" t="str">
        <f t="shared" si="1"/>
        <v>NUNEZ LUCIEN BERNARD|YYYY06DD</v>
      </c>
    </row>
    <row r="15" spans="1:6" ht="15" customHeight="1" x14ac:dyDescent="0.25">
      <c r="A15" s="243" t="s">
        <v>209</v>
      </c>
      <c r="B15" s="251">
        <v>44717</v>
      </c>
      <c r="C15" s="252"/>
      <c r="D15" s="252"/>
      <c r="E15" s="253" t="str">
        <f t="shared" si="0"/>
        <v/>
      </c>
      <c r="F15" s="243" t="str">
        <f t="shared" si="1"/>
        <v>SIDIBE MOUSKEBA DALAFINA|YYYY06DD</v>
      </c>
    </row>
    <row r="16" spans="1:6" ht="15" customHeight="1" x14ac:dyDescent="0.25">
      <c r="A16" s="243" t="s">
        <v>223</v>
      </c>
      <c r="B16" s="251">
        <v>44717</v>
      </c>
      <c r="C16" s="252"/>
      <c r="D16" s="252"/>
      <c r="E16" s="253" t="str">
        <f t="shared" si="0"/>
        <v/>
      </c>
      <c r="F16" s="243" t="str">
        <f t="shared" si="1"/>
        <v>SOUOUD ZAKARIA|YYYY06DD</v>
      </c>
    </row>
    <row r="17" spans="1:6" ht="15" customHeight="1" x14ac:dyDescent="0.25">
      <c r="A17" s="243" t="s">
        <v>85</v>
      </c>
      <c r="B17" s="251">
        <v>44717</v>
      </c>
      <c r="C17" s="252"/>
      <c r="D17" s="252"/>
      <c r="E17" s="253" t="str">
        <f t="shared" si="0"/>
        <v/>
      </c>
      <c r="F17" s="243" t="str">
        <f t="shared" si="1"/>
        <v>LAFDIL NADA|YYYY06DD</v>
      </c>
    </row>
    <row r="18" spans="1:6" ht="15" customHeight="1" x14ac:dyDescent="0.25">
      <c r="A18" s="243" t="s">
        <v>216</v>
      </c>
      <c r="B18" s="251">
        <v>44717</v>
      </c>
      <c r="C18" s="252"/>
      <c r="D18" s="252"/>
      <c r="E18" s="253" t="str">
        <f t="shared" si="0"/>
        <v/>
      </c>
      <c r="F18" s="243" t="str">
        <f t="shared" si="1"/>
        <v>SECK DIARRA|YYYY06DD</v>
      </c>
    </row>
    <row r="19" spans="1:6" ht="15" customHeight="1" x14ac:dyDescent="0.25">
      <c r="A19" s="243" t="s">
        <v>214</v>
      </c>
      <c r="B19" s="251">
        <v>44717</v>
      </c>
      <c r="C19" s="252"/>
      <c r="D19" s="252"/>
      <c r="E19" s="253" t="str">
        <f t="shared" si="0"/>
        <v/>
      </c>
      <c r="F19" s="243" t="str">
        <f t="shared" si="1"/>
        <v>GUEYE GORA|YYYY06DD</v>
      </c>
    </row>
    <row r="20" spans="1:6" ht="15" customHeight="1" x14ac:dyDescent="0.25">
      <c r="A20" s="243" t="s">
        <v>217</v>
      </c>
      <c r="B20" s="251">
        <v>44717</v>
      </c>
      <c r="C20" s="252"/>
      <c r="D20" s="252"/>
      <c r="E20" s="253" t="str">
        <f t="shared" si="0"/>
        <v/>
      </c>
      <c r="F20" s="243" t="str">
        <f t="shared" si="1"/>
        <v>AINELKITANE ZINEB|YYYY06DD</v>
      </c>
    </row>
    <row r="21" spans="1:6" ht="15" customHeight="1" x14ac:dyDescent="0.25">
      <c r="A21" s="243" t="s">
        <v>88</v>
      </c>
      <c r="B21" s="251">
        <v>44717</v>
      </c>
      <c r="C21" s="252"/>
      <c r="D21" s="252"/>
      <c r="E21" s="253" t="str">
        <f t="shared" si="0"/>
        <v/>
      </c>
      <c r="F21" s="243" t="str">
        <f t="shared" si="1"/>
        <v>AIT LARBI HIND|YYYY06DD</v>
      </c>
    </row>
    <row r="22" spans="1:6" ht="15" customHeight="1" x14ac:dyDescent="0.25">
      <c r="A22" s="243" t="s">
        <v>110</v>
      </c>
      <c r="B22" s="251">
        <v>44717</v>
      </c>
      <c r="C22" s="252"/>
      <c r="D22" s="252"/>
      <c r="E22" s="253" t="str">
        <f t="shared" si="0"/>
        <v/>
      </c>
      <c r="F22" s="243" t="str">
        <f t="shared" si="1"/>
        <v>KANTAOUI SALMA|YYYY06DD</v>
      </c>
    </row>
    <row r="23" spans="1:6" ht="15" customHeight="1" x14ac:dyDescent="0.25">
      <c r="A23" s="243" t="s">
        <v>141</v>
      </c>
      <c r="B23" s="251">
        <v>44717</v>
      </c>
      <c r="C23" s="252"/>
      <c r="D23" s="252"/>
      <c r="E23" s="253" t="str">
        <f t="shared" si="0"/>
        <v/>
      </c>
      <c r="F23" s="243" t="str">
        <f t="shared" si="1"/>
        <v>AIT ADDI KHADIJA|YYYY06DD</v>
      </c>
    </row>
    <row r="24" spans="1:6" ht="15" customHeight="1" x14ac:dyDescent="0.25">
      <c r="A24" s="243" t="s">
        <v>126</v>
      </c>
      <c r="B24" s="251">
        <v>44717</v>
      </c>
      <c r="C24" s="252"/>
      <c r="D24" s="252"/>
      <c r="E24" s="253" t="str">
        <f t="shared" si="0"/>
        <v/>
      </c>
      <c r="F24" s="243" t="str">
        <f t="shared" si="1"/>
        <v>ZIOUI DOUNIA|YYYY06DD</v>
      </c>
    </row>
    <row r="25" spans="1:6" ht="15" customHeight="1" x14ac:dyDescent="0.25">
      <c r="A25" s="243" t="s">
        <v>215</v>
      </c>
      <c r="B25" s="251">
        <v>44717</v>
      </c>
      <c r="C25" s="252"/>
      <c r="D25" s="252"/>
      <c r="E25" s="253" t="str">
        <f t="shared" si="0"/>
        <v/>
      </c>
      <c r="F25" s="243" t="str">
        <f t="shared" si="1"/>
        <v>DERKAOUI AMAL |YYYY06DD</v>
      </c>
    </row>
    <row r="26" spans="1:6" ht="15" customHeight="1" x14ac:dyDescent="0.25">
      <c r="A26" s="243" t="s">
        <v>80</v>
      </c>
      <c r="B26" s="251">
        <v>44717</v>
      </c>
      <c r="C26" s="252"/>
      <c r="D26" s="252"/>
      <c r="E26" s="253" t="str">
        <f t="shared" si="0"/>
        <v/>
      </c>
      <c r="F26" s="243" t="str">
        <f t="shared" si="1"/>
        <v>IHASSANE Ikram|YYYY06DD</v>
      </c>
    </row>
    <row r="27" spans="1:6" ht="15" customHeight="1" x14ac:dyDescent="0.25">
      <c r="A27" s="243" t="s">
        <v>83</v>
      </c>
      <c r="B27" s="251">
        <v>44717</v>
      </c>
      <c r="C27" s="252"/>
      <c r="D27" s="252"/>
      <c r="E27" s="253" t="str">
        <f t="shared" si="0"/>
        <v/>
      </c>
      <c r="F27" s="243" t="str">
        <f t="shared" si="1"/>
        <v>EL HOUSSAINI HOUDA|YYYY06DD</v>
      </c>
    </row>
    <row r="28" spans="1:6" ht="15" customHeight="1" x14ac:dyDescent="0.25">
      <c r="A28" s="243" t="s">
        <v>89</v>
      </c>
      <c r="B28" s="251">
        <v>44717</v>
      </c>
      <c r="C28" s="252"/>
      <c r="D28" s="252"/>
      <c r="E28" s="253" t="str">
        <f t="shared" si="0"/>
        <v/>
      </c>
      <c r="F28" s="243" t="str">
        <f t="shared" si="1"/>
        <v>GUEYE MOUHAMED|YYYY06DD</v>
      </c>
    </row>
    <row r="29" spans="1:6" ht="15" customHeight="1" x14ac:dyDescent="0.25">
      <c r="A29" s="243" t="s">
        <v>94</v>
      </c>
      <c r="B29" s="251">
        <v>44717</v>
      </c>
      <c r="C29" s="252"/>
      <c r="D29" s="252"/>
      <c r="E29" s="253" t="str">
        <f t="shared" si="0"/>
        <v/>
      </c>
      <c r="F29" s="243" t="str">
        <f t="shared" si="1"/>
        <v>RACHAD NAWAR|YYYY06DD</v>
      </c>
    </row>
    <row r="30" spans="1:6" ht="15" customHeight="1" x14ac:dyDescent="0.25">
      <c r="A30" s="243" t="s">
        <v>102</v>
      </c>
      <c r="B30" s="251">
        <v>44717</v>
      </c>
      <c r="C30" s="252"/>
      <c r="D30" s="252"/>
      <c r="E30" s="253" t="str">
        <f t="shared" si="0"/>
        <v/>
      </c>
      <c r="F30" s="243" t="str">
        <f t="shared" si="1"/>
        <v>DIOUF OUSSMANE|YYYY06DD</v>
      </c>
    </row>
    <row r="31" spans="1:6" ht="15" customHeight="1" x14ac:dyDescent="0.25">
      <c r="A31" s="243" t="s">
        <v>221</v>
      </c>
      <c r="B31" s="251">
        <v>44717</v>
      </c>
      <c r="C31" s="252"/>
      <c r="D31" s="252"/>
      <c r="E31" s="253" t="str">
        <f t="shared" si="0"/>
        <v/>
      </c>
      <c r="F31" s="243" t="str">
        <f t="shared" si="1"/>
        <v>QARBOUI Aymane|YYYY06DD</v>
      </c>
    </row>
    <row r="32" spans="1:6" ht="15" customHeight="1" x14ac:dyDescent="0.25">
      <c r="A32" s="243" t="s">
        <v>87</v>
      </c>
      <c r="B32" s="251">
        <v>44717</v>
      </c>
      <c r="C32" s="252"/>
      <c r="D32" s="252"/>
      <c r="E32" s="253" t="str">
        <f t="shared" si="0"/>
        <v/>
      </c>
      <c r="F32" s="243" t="str">
        <f t="shared" si="1"/>
        <v>EL HARROUCHI CHAIMAE|YYYY06DD</v>
      </c>
    </row>
    <row r="33" spans="1:6" ht="15" customHeight="1" x14ac:dyDescent="0.25">
      <c r="A33" s="243" t="s">
        <v>106</v>
      </c>
      <c r="B33" s="251">
        <v>44717</v>
      </c>
      <c r="C33" s="252"/>
      <c r="D33" s="252"/>
      <c r="E33" s="253" t="str">
        <f t="shared" si="0"/>
        <v/>
      </c>
      <c r="F33" s="243" t="str">
        <f t="shared" si="1"/>
        <v>TOURE ABIBOU|YYYY06DD</v>
      </c>
    </row>
    <row r="34" spans="1:6" ht="15" customHeight="1" x14ac:dyDescent="0.25">
      <c r="A34" s="243" t="s">
        <v>76</v>
      </c>
      <c r="B34" s="251">
        <v>44718</v>
      </c>
      <c r="C34" s="252"/>
      <c r="D34" s="252"/>
      <c r="E34" s="253" t="str">
        <f t="shared" si="0"/>
        <v/>
      </c>
      <c r="F34" s="243" t="str">
        <f t="shared" si="1"/>
        <v>ZAKI OMAR|YYYY06DD</v>
      </c>
    </row>
    <row r="35" spans="1:6" ht="15" customHeight="1" x14ac:dyDescent="0.25">
      <c r="A35" s="243" t="s">
        <v>89</v>
      </c>
      <c r="B35" s="251">
        <v>44718</v>
      </c>
      <c r="C35" s="252"/>
      <c r="D35" s="252"/>
      <c r="E35" s="253" t="str">
        <f t="shared" si="0"/>
        <v/>
      </c>
      <c r="F35" s="243" t="str">
        <f t="shared" si="1"/>
        <v>GUEYE MOUHAMED|YYYY06DD</v>
      </c>
    </row>
    <row r="36" spans="1:6" ht="15" customHeight="1" x14ac:dyDescent="0.25">
      <c r="A36" s="243" t="s">
        <v>102</v>
      </c>
      <c r="B36" s="251">
        <v>44718</v>
      </c>
      <c r="C36" s="252"/>
      <c r="D36" s="252"/>
      <c r="E36" s="253" t="str">
        <f t="shared" si="0"/>
        <v/>
      </c>
      <c r="F36" s="243" t="str">
        <f t="shared" si="1"/>
        <v>DIOUF OUSSMANE|YYYY06DD</v>
      </c>
    </row>
    <row r="37" spans="1:6" ht="15" customHeight="1" x14ac:dyDescent="0.25">
      <c r="A37" s="243" t="s">
        <v>196</v>
      </c>
      <c r="B37" s="251">
        <v>44718</v>
      </c>
      <c r="C37" s="252"/>
      <c r="D37" s="252"/>
      <c r="E37" s="253" t="str">
        <f t="shared" si="0"/>
        <v/>
      </c>
      <c r="F37" s="243" t="str">
        <f t="shared" si="1"/>
        <v>AZHARI ABDELHAMID|YYYY06DD</v>
      </c>
    </row>
    <row r="38" spans="1:6" ht="15" customHeight="1" x14ac:dyDescent="0.25">
      <c r="A38" s="243" t="s">
        <v>198</v>
      </c>
      <c r="B38" s="251">
        <v>44718</v>
      </c>
      <c r="C38" s="252"/>
      <c r="D38" s="252"/>
      <c r="E38" s="253" t="str">
        <f t="shared" si="0"/>
        <v/>
      </c>
      <c r="F38" s="243" t="str">
        <f t="shared" si="1"/>
        <v>LALOUN MANAL |YYYY06DD</v>
      </c>
    </row>
    <row r="39" spans="1:6" ht="15" customHeight="1" x14ac:dyDescent="0.25">
      <c r="A39" s="243" t="s">
        <v>210</v>
      </c>
      <c r="B39" s="251">
        <v>44718</v>
      </c>
      <c r="C39" s="252"/>
      <c r="D39" s="252"/>
      <c r="E39" s="253" t="str">
        <f t="shared" si="0"/>
        <v/>
      </c>
      <c r="F39" s="243" t="str">
        <f t="shared" si="1"/>
        <v>BOULHROUD SALMA|YYYY06DD</v>
      </c>
    </row>
    <row r="40" spans="1:6" ht="15" customHeight="1" x14ac:dyDescent="0.25">
      <c r="A40" s="243" t="s">
        <v>212</v>
      </c>
      <c r="B40" s="251">
        <v>44718</v>
      </c>
      <c r="C40" s="252"/>
      <c r="D40" s="252"/>
      <c r="E40" s="253" t="str">
        <f t="shared" si="0"/>
        <v/>
      </c>
      <c r="F40" s="243" t="str">
        <f t="shared" si="1"/>
        <v>BOURABAA HASSAN|YYYY06DD</v>
      </c>
    </row>
    <row r="41" spans="1:6" ht="15" customHeight="1" x14ac:dyDescent="0.25">
      <c r="A41" s="243" t="s">
        <v>45</v>
      </c>
      <c r="B41" s="251">
        <v>44718</v>
      </c>
      <c r="C41" s="252"/>
      <c r="D41" s="252"/>
      <c r="E41" s="253" t="str">
        <f t="shared" si="0"/>
        <v/>
      </c>
      <c r="F41" s="243" t="str">
        <f t="shared" si="1"/>
        <v>NIANG NDEYE ABSA|YYYY06DD</v>
      </c>
    </row>
    <row r="42" spans="1:6" ht="15" customHeight="1" x14ac:dyDescent="0.25">
      <c r="A42" s="243" t="s">
        <v>216</v>
      </c>
      <c r="B42" s="251">
        <v>44718</v>
      </c>
      <c r="C42" s="252"/>
      <c r="D42" s="252"/>
      <c r="E42" s="253" t="str">
        <f t="shared" si="0"/>
        <v/>
      </c>
      <c r="F42" s="243" t="str">
        <f t="shared" si="1"/>
        <v>SECK DIARRA|YYYY06DD</v>
      </c>
    </row>
    <row r="43" spans="1:6" ht="15" customHeight="1" x14ac:dyDescent="0.25">
      <c r="A43" s="243" t="s">
        <v>219</v>
      </c>
      <c r="B43" s="251">
        <v>44718</v>
      </c>
      <c r="C43" s="252"/>
      <c r="D43" s="252"/>
      <c r="E43" s="253" t="str">
        <f t="shared" si="0"/>
        <v/>
      </c>
      <c r="F43" s="243" t="str">
        <f t="shared" si="1"/>
        <v>BENSAR ANAS|YYYY06DD</v>
      </c>
    </row>
    <row r="44" spans="1:6" ht="15" customHeight="1" x14ac:dyDescent="0.25">
      <c r="A44" s="243" t="s">
        <v>220</v>
      </c>
      <c r="B44" s="251">
        <v>44718</v>
      </c>
      <c r="C44" s="252"/>
      <c r="D44" s="252"/>
      <c r="E44" s="253" t="str">
        <f t="shared" si="0"/>
        <v/>
      </c>
      <c r="F44" s="243" t="str">
        <f t="shared" si="1"/>
        <v>NEMMAOUI MOUNIRA|YYYY06DD</v>
      </c>
    </row>
    <row r="45" spans="1:6" ht="15" customHeight="1" x14ac:dyDescent="0.25">
      <c r="A45" s="243" t="s">
        <v>144</v>
      </c>
      <c r="B45" s="251">
        <v>44718</v>
      </c>
      <c r="C45" s="252"/>
      <c r="D45" s="252"/>
      <c r="E45" s="253" t="str">
        <f t="shared" si="0"/>
        <v/>
      </c>
      <c r="F45" s="243" t="str">
        <f t="shared" si="1"/>
        <v>EL HOUJJAJI Soufiane |YYYY06DD</v>
      </c>
    </row>
    <row r="46" spans="1:6" ht="15" customHeight="1" x14ac:dyDescent="0.25">
      <c r="A46" s="243" t="s">
        <v>213</v>
      </c>
      <c r="B46" s="251">
        <v>44718</v>
      </c>
      <c r="C46" s="252"/>
      <c r="D46" s="252"/>
      <c r="E46" s="253" t="str">
        <f t="shared" si="0"/>
        <v/>
      </c>
      <c r="F46" s="243" t="str">
        <f t="shared" si="1"/>
        <v>EL-AOUAQUI BOUCHRA|YYYY06DD</v>
      </c>
    </row>
    <row r="47" spans="1:6" ht="15" customHeight="1" x14ac:dyDescent="0.25">
      <c r="A47" s="243" t="s">
        <v>85</v>
      </c>
      <c r="B47" s="251">
        <v>44718</v>
      </c>
      <c r="C47" s="252"/>
      <c r="D47" s="252"/>
      <c r="E47" s="253" t="str">
        <f t="shared" si="0"/>
        <v/>
      </c>
      <c r="F47" s="243" t="str">
        <f t="shared" si="1"/>
        <v>LAFDIL NADA|YYYY06DD</v>
      </c>
    </row>
    <row r="48" spans="1:6" ht="15" customHeight="1" x14ac:dyDescent="0.25">
      <c r="A48" s="243" t="s">
        <v>91</v>
      </c>
      <c r="B48" s="251">
        <v>44718</v>
      </c>
      <c r="C48" s="252"/>
      <c r="D48" s="252"/>
      <c r="E48" s="253" t="str">
        <f t="shared" si="0"/>
        <v/>
      </c>
      <c r="F48" s="243" t="str">
        <f t="shared" si="1"/>
        <v>ZITOUNI LAMYA|YYYY06DD</v>
      </c>
    </row>
    <row r="49" spans="1:6" ht="15" customHeight="1" x14ac:dyDescent="0.25">
      <c r="A49" s="243" t="s">
        <v>214</v>
      </c>
      <c r="B49" s="251">
        <v>44718</v>
      </c>
      <c r="C49" s="252"/>
      <c r="D49" s="252"/>
      <c r="E49" s="253" t="str">
        <f t="shared" si="0"/>
        <v/>
      </c>
      <c r="F49" s="243" t="str">
        <f t="shared" si="1"/>
        <v>GUEYE GORA|YYYY06DD</v>
      </c>
    </row>
    <row r="50" spans="1:6" ht="15" customHeight="1" x14ac:dyDescent="0.25">
      <c r="A50" s="243" t="s">
        <v>106</v>
      </c>
      <c r="B50" s="251">
        <v>44718</v>
      </c>
      <c r="C50" s="252"/>
      <c r="D50" s="252"/>
      <c r="E50" s="253" t="str">
        <f t="shared" si="0"/>
        <v/>
      </c>
      <c r="F50" s="243" t="str">
        <f t="shared" si="1"/>
        <v>TOURE ABIBOU|YYYY06DD</v>
      </c>
    </row>
    <row r="51" spans="1:6" ht="15" customHeight="1" x14ac:dyDescent="0.25">
      <c r="A51" s="243" t="s">
        <v>110</v>
      </c>
      <c r="B51" s="251">
        <v>44718</v>
      </c>
      <c r="C51" s="252"/>
      <c r="D51" s="252"/>
      <c r="E51" s="253" t="str">
        <f t="shared" si="0"/>
        <v/>
      </c>
      <c r="F51" s="243" t="str">
        <f t="shared" si="1"/>
        <v>KANTAOUI SALMA|YYYY06DD</v>
      </c>
    </row>
    <row r="52" spans="1:6" ht="15" customHeight="1" x14ac:dyDescent="0.25">
      <c r="A52" s="243" t="s">
        <v>223</v>
      </c>
      <c r="B52" s="251">
        <v>44718</v>
      </c>
      <c r="C52" s="252"/>
      <c r="D52" s="252"/>
      <c r="E52" s="253" t="str">
        <f t="shared" si="0"/>
        <v/>
      </c>
      <c r="F52" s="243" t="str">
        <f t="shared" si="1"/>
        <v>SOUOUD ZAKARIA|YYYY06DD</v>
      </c>
    </row>
    <row r="53" spans="1:6" ht="15" customHeight="1" x14ac:dyDescent="0.25">
      <c r="A53" s="243" t="s">
        <v>141</v>
      </c>
      <c r="B53" s="251">
        <v>44718</v>
      </c>
      <c r="C53" s="252"/>
      <c r="D53" s="252"/>
      <c r="E53" s="253" t="str">
        <f t="shared" si="0"/>
        <v/>
      </c>
      <c r="F53" s="243" t="str">
        <f t="shared" si="1"/>
        <v>AIT ADDI KHADIJA|YYYY06DD</v>
      </c>
    </row>
    <row r="54" spans="1:6" ht="15" customHeight="1" x14ac:dyDescent="0.25">
      <c r="A54" s="243" t="s">
        <v>120</v>
      </c>
      <c r="B54" s="251">
        <v>44718</v>
      </c>
      <c r="C54" s="252"/>
      <c r="D54" s="252"/>
      <c r="E54" s="253" t="str">
        <f t="shared" si="0"/>
        <v/>
      </c>
      <c r="F54" s="243" t="str">
        <f t="shared" si="1"/>
        <v>MELLAHI YOUSSEF|YYYY06DD</v>
      </c>
    </row>
    <row r="55" spans="1:6" ht="15" customHeight="1" x14ac:dyDescent="0.25">
      <c r="A55" s="243" t="s">
        <v>87</v>
      </c>
      <c r="B55" s="251">
        <v>44718</v>
      </c>
      <c r="C55" s="252"/>
      <c r="D55" s="252"/>
      <c r="E55" s="253" t="str">
        <f t="shared" si="0"/>
        <v/>
      </c>
      <c r="F55" s="243" t="str">
        <f t="shared" si="1"/>
        <v>EL HARROUCHI CHAIMAE|YYYY06DD</v>
      </c>
    </row>
    <row r="56" spans="1:6" ht="15" customHeight="1" x14ac:dyDescent="0.25">
      <c r="A56" s="243" t="s">
        <v>209</v>
      </c>
      <c r="B56" s="251">
        <v>44718</v>
      </c>
      <c r="C56" s="252"/>
      <c r="D56" s="252"/>
      <c r="E56" s="253" t="str">
        <f t="shared" si="0"/>
        <v/>
      </c>
      <c r="F56" s="243" t="str">
        <f t="shared" si="1"/>
        <v>SIDIBE MOUSKEBA DALAFINA|YYYY06DD</v>
      </c>
    </row>
    <row r="57" spans="1:6" ht="15" customHeight="1" x14ac:dyDescent="0.25">
      <c r="A57" s="243" t="s">
        <v>217</v>
      </c>
      <c r="B57" s="251">
        <v>44718</v>
      </c>
      <c r="C57" s="252"/>
      <c r="D57" s="252"/>
      <c r="E57" s="253" t="str">
        <f t="shared" si="0"/>
        <v/>
      </c>
      <c r="F57" s="243" t="str">
        <f t="shared" si="1"/>
        <v>AINELKITANE ZINEB|YYYY06DD</v>
      </c>
    </row>
    <row r="58" spans="1:6" ht="15" customHeight="1" x14ac:dyDescent="0.25">
      <c r="A58" s="243" t="s">
        <v>88</v>
      </c>
      <c r="B58" s="251">
        <v>44718</v>
      </c>
      <c r="C58" s="252"/>
      <c r="D58" s="252"/>
      <c r="E58" s="253" t="str">
        <f t="shared" si="0"/>
        <v/>
      </c>
      <c r="F58" s="243" t="str">
        <f t="shared" si="1"/>
        <v>AIT LARBI HIND|YYYY06DD</v>
      </c>
    </row>
    <row r="59" spans="1:6" ht="15" customHeight="1" x14ac:dyDescent="0.25">
      <c r="A59" s="243" t="s">
        <v>126</v>
      </c>
      <c r="B59" s="251">
        <v>44718</v>
      </c>
      <c r="C59" s="252"/>
      <c r="D59" s="252"/>
      <c r="E59" s="253" t="str">
        <f t="shared" si="0"/>
        <v/>
      </c>
      <c r="F59" s="243" t="str">
        <f t="shared" si="1"/>
        <v>ZIOUI DOUNIA|YYYY06DD</v>
      </c>
    </row>
    <row r="60" spans="1:6" ht="15" customHeight="1" x14ac:dyDescent="0.25">
      <c r="A60" s="243" t="s">
        <v>215</v>
      </c>
      <c r="B60" s="251">
        <v>44718</v>
      </c>
      <c r="C60" s="252"/>
      <c r="D60" s="252"/>
      <c r="E60" s="253" t="str">
        <f t="shared" si="0"/>
        <v/>
      </c>
      <c r="F60" s="243" t="str">
        <f t="shared" si="1"/>
        <v>DERKAOUI AMAL |YYYY06DD</v>
      </c>
    </row>
    <row r="61" spans="1:6" ht="15" customHeight="1" x14ac:dyDescent="0.25">
      <c r="A61" s="243" t="s">
        <v>80</v>
      </c>
      <c r="B61" s="251">
        <v>44718</v>
      </c>
      <c r="C61" s="252"/>
      <c r="D61" s="252"/>
      <c r="E61" s="253" t="str">
        <f t="shared" si="0"/>
        <v/>
      </c>
      <c r="F61" s="243" t="str">
        <f t="shared" si="1"/>
        <v>IHASSANE Ikram|YYYY06DD</v>
      </c>
    </row>
    <row r="62" spans="1:6" ht="15" customHeight="1" x14ac:dyDescent="0.25">
      <c r="A62" s="243" t="s">
        <v>197</v>
      </c>
      <c r="B62" s="251">
        <v>44718</v>
      </c>
      <c r="C62" s="252"/>
      <c r="D62" s="252"/>
      <c r="E62" s="253" t="str">
        <f t="shared" si="0"/>
        <v/>
      </c>
      <c r="F62" s="243" t="str">
        <f t="shared" si="1"/>
        <v>NUNEZ LUCIEN BERNARD|YYYY06DD</v>
      </c>
    </row>
    <row r="63" spans="1:6" ht="15" customHeight="1" x14ac:dyDescent="0.25">
      <c r="A63" s="243" t="s">
        <v>83</v>
      </c>
      <c r="B63" s="251">
        <v>44718</v>
      </c>
      <c r="C63" s="252"/>
      <c r="D63" s="252"/>
      <c r="E63" s="253" t="str">
        <f t="shared" si="0"/>
        <v/>
      </c>
      <c r="F63" s="243" t="str">
        <f t="shared" si="1"/>
        <v>EL HOUSSAINI HOUDA|YYYY06DD</v>
      </c>
    </row>
    <row r="64" spans="1:6" ht="15" customHeight="1" x14ac:dyDescent="0.25">
      <c r="A64" s="243" t="s">
        <v>94</v>
      </c>
      <c r="B64" s="251">
        <v>44718</v>
      </c>
      <c r="C64" s="252"/>
      <c r="D64" s="252"/>
      <c r="E64" s="253" t="str">
        <f t="shared" si="0"/>
        <v/>
      </c>
      <c r="F64" s="243" t="str">
        <f t="shared" si="1"/>
        <v>RACHAD NAWAR|YYYY06DD</v>
      </c>
    </row>
    <row r="65" spans="1:6" ht="15" customHeight="1" x14ac:dyDescent="0.25">
      <c r="A65" s="243" t="s">
        <v>221</v>
      </c>
      <c r="B65" s="251">
        <v>44718</v>
      </c>
      <c r="C65" s="252"/>
      <c r="D65" s="252"/>
      <c r="E65" s="253" t="str">
        <f t="shared" si="0"/>
        <v/>
      </c>
      <c r="F65" s="243" t="str">
        <f t="shared" si="1"/>
        <v>QARBOUI Aymane|YYYY06DD</v>
      </c>
    </row>
    <row r="66" spans="1:6" ht="15" customHeight="1" x14ac:dyDescent="0.25">
      <c r="A66" s="243" t="s">
        <v>76</v>
      </c>
      <c r="B66" s="251">
        <v>44719</v>
      </c>
      <c r="C66" s="252"/>
      <c r="D66" s="252"/>
      <c r="E66" s="253" t="str">
        <f t="shared" ref="E66:E129" si="2">IF(OR($C66="",$D66=""),"",$D66-$C66)</f>
        <v/>
      </c>
      <c r="F66" s="243" t="str">
        <f t="shared" ref="F66:F129" si="3">$A66&amp;"|"&amp;TEXT($B66,"YYYYMMDD")</f>
        <v>ZAKI OMAR|YYYY06DD</v>
      </c>
    </row>
    <row r="67" spans="1:6" ht="15" customHeight="1" x14ac:dyDescent="0.25">
      <c r="A67" s="243" t="s">
        <v>89</v>
      </c>
      <c r="B67" s="251">
        <v>44719</v>
      </c>
      <c r="C67" s="252"/>
      <c r="D67" s="252"/>
      <c r="E67" s="253" t="str">
        <f t="shared" si="2"/>
        <v/>
      </c>
      <c r="F67" s="243" t="str">
        <f t="shared" si="3"/>
        <v>GUEYE MOUHAMED|YYYY06DD</v>
      </c>
    </row>
    <row r="68" spans="1:6" ht="15" customHeight="1" x14ac:dyDescent="0.25">
      <c r="A68" s="243" t="s">
        <v>88</v>
      </c>
      <c r="B68" s="251">
        <v>44719</v>
      </c>
      <c r="C68" s="252"/>
      <c r="D68" s="252"/>
      <c r="E68" s="253" t="str">
        <f t="shared" si="2"/>
        <v/>
      </c>
      <c r="F68" s="243" t="str">
        <f t="shared" si="3"/>
        <v>AIT LARBI HIND|YYYY06DD</v>
      </c>
    </row>
    <row r="69" spans="1:6" ht="15" customHeight="1" x14ac:dyDescent="0.25">
      <c r="A69" s="243" t="s">
        <v>198</v>
      </c>
      <c r="B69" s="251">
        <v>44719</v>
      </c>
      <c r="C69" s="252"/>
      <c r="D69" s="252"/>
      <c r="E69" s="253" t="str">
        <f t="shared" si="2"/>
        <v/>
      </c>
      <c r="F69" s="243" t="str">
        <f t="shared" si="3"/>
        <v>LALOUN MANAL |YYYY06DD</v>
      </c>
    </row>
    <row r="70" spans="1:6" ht="15" customHeight="1" x14ac:dyDescent="0.25">
      <c r="A70" s="243" t="s">
        <v>209</v>
      </c>
      <c r="B70" s="251">
        <v>44719</v>
      </c>
      <c r="C70" s="252"/>
      <c r="D70" s="252"/>
      <c r="E70" s="253" t="str">
        <f t="shared" si="2"/>
        <v/>
      </c>
      <c r="F70" s="243" t="str">
        <f t="shared" si="3"/>
        <v>SIDIBE MOUSKEBA DALAFINA|YYYY06DD</v>
      </c>
    </row>
    <row r="71" spans="1:6" ht="15" customHeight="1" x14ac:dyDescent="0.25">
      <c r="A71" s="243" t="s">
        <v>210</v>
      </c>
      <c r="B71" s="251">
        <v>44719</v>
      </c>
      <c r="C71" s="252"/>
      <c r="D71" s="252"/>
      <c r="E71" s="253" t="str">
        <f t="shared" si="2"/>
        <v/>
      </c>
      <c r="F71" s="243" t="str">
        <f t="shared" si="3"/>
        <v>BOULHROUD SALMA|YYYY06DD</v>
      </c>
    </row>
    <row r="72" spans="1:6" ht="15" customHeight="1" x14ac:dyDescent="0.25">
      <c r="A72" s="243" t="s">
        <v>212</v>
      </c>
      <c r="B72" s="251">
        <v>44719</v>
      </c>
      <c r="C72" s="252"/>
      <c r="D72" s="252"/>
      <c r="E72" s="253" t="str">
        <f t="shared" si="2"/>
        <v/>
      </c>
      <c r="F72" s="243" t="str">
        <f t="shared" si="3"/>
        <v>BOURABAA HASSAN|YYYY06DD</v>
      </c>
    </row>
    <row r="73" spans="1:6" ht="15" customHeight="1" x14ac:dyDescent="0.25">
      <c r="A73" s="243" t="s">
        <v>141</v>
      </c>
      <c r="B73" s="251">
        <v>44719</v>
      </c>
      <c r="C73" s="252"/>
      <c r="D73" s="252"/>
      <c r="E73" s="253" t="str">
        <f t="shared" si="2"/>
        <v/>
      </c>
      <c r="F73" s="243" t="str">
        <f t="shared" si="3"/>
        <v>AIT ADDI KHADIJA|YYYY06DD</v>
      </c>
    </row>
    <row r="74" spans="1:6" ht="15" customHeight="1" x14ac:dyDescent="0.25">
      <c r="A74" s="243" t="s">
        <v>197</v>
      </c>
      <c r="B74" s="251">
        <v>44719</v>
      </c>
      <c r="C74" s="252"/>
      <c r="D74" s="252"/>
      <c r="E74" s="253" t="str">
        <f t="shared" si="2"/>
        <v/>
      </c>
      <c r="F74" s="243" t="str">
        <f t="shared" si="3"/>
        <v>NUNEZ LUCIEN BERNARD|YYYY06DD</v>
      </c>
    </row>
    <row r="75" spans="1:6" ht="15" customHeight="1" x14ac:dyDescent="0.25">
      <c r="A75" s="243" t="s">
        <v>216</v>
      </c>
      <c r="B75" s="251">
        <v>44719</v>
      </c>
      <c r="C75" s="252"/>
      <c r="D75" s="252"/>
      <c r="E75" s="253" t="str">
        <f t="shared" si="2"/>
        <v/>
      </c>
      <c r="F75" s="243" t="str">
        <f t="shared" si="3"/>
        <v>SECK DIARRA|YYYY06DD</v>
      </c>
    </row>
    <row r="76" spans="1:6" ht="15" customHeight="1" x14ac:dyDescent="0.25">
      <c r="A76" s="243" t="s">
        <v>219</v>
      </c>
      <c r="B76" s="251">
        <v>44719</v>
      </c>
      <c r="C76" s="252"/>
      <c r="D76" s="252"/>
      <c r="E76" s="253" t="str">
        <f t="shared" si="2"/>
        <v/>
      </c>
      <c r="F76" s="243" t="str">
        <f t="shared" si="3"/>
        <v>BENSAR ANAS|YYYY06DD</v>
      </c>
    </row>
    <row r="77" spans="1:6" ht="15" customHeight="1" x14ac:dyDescent="0.25">
      <c r="A77" s="243" t="s">
        <v>106</v>
      </c>
      <c r="B77" s="251">
        <v>44719</v>
      </c>
      <c r="C77" s="252"/>
      <c r="D77" s="252"/>
      <c r="E77" s="253" t="str">
        <f t="shared" si="2"/>
        <v/>
      </c>
      <c r="F77" s="243" t="str">
        <f t="shared" si="3"/>
        <v>TOURE ABIBOU|YYYY06DD</v>
      </c>
    </row>
    <row r="78" spans="1:6" ht="15" customHeight="1" x14ac:dyDescent="0.25">
      <c r="A78" s="243" t="s">
        <v>87</v>
      </c>
      <c r="B78" s="251">
        <v>44719</v>
      </c>
      <c r="C78" s="252"/>
      <c r="D78" s="252"/>
      <c r="E78" s="253" t="str">
        <f t="shared" si="2"/>
        <v/>
      </c>
      <c r="F78" s="243" t="str">
        <f t="shared" si="3"/>
        <v>EL HARROUCHI CHAIMAE|YYYY06DD</v>
      </c>
    </row>
    <row r="79" spans="1:6" ht="15" customHeight="1" x14ac:dyDescent="0.25">
      <c r="A79" s="243" t="s">
        <v>214</v>
      </c>
      <c r="B79" s="251">
        <v>44719</v>
      </c>
      <c r="C79" s="252"/>
      <c r="D79" s="252"/>
      <c r="E79" s="253" t="str">
        <f t="shared" si="2"/>
        <v/>
      </c>
      <c r="F79" s="243" t="str">
        <f t="shared" si="3"/>
        <v>GUEYE GORA|YYYY06DD</v>
      </c>
    </row>
    <row r="80" spans="1:6" ht="15" customHeight="1" x14ac:dyDescent="0.25">
      <c r="A80" s="243" t="s">
        <v>102</v>
      </c>
      <c r="B80" s="251">
        <v>44719</v>
      </c>
      <c r="C80" s="252"/>
      <c r="D80" s="252"/>
      <c r="E80" s="253" t="str">
        <f t="shared" si="2"/>
        <v/>
      </c>
      <c r="F80" s="243" t="str">
        <f t="shared" si="3"/>
        <v>DIOUF OUSSMANE|YYYY06DD</v>
      </c>
    </row>
    <row r="81" spans="1:6" ht="15" customHeight="1" x14ac:dyDescent="0.25">
      <c r="A81" s="243" t="s">
        <v>83</v>
      </c>
      <c r="B81" s="251">
        <v>44719</v>
      </c>
      <c r="C81" s="252"/>
      <c r="D81" s="252"/>
      <c r="E81" s="253" t="str">
        <f t="shared" si="2"/>
        <v/>
      </c>
      <c r="F81" s="243" t="str">
        <f t="shared" si="3"/>
        <v>EL HOUSSAINI HOUDA|YYYY06DD</v>
      </c>
    </row>
    <row r="82" spans="1:6" ht="15" customHeight="1" x14ac:dyDescent="0.25">
      <c r="A82" s="243" t="s">
        <v>94</v>
      </c>
      <c r="B82" s="251">
        <v>44719</v>
      </c>
      <c r="C82" s="252"/>
      <c r="D82" s="252"/>
      <c r="E82" s="253" t="str">
        <f t="shared" si="2"/>
        <v/>
      </c>
      <c r="F82" s="243" t="str">
        <f t="shared" si="3"/>
        <v>RACHAD NAWAR|YYYY06DD</v>
      </c>
    </row>
    <row r="83" spans="1:6" ht="15" customHeight="1" x14ac:dyDescent="0.25">
      <c r="A83" s="243" t="s">
        <v>126</v>
      </c>
      <c r="B83" s="251">
        <v>44719</v>
      </c>
      <c r="C83" s="252"/>
      <c r="D83" s="252"/>
      <c r="E83" s="253" t="str">
        <f t="shared" si="2"/>
        <v/>
      </c>
      <c r="F83" s="243" t="str">
        <f t="shared" si="3"/>
        <v>ZIOUI DOUNIA|YYYY06DD</v>
      </c>
    </row>
    <row r="84" spans="1:6" ht="15" customHeight="1" x14ac:dyDescent="0.25">
      <c r="A84" s="243" t="s">
        <v>217</v>
      </c>
      <c r="B84" s="251">
        <v>44719</v>
      </c>
      <c r="C84" s="252"/>
      <c r="D84" s="252"/>
      <c r="E84" s="253" t="str">
        <f t="shared" si="2"/>
        <v/>
      </c>
      <c r="F84" s="243" t="str">
        <f t="shared" si="3"/>
        <v>AINELKITANE ZINEB|YYYY06DD</v>
      </c>
    </row>
    <row r="85" spans="1:6" ht="15" customHeight="1" x14ac:dyDescent="0.25">
      <c r="A85" s="243" t="s">
        <v>220</v>
      </c>
      <c r="B85" s="251">
        <v>44719</v>
      </c>
      <c r="C85" s="252"/>
      <c r="D85" s="252"/>
      <c r="E85" s="253" t="str">
        <f t="shared" si="2"/>
        <v/>
      </c>
      <c r="F85" s="243" t="str">
        <f t="shared" si="3"/>
        <v>NEMMAOUI MOUNIRA|YYYY06DD</v>
      </c>
    </row>
    <row r="86" spans="1:6" ht="15" customHeight="1" x14ac:dyDescent="0.25">
      <c r="A86" s="243" t="s">
        <v>221</v>
      </c>
      <c r="B86" s="251">
        <v>44719</v>
      </c>
      <c r="C86" s="252"/>
      <c r="D86" s="252"/>
      <c r="E86" s="253" t="str">
        <f t="shared" si="2"/>
        <v/>
      </c>
      <c r="F86" s="243" t="str">
        <f t="shared" si="3"/>
        <v>QARBOUI Aymane|YYYY06DD</v>
      </c>
    </row>
    <row r="87" spans="1:6" ht="15" customHeight="1" x14ac:dyDescent="0.25">
      <c r="A87" s="243" t="s">
        <v>85</v>
      </c>
      <c r="B87" s="251">
        <v>44719</v>
      </c>
      <c r="C87" s="252"/>
      <c r="D87" s="252"/>
      <c r="E87" s="253" t="str">
        <f t="shared" si="2"/>
        <v/>
      </c>
      <c r="F87" s="243" t="str">
        <f t="shared" si="3"/>
        <v>LAFDIL NADA|YYYY06DD</v>
      </c>
    </row>
    <row r="88" spans="1:6" ht="15" customHeight="1" x14ac:dyDescent="0.25">
      <c r="A88" s="243" t="s">
        <v>120</v>
      </c>
      <c r="B88" s="251">
        <v>44719</v>
      </c>
      <c r="C88" s="252"/>
      <c r="D88" s="252"/>
      <c r="E88" s="253" t="str">
        <f t="shared" si="2"/>
        <v/>
      </c>
      <c r="F88" s="243" t="str">
        <f t="shared" si="3"/>
        <v>MELLAHI YOUSSEF|YYYY06DD</v>
      </c>
    </row>
    <row r="89" spans="1:6" ht="15" customHeight="1" x14ac:dyDescent="0.25">
      <c r="A89" s="243" t="s">
        <v>223</v>
      </c>
      <c r="B89" s="251">
        <v>44719</v>
      </c>
      <c r="C89" s="252"/>
      <c r="D89" s="252"/>
      <c r="E89" s="253" t="str">
        <f t="shared" si="2"/>
        <v/>
      </c>
      <c r="F89" s="243" t="str">
        <f t="shared" si="3"/>
        <v>SOUOUD ZAKARIA|YYYY06DD</v>
      </c>
    </row>
    <row r="90" spans="1:6" ht="15" customHeight="1" x14ac:dyDescent="0.25">
      <c r="A90" s="243" t="s">
        <v>215</v>
      </c>
      <c r="B90" s="251">
        <v>44719</v>
      </c>
      <c r="C90" s="252"/>
      <c r="D90" s="252"/>
      <c r="E90" s="253" t="str">
        <f t="shared" si="2"/>
        <v/>
      </c>
      <c r="F90" s="243" t="str">
        <f t="shared" si="3"/>
        <v>DERKAOUI AMAL |YYYY06DD</v>
      </c>
    </row>
    <row r="91" spans="1:6" ht="15" customHeight="1" x14ac:dyDescent="0.25">
      <c r="A91" s="243" t="s">
        <v>80</v>
      </c>
      <c r="B91" s="251">
        <v>44719</v>
      </c>
      <c r="C91" s="252"/>
      <c r="D91" s="252"/>
      <c r="E91" s="253" t="str">
        <f t="shared" si="2"/>
        <v/>
      </c>
      <c r="F91" s="243" t="str">
        <f t="shared" si="3"/>
        <v>IHASSANE Ikram|YYYY06DD</v>
      </c>
    </row>
    <row r="92" spans="1:6" ht="15" customHeight="1" x14ac:dyDescent="0.25">
      <c r="A92" s="243" t="s">
        <v>213</v>
      </c>
      <c r="B92" s="251">
        <v>44719</v>
      </c>
      <c r="C92" s="252"/>
      <c r="D92" s="252"/>
      <c r="E92" s="253" t="str">
        <f t="shared" si="2"/>
        <v/>
      </c>
      <c r="F92" s="243" t="str">
        <f t="shared" si="3"/>
        <v>EL-AOUAQUI BOUCHRA|YYYY06DD</v>
      </c>
    </row>
    <row r="93" spans="1:6" ht="15" customHeight="1" x14ac:dyDescent="0.25">
      <c r="A93" s="243" t="s">
        <v>91</v>
      </c>
      <c r="B93" s="251">
        <v>44719</v>
      </c>
      <c r="C93" s="252"/>
      <c r="D93" s="252"/>
      <c r="E93" s="253" t="str">
        <f t="shared" si="2"/>
        <v/>
      </c>
      <c r="F93" s="243" t="str">
        <f t="shared" si="3"/>
        <v>ZITOUNI LAMYA|YYYY06DD</v>
      </c>
    </row>
    <row r="94" spans="1:6" ht="15" customHeight="1" x14ac:dyDescent="0.25">
      <c r="A94" s="243" t="s">
        <v>110</v>
      </c>
      <c r="B94" s="251">
        <v>44719</v>
      </c>
      <c r="C94" s="252"/>
      <c r="D94" s="252"/>
      <c r="E94" s="253" t="str">
        <f t="shared" si="2"/>
        <v/>
      </c>
      <c r="F94" s="243" t="str">
        <f t="shared" si="3"/>
        <v>KANTAOUI SALMA|YYYY06DD</v>
      </c>
    </row>
    <row r="95" spans="1:6" ht="15" customHeight="1" x14ac:dyDescent="0.25">
      <c r="A95" s="243" t="s">
        <v>144</v>
      </c>
      <c r="B95" s="251">
        <v>44719</v>
      </c>
      <c r="C95" s="252"/>
      <c r="D95" s="252"/>
      <c r="E95" s="253" t="str">
        <f t="shared" si="2"/>
        <v/>
      </c>
      <c r="F95" s="243" t="str">
        <f t="shared" si="3"/>
        <v>EL HOUJJAJI Soufiane |YYYY06DD</v>
      </c>
    </row>
    <row r="96" spans="1:6" ht="15" customHeight="1" x14ac:dyDescent="0.25">
      <c r="A96" s="243" t="s">
        <v>196</v>
      </c>
      <c r="B96" s="251">
        <v>44719</v>
      </c>
      <c r="C96" s="252"/>
      <c r="D96" s="252"/>
      <c r="E96" s="253" t="str">
        <f t="shared" si="2"/>
        <v/>
      </c>
      <c r="F96" s="243" t="str">
        <f t="shared" si="3"/>
        <v>AZHARI ABDELHAMID|YYYY06DD</v>
      </c>
    </row>
    <row r="97" spans="1:6" ht="15" customHeight="1" x14ac:dyDescent="0.25">
      <c r="A97" s="243" t="s">
        <v>45</v>
      </c>
      <c r="B97" s="251">
        <v>44719</v>
      </c>
      <c r="C97" s="252"/>
      <c r="D97" s="252"/>
      <c r="E97" s="253" t="str">
        <f t="shared" si="2"/>
        <v/>
      </c>
      <c r="F97" s="243" t="str">
        <f t="shared" si="3"/>
        <v>NIANG NDEYE ABSA|YYYY06DD</v>
      </c>
    </row>
    <row r="98" spans="1:6" ht="15" customHeight="1" x14ac:dyDescent="0.25">
      <c r="A98" s="243" t="s">
        <v>89</v>
      </c>
      <c r="B98" s="251">
        <v>44720</v>
      </c>
      <c r="C98" s="252"/>
      <c r="D98" s="252"/>
      <c r="E98" s="253" t="str">
        <f t="shared" si="2"/>
        <v/>
      </c>
      <c r="F98" s="243" t="str">
        <f t="shared" si="3"/>
        <v>GUEYE MOUHAMED|YYYY06DD</v>
      </c>
    </row>
    <row r="99" spans="1:6" ht="15" customHeight="1" x14ac:dyDescent="0.25">
      <c r="A99" s="243" t="s">
        <v>102</v>
      </c>
      <c r="B99" s="251">
        <v>44720</v>
      </c>
      <c r="C99" s="252"/>
      <c r="D99" s="252"/>
      <c r="E99" s="253" t="str">
        <f t="shared" si="2"/>
        <v/>
      </c>
      <c r="F99" s="243" t="str">
        <f t="shared" si="3"/>
        <v>DIOUF OUSSMANE|YYYY06DD</v>
      </c>
    </row>
    <row r="100" spans="1:6" ht="15" customHeight="1" x14ac:dyDescent="0.25">
      <c r="A100" s="243" t="s">
        <v>144</v>
      </c>
      <c r="B100" s="251">
        <v>44720</v>
      </c>
      <c r="C100" s="252"/>
      <c r="D100" s="252"/>
      <c r="E100" s="253" t="str">
        <f t="shared" si="2"/>
        <v/>
      </c>
      <c r="F100" s="243" t="str">
        <f t="shared" si="3"/>
        <v>EL HOUJJAJI Soufiane |YYYY06DD</v>
      </c>
    </row>
    <row r="101" spans="1:6" ht="15" customHeight="1" x14ac:dyDescent="0.25">
      <c r="A101" s="243" t="s">
        <v>196</v>
      </c>
      <c r="B101" s="251">
        <v>44720</v>
      </c>
      <c r="C101" s="252"/>
      <c r="D101" s="252"/>
      <c r="E101" s="253" t="str">
        <f t="shared" si="2"/>
        <v/>
      </c>
      <c r="F101" s="243" t="str">
        <f t="shared" si="3"/>
        <v>AZHARI ABDELHAMID|YYYY06DD</v>
      </c>
    </row>
    <row r="102" spans="1:6" ht="15" customHeight="1" x14ac:dyDescent="0.25">
      <c r="A102" s="243" t="s">
        <v>198</v>
      </c>
      <c r="B102" s="251">
        <v>44720</v>
      </c>
      <c r="C102" s="252"/>
      <c r="D102" s="252"/>
      <c r="E102" s="253" t="str">
        <f t="shared" si="2"/>
        <v/>
      </c>
      <c r="F102" s="243" t="str">
        <f t="shared" si="3"/>
        <v>LALOUN MANAL |YYYY06DD</v>
      </c>
    </row>
    <row r="103" spans="1:6" ht="15" customHeight="1" x14ac:dyDescent="0.25">
      <c r="A103" s="243" t="s">
        <v>209</v>
      </c>
      <c r="B103" s="251">
        <v>44720</v>
      </c>
      <c r="C103" s="252"/>
      <c r="D103" s="252"/>
      <c r="E103" s="253" t="str">
        <f t="shared" si="2"/>
        <v/>
      </c>
      <c r="F103" s="243" t="str">
        <f t="shared" si="3"/>
        <v>SIDIBE MOUSKEBA DALAFINA|YYYY06DD</v>
      </c>
    </row>
    <row r="104" spans="1:6" ht="15" customHeight="1" x14ac:dyDescent="0.25">
      <c r="A104" s="243" t="s">
        <v>210</v>
      </c>
      <c r="B104" s="251">
        <v>44720</v>
      </c>
      <c r="C104" s="252"/>
      <c r="D104" s="252"/>
      <c r="E104" s="253" t="str">
        <f t="shared" si="2"/>
        <v/>
      </c>
      <c r="F104" s="243" t="str">
        <f t="shared" si="3"/>
        <v>BOULHROUD SALMA|YYYY06DD</v>
      </c>
    </row>
    <row r="105" spans="1:6" ht="15" customHeight="1" x14ac:dyDescent="0.25">
      <c r="A105" s="243" t="s">
        <v>94</v>
      </c>
      <c r="B105" s="251">
        <v>44720</v>
      </c>
      <c r="C105" s="252"/>
      <c r="D105" s="252"/>
      <c r="E105" s="253" t="str">
        <f t="shared" si="2"/>
        <v/>
      </c>
      <c r="F105" s="243" t="str">
        <f t="shared" si="3"/>
        <v>RACHAD NAWAR|YYYY06DD</v>
      </c>
    </row>
    <row r="106" spans="1:6" ht="15" customHeight="1" x14ac:dyDescent="0.25">
      <c r="A106" s="243" t="s">
        <v>216</v>
      </c>
      <c r="B106" s="251">
        <v>44720</v>
      </c>
      <c r="C106" s="252"/>
      <c r="D106" s="252"/>
      <c r="E106" s="253" t="str">
        <f t="shared" si="2"/>
        <v/>
      </c>
      <c r="F106" s="243" t="str">
        <f t="shared" si="3"/>
        <v>SECK DIARRA|YYYY06DD</v>
      </c>
    </row>
    <row r="107" spans="1:6" ht="15" customHeight="1" x14ac:dyDescent="0.25">
      <c r="A107" s="243" t="s">
        <v>45</v>
      </c>
      <c r="B107" s="251">
        <v>44720</v>
      </c>
      <c r="C107" s="252"/>
      <c r="D107" s="252"/>
      <c r="E107" s="253" t="str">
        <f t="shared" si="2"/>
        <v/>
      </c>
      <c r="F107" s="243" t="str">
        <f t="shared" si="3"/>
        <v>NIANG NDEYE ABSA|YYYY06DD</v>
      </c>
    </row>
    <row r="108" spans="1:6" ht="15" customHeight="1" x14ac:dyDescent="0.25">
      <c r="A108" s="243" t="s">
        <v>76</v>
      </c>
      <c r="B108" s="251">
        <v>44720</v>
      </c>
      <c r="C108" s="252"/>
      <c r="D108" s="252"/>
      <c r="E108" s="253" t="str">
        <f t="shared" si="2"/>
        <v/>
      </c>
      <c r="F108" s="243" t="str">
        <f t="shared" si="3"/>
        <v>ZAKI OMAR|YYYY06DD</v>
      </c>
    </row>
    <row r="109" spans="1:6" ht="15" customHeight="1" x14ac:dyDescent="0.25">
      <c r="A109" s="243" t="s">
        <v>197</v>
      </c>
      <c r="B109" s="251">
        <v>44720</v>
      </c>
      <c r="C109" s="252"/>
      <c r="D109" s="252"/>
      <c r="E109" s="253" t="str">
        <f t="shared" si="2"/>
        <v/>
      </c>
      <c r="F109" s="243" t="str">
        <f t="shared" si="3"/>
        <v>NUNEZ LUCIEN BERNARD|YYYY06DD</v>
      </c>
    </row>
    <row r="110" spans="1:6" ht="15" customHeight="1" x14ac:dyDescent="0.25">
      <c r="A110" s="243" t="s">
        <v>106</v>
      </c>
      <c r="B110" s="251">
        <v>44720</v>
      </c>
      <c r="C110" s="252"/>
      <c r="D110" s="252"/>
      <c r="E110" s="253" t="str">
        <f t="shared" si="2"/>
        <v/>
      </c>
      <c r="F110" s="243" t="str">
        <f t="shared" si="3"/>
        <v>TOURE ABIBOU|YYYY06DD</v>
      </c>
    </row>
    <row r="111" spans="1:6" ht="15" customHeight="1" x14ac:dyDescent="0.25">
      <c r="A111" s="243" t="s">
        <v>87</v>
      </c>
      <c r="B111" s="251">
        <v>44720</v>
      </c>
      <c r="C111" s="252"/>
      <c r="D111" s="252"/>
      <c r="E111" s="253" t="str">
        <f t="shared" si="2"/>
        <v/>
      </c>
      <c r="F111" s="243" t="str">
        <f t="shared" si="3"/>
        <v>EL HARROUCHI CHAIMAE|YYYY06DD</v>
      </c>
    </row>
    <row r="112" spans="1:6" ht="15" customHeight="1" x14ac:dyDescent="0.25">
      <c r="A112" s="243" t="s">
        <v>214</v>
      </c>
      <c r="B112" s="251">
        <v>44720</v>
      </c>
      <c r="C112" s="252"/>
      <c r="D112" s="252"/>
      <c r="E112" s="253" t="str">
        <f t="shared" si="2"/>
        <v/>
      </c>
      <c r="F112" s="243" t="str">
        <f t="shared" si="3"/>
        <v>GUEYE GORA|YYYY06DD</v>
      </c>
    </row>
    <row r="113" spans="1:6" ht="15" customHeight="1" x14ac:dyDescent="0.25">
      <c r="A113" s="243" t="s">
        <v>223</v>
      </c>
      <c r="B113" s="251">
        <v>44720</v>
      </c>
      <c r="C113" s="252"/>
      <c r="D113" s="252"/>
      <c r="E113" s="253" t="str">
        <f t="shared" si="2"/>
        <v/>
      </c>
      <c r="F113" s="243" t="str">
        <f t="shared" si="3"/>
        <v>SOUOUD ZAKARIA|YYYY06DD</v>
      </c>
    </row>
    <row r="114" spans="1:6" ht="15" customHeight="1" x14ac:dyDescent="0.25">
      <c r="A114" s="243" t="s">
        <v>83</v>
      </c>
      <c r="B114" s="251">
        <v>44720</v>
      </c>
      <c r="C114" s="252"/>
      <c r="D114" s="252"/>
      <c r="E114" s="253" t="str">
        <f t="shared" si="2"/>
        <v/>
      </c>
      <c r="F114" s="243" t="str">
        <f t="shared" si="3"/>
        <v>EL HOUSSAINI HOUDA|YYYY06DD</v>
      </c>
    </row>
    <row r="115" spans="1:6" ht="15" customHeight="1" x14ac:dyDescent="0.25">
      <c r="A115" s="243" t="s">
        <v>126</v>
      </c>
      <c r="B115" s="251">
        <v>44720</v>
      </c>
      <c r="C115" s="252"/>
      <c r="D115" s="252"/>
      <c r="E115" s="253" t="str">
        <f t="shared" si="2"/>
        <v/>
      </c>
      <c r="F115" s="243" t="str">
        <f t="shared" si="3"/>
        <v>ZIOUI DOUNIA|YYYY06DD</v>
      </c>
    </row>
    <row r="116" spans="1:6" ht="15" customHeight="1" x14ac:dyDescent="0.25">
      <c r="A116" s="243" t="s">
        <v>217</v>
      </c>
      <c r="B116" s="251">
        <v>44720</v>
      </c>
      <c r="C116" s="252"/>
      <c r="D116" s="252"/>
      <c r="E116" s="253" t="str">
        <f t="shared" si="2"/>
        <v/>
      </c>
      <c r="F116" s="243" t="str">
        <f t="shared" si="3"/>
        <v>AINELKITANE ZINEB|YYYY06DD</v>
      </c>
    </row>
    <row r="117" spans="1:6" ht="15" customHeight="1" x14ac:dyDescent="0.25">
      <c r="A117" s="243" t="s">
        <v>219</v>
      </c>
      <c r="B117" s="251">
        <v>44720</v>
      </c>
      <c r="C117" s="252"/>
      <c r="D117" s="252"/>
      <c r="E117" s="253" t="str">
        <f t="shared" si="2"/>
        <v/>
      </c>
      <c r="F117" s="243" t="str">
        <f t="shared" si="3"/>
        <v>BENSAR ANAS|YYYY06DD</v>
      </c>
    </row>
    <row r="118" spans="1:6" ht="15" customHeight="1" x14ac:dyDescent="0.25">
      <c r="A118" s="243" t="s">
        <v>221</v>
      </c>
      <c r="B118" s="251">
        <v>44720</v>
      </c>
      <c r="C118" s="252"/>
      <c r="D118" s="252"/>
      <c r="E118" s="253" t="str">
        <f t="shared" si="2"/>
        <v/>
      </c>
      <c r="F118" s="243" t="str">
        <f t="shared" si="3"/>
        <v>QARBOUI Aymane|YYYY06DD</v>
      </c>
    </row>
    <row r="119" spans="1:6" ht="15" customHeight="1" x14ac:dyDescent="0.25">
      <c r="A119" s="243" t="s">
        <v>120</v>
      </c>
      <c r="B119" s="251">
        <v>44720</v>
      </c>
      <c r="C119" s="252"/>
      <c r="D119" s="252"/>
      <c r="E119" s="253" t="str">
        <f t="shared" si="2"/>
        <v/>
      </c>
      <c r="F119" s="243" t="str">
        <f t="shared" si="3"/>
        <v>MELLAHI YOUSSEF|YYYY06DD</v>
      </c>
    </row>
    <row r="120" spans="1:6" ht="15" customHeight="1" x14ac:dyDescent="0.25">
      <c r="A120" s="243" t="s">
        <v>215</v>
      </c>
      <c r="B120" s="251">
        <v>44720</v>
      </c>
      <c r="C120" s="252"/>
      <c r="D120" s="252"/>
      <c r="E120" s="253" t="str">
        <f t="shared" si="2"/>
        <v/>
      </c>
      <c r="F120" s="243" t="str">
        <f t="shared" si="3"/>
        <v>DERKAOUI AMAL |YYYY06DD</v>
      </c>
    </row>
    <row r="121" spans="1:6" ht="15" customHeight="1" x14ac:dyDescent="0.25">
      <c r="A121" s="243" t="s">
        <v>80</v>
      </c>
      <c r="B121" s="251">
        <v>44720</v>
      </c>
      <c r="C121" s="252"/>
      <c r="D121" s="252"/>
      <c r="E121" s="253" t="str">
        <f t="shared" si="2"/>
        <v/>
      </c>
      <c r="F121" s="243" t="str">
        <f t="shared" si="3"/>
        <v>IHASSANE Ikram|YYYY06DD</v>
      </c>
    </row>
    <row r="122" spans="1:6" ht="15" customHeight="1" x14ac:dyDescent="0.25">
      <c r="A122" s="243" t="s">
        <v>85</v>
      </c>
      <c r="B122" s="251">
        <v>44720</v>
      </c>
      <c r="C122" s="252"/>
      <c r="D122" s="252"/>
      <c r="E122" s="253" t="str">
        <f t="shared" si="2"/>
        <v/>
      </c>
      <c r="F122" s="243" t="str">
        <f t="shared" si="3"/>
        <v>LAFDIL NADA|YYYY06DD</v>
      </c>
    </row>
    <row r="123" spans="1:6" ht="15" customHeight="1" x14ac:dyDescent="0.25">
      <c r="A123" s="243" t="s">
        <v>212</v>
      </c>
      <c r="B123" s="251">
        <v>44720</v>
      </c>
      <c r="C123" s="252"/>
      <c r="D123" s="252"/>
      <c r="E123" s="253" t="str">
        <f t="shared" si="2"/>
        <v/>
      </c>
      <c r="F123" s="243" t="str">
        <f t="shared" si="3"/>
        <v>BOURABAA HASSAN|YYYY06DD</v>
      </c>
    </row>
    <row r="124" spans="1:6" ht="15" customHeight="1" x14ac:dyDescent="0.25">
      <c r="A124" s="243" t="s">
        <v>141</v>
      </c>
      <c r="B124" s="251">
        <v>44720</v>
      </c>
      <c r="C124" s="252"/>
      <c r="D124" s="252"/>
      <c r="E124" s="253" t="str">
        <f t="shared" si="2"/>
        <v/>
      </c>
      <c r="F124" s="243" t="str">
        <f t="shared" si="3"/>
        <v>AIT ADDI KHADIJA|YYYY06DD</v>
      </c>
    </row>
    <row r="125" spans="1:6" ht="15" customHeight="1" x14ac:dyDescent="0.25">
      <c r="A125" s="243" t="s">
        <v>220</v>
      </c>
      <c r="B125" s="251">
        <v>44720</v>
      </c>
      <c r="C125" s="252"/>
      <c r="D125" s="252"/>
      <c r="E125" s="253" t="str">
        <f t="shared" si="2"/>
        <v/>
      </c>
      <c r="F125" s="243" t="str">
        <f t="shared" si="3"/>
        <v>NEMMAOUI MOUNIRA|YYYY06DD</v>
      </c>
    </row>
    <row r="126" spans="1:6" ht="15" customHeight="1" x14ac:dyDescent="0.25">
      <c r="A126" s="243" t="s">
        <v>88</v>
      </c>
      <c r="B126" s="251">
        <v>44720</v>
      </c>
      <c r="C126" s="252"/>
      <c r="D126" s="252"/>
      <c r="E126" s="253" t="str">
        <f t="shared" si="2"/>
        <v/>
      </c>
      <c r="F126" s="243" t="str">
        <f t="shared" si="3"/>
        <v>AIT LARBI HIND|YYYY06DD</v>
      </c>
    </row>
    <row r="127" spans="1:6" ht="15" customHeight="1" x14ac:dyDescent="0.25">
      <c r="A127" s="243" t="s">
        <v>213</v>
      </c>
      <c r="B127" s="251">
        <v>44720</v>
      </c>
      <c r="C127" s="252"/>
      <c r="D127" s="252"/>
      <c r="E127" s="253" t="str">
        <f t="shared" si="2"/>
        <v/>
      </c>
      <c r="F127" s="243" t="str">
        <f t="shared" si="3"/>
        <v>EL-AOUAQUI BOUCHRA|YYYY06DD</v>
      </c>
    </row>
    <row r="128" spans="1:6" ht="15" customHeight="1" x14ac:dyDescent="0.25">
      <c r="A128" s="243" t="s">
        <v>91</v>
      </c>
      <c r="B128" s="251">
        <v>44720</v>
      </c>
      <c r="C128" s="252"/>
      <c r="D128" s="252"/>
      <c r="E128" s="253" t="str">
        <f t="shared" si="2"/>
        <v/>
      </c>
      <c r="F128" s="243" t="str">
        <f t="shared" si="3"/>
        <v>ZITOUNI LAMYA|YYYY06DD</v>
      </c>
    </row>
    <row r="129" spans="1:6" ht="15" customHeight="1" x14ac:dyDescent="0.25">
      <c r="A129" s="243" t="s">
        <v>110</v>
      </c>
      <c r="B129" s="251">
        <v>44720</v>
      </c>
      <c r="C129" s="252"/>
      <c r="D129" s="252"/>
      <c r="E129" s="253" t="str">
        <f t="shared" si="2"/>
        <v/>
      </c>
      <c r="F129" s="243" t="str">
        <f t="shared" si="3"/>
        <v>KANTAOUI SALMA|YYYY06DD</v>
      </c>
    </row>
    <row r="130" spans="1:6" ht="15" customHeight="1" x14ac:dyDescent="0.25">
      <c r="A130" s="243" t="s">
        <v>213</v>
      </c>
      <c r="B130" s="251">
        <v>44721</v>
      </c>
      <c r="C130" s="252"/>
      <c r="D130" s="252"/>
      <c r="E130" s="253" t="str">
        <f t="shared" ref="E130:E193" si="4">IF(OR($C130="",$D130=""),"",$D130-$C130)</f>
        <v/>
      </c>
      <c r="F130" s="243" t="str">
        <f t="shared" ref="F130:F193" si="5">$A130&amp;"|"&amp;TEXT($B130,"YYYYMMDD")</f>
        <v>EL-AOUAQUI BOUCHRA|YYYY06DD</v>
      </c>
    </row>
    <row r="131" spans="1:6" ht="15" customHeight="1" x14ac:dyDescent="0.25">
      <c r="A131" s="243" t="s">
        <v>45</v>
      </c>
      <c r="B131" s="251">
        <v>44721</v>
      </c>
      <c r="C131" s="252"/>
      <c r="D131" s="252"/>
      <c r="E131" s="253" t="str">
        <f t="shared" si="4"/>
        <v/>
      </c>
      <c r="F131" s="243" t="str">
        <f t="shared" si="5"/>
        <v>NIANG NDEYE ABSA|YYYY06DD</v>
      </c>
    </row>
    <row r="132" spans="1:6" ht="15" customHeight="1" x14ac:dyDescent="0.25">
      <c r="A132" s="243" t="s">
        <v>87</v>
      </c>
      <c r="B132" s="251">
        <v>44721</v>
      </c>
      <c r="C132" s="252"/>
      <c r="D132" s="252"/>
      <c r="E132" s="253" t="str">
        <f t="shared" si="4"/>
        <v/>
      </c>
      <c r="F132" s="243" t="str">
        <f t="shared" si="5"/>
        <v>EL HARROUCHI CHAIMAE|YYYY06DD</v>
      </c>
    </row>
    <row r="133" spans="1:6" ht="15" customHeight="1" x14ac:dyDescent="0.25">
      <c r="A133" s="243" t="s">
        <v>85</v>
      </c>
      <c r="B133" s="251">
        <v>44721</v>
      </c>
      <c r="C133" s="252"/>
      <c r="D133" s="252"/>
      <c r="E133" s="253" t="str">
        <f t="shared" si="4"/>
        <v/>
      </c>
      <c r="F133" s="243" t="str">
        <f t="shared" si="5"/>
        <v>LAFDIL NADA|YYYY06DD</v>
      </c>
    </row>
    <row r="134" spans="1:6" ht="15" customHeight="1" x14ac:dyDescent="0.25">
      <c r="A134" s="243" t="s">
        <v>89</v>
      </c>
      <c r="B134" s="251">
        <v>44721</v>
      </c>
      <c r="C134" s="252"/>
      <c r="D134" s="252"/>
      <c r="E134" s="253" t="str">
        <f t="shared" si="4"/>
        <v/>
      </c>
      <c r="F134" s="243" t="str">
        <f t="shared" si="5"/>
        <v>GUEYE MOUHAMED|YYYY06DD</v>
      </c>
    </row>
    <row r="135" spans="1:6" ht="15" customHeight="1" x14ac:dyDescent="0.25">
      <c r="A135" s="243" t="s">
        <v>214</v>
      </c>
      <c r="B135" s="251">
        <v>44721</v>
      </c>
      <c r="C135" s="252"/>
      <c r="D135" s="252"/>
      <c r="E135" s="253" t="str">
        <f t="shared" si="4"/>
        <v/>
      </c>
      <c r="F135" s="243" t="str">
        <f t="shared" si="5"/>
        <v>GUEYE GORA|YYYY06DD</v>
      </c>
    </row>
    <row r="136" spans="1:6" ht="15" customHeight="1" x14ac:dyDescent="0.25">
      <c r="A136" s="243" t="s">
        <v>102</v>
      </c>
      <c r="B136" s="251">
        <v>44721</v>
      </c>
      <c r="C136" s="252"/>
      <c r="D136" s="252"/>
      <c r="E136" s="253" t="str">
        <f t="shared" si="4"/>
        <v/>
      </c>
      <c r="F136" s="243" t="str">
        <f t="shared" si="5"/>
        <v>DIOUF OUSSMANE|YYYY06DD</v>
      </c>
    </row>
    <row r="137" spans="1:6" ht="15" customHeight="1" x14ac:dyDescent="0.25">
      <c r="A137" s="243" t="s">
        <v>106</v>
      </c>
      <c r="B137" s="251">
        <v>44721</v>
      </c>
      <c r="C137" s="252"/>
      <c r="D137" s="252"/>
      <c r="E137" s="253" t="str">
        <f t="shared" si="4"/>
        <v/>
      </c>
      <c r="F137" s="243" t="str">
        <f t="shared" si="5"/>
        <v>TOURE ABIBOU|YYYY06DD</v>
      </c>
    </row>
    <row r="138" spans="1:6" ht="15" customHeight="1" x14ac:dyDescent="0.25">
      <c r="A138" s="243" t="s">
        <v>110</v>
      </c>
      <c r="B138" s="251">
        <v>44721</v>
      </c>
      <c r="C138" s="252"/>
      <c r="D138" s="252"/>
      <c r="E138" s="253" t="str">
        <f t="shared" si="4"/>
        <v/>
      </c>
      <c r="F138" s="243" t="str">
        <f t="shared" si="5"/>
        <v>KANTAOUI SALMA|YYYY06DD</v>
      </c>
    </row>
    <row r="139" spans="1:6" ht="15" customHeight="1" x14ac:dyDescent="0.25">
      <c r="A139" s="243" t="s">
        <v>144</v>
      </c>
      <c r="B139" s="251">
        <v>44721</v>
      </c>
      <c r="C139" s="252"/>
      <c r="D139" s="252"/>
      <c r="E139" s="253" t="str">
        <f t="shared" si="4"/>
        <v/>
      </c>
      <c r="F139" s="243" t="str">
        <f t="shared" si="5"/>
        <v>EL HOUJJAJI Soufiane |YYYY06DD</v>
      </c>
    </row>
    <row r="140" spans="1:6" ht="15" customHeight="1" x14ac:dyDescent="0.25">
      <c r="A140" s="243" t="s">
        <v>196</v>
      </c>
      <c r="B140" s="251">
        <v>44721</v>
      </c>
      <c r="C140" s="252"/>
      <c r="D140" s="252"/>
      <c r="E140" s="253" t="str">
        <f t="shared" si="4"/>
        <v/>
      </c>
      <c r="F140" s="243" t="str">
        <f t="shared" si="5"/>
        <v>AZHARI ABDELHAMID|YYYY06DD</v>
      </c>
    </row>
    <row r="141" spans="1:6" ht="15" customHeight="1" x14ac:dyDescent="0.25">
      <c r="A141" s="243" t="s">
        <v>209</v>
      </c>
      <c r="B141" s="251">
        <v>44721</v>
      </c>
      <c r="C141" s="252"/>
      <c r="D141" s="252"/>
      <c r="E141" s="253" t="str">
        <f t="shared" si="4"/>
        <v/>
      </c>
      <c r="F141" s="243" t="str">
        <f t="shared" si="5"/>
        <v>SIDIBE MOUSKEBA DALAFINA|YYYY06DD</v>
      </c>
    </row>
    <row r="142" spans="1:6" ht="15" customHeight="1" x14ac:dyDescent="0.25">
      <c r="A142" s="243" t="s">
        <v>212</v>
      </c>
      <c r="B142" s="251">
        <v>44721</v>
      </c>
      <c r="C142" s="252"/>
      <c r="D142" s="252"/>
      <c r="E142" s="253" t="str">
        <f t="shared" si="4"/>
        <v/>
      </c>
      <c r="F142" s="243" t="str">
        <f t="shared" si="5"/>
        <v>BOURABAA HASSAN|YYYY06DD</v>
      </c>
    </row>
    <row r="143" spans="1:6" ht="15" customHeight="1" x14ac:dyDescent="0.25">
      <c r="A143" s="243" t="s">
        <v>223</v>
      </c>
      <c r="B143" s="251">
        <v>44721</v>
      </c>
      <c r="C143" s="252"/>
      <c r="D143" s="252"/>
      <c r="E143" s="253" t="str">
        <f t="shared" si="4"/>
        <v/>
      </c>
      <c r="F143" s="243" t="str">
        <f t="shared" si="5"/>
        <v>SOUOUD ZAKARIA|YYYY06DD</v>
      </c>
    </row>
    <row r="144" spans="1:6" ht="15" customHeight="1" x14ac:dyDescent="0.25">
      <c r="A144" s="243" t="s">
        <v>80</v>
      </c>
      <c r="B144" s="251">
        <v>44721</v>
      </c>
      <c r="C144" s="252"/>
      <c r="D144" s="252"/>
      <c r="E144" s="253" t="str">
        <f t="shared" si="4"/>
        <v/>
      </c>
      <c r="F144" s="243" t="str">
        <f t="shared" si="5"/>
        <v>IHASSANE Ikram|YYYY06DD</v>
      </c>
    </row>
    <row r="145" spans="1:6" ht="15" customHeight="1" x14ac:dyDescent="0.25">
      <c r="A145" s="243" t="s">
        <v>83</v>
      </c>
      <c r="B145" s="251">
        <v>44721</v>
      </c>
      <c r="C145" s="252"/>
      <c r="D145" s="252"/>
      <c r="E145" s="253" t="str">
        <f t="shared" si="4"/>
        <v/>
      </c>
      <c r="F145" s="243" t="str">
        <f t="shared" si="5"/>
        <v>EL HOUSSAINI HOUDA|YYYY06DD</v>
      </c>
    </row>
    <row r="146" spans="1:6" ht="15" customHeight="1" x14ac:dyDescent="0.25">
      <c r="A146" s="243" t="s">
        <v>94</v>
      </c>
      <c r="B146" s="251">
        <v>44721</v>
      </c>
      <c r="C146" s="252"/>
      <c r="D146" s="252"/>
      <c r="E146" s="253" t="str">
        <f t="shared" si="4"/>
        <v/>
      </c>
      <c r="F146" s="243" t="str">
        <f t="shared" si="5"/>
        <v>RACHAD NAWAR|YYYY06DD</v>
      </c>
    </row>
    <row r="147" spans="1:6" ht="15" customHeight="1" x14ac:dyDescent="0.25">
      <c r="A147" s="243" t="s">
        <v>126</v>
      </c>
      <c r="B147" s="251">
        <v>44721</v>
      </c>
      <c r="C147" s="252"/>
      <c r="D147" s="252"/>
      <c r="E147" s="253" t="str">
        <f t="shared" si="4"/>
        <v/>
      </c>
      <c r="F147" s="243" t="str">
        <f t="shared" si="5"/>
        <v>ZIOUI DOUNIA|YYYY06DD</v>
      </c>
    </row>
    <row r="148" spans="1:6" ht="15" customHeight="1" x14ac:dyDescent="0.25">
      <c r="A148" s="243" t="s">
        <v>141</v>
      </c>
      <c r="B148" s="251">
        <v>44721</v>
      </c>
      <c r="C148" s="252"/>
      <c r="D148" s="252"/>
      <c r="E148" s="253" t="str">
        <f t="shared" si="4"/>
        <v/>
      </c>
      <c r="F148" s="243" t="str">
        <f t="shared" si="5"/>
        <v>AIT ADDI KHADIJA|YYYY06DD</v>
      </c>
    </row>
    <row r="149" spans="1:6" ht="15" customHeight="1" x14ac:dyDescent="0.25">
      <c r="A149" s="243" t="s">
        <v>120</v>
      </c>
      <c r="B149" s="251">
        <v>44721</v>
      </c>
      <c r="C149" s="252"/>
      <c r="D149" s="252"/>
      <c r="E149" s="253" t="str">
        <f t="shared" si="4"/>
        <v/>
      </c>
      <c r="F149" s="243" t="str">
        <f t="shared" si="5"/>
        <v>MELLAHI YOUSSEF|YYYY06DD</v>
      </c>
    </row>
    <row r="150" spans="1:6" ht="15" customHeight="1" x14ac:dyDescent="0.25">
      <c r="A150" s="243" t="s">
        <v>197</v>
      </c>
      <c r="B150" s="251">
        <v>44721</v>
      </c>
      <c r="C150" s="252"/>
      <c r="D150" s="252"/>
      <c r="E150" s="253" t="str">
        <f t="shared" si="4"/>
        <v/>
      </c>
      <c r="F150" s="243" t="str">
        <f t="shared" si="5"/>
        <v>NUNEZ LUCIEN BERNARD|YYYY06DD</v>
      </c>
    </row>
    <row r="151" spans="1:6" ht="15" customHeight="1" x14ac:dyDescent="0.25">
      <c r="A151" s="243" t="s">
        <v>216</v>
      </c>
      <c r="B151" s="251">
        <v>44721</v>
      </c>
      <c r="C151" s="252"/>
      <c r="D151" s="252"/>
      <c r="E151" s="253" t="str">
        <f t="shared" si="4"/>
        <v/>
      </c>
      <c r="F151" s="243" t="str">
        <f t="shared" si="5"/>
        <v>SECK DIARRA|YYYY06DD</v>
      </c>
    </row>
    <row r="152" spans="1:6" ht="15" customHeight="1" x14ac:dyDescent="0.25">
      <c r="A152" s="243" t="s">
        <v>217</v>
      </c>
      <c r="B152" s="251">
        <v>44721</v>
      </c>
      <c r="C152" s="252"/>
      <c r="D152" s="252"/>
      <c r="E152" s="253" t="str">
        <f t="shared" si="4"/>
        <v/>
      </c>
      <c r="F152" s="243" t="str">
        <f t="shared" si="5"/>
        <v>AINELKITANE ZINEB|YYYY06DD</v>
      </c>
    </row>
    <row r="153" spans="1:6" ht="15" customHeight="1" x14ac:dyDescent="0.25">
      <c r="A153" s="243" t="s">
        <v>219</v>
      </c>
      <c r="B153" s="251">
        <v>44721</v>
      </c>
      <c r="C153" s="252"/>
      <c r="D153" s="252"/>
      <c r="E153" s="253" t="str">
        <f t="shared" si="4"/>
        <v/>
      </c>
      <c r="F153" s="243" t="str">
        <f t="shared" si="5"/>
        <v>BENSAR ANAS|YYYY06DD</v>
      </c>
    </row>
    <row r="154" spans="1:6" ht="15" customHeight="1" x14ac:dyDescent="0.25">
      <c r="A154" s="243" t="s">
        <v>221</v>
      </c>
      <c r="B154" s="251">
        <v>44721</v>
      </c>
      <c r="C154" s="252"/>
      <c r="D154" s="252"/>
      <c r="E154" s="253" t="str">
        <f t="shared" si="4"/>
        <v/>
      </c>
      <c r="F154" s="243" t="str">
        <f t="shared" si="5"/>
        <v>QARBOUI Aymane|YYYY06DD</v>
      </c>
    </row>
    <row r="155" spans="1:6" ht="15" customHeight="1" x14ac:dyDescent="0.25">
      <c r="A155" s="243" t="s">
        <v>215</v>
      </c>
      <c r="B155" s="251">
        <v>44721</v>
      </c>
      <c r="C155" s="252"/>
      <c r="D155" s="252"/>
      <c r="E155" s="253" t="str">
        <f t="shared" si="4"/>
        <v/>
      </c>
      <c r="F155" s="243" t="str">
        <f t="shared" si="5"/>
        <v>DERKAOUI AMAL |YYYY06DD</v>
      </c>
    </row>
    <row r="156" spans="1:6" ht="15" customHeight="1" x14ac:dyDescent="0.25">
      <c r="A156" s="243" t="s">
        <v>88</v>
      </c>
      <c r="B156" s="251">
        <v>44721</v>
      </c>
      <c r="C156" s="252"/>
      <c r="D156" s="252"/>
      <c r="E156" s="253" t="str">
        <f t="shared" si="4"/>
        <v/>
      </c>
      <c r="F156" s="243" t="str">
        <f t="shared" si="5"/>
        <v>AIT LARBI HIND|YYYY06DD</v>
      </c>
    </row>
    <row r="157" spans="1:6" ht="15" customHeight="1" x14ac:dyDescent="0.25">
      <c r="A157" s="243" t="s">
        <v>76</v>
      </c>
      <c r="B157" s="251">
        <v>44721</v>
      </c>
      <c r="C157" s="252"/>
      <c r="D157" s="252"/>
      <c r="E157" s="253" t="str">
        <f t="shared" si="4"/>
        <v/>
      </c>
      <c r="F157" s="243" t="str">
        <f t="shared" si="5"/>
        <v>ZAKI OMAR|YYYY06DD</v>
      </c>
    </row>
    <row r="158" spans="1:6" ht="15" customHeight="1" x14ac:dyDescent="0.25">
      <c r="A158" s="243" t="s">
        <v>91</v>
      </c>
      <c r="B158" s="251">
        <v>44721</v>
      </c>
      <c r="C158" s="252"/>
      <c r="D158" s="252"/>
      <c r="E158" s="253" t="str">
        <f t="shared" si="4"/>
        <v/>
      </c>
      <c r="F158" s="243" t="str">
        <f t="shared" si="5"/>
        <v>ZITOUNI LAMYA|YYYY06DD</v>
      </c>
    </row>
    <row r="159" spans="1:6" ht="15" customHeight="1" x14ac:dyDescent="0.25">
      <c r="A159" s="243" t="s">
        <v>198</v>
      </c>
      <c r="B159" s="251">
        <v>44721</v>
      </c>
      <c r="C159" s="252"/>
      <c r="D159" s="252"/>
      <c r="E159" s="253" t="str">
        <f t="shared" si="4"/>
        <v/>
      </c>
      <c r="F159" s="243" t="str">
        <f t="shared" si="5"/>
        <v>LALOUN MANAL |YYYY06DD</v>
      </c>
    </row>
    <row r="160" spans="1:6" ht="15" customHeight="1" x14ac:dyDescent="0.25">
      <c r="A160" s="243" t="s">
        <v>210</v>
      </c>
      <c r="B160" s="251">
        <v>44721</v>
      </c>
      <c r="C160" s="252"/>
      <c r="D160" s="252"/>
      <c r="E160" s="253" t="str">
        <f t="shared" si="4"/>
        <v/>
      </c>
      <c r="F160" s="243" t="str">
        <f t="shared" si="5"/>
        <v>BOULHROUD SALMA|YYYY06DD</v>
      </c>
    </row>
    <row r="161" spans="1:6" ht="15" customHeight="1" x14ac:dyDescent="0.25">
      <c r="A161" s="243" t="s">
        <v>220</v>
      </c>
      <c r="B161" s="251">
        <v>44721</v>
      </c>
      <c r="C161" s="252"/>
      <c r="D161" s="252"/>
      <c r="E161" s="253" t="str">
        <f t="shared" si="4"/>
        <v/>
      </c>
      <c r="F161" s="243" t="str">
        <f t="shared" si="5"/>
        <v>NEMMAOUI MOUNIRA|YYYY06DD</v>
      </c>
    </row>
    <row r="162" spans="1:6" ht="15" customHeight="1" x14ac:dyDescent="0.25">
      <c r="A162" s="243" t="s">
        <v>213</v>
      </c>
      <c r="B162" s="251">
        <v>44722</v>
      </c>
      <c r="C162" s="252"/>
      <c r="D162" s="252"/>
      <c r="E162" s="253" t="str">
        <f t="shared" si="4"/>
        <v/>
      </c>
      <c r="F162" s="243" t="str">
        <f t="shared" si="5"/>
        <v>EL-AOUAQUI BOUCHRA|YYYY06DD</v>
      </c>
    </row>
    <row r="163" spans="1:6" ht="15" customHeight="1" x14ac:dyDescent="0.25">
      <c r="A163" s="243" t="s">
        <v>45</v>
      </c>
      <c r="B163" s="251">
        <v>44722</v>
      </c>
      <c r="C163" s="252"/>
      <c r="D163" s="252"/>
      <c r="E163" s="253" t="str">
        <f t="shared" si="4"/>
        <v/>
      </c>
      <c r="F163" s="243" t="str">
        <f t="shared" si="5"/>
        <v>NIANG NDEYE ABSA|YYYY06DD</v>
      </c>
    </row>
    <row r="164" spans="1:6" ht="15" customHeight="1" x14ac:dyDescent="0.25">
      <c r="A164" s="243" t="s">
        <v>85</v>
      </c>
      <c r="B164" s="251">
        <v>44722</v>
      </c>
      <c r="C164" s="252"/>
      <c r="D164" s="252"/>
      <c r="E164" s="253" t="str">
        <f t="shared" si="4"/>
        <v/>
      </c>
      <c r="F164" s="243" t="str">
        <f t="shared" si="5"/>
        <v>LAFDIL NADA|YYYY06DD</v>
      </c>
    </row>
    <row r="165" spans="1:6" ht="15" customHeight="1" x14ac:dyDescent="0.25">
      <c r="A165" s="243" t="s">
        <v>91</v>
      </c>
      <c r="B165" s="251">
        <v>44722</v>
      </c>
      <c r="C165" s="252"/>
      <c r="D165" s="252"/>
      <c r="E165" s="253" t="str">
        <f t="shared" si="4"/>
        <v/>
      </c>
      <c r="F165" s="243" t="str">
        <f t="shared" si="5"/>
        <v>ZITOUNI LAMYA|YYYY06DD</v>
      </c>
    </row>
    <row r="166" spans="1:6" ht="15" customHeight="1" x14ac:dyDescent="0.25">
      <c r="A166" s="243" t="s">
        <v>212</v>
      </c>
      <c r="B166" s="251">
        <v>44722</v>
      </c>
      <c r="C166" s="252"/>
      <c r="D166" s="252"/>
      <c r="E166" s="253" t="str">
        <f t="shared" si="4"/>
        <v/>
      </c>
      <c r="F166" s="243" t="str">
        <f t="shared" si="5"/>
        <v>BOURABAA HASSAN|YYYY06DD</v>
      </c>
    </row>
    <row r="167" spans="1:6" ht="15" customHeight="1" x14ac:dyDescent="0.25">
      <c r="A167" s="243" t="s">
        <v>144</v>
      </c>
      <c r="B167" s="251">
        <v>44722</v>
      </c>
      <c r="C167" s="252"/>
      <c r="D167" s="252"/>
      <c r="E167" s="253" t="str">
        <f t="shared" si="4"/>
        <v/>
      </c>
      <c r="F167" s="243" t="str">
        <f t="shared" si="5"/>
        <v>EL HOUJJAJI Soufiane |YYYY06DD</v>
      </c>
    </row>
    <row r="168" spans="1:6" ht="15" customHeight="1" x14ac:dyDescent="0.25">
      <c r="A168" s="243" t="s">
        <v>89</v>
      </c>
      <c r="B168" s="251">
        <v>44722</v>
      </c>
      <c r="C168" s="252"/>
      <c r="D168" s="252"/>
      <c r="E168" s="253" t="str">
        <f t="shared" si="4"/>
        <v/>
      </c>
      <c r="F168" s="243" t="str">
        <f t="shared" si="5"/>
        <v>GUEYE MOUHAMED|YYYY06DD</v>
      </c>
    </row>
    <row r="169" spans="1:6" ht="15" customHeight="1" x14ac:dyDescent="0.25">
      <c r="A169" s="243" t="s">
        <v>94</v>
      </c>
      <c r="B169" s="251">
        <v>44722</v>
      </c>
      <c r="C169" s="252"/>
      <c r="D169" s="252"/>
      <c r="E169" s="253" t="str">
        <f t="shared" si="4"/>
        <v/>
      </c>
      <c r="F169" s="243" t="str">
        <f t="shared" si="5"/>
        <v>RACHAD NAWAR|YYYY06DD</v>
      </c>
    </row>
    <row r="170" spans="1:6" ht="15" customHeight="1" x14ac:dyDescent="0.25">
      <c r="A170" s="243" t="s">
        <v>141</v>
      </c>
      <c r="B170" s="251">
        <v>44722</v>
      </c>
      <c r="C170" s="252"/>
      <c r="D170" s="252"/>
      <c r="E170" s="253" t="str">
        <f t="shared" si="4"/>
        <v/>
      </c>
      <c r="F170" s="243" t="str">
        <f t="shared" si="5"/>
        <v>AIT ADDI KHADIJA|YYYY06DD</v>
      </c>
    </row>
    <row r="171" spans="1:6" ht="15" customHeight="1" x14ac:dyDescent="0.25">
      <c r="A171" s="243" t="s">
        <v>196</v>
      </c>
      <c r="B171" s="251">
        <v>44722</v>
      </c>
      <c r="C171" s="252"/>
      <c r="D171" s="252"/>
      <c r="E171" s="253" t="str">
        <f t="shared" si="4"/>
        <v/>
      </c>
      <c r="F171" s="243" t="str">
        <f t="shared" si="5"/>
        <v>AZHARI ABDELHAMID|YYYY06DD</v>
      </c>
    </row>
    <row r="172" spans="1:6" ht="15" customHeight="1" x14ac:dyDescent="0.25">
      <c r="A172" s="243" t="s">
        <v>106</v>
      </c>
      <c r="B172" s="251">
        <v>44722</v>
      </c>
      <c r="C172" s="252"/>
      <c r="D172" s="252"/>
      <c r="E172" s="253" t="str">
        <f t="shared" si="4"/>
        <v/>
      </c>
      <c r="F172" s="243" t="str">
        <f t="shared" si="5"/>
        <v>TOURE ABIBOU|YYYY06DD</v>
      </c>
    </row>
    <row r="173" spans="1:6" ht="15" customHeight="1" x14ac:dyDescent="0.25">
      <c r="A173" s="243" t="s">
        <v>87</v>
      </c>
      <c r="B173" s="251">
        <v>44722</v>
      </c>
      <c r="C173" s="252"/>
      <c r="D173" s="252"/>
      <c r="E173" s="253" t="str">
        <f t="shared" si="4"/>
        <v/>
      </c>
      <c r="F173" s="243" t="str">
        <f t="shared" si="5"/>
        <v>EL HARROUCHI CHAIMAE|YYYY06DD</v>
      </c>
    </row>
    <row r="174" spans="1:6" ht="15" customHeight="1" x14ac:dyDescent="0.25">
      <c r="A174" s="243" t="s">
        <v>80</v>
      </c>
      <c r="B174" s="251">
        <v>44722</v>
      </c>
      <c r="C174" s="252"/>
      <c r="D174" s="252"/>
      <c r="E174" s="253" t="str">
        <f t="shared" si="4"/>
        <v/>
      </c>
      <c r="F174" s="243" t="str">
        <f t="shared" si="5"/>
        <v>IHASSANE Ikram|YYYY06DD</v>
      </c>
    </row>
    <row r="175" spans="1:6" ht="15" customHeight="1" x14ac:dyDescent="0.25">
      <c r="A175" s="243" t="s">
        <v>197</v>
      </c>
      <c r="B175" s="251">
        <v>44722</v>
      </c>
      <c r="C175" s="252"/>
      <c r="D175" s="252"/>
      <c r="E175" s="253" t="str">
        <f t="shared" si="4"/>
        <v/>
      </c>
      <c r="F175" s="243" t="str">
        <f t="shared" si="5"/>
        <v>NUNEZ LUCIEN BERNARD|YYYY06DD</v>
      </c>
    </row>
    <row r="176" spans="1:6" ht="15" customHeight="1" x14ac:dyDescent="0.25">
      <c r="A176" s="243" t="s">
        <v>83</v>
      </c>
      <c r="B176" s="251">
        <v>44722</v>
      </c>
      <c r="C176" s="252"/>
      <c r="D176" s="252"/>
      <c r="E176" s="253" t="str">
        <f t="shared" si="4"/>
        <v/>
      </c>
      <c r="F176" s="243" t="str">
        <f t="shared" si="5"/>
        <v>EL HOUSSAINI HOUDA|YYYY06DD</v>
      </c>
    </row>
    <row r="177" spans="1:6" ht="15" customHeight="1" x14ac:dyDescent="0.25">
      <c r="A177" s="243" t="s">
        <v>102</v>
      </c>
      <c r="B177" s="251">
        <v>44722</v>
      </c>
      <c r="C177" s="252"/>
      <c r="D177" s="252"/>
      <c r="E177" s="253" t="str">
        <f t="shared" si="4"/>
        <v/>
      </c>
      <c r="F177" s="243" t="str">
        <f t="shared" si="5"/>
        <v>DIOUF OUSSMANE|YYYY06DD</v>
      </c>
    </row>
    <row r="178" spans="1:6" ht="15" customHeight="1" x14ac:dyDescent="0.25">
      <c r="A178" s="243" t="s">
        <v>88</v>
      </c>
      <c r="B178" s="251">
        <v>44722</v>
      </c>
      <c r="C178" s="252"/>
      <c r="D178" s="252"/>
      <c r="E178" s="253" t="str">
        <f t="shared" si="4"/>
        <v/>
      </c>
      <c r="F178" s="243" t="str">
        <f t="shared" si="5"/>
        <v>AIT LARBI HIND|YYYY06DD</v>
      </c>
    </row>
    <row r="179" spans="1:6" ht="15" customHeight="1" x14ac:dyDescent="0.25">
      <c r="A179" s="243" t="s">
        <v>220</v>
      </c>
      <c r="B179" s="251">
        <v>44722</v>
      </c>
      <c r="C179" s="252"/>
      <c r="D179" s="252"/>
      <c r="E179" s="253" t="str">
        <f t="shared" si="4"/>
        <v/>
      </c>
      <c r="F179" s="243" t="str">
        <f t="shared" si="5"/>
        <v>NEMMAOUI MOUNIRA|YYYY06DD</v>
      </c>
    </row>
    <row r="180" spans="1:6" ht="15" customHeight="1" x14ac:dyDescent="0.25">
      <c r="A180" s="243" t="s">
        <v>221</v>
      </c>
      <c r="B180" s="251">
        <v>44722</v>
      </c>
      <c r="C180" s="252"/>
      <c r="D180" s="252"/>
      <c r="E180" s="253" t="str">
        <f t="shared" si="4"/>
        <v/>
      </c>
      <c r="F180" s="243" t="str">
        <f t="shared" si="5"/>
        <v>QARBOUI Aymane|YYYY06DD</v>
      </c>
    </row>
    <row r="181" spans="1:6" ht="15" customHeight="1" x14ac:dyDescent="0.25">
      <c r="A181" s="243" t="s">
        <v>217</v>
      </c>
      <c r="B181" s="251">
        <v>44722</v>
      </c>
      <c r="C181" s="252"/>
      <c r="D181" s="252"/>
      <c r="E181" s="253" t="str">
        <f t="shared" si="4"/>
        <v/>
      </c>
      <c r="F181" s="243" t="str">
        <f t="shared" si="5"/>
        <v>AINELKITANE ZINEB|YYYY06DD</v>
      </c>
    </row>
    <row r="182" spans="1:6" ht="15" customHeight="1" x14ac:dyDescent="0.25">
      <c r="A182" s="243" t="s">
        <v>110</v>
      </c>
      <c r="B182" s="251">
        <v>44722</v>
      </c>
      <c r="C182" s="252"/>
      <c r="D182" s="252"/>
      <c r="E182" s="253" t="str">
        <f t="shared" si="4"/>
        <v/>
      </c>
      <c r="F182" s="243" t="str">
        <f t="shared" si="5"/>
        <v>KANTAOUI SALMA|YYYY06DD</v>
      </c>
    </row>
    <row r="183" spans="1:6" ht="15" customHeight="1" x14ac:dyDescent="0.25">
      <c r="A183" s="243" t="s">
        <v>76</v>
      </c>
      <c r="B183" s="251">
        <v>44722</v>
      </c>
      <c r="C183" s="252"/>
      <c r="D183" s="252"/>
      <c r="E183" s="253" t="str">
        <f t="shared" si="4"/>
        <v/>
      </c>
      <c r="F183" s="243" t="str">
        <f t="shared" si="5"/>
        <v>ZAKI OMAR|YYYY06DD</v>
      </c>
    </row>
    <row r="184" spans="1:6" ht="15" customHeight="1" x14ac:dyDescent="0.25">
      <c r="A184" s="243" t="s">
        <v>214</v>
      </c>
      <c r="B184" s="251">
        <v>44722</v>
      </c>
      <c r="C184" s="252"/>
      <c r="D184" s="252"/>
      <c r="E184" s="253" t="str">
        <f t="shared" si="4"/>
        <v/>
      </c>
      <c r="F184" s="243" t="str">
        <f t="shared" si="5"/>
        <v>GUEYE GORA|YYYY06DD</v>
      </c>
    </row>
    <row r="185" spans="1:6" ht="15" customHeight="1" x14ac:dyDescent="0.25">
      <c r="A185" s="243" t="s">
        <v>198</v>
      </c>
      <c r="B185" s="251">
        <v>44722</v>
      </c>
      <c r="C185" s="252"/>
      <c r="D185" s="252"/>
      <c r="E185" s="253" t="str">
        <f t="shared" si="4"/>
        <v/>
      </c>
      <c r="F185" s="243" t="str">
        <f t="shared" si="5"/>
        <v>LALOUN MANAL |YYYY06DD</v>
      </c>
    </row>
    <row r="186" spans="1:6" ht="15" customHeight="1" x14ac:dyDescent="0.25">
      <c r="A186" s="243" t="s">
        <v>210</v>
      </c>
      <c r="B186" s="251">
        <v>44722</v>
      </c>
      <c r="C186" s="252"/>
      <c r="D186" s="252"/>
      <c r="E186" s="253" t="str">
        <f t="shared" si="4"/>
        <v/>
      </c>
      <c r="F186" s="243" t="str">
        <f t="shared" si="5"/>
        <v>BOULHROUD SALMA|YYYY06DD</v>
      </c>
    </row>
    <row r="187" spans="1:6" ht="15" customHeight="1" x14ac:dyDescent="0.25">
      <c r="A187" s="243" t="s">
        <v>223</v>
      </c>
      <c r="B187" s="251">
        <v>44722</v>
      </c>
      <c r="C187" s="252"/>
      <c r="D187" s="252"/>
      <c r="E187" s="253" t="str">
        <f t="shared" si="4"/>
        <v/>
      </c>
      <c r="F187" s="243" t="str">
        <f t="shared" si="5"/>
        <v>SOUOUD ZAKARIA|YYYY06DD</v>
      </c>
    </row>
    <row r="188" spans="1:6" ht="15" customHeight="1" x14ac:dyDescent="0.25">
      <c r="A188" s="243" t="s">
        <v>126</v>
      </c>
      <c r="B188" s="251">
        <v>44722</v>
      </c>
      <c r="C188" s="252"/>
      <c r="D188" s="252"/>
      <c r="E188" s="253" t="str">
        <f t="shared" si="4"/>
        <v/>
      </c>
      <c r="F188" s="243" t="str">
        <f t="shared" si="5"/>
        <v>ZIOUI DOUNIA|YYYY06DD</v>
      </c>
    </row>
    <row r="189" spans="1:6" ht="15" customHeight="1" x14ac:dyDescent="0.25">
      <c r="A189" s="243" t="s">
        <v>120</v>
      </c>
      <c r="B189" s="251">
        <v>44722</v>
      </c>
      <c r="C189" s="252"/>
      <c r="D189" s="252"/>
      <c r="E189" s="253" t="str">
        <f t="shared" si="4"/>
        <v/>
      </c>
      <c r="F189" s="243" t="str">
        <f t="shared" si="5"/>
        <v>MELLAHI YOUSSEF|YYYY06DD</v>
      </c>
    </row>
    <row r="190" spans="1:6" ht="15" customHeight="1" x14ac:dyDescent="0.25">
      <c r="A190" s="243" t="s">
        <v>216</v>
      </c>
      <c r="B190" s="251">
        <v>44722</v>
      </c>
      <c r="C190" s="252"/>
      <c r="D190" s="252"/>
      <c r="E190" s="253" t="str">
        <f t="shared" si="4"/>
        <v/>
      </c>
      <c r="F190" s="243" t="str">
        <f t="shared" si="5"/>
        <v>SECK DIARRA|YYYY06DD</v>
      </c>
    </row>
    <row r="191" spans="1:6" ht="15" customHeight="1" x14ac:dyDescent="0.25">
      <c r="A191" s="243" t="s">
        <v>219</v>
      </c>
      <c r="B191" s="251">
        <v>44722</v>
      </c>
      <c r="C191" s="252"/>
      <c r="D191" s="252"/>
      <c r="E191" s="253" t="str">
        <f t="shared" si="4"/>
        <v/>
      </c>
      <c r="F191" s="243" t="str">
        <f t="shared" si="5"/>
        <v>BENSAR ANAS|YYYY06DD</v>
      </c>
    </row>
    <row r="192" spans="1:6" ht="15" customHeight="1" x14ac:dyDescent="0.25">
      <c r="A192" s="243" t="s">
        <v>215</v>
      </c>
      <c r="B192" s="251">
        <v>44722</v>
      </c>
      <c r="C192" s="252"/>
      <c r="D192" s="252"/>
      <c r="E192" s="253" t="str">
        <f t="shared" si="4"/>
        <v/>
      </c>
      <c r="F192" s="243" t="str">
        <f t="shared" si="5"/>
        <v>DERKAOUI AMAL |YYYY06DD</v>
      </c>
    </row>
    <row r="193" spans="1:6" ht="15" customHeight="1" x14ac:dyDescent="0.25">
      <c r="A193" s="243" t="s">
        <v>209</v>
      </c>
      <c r="B193" s="251">
        <v>44722</v>
      </c>
      <c r="C193" s="252"/>
      <c r="D193" s="252"/>
      <c r="E193" s="253" t="str">
        <f t="shared" si="4"/>
        <v/>
      </c>
      <c r="F193" s="243" t="str">
        <f t="shared" si="5"/>
        <v>SIDIBE MOUSKEBA DALAFINA|YYYY06DD</v>
      </c>
    </row>
    <row r="194" spans="1:6" ht="15" customHeight="1" x14ac:dyDescent="0.25">
      <c r="A194" s="243" t="s">
        <v>213</v>
      </c>
      <c r="B194" s="251">
        <v>44723</v>
      </c>
      <c r="C194" s="252"/>
      <c r="D194" s="252"/>
      <c r="E194" s="253" t="str">
        <f t="shared" ref="E194:E225" si="6">IF(OR($C194="",$D194=""),"",$D194-$C194)</f>
        <v/>
      </c>
      <c r="F194" s="243" t="str">
        <f t="shared" ref="F194:F225" si="7">$A194&amp;"|"&amp;TEXT($B194,"YYYYMMDD")</f>
        <v>EL-AOUAQUI BOUCHRA|YYYY06DD</v>
      </c>
    </row>
    <row r="195" spans="1:6" ht="15" customHeight="1" x14ac:dyDescent="0.25">
      <c r="A195" s="243" t="s">
        <v>80</v>
      </c>
      <c r="B195" s="251">
        <v>44723</v>
      </c>
      <c r="C195" s="252"/>
      <c r="D195" s="252"/>
      <c r="E195" s="253" t="str">
        <f t="shared" si="6"/>
        <v/>
      </c>
      <c r="F195" s="243" t="str">
        <f t="shared" si="7"/>
        <v>IHASSANE Ikram|YYYY06DD</v>
      </c>
    </row>
    <row r="196" spans="1:6" ht="15" customHeight="1" x14ac:dyDescent="0.25">
      <c r="A196" s="243" t="s">
        <v>45</v>
      </c>
      <c r="B196" s="251">
        <v>44723</v>
      </c>
      <c r="C196" s="252"/>
      <c r="D196" s="252"/>
      <c r="E196" s="253" t="str">
        <f t="shared" si="6"/>
        <v/>
      </c>
      <c r="F196" s="243" t="str">
        <f t="shared" si="7"/>
        <v>NIANG NDEYE ABSA|YYYY06DD</v>
      </c>
    </row>
    <row r="197" spans="1:6" ht="15" customHeight="1" x14ac:dyDescent="0.25">
      <c r="A197" s="243" t="s">
        <v>76</v>
      </c>
      <c r="B197" s="251">
        <v>44723</v>
      </c>
      <c r="C197" s="252"/>
      <c r="D197" s="252"/>
      <c r="E197" s="253" t="str">
        <f t="shared" si="6"/>
        <v/>
      </c>
      <c r="F197" s="243" t="str">
        <f t="shared" si="7"/>
        <v>ZAKI OMAR|YYYY06DD</v>
      </c>
    </row>
    <row r="198" spans="1:6" ht="15" customHeight="1" x14ac:dyDescent="0.25">
      <c r="A198" s="243" t="s">
        <v>83</v>
      </c>
      <c r="B198" s="251">
        <v>44723</v>
      </c>
      <c r="C198" s="252"/>
      <c r="D198" s="252"/>
      <c r="E198" s="253" t="str">
        <f t="shared" si="6"/>
        <v/>
      </c>
      <c r="F198" s="243" t="str">
        <f t="shared" si="7"/>
        <v>EL HOUSSAINI HOUDA|YYYY06DD</v>
      </c>
    </row>
    <row r="199" spans="1:6" ht="15" customHeight="1" x14ac:dyDescent="0.25">
      <c r="A199" s="243" t="s">
        <v>87</v>
      </c>
      <c r="B199" s="251">
        <v>44723</v>
      </c>
      <c r="C199" s="252"/>
      <c r="D199" s="252"/>
      <c r="E199" s="253" t="str">
        <f t="shared" si="6"/>
        <v/>
      </c>
      <c r="F199" s="243" t="str">
        <f t="shared" si="7"/>
        <v>EL HARROUCHI CHAIMAE|YYYY06DD</v>
      </c>
    </row>
    <row r="200" spans="1:6" ht="15" customHeight="1" x14ac:dyDescent="0.25">
      <c r="A200" s="243" t="s">
        <v>85</v>
      </c>
      <c r="B200" s="251">
        <v>44723</v>
      </c>
      <c r="C200" s="252"/>
      <c r="D200" s="252"/>
      <c r="E200" s="253" t="str">
        <f t="shared" si="6"/>
        <v/>
      </c>
      <c r="F200" s="243" t="str">
        <f t="shared" si="7"/>
        <v>LAFDIL NADA|YYYY06DD</v>
      </c>
    </row>
    <row r="201" spans="1:6" ht="15" customHeight="1" x14ac:dyDescent="0.25">
      <c r="A201" s="243" t="s">
        <v>89</v>
      </c>
      <c r="B201" s="251">
        <v>44723</v>
      </c>
      <c r="C201" s="252"/>
      <c r="D201" s="252"/>
      <c r="E201" s="253" t="str">
        <f t="shared" si="6"/>
        <v/>
      </c>
      <c r="F201" s="243" t="str">
        <f t="shared" si="7"/>
        <v>GUEYE MOUHAMED|YYYY06DD</v>
      </c>
    </row>
    <row r="202" spans="1:6" ht="15" customHeight="1" x14ac:dyDescent="0.25">
      <c r="A202" s="243" t="s">
        <v>94</v>
      </c>
      <c r="B202" s="251">
        <v>44723</v>
      </c>
      <c r="C202" s="252"/>
      <c r="D202" s="252"/>
      <c r="E202" s="253" t="str">
        <f t="shared" si="6"/>
        <v/>
      </c>
      <c r="F202" s="243" t="str">
        <f t="shared" si="7"/>
        <v>RACHAD NAWAR|YYYY06DD</v>
      </c>
    </row>
    <row r="203" spans="1:6" ht="15" customHeight="1" x14ac:dyDescent="0.25">
      <c r="A203" s="243" t="s">
        <v>91</v>
      </c>
      <c r="B203" s="251">
        <v>44723</v>
      </c>
      <c r="C203" s="252"/>
      <c r="D203" s="252"/>
      <c r="E203" s="253" t="str">
        <f t="shared" si="6"/>
        <v/>
      </c>
      <c r="F203" s="243" t="str">
        <f t="shared" si="7"/>
        <v>ZITOUNI LAMYA|YYYY06DD</v>
      </c>
    </row>
    <row r="204" spans="1:6" ht="15" customHeight="1" x14ac:dyDescent="0.25">
      <c r="A204" s="243" t="s">
        <v>214</v>
      </c>
      <c r="B204" s="251">
        <v>44723</v>
      </c>
      <c r="C204" s="252"/>
      <c r="D204" s="252"/>
      <c r="E204" s="253" t="str">
        <f t="shared" si="6"/>
        <v/>
      </c>
      <c r="F204" s="243" t="str">
        <f t="shared" si="7"/>
        <v>GUEYE GORA|YYYY06DD</v>
      </c>
    </row>
    <row r="205" spans="1:6" ht="15" customHeight="1" x14ac:dyDescent="0.25">
      <c r="A205" s="243" t="s">
        <v>102</v>
      </c>
      <c r="B205" s="251">
        <v>44723</v>
      </c>
      <c r="C205" s="252"/>
      <c r="D205" s="252"/>
      <c r="E205" s="253" t="str">
        <f t="shared" si="6"/>
        <v/>
      </c>
      <c r="F205" s="243" t="str">
        <f t="shared" si="7"/>
        <v>DIOUF OUSSMANE|YYYY06DD</v>
      </c>
    </row>
    <row r="206" spans="1:6" ht="15" customHeight="1" x14ac:dyDescent="0.25">
      <c r="A206" s="243" t="s">
        <v>215</v>
      </c>
      <c r="B206" s="251">
        <v>44723</v>
      </c>
      <c r="C206" s="252"/>
      <c r="D206" s="252"/>
      <c r="E206" s="253" t="str">
        <f t="shared" si="6"/>
        <v/>
      </c>
      <c r="F206" s="243" t="str">
        <f t="shared" si="7"/>
        <v>DERKAOUI AMAL |YYYY06DD</v>
      </c>
    </row>
    <row r="207" spans="1:6" ht="15" customHeight="1" x14ac:dyDescent="0.25">
      <c r="A207" s="243" t="s">
        <v>88</v>
      </c>
      <c r="B207" s="251">
        <v>44723</v>
      </c>
      <c r="C207" s="252"/>
      <c r="D207" s="252"/>
      <c r="E207" s="253" t="str">
        <f t="shared" si="6"/>
        <v/>
      </c>
      <c r="F207" s="243" t="str">
        <f t="shared" si="7"/>
        <v>AIT LARBI HIND|YYYY06DD</v>
      </c>
    </row>
    <row r="208" spans="1:6" ht="15" customHeight="1" x14ac:dyDescent="0.25">
      <c r="A208" s="243" t="s">
        <v>106</v>
      </c>
      <c r="B208" s="251">
        <v>44723</v>
      </c>
      <c r="C208" s="252"/>
      <c r="D208" s="252"/>
      <c r="E208" s="253" t="str">
        <f t="shared" si="6"/>
        <v/>
      </c>
      <c r="F208" s="243" t="str">
        <f t="shared" si="7"/>
        <v>TOURE ABIBOU|YYYY06DD</v>
      </c>
    </row>
    <row r="209" spans="1:6" ht="15" customHeight="1" x14ac:dyDescent="0.25">
      <c r="A209" s="243" t="s">
        <v>110</v>
      </c>
      <c r="B209" s="251">
        <v>44723</v>
      </c>
      <c r="C209" s="252"/>
      <c r="D209" s="252"/>
      <c r="E209" s="253" t="str">
        <f t="shared" si="6"/>
        <v/>
      </c>
      <c r="F209" s="243" t="str">
        <f t="shared" si="7"/>
        <v>KANTAOUI SALMA|YYYY06DD</v>
      </c>
    </row>
    <row r="210" spans="1:6" ht="15" customHeight="1" x14ac:dyDescent="0.25">
      <c r="A210" s="243" t="s">
        <v>126</v>
      </c>
      <c r="B210" s="251">
        <v>44723</v>
      </c>
      <c r="C210" s="252"/>
      <c r="D210" s="252"/>
      <c r="E210" s="253" t="str">
        <f t="shared" si="6"/>
        <v/>
      </c>
      <c r="F210" s="243" t="str">
        <f t="shared" si="7"/>
        <v>ZIOUI DOUNIA|YYYY06DD</v>
      </c>
    </row>
    <row r="211" spans="1:6" ht="15" customHeight="1" x14ac:dyDescent="0.25">
      <c r="A211" s="243" t="s">
        <v>141</v>
      </c>
      <c r="B211" s="251">
        <v>44723</v>
      </c>
      <c r="C211" s="252"/>
      <c r="D211" s="252"/>
      <c r="E211" s="253" t="str">
        <f t="shared" si="6"/>
        <v/>
      </c>
      <c r="F211" s="243" t="str">
        <f t="shared" si="7"/>
        <v>AIT ADDI KHADIJA|YYYY06DD</v>
      </c>
    </row>
    <row r="212" spans="1:6" ht="15" customHeight="1" x14ac:dyDescent="0.25">
      <c r="A212" s="243" t="s">
        <v>120</v>
      </c>
      <c r="B212" s="251">
        <v>44723</v>
      </c>
      <c r="C212" s="252"/>
      <c r="D212" s="252"/>
      <c r="E212" s="253" t="str">
        <f t="shared" si="6"/>
        <v/>
      </c>
      <c r="F212" s="243" t="str">
        <f t="shared" si="7"/>
        <v>MELLAHI YOUSSEF|YYYY06DD</v>
      </c>
    </row>
    <row r="213" spans="1:6" ht="15" customHeight="1" x14ac:dyDescent="0.25">
      <c r="A213" s="243" t="s">
        <v>144</v>
      </c>
      <c r="B213" s="251">
        <v>44723</v>
      </c>
      <c r="C213" s="252"/>
      <c r="D213" s="252"/>
      <c r="E213" s="253" t="str">
        <f t="shared" si="6"/>
        <v/>
      </c>
      <c r="F213" s="243" t="str">
        <f t="shared" si="7"/>
        <v>EL HOUJJAJI Soufiane |YYYY06DD</v>
      </c>
    </row>
    <row r="214" spans="1:6" ht="15" customHeight="1" x14ac:dyDescent="0.25">
      <c r="A214" s="243" t="s">
        <v>196</v>
      </c>
      <c r="B214" s="251">
        <v>44723</v>
      </c>
      <c r="C214" s="252"/>
      <c r="D214" s="252"/>
      <c r="E214" s="253" t="str">
        <f t="shared" si="6"/>
        <v/>
      </c>
      <c r="F214" s="243" t="str">
        <f t="shared" si="7"/>
        <v>AZHARI ABDELHAMID|YYYY06DD</v>
      </c>
    </row>
    <row r="215" spans="1:6" ht="15" customHeight="1" x14ac:dyDescent="0.25">
      <c r="A215" s="243" t="s">
        <v>197</v>
      </c>
      <c r="B215" s="251">
        <v>44723</v>
      </c>
      <c r="C215" s="252"/>
      <c r="D215" s="252"/>
      <c r="E215" s="253" t="str">
        <f t="shared" si="6"/>
        <v/>
      </c>
      <c r="F215" s="243" t="str">
        <f t="shared" si="7"/>
        <v>NUNEZ LUCIEN BERNARD|YYYY06DD</v>
      </c>
    </row>
    <row r="216" spans="1:6" ht="15" customHeight="1" x14ac:dyDescent="0.25">
      <c r="A216" s="243" t="s">
        <v>198</v>
      </c>
      <c r="B216" s="251">
        <v>44723</v>
      </c>
      <c r="C216" s="252"/>
      <c r="D216" s="252"/>
      <c r="E216" s="253" t="str">
        <f t="shared" si="6"/>
        <v/>
      </c>
      <c r="F216" s="243" t="str">
        <f t="shared" si="7"/>
        <v>LALOUN MANAL |YYYY06DD</v>
      </c>
    </row>
    <row r="217" spans="1:6" ht="15" customHeight="1" x14ac:dyDescent="0.25">
      <c r="A217" s="243" t="s">
        <v>209</v>
      </c>
      <c r="B217" s="251">
        <v>44723</v>
      </c>
      <c r="C217" s="252"/>
      <c r="D217" s="252"/>
      <c r="E217" s="253" t="str">
        <f t="shared" si="6"/>
        <v/>
      </c>
      <c r="F217" s="243" t="str">
        <f t="shared" si="7"/>
        <v>SIDIBE MOUSKEBA DALAFINA|YYYY06DD</v>
      </c>
    </row>
    <row r="218" spans="1:6" ht="15" customHeight="1" x14ac:dyDescent="0.25">
      <c r="A218" s="243" t="s">
        <v>210</v>
      </c>
      <c r="B218" s="251">
        <v>44723</v>
      </c>
      <c r="C218" s="252"/>
      <c r="D218" s="252"/>
      <c r="E218" s="253" t="str">
        <f t="shared" si="6"/>
        <v/>
      </c>
      <c r="F218" s="243" t="str">
        <f t="shared" si="7"/>
        <v>BOULHROUD SALMA|YYYY06DD</v>
      </c>
    </row>
    <row r="219" spans="1:6" ht="15" customHeight="1" x14ac:dyDescent="0.25">
      <c r="A219" s="243" t="s">
        <v>212</v>
      </c>
      <c r="B219" s="251">
        <v>44723</v>
      </c>
      <c r="C219" s="252"/>
      <c r="D219" s="252"/>
      <c r="E219" s="253" t="str">
        <f t="shared" si="6"/>
        <v/>
      </c>
      <c r="F219" s="243" t="str">
        <f t="shared" si="7"/>
        <v>BOURABAA HASSAN|YYYY06DD</v>
      </c>
    </row>
    <row r="220" spans="1:6" ht="15" customHeight="1" x14ac:dyDescent="0.25">
      <c r="A220" s="243" t="s">
        <v>216</v>
      </c>
      <c r="B220" s="251">
        <v>44723</v>
      </c>
      <c r="C220" s="252"/>
      <c r="D220" s="252"/>
      <c r="E220" s="253" t="str">
        <f t="shared" si="6"/>
        <v/>
      </c>
      <c r="F220" s="243" t="str">
        <f t="shared" si="7"/>
        <v>SECK DIARRA|YYYY06DD</v>
      </c>
    </row>
    <row r="221" spans="1:6" ht="15" customHeight="1" x14ac:dyDescent="0.25">
      <c r="A221" s="243" t="s">
        <v>217</v>
      </c>
      <c r="B221" s="251">
        <v>44723</v>
      </c>
      <c r="C221" s="252"/>
      <c r="D221" s="252"/>
      <c r="E221" s="253" t="str">
        <f t="shared" si="6"/>
        <v/>
      </c>
      <c r="F221" s="243" t="str">
        <f t="shared" si="7"/>
        <v>AINELKITANE ZINEB|YYYY06DD</v>
      </c>
    </row>
    <row r="222" spans="1:6" ht="15" customHeight="1" x14ac:dyDescent="0.25">
      <c r="A222" s="243" t="s">
        <v>219</v>
      </c>
      <c r="B222" s="251">
        <v>44723</v>
      </c>
      <c r="C222" s="252"/>
      <c r="D222" s="252"/>
      <c r="E222" s="253" t="str">
        <f t="shared" si="6"/>
        <v/>
      </c>
      <c r="F222" s="243" t="str">
        <f t="shared" si="7"/>
        <v>BENSAR ANAS|YYYY06DD</v>
      </c>
    </row>
    <row r="223" spans="1:6" ht="15" customHeight="1" x14ac:dyDescent="0.25">
      <c r="A223" s="243" t="s">
        <v>220</v>
      </c>
      <c r="B223" s="251">
        <v>44723</v>
      </c>
      <c r="C223" s="252"/>
      <c r="D223" s="252"/>
      <c r="E223" s="253" t="str">
        <f t="shared" si="6"/>
        <v/>
      </c>
      <c r="F223" s="243" t="str">
        <f t="shared" si="7"/>
        <v>NEMMAOUI MOUNIRA|YYYY06DD</v>
      </c>
    </row>
    <row r="224" spans="1:6" ht="15" customHeight="1" x14ac:dyDescent="0.25">
      <c r="A224" s="243" t="s">
        <v>221</v>
      </c>
      <c r="B224" s="251">
        <v>44723</v>
      </c>
      <c r="C224" s="252"/>
      <c r="D224" s="252"/>
      <c r="E224" s="253" t="str">
        <f t="shared" si="6"/>
        <v/>
      </c>
      <c r="F224" s="243" t="str">
        <f t="shared" si="7"/>
        <v>QARBOUI Aymane|YYYY06DD</v>
      </c>
    </row>
    <row r="225" spans="1:6" ht="15" customHeight="1" x14ac:dyDescent="0.25">
      <c r="A225" s="243" t="s">
        <v>223</v>
      </c>
      <c r="B225" s="251">
        <v>44723</v>
      </c>
      <c r="C225" s="252"/>
      <c r="D225" s="252"/>
      <c r="E225" s="253" t="str">
        <f t="shared" si="6"/>
        <v/>
      </c>
      <c r="F225" s="243" t="str">
        <f t="shared" si="7"/>
        <v>SOUOUD ZAKARIA|YYYY06DD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4</vt:i4>
      </vt:variant>
    </vt:vector>
  </HeadingPairs>
  <TitlesOfParts>
    <vt:vector size="17" baseType="lpstr">
      <vt:lpstr>Google Leads </vt:lpstr>
      <vt:lpstr>log</vt:lpstr>
      <vt:lpstr>trame</vt:lpstr>
      <vt:lpstr>Source CC pulse</vt:lpstr>
      <vt:lpstr>Planning</vt:lpstr>
      <vt:lpstr>Annuaire_roster</vt:lpstr>
      <vt:lpstr>Contrôle des heures</vt:lpstr>
      <vt:lpstr>Contrôle des jours</vt:lpstr>
      <vt:lpstr>Feuil1</vt:lpstr>
      <vt:lpstr>Suivi des justificatifs</vt:lpstr>
      <vt:lpstr>Connexions</vt:lpstr>
      <vt:lpstr>Mapping_Noms</vt:lpstr>
      <vt:lpstr>Planning Pauses Dej</vt:lpstr>
      <vt:lpstr>PL_Date</vt:lpstr>
      <vt:lpstr>PL_Entrée</vt:lpstr>
      <vt:lpstr>PL_Nom</vt:lpstr>
      <vt:lpstr>PL_Sortie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RICOUCH Zouhair (PRESTA EXT)</dc:creator>
  <cp:lastModifiedBy>OUBRAHIM Mohammed [EIDS]</cp:lastModifiedBy>
  <cp:lastPrinted>2025-06-06T08:29:46Z</cp:lastPrinted>
  <dcterms:created xsi:type="dcterms:W3CDTF">2015-06-05T18:19:34Z</dcterms:created>
  <dcterms:modified xsi:type="dcterms:W3CDTF">2026-07-21T15:22:57Z</dcterms:modified>
</cp:coreProperties>
</file>