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uf11pu01\ACCESSIBILITÉ_CONSEILLERS\Task_Force_Central\HAMDANMO\"/>
    </mc:Choice>
  </mc:AlternateContent>
  <xr:revisionPtr revIDLastSave="0" documentId="13_ncr:1_{99BC3E43-0A79-4ADD-B430-7F9ABAF7E78C}" xr6:coauthVersionLast="47" xr6:coauthVersionMax="47" xr10:uidLastSave="{00000000-0000-0000-0000-000000000000}"/>
  <bookViews>
    <workbookView xWindow="-120" yWindow="480" windowWidth="29040" windowHeight="15120" activeTab="1" xr2:uid="{00000000-000D-0000-FFFF-FFFF00000000}"/>
  </bookViews>
  <sheets>
    <sheet name="BUREAU" sheetId="4" r:id="rId1"/>
    <sheet name="SHEET_TRACE_NAME" sheetId="1" r:id="rId2"/>
    <sheet name="LOG_ACTIONS" sheetId="2" r:id="rId3"/>
    <sheet name="NC_LOG_ACTIONS" sheetId="3" r:id="rId4"/>
    <sheet name="Feuil2" sheetId="6" r:id="rId5"/>
    <sheet name="SAISIE_SARA" sheetId="7" r:id="rId6"/>
  </sheets>
  <functionGroups builtInGroupCount="19"/>
  <definedNames>
    <definedName name="_xlnm._FilterDatabase" localSheetId="2" hidden="1">LOG_ACTIONS!$A$1:$H$189</definedName>
    <definedName name="_xlnm._FilterDatabase" localSheetId="1" hidden="1">SHEET_TRACE_NAME!$A$1:$M$96</definedName>
  </definedNames>
  <calcPr calcId="191029" calcMode="manual"/>
  <pivotCaches>
    <pivotCache cacheId="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3" i="6" l="1"/>
  <c r="E3" i="6"/>
</calcChain>
</file>

<file path=xl/sharedStrings.xml><?xml version="1.0" encoding="utf-8"?>
<sst xmlns="http://schemas.openxmlformats.org/spreadsheetml/2006/main" count="1807" uniqueCount="170">
  <si>
    <t>Date</t>
  </si>
  <si>
    <t>Action</t>
  </si>
  <si>
    <t>Fichier</t>
  </si>
  <si>
    <t>Utilisateur</t>
  </si>
  <si>
    <t>Détails</t>
  </si>
  <si>
    <t>NomFichier</t>
  </si>
  <si>
    <t>Domaine</t>
  </si>
  <si>
    <t>SousDomaine</t>
  </si>
  <si>
    <t>Statut</t>
  </si>
  <si>
    <t>Date_A_TRAITER</t>
  </si>
  <si>
    <t>Date_FIN</t>
  </si>
  <si>
    <t>Agent</t>
  </si>
  <si>
    <t>DMT</t>
  </si>
  <si>
    <t>HAMDANMO</t>
  </si>
  <si>
    <t>Déplacement</t>
  </si>
  <si>
    <t>A TRAITER ? EN COURS</t>
  </si>
  <si>
    <t>i</t>
  </si>
  <si>
    <t>EN COURS ? TRAITES</t>
  </si>
  <si>
    <t>DIRCO</t>
  </si>
  <si>
    <t>FICHES CLIENTS</t>
  </si>
  <si>
    <t>TRAITES</t>
  </si>
  <si>
    <t>Comment</t>
  </si>
  <si>
    <t>13.41.48 IPID.pdf</t>
  </si>
  <si>
    <t>13.41.48.pdf</t>
  </si>
  <si>
    <t>16.61.12.pdf</t>
  </si>
  <si>
    <t>Commentaire</t>
  </si>
  <si>
    <t>DIT10278.pdf</t>
  </si>
  <si>
    <t>CG CAT Ordinaires avec ou sans préavis.pdf</t>
  </si>
  <si>
    <t>CONTRATHEQUE</t>
  </si>
  <si>
    <t>CONDITIONS GENERALES</t>
  </si>
  <si>
    <t>utilisateur</t>
  </si>
  <si>
    <t>Étiquettes de lignes</t>
  </si>
  <si>
    <t>Total général</t>
  </si>
  <si>
    <t>Nombre de SousDomaine</t>
  </si>
  <si>
    <t>total</t>
  </si>
  <si>
    <t>Nombre de Statut</t>
  </si>
  <si>
    <t>total traiter</t>
  </si>
  <si>
    <t xml:space="preserve"> </t>
  </si>
  <si>
    <t>CG.05.77 SERV PAIEMENT MOBILE vdef.docx</t>
  </si>
  <si>
    <t>Status_2</t>
  </si>
  <si>
    <t>Date_de_Retraitement</t>
  </si>
  <si>
    <t>DMt_2</t>
  </si>
  <si>
    <t>0470008164 Fz_CB_MC_ParcoursJ_v062026.docx</t>
  </si>
  <si>
    <t>0470026728 Fz_CB_Mastercard_v062026.docx</t>
  </si>
  <si>
    <t>0470026724 Fz_CB_MC_Gold_v062026.docx</t>
  </si>
  <si>
    <t>9800075782 Fz_CB_MC_World_Elite_v062026.docx</t>
  </si>
  <si>
    <t>9800081478 Fz_CB_Mastercard_devise_v062026.docx</t>
  </si>
  <si>
    <t>9800165799 Fz_CB_MC_CVV Evolutif_v062026.docx</t>
  </si>
  <si>
    <t>9800205061 Fz_CICPAY - 062026.docx</t>
  </si>
  <si>
    <t>CIC</t>
  </si>
  <si>
    <t>0470004354 CIC FZ PEA 0426_reluNK.docx</t>
  </si>
  <si>
    <t>Ajout de Mention Légal Établissement de Crédit</t>
  </si>
  <si>
    <t>0470007089 Fz_MOA_CB_Cirrus_v062026.docx</t>
  </si>
  <si>
    <t>9800237213 FZ compte courant PART CHF.docx</t>
  </si>
  <si>
    <t>9800065612 Fz_CB_Mastercard_DebitCredit_v062026.docx</t>
  </si>
  <si>
    <t>9800065619 Fz_CB_Mastercard_Gold_DebitCredit_v062026.docx</t>
  </si>
  <si>
    <t>9800090537 CIC FZ PEA PME 0426_reluNK.docx</t>
  </si>
  <si>
    <t>9800132645 CIC FZ - CTO - 0426_reluNK.docx</t>
  </si>
  <si>
    <t>9800155244 Fz_CB_MC_Vie_Quotidienne_v062026.docx</t>
  </si>
  <si>
    <t>EN COURS ? NON CONFORME</t>
  </si>
  <si>
    <t>couleur de tableaux non conforme</t>
  </si>
  <si>
    <t>NON CONFORME</t>
  </si>
  <si>
    <t>9800182916 FZ compte courant PART.docx</t>
  </si>
  <si>
    <t>Fiche Zoom Alertes CIC revue.docx</t>
  </si>
  <si>
    <t>Fiche Zoom Analyse Budgetaire revue.docx</t>
  </si>
  <si>
    <t>0470005537 CIC - FZ Parcours J.docx</t>
  </si>
  <si>
    <t>0470005535 CIC- Contrat Personnel Global 02 25.docx</t>
  </si>
  <si>
    <t>Service Accueil 0470025047.docx</t>
  </si>
  <si>
    <t>0470022105 SJA 02 25.docx</t>
  </si>
  <si>
    <t>9800014535 CIC - Contrat Personnel Patrimoine Actif.docx</t>
  </si>
  <si>
    <t>9800153698 FZ compte courant SCI.docx</t>
  </si>
  <si>
    <t>9800188168 CIC - Vie Quotidienne.docx</t>
  </si>
  <si>
    <t>9800056922 CIC- Contrat Personnel Cap Transat 02 25.docx</t>
  </si>
  <si>
    <t>9800164543 CIC - Digipass.docx</t>
  </si>
  <si>
    <t>9800220785 FZ CC PART mineur.docx</t>
  </si>
  <si>
    <t>PdB 9800135222.docx</t>
  </si>
  <si>
    <t>9800193030 FZ compte courant spéciaux PART.docx</t>
  </si>
  <si>
    <t>9800193031 FZ compte courant spéciaux presta sociales PART.docx</t>
  </si>
  <si>
    <t>de NON CONFORME à TRAITES</t>
  </si>
  <si>
    <t>9800222734 FZ compte courant sequestre judiciaire.docx</t>
  </si>
  <si>
    <t>9800222737 FZ compte courant sequestre conventionnel.docx</t>
  </si>
  <si>
    <t>FZ - CIC ADD 9800127954.docx</t>
  </si>
  <si>
    <t>FZ - CIC RSPF 9800173354.docx</t>
  </si>
  <si>
    <t>FZ - CIC Transfert Facile 9800130839.docx</t>
  </si>
  <si>
    <t>9800057580 Fz_E-Retrait_v062026.docx</t>
  </si>
  <si>
    <t>SBB 9800161183 Déc 2025.docx</t>
  </si>
  <si>
    <t>9800232478 FZ_Filbanque e-jeunes version VADSF.docx</t>
  </si>
  <si>
    <t>9800193029 FZ - CC majeurs protégés.docx</t>
  </si>
  <si>
    <t>0470004375 FZ_Filbanque part-version VADSF.docx</t>
  </si>
  <si>
    <t>0470008440 Fz_Payweb_Card_v062026.docx</t>
  </si>
  <si>
    <t>9800191641 CIC - SupTreso version VADSF.docx</t>
  </si>
  <si>
    <t>PEA _0140020765-Vadsf2026.docx</t>
  </si>
  <si>
    <t>CMMABN</t>
  </si>
  <si>
    <t>[PAS DE SOUS-DOMAINE]</t>
  </si>
  <si>
    <t>Recueil_Des_Prix_PART_2026.pdf</t>
  </si>
  <si>
    <t>contraste non conforme</t>
  </si>
  <si>
    <t>P1_IPID_Monabanq_10-2026.pdf</t>
  </si>
  <si>
    <t>ACM</t>
  </si>
  <si>
    <t>ASS-PERS-IND</t>
  </si>
  <si>
    <t>COuleur des puces non conforme</t>
  </si>
  <si>
    <t>P2_IPID_Monabanq_10-2026.pdf</t>
  </si>
  <si>
    <t>Recueil_Des_Prix_PART_2026</t>
  </si>
  <si>
    <t>0130000723 Fc_CB_Cirrus_v072026.docx</t>
  </si>
  <si>
    <t>CMO</t>
  </si>
  <si>
    <t>Cartes bancaires</t>
  </si>
  <si>
    <t>0130000753 Fc_CB_MC_Gold_v072026.docx</t>
  </si>
  <si>
    <t>0130009825 Fc_CB_MC_On_line_v072026.docx</t>
  </si>
  <si>
    <t>0130022924 Fc_Carte_Dépôt_v072026.docx</t>
  </si>
  <si>
    <t>0130019519 Fc_CB_MC_Vie_Quotidienne_v072026.docx</t>
  </si>
  <si>
    <t>0130017718_ FC CM Facil Accès_072026.docx</t>
  </si>
  <si>
    <t>Tarif</t>
  </si>
  <si>
    <t>9800132645 CIC FZ - CTO - 0426 v3.docx</t>
  </si>
  <si>
    <t>P1_IPID_Monabanq_10-2026</t>
  </si>
  <si>
    <t>P2_IPID_Monabanq_10-2026</t>
  </si>
  <si>
    <t>0130017719_FC CM Transfert Facile_072026.docx</t>
  </si>
  <si>
    <t>Nombre de Status_2</t>
  </si>
  <si>
    <t>0130018095_FC CM ADD_072026.docx</t>
  </si>
  <si>
    <t>0130019852_ FC Services bancaires de bases SBB_072026.docx</t>
  </si>
  <si>
    <t>0130021864_ FC Offre Prestations de base_072026.docx</t>
  </si>
  <si>
    <t>Fiche Clarté MABN PSB _0140026056.docx</t>
  </si>
  <si>
    <t>9800237165 CM  FC Connect Initial V2.docx</t>
  </si>
  <si>
    <t>CM</t>
  </si>
  <si>
    <t>9800237169 CM FC Forfait complémentaire V2.docx</t>
  </si>
  <si>
    <t>0725_024_CC PART CEE IDF SE SMB 81.69.55.pdf</t>
  </si>
  <si>
    <t>DIRCOM</t>
  </si>
  <si>
    <t>0130016838_FC CMUT Basis_072026.docx</t>
  </si>
  <si>
    <t>BAD</t>
  </si>
  <si>
    <t>0130018473_FC Top infos_072026.docx</t>
  </si>
  <si>
    <t>0130024306_FC CMPAY_072026.docx</t>
  </si>
  <si>
    <t>REVERPSYA.pdf</t>
  </si>
  <si>
    <t>ASS-INDEMN-BIENS-PERS</t>
  </si>
  <si>
    <t>il n'a pas de Titre niveau 1</t>
  </si>
  <si>
    <t>0130009109 CM - Eurocompte jeune 072026.docx</t>
  </si>
  <si>
    <t>Packages</t>
  </si>
  <si>
    <t>0130010696 FC_Eurocompte DUO'S_072026.docx</t>
  </si>
  <si>
    <t>0130010743 FC_Eurocompte Standard_072026.docx</t>
  </si>
  <si>
    <t>0130015309 CM - Eurocompte Cap Transat 072026.docx</t>
  </si>
  <si>
    <t>0130022386 FC_CM - Connect Origine_072026.docx</t>
  </si>
  <si>
    <t>0130023171 FC_Connect Crédit Mutuel_072026.docx</t>
  </si>
  <si>
    <t>0130011503_FC Parts Sociales B_072026.docx</t>
  </si>
  <si>
    <t>Epargne bancaire</t>
  </si>
  <si>
    <t>9800100001 CIC FZ GCO 06 2026</t>
  </si>
  <si>
    <t>0110068034 FC GCO 06 2026</t>
  </si>
  <si>
    <t>FC CMUT DIRECT 0626.docx</t>
  </si>
  <si>
    <t>FC compte courant.docx</t>
  </si>
  <si>
    <t>SA0000063296399</t>
  </si>
  <si>
    <t>Extention</t>
  </si>
  <si>
    <t>TEST</t>
  </si>
  <si>
    <t>PDF</t>
  </si>
  <si>
    <t>EN COURS</t>
  </si>
  <si>
    <t>N°Ticket SARA</t>
  </si>
  <si>
    <t>CIC CIB ASSET SERVICING</t>
  </si>
  <si>
    <t>669809 0726 FILSECURITIES PARTICULIER.pdf</t>
  </si>
  <si>
    <t>COL_9902030091_011000661149773.pdf</t>
  </si>
  <si>
    <t>ASS-PERS-COLL</t>
  </si>
  <si>
    <t>COL_9902030092_011000709664942.pdf</t>
  </si>
  <si>
    <t>COL_9902030098_011000823633465.pdf</t>
  </si>
  <si>
    <t>COL_9902030098_011000823633467.pdf</t>
  </si>
  <si>
    <t>FC Eurocompte Confort.docx</t>
  </si>
  <si>
    <t>IDM_9902030191_011000830798592.pdf</t>
  </si>
  <si>
    <t>Contraste NON COnforme</t>
  </si>
  <si>
    <t>IRD_9902030015_011000527904322.pdf</t>
  </si>
  <si>
    <t>ASS-BIENS</t>
  </si>
  <si>
    <t>IRD_9902030015_011000527904327.pdf</t>
  </si>
  <si>
    <t>IRD_9902030015_011000527904332.pdf</t>
  </si>
  <si>
    <t>IRD_9902030015_011000586849371.pdf</t>
  </si>
  <si>
    <t>1. Contraste Non conforme. 2. Cohérence des titre non conforme</t>
  </si>
  <si>
    <t>IRD_9902030015_011000666625993.pdf</t>
  </si>
  <si>
    <t>PJU_9902030015_011000715122530.pdf</t>
  </si>
  <si>
    <t>ASS-PROTECTION-JUR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</si>
</sst>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hh:mm:ss"/>
    <numFmt numFmtId="165" formatCode="[$-F400]h:mm:ss\ AM/PM"/>
    <numFmt numFmtId="166" formatCode="[h]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8DCF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17233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1" fillId="2" borderId="0" xfId="0" applyFont="1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22" fontId="1" fillId="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4" borderId="0" xfId="0" applyFill="1"/>
    <xf numFmtId="0" fontId="2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1" fillId="3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1" fillId="3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/>
    <xf numFmtId="164" fontId="0" fillId="0" borderId="0" xfId="0" applyNumberFormat="1"/>
    <xf numFmtId="164" fontId="0" fillId="0" borderId="0" xfId="0" applyNumberFormat="1"/>
    <xf numFmtId="165" fontId="1" fillId="3" borderId="0" xfId="0" applyNumberFormat="1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0" fontId="0" fillId="4" borderId="0" xfId="0" applyNumberFormat="1" applyFill="1"/>
    <xf numFmtId="20" fontId="0" fillId="0" borderId="0" xfId="0" applyNumberFormat="1"/>
    <xf numFmtId="22" fontId="0" fillId="0" borderId="0" xfId="0" applyNumberFormat="1"/>
    <xf numFmtId="0" fontId="0" fillId="5" borderId="0" xfId="0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46505A"/>
      <color rgb="FF464D57"/>
      <color rgb="FF434D57"/>
      <color rgb="FF172331"/>
      <color rgb="FF2632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[TASKFORCE.xlsm]Feuil2!Tableau croisé dynamique1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Total de document Traiter par</a:t>
            </a:r>
            <a:r>
              <a:rPr lang="en-US" baseline="0">
                <a:solidFill>
                  <a:schemeClr val="bg1"/>
                </a:solidFill>
              </a:rPr>
              <a:t> Typologies</a:t>
            </a:r>
            <a:endParaRPr lang="en-US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2.8336138572359051E-3"/>
          <c:y val="2.02066273494844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555555555555555E-2"/>
          <c:y val="0.17171296296296296"/>
          <c:w val="0.93081474190726154"/>
          <c:h val="0.552008967629046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Feuil2!$B$3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Feuil2!$A$4:$A$25</c:f>
              <c:multiLvlStrCache>
                <c:ptCount val="15"/>
                <c:lvl>
                  <c:pt idx="0">
                    <c:v>CONDITIONS GENERALES</c:v>
                  </c:pt>
                  <c:pt idx="1">
                    <c:v>FICHES CLIENTS</c:v>
                  </c:pt>
                  <c:pt idx="2">
                    <c:v>CIC</c:v>
                  </c:pt>
                  <c:pt idx="3">
                    <c:v>CM</c:v>
                  </c:pt>
                  <c:pt idx="4">
                    <c:v>[PAS DE SOUS-DOMAINE]</c:v>
                  </c:pt>
                  <c:pt idx="5">
                    <c:v>ASS-PERS-IND</c:v>
                  </c:pt>
                  <c:pt idx="6">
                    <c:v>ASS-INDEMN-BIENS-PERS</c:v>
                  </c:pt>
                  <c:pt idx="7">
                    <c:v>ASS-PERS-COLL</c:v>
                  </c:pt>
                  <c:pt idx="8">
                    <c:v>ASS-BIENS</c:v>
                  </c:pt>
                  <c:pt idx="9">
                    <c:v>Cartes bancaires</c:v>
                  </c:pt>
                  <c:pt idx="10">
                    <c:v>Tarif</c:v>
                  </c:pt>
                  <c:pt idx="11">
                    <c:v>BAD</c:v>
                  </c:pt>
                  <c:pt idx="12">
                    <c:v>Packages</c:v>
                  </c:pt>
                  <c:pt idx="13">
                    <c:v>Epargne bancaire</c:v>
                  </c:pt>
                  <c:pt idx="14">
                    <c:v>[PAS DE SOUS-DOMAINE]</c:v>
                  </c:pt>
                </c:lvl>
                <c:lvl>
                  <c:pt idx="0">
                    <c:v>CONTRATHEQUE</c:v>
                  </c:pt>
                  <c:pt idx="1">
                    <c:v>DIRCO</c:v>
                  </c:pt>
                  <c:pt idx="4">
                    <c:v>CMMABN</c:v>
                  </c:pt>
                  <c:pt idx="5">
                    <c:v>ACM</c:v>
                  </c:pt>
                  <c:pt idx="9">
                    <c:v>CMO</c:v>
                  </c:pt>
                  <c:pt idx="14">
                    <c:v>DIRCOM</c:v>
                  </c:pt>
                </c:lvl>
              </c:multiLvlStrCache>
            </c:multiLvlStrRef>
          </c:cat>
          <c:val>
            <c:numRef>
              <c:f>Feuil2!$B$4:$B$25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47</c:v>
                </c:pt>
                <c:pt idx="3">
                  <c:v>3</c:v>
                </c:pt>
                <c:pt idx="4">
                  <c:v>6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5</c:v>
                </c:pt>
                <c:pt idx="11">
                  <c:v>2</c:v>
                </c:pt>
                <c:pt idx="12">
                  <c:v>6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13-42D6-9426-15577C395AB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78399888"/>
        <c:axId val="778423600"/>
      </c:barChart>
      <c:catAx>
        <c:axId val="77839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8423600"/>
        <c:crosses val="autoZero"/>
        <c:auto val="1"/>
        <c:lblAlgn val="ctr"/>
        <c:lblOffset val="100"/>
        <c:noMultiLvlLbl val="0"/>
      </c:catAx>
      <c:valAx>
        <c:axId val="7784236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839988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png"/><Relationship Id="rId7" Type="http://schemas.openxmlformats.org/officeDocument/2006/relationships/image" Target="../media/image7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6.png"/><Relationship Id="rId5" Type="http://schemas.openxmlformats.org/officeDocument/2006/relationships/chart" Target="../charts/chart1.xml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180974</xdr:rowOff>
    </xdr:from>
    <xdr:to>
      <xdr:col>2</xdr:col>
      <xdr:colOff>695325</xdr:colOff>
      <xdr:row>34</xdr:row>
      <xdr:rowOff>114299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025" y="180974"/>
          <a:ext cx="2019300" cy="6410325"/>
        </a:xfrm>
        <a:prstGeom prst="roundRect">
          <a:avLst/>
        </a:prstGeom>
        <a:solidFill>
          <a:srgbClr val="434D57"/>
        </a:solidFill>
        <a:ln>
          <a:solidFill>
            <a:srgbClr val="434D5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55244</xdr:colOff>
      <xdr:row>0</xdr:row>
      <xdr:rowOff>156209</xdr:rowOff>
    </xdr:from>
    <xdr:to>
      <xdr:col>23</xdr:col>
      <xdr:colOff>142875</xdr:colOff>
      <xdr:row>35</xdr:row>
      <xdr:rowOff>7619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341244" y="156209"/>
          <a:ext cx="15327631" cy="651891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11138">
              <a:moveTo>
                <a:pt x="0" y="658834"/>
              </a:moveTo>
              <a:cubicBezTo>
                <a:pt x="0" y="68768"/>
                <a:pt x="487868" y="0"/>
                <a:pt x="1077934" y="0"/>
              </a:cubicBezTo>
              <a:lnTo>
                <a:pt x="14257317" y="0"/>
              </a:lnTo>
              <a:cubicBezTo>
                <a:pt x="14847383" y="0"/>
                <a:pt x="15325726" y="478343"/>
                <a:pt x="15325726" y="1068409"/>
              </a:cubicBezTo>
              <a:lnTo>
                <a:pt x="15325726" y="5341916"/>
              </a:lnTo>
              <a:cubicBezTo>
                <a:pt x="15325726" y="5931982"/>
                <a:pt x="14847383" y="6410325"/>
                <a:pt x="14257317" y="6410325"/>
              </a:cubicBezTo>
              <a:lnTo>
                <a:pt x="1077934" y="6410325"/>
              </a:lnTo>
              <a:cubicBezTo>
                <a:pt x="487868" y="6410325"/>
                <a:pt x="47625" y="6455857"/>
                <a:pt x="47625" y="5865791"/>
              </a:cubicBezTo>
              <a:cubicBezTo>
                <a:pt x="47625" y="4441289"/>
                <a:pt x="0" y="2083336"/>
                <a:pt x="0" y="658834"/>
              </a:cubicBezTo>
              <a:close/>
            </a:path>
          </a:pathLst>
        </a:custGeom>
        <a:solidFill>
          <a:srgbClr val="263242"/>
        </a:solidFill>
        <a:ln>
          <a:solidFill>
            <a:srgbClr val="26324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590550</xdr:colOff>
      <xdr:row>2</xdr:row>
      <xdr:rowOff>9525</xdr:rowOff>
    </xdr:from>
    <xdr:to>
      <xdr:col>10</xdr:col>
      <xdr:colOff>571500</xdr:colOff>
      <xdr:row>5</xdr:row>
      <xdr:rowOff>142875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6550" y="390525"/>
          <a:ext cx="5314950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3600" b="1">
              <a:solidFill>
                <a:schemeClr val="bg1"/>
              </a:solidFill>
            </a:rPr>
            <a:t>DASH</a:t>
          </a:r>
          <a:r>
            <a:rPr lang="fr-FR" sz="3600" b="1" baseline="0">
              <a:solidFill>
                <a:schemeClr val="bg1"/>
              </a:solidFill>
            </a:rPr>
            <a:t>BOARD D'AUDIT</a:t>
          </a:r>
          <a:endParaRPr lang="fr-FR" sz="36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638175</xdr:colOff>
      <xdr:row>6</xdr:row>
      <xdr:rowOff>37670</xdr:rowOff>
    </xdr:from>
    <xdr:to>
      <xdr:col>14</xdr:col>
      <xdr:colOff>657225</xdr:colOff>
      <xdr:row>18</xdr:row>
      <xdr:rowOff>95270</xdr:rowOff>
    </xdr:to>
    <xdr:sp macro="" textlink="">
      <xdr:nvSpPr>
        <xdr:cNvPr id="7" name="Rectangle : coins arrondis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924175" y="1180670"/>
          <a:ext cx="8401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200025</xdr:colOff>
      <xdr:row>6</xdr:row>
      <xdr:rowOff>37670</xdr:rowOff>
    </xdr:from>
    <xdr:to>
      <xdr:col>22</xdr:col>
      <xdr:colOff>276225</xdr:colOff>
      <xdr:row>18</xdr:row>
      <xdr:rowOff>95270</xdr:rowOff>
    </xdr:to>
    <xdr:sp macro="" textlink="">
      <xdr:nvSpPr>
        <xdr:cNvPr id="9" name="Rectangle : coins arrondis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1630025" y="1180670"/>
          <a:ext cx="541020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19</xdr:row>
      <xdr:rowOff>113870</xdr:rowOff>
    </xdr:from>
    <xdr:to>
      <xdr:col>9</xdr:col>
      <xdr:colOff>266700</xdr:colOff>
      <xdr:row>31</xdr:row>
      <xdr:rowOff>171470</xdr:rowOff>
    </xdr:to>
    <xdr:sp macro="" textlink="">
      <xdr:nvSpPr>
        <xdr:cNvPr id="10" name="Rectangle : coins arrondis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914650" y="3733370"/>
          <a:ext cx="4210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34</xdr:row>
      <xdr:rowOff>151970</xdr:rowOff>
    </xdr:from>
    <xdr:to>
      <xdr:col>0</xdr:col>
      <xdr:colOff>0</xdr:colOff>
      <xdr:row>47</xdr:row>
      <xdr:rowOff>19070</xdr:rowOff>
    </xdr:to>
    <xdr:sp macro="" textlink="">
      <xdr:nvSpPr>
        <xdr:cNvPr id="11" name="Rectangle : coins arrondis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0" y="6628970"/>
          <a:ext cx="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271462</xdr:colOff>
      <xdr:row>19</xdr:row>
      <xdr:rowOff>113870</xdr:rowOff>
    </xdr:from>
    <xdr:to>
      <xdr:col>15</xdr:col>
      <xdr:colOff>671512</xdr:colOff>
      <xdr:row>31</xdr:row>
      <xdr:rowOff>171470</xdr:rowOff>
    </xdr:to>
    <xdr:sp macro="" textlink="">
      <xdr:nvSpPr>
        <xdr:cNvPr id="12" name="Rectangle : coins arrondis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891462" y="3733370"/>
          <a:ext cx="4210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676275</xdr:colOff>
      <xdr:row>19</xdr:row>
      <xdr:rowOff>113870</xdr:rowOff>
    </xdr:from>
    <xdr:to>
      <xdr:col>22</xdr:col>
      <xdr:colOff>314325</xdr:colOff>
      <xdr:row>31</xdr:row>
      <xdr:rowOff>171470</xdr:rowOff>
    </xdr:to>
    <xdr:sp macro="" textlink="">
      <xdr:nvSpPr>
        <xdr:cNvPr id="13" name="Rectangle : coins arrondis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2868275" y="3733370"/>
          <a:ext cx="4210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428625</xdr:colOff>
      <xdr:row>5</xdr:row>
      <xdr:rowOff>66675</xdr:rowOff>
    </xdr:from>
    <xdr:to>
      <xdr:col>2</xdr:col>
      <xdr:colOff>419100</xdr:colOff>
      <xdr:row>7</xdr:row>
      <xdr:rowOff>76200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28625" y="1019175"/>
          <a:ext cx="15144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000" b="1">
              <a:solidFill>
                <a:schemeClr val="bg1"/>
              </a:solidFill>
            </a:rPr>
            <a:t>Accessibilité</a:t>
          </a:r>
          <a:endParaRPr lang="fr-FR" sz="3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15</xdr:col>
      <xdr:colOff>476249</xdr:colOff>
      <xdr:row>0</xdr:row>
      <xdr:rowOff>152400</xdr:rowOff>
    </xdr:from>
    <xdr:to>
      <xdr:col>16</xdr:col>
      <xdr:colOff>666749</xdr:colOff>
      <xdr:row>5</xdr:row>
      <xdr:rowOff>152400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6249" y="152400"/>
          <a:ext cx="952500" cy="952500"/>
        </a:xfrm>
        <a:prstGeom prst="rect">
          <a:avLst/>
        </a:prstGeom>
      </xdr:spPr>
    </xdr:pic>
    <xdr:clientData/>
  </xdr:twoCellAnchor>
  <xdr:twoCellAnchor>
    <xdr:from>
      <xdr:col>16</xdr:col>
      <xdr:colOff>619124</xdr:colOff>
      <xdr:row>1</xdr:row>
      <xdr:rowOff>57150</xdr:rowOff>
    </xdr:from>
    <xdr:to>
      <xdr:col>19</xdr:col>
      <xdr:colOff>314325</xdr:colOff>
      <xdr:row>3</xdr:row>
      <xdr:rowOff>95250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11124" y="247650"/>
          <a:ext cx="1981201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400" b="1">
              <a:solidFill>
                <a:schemeClr val="bg1"/>
              </a:solidFill>
            </a:rPr>
            <a:t>UTILISATEUR:</a:t>
          </a:r>
        </a:p>
      </xdr:txBody>
    </xdr:sp>
    <xdr:clientData/>
  </xdr:twoCellAnchor>
  <xdr:twoCellAnchor editAs="oneCell">
    <xdr:from>
      <xdr:col>1</xdr:col>
      <xdr:colOff>38099</xdr:colOff>
      <xdr:row>1</xdr:row>
      <xdr:rowOff>28575</xdr:rowOff>
    </xdr:from>
    <xdr:to>
      <xdr:col>2</xdr:col>
      <xdr:colOff>133349</xdr:colOff>
      <xdr:row>5</xdr:row>
      <xdr:rowOff>123825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099" y="219075"/>
          <a:ext cx="857250" cy="857250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6</xdr:row>
      <xdr:rowOff>37670</xdr:rowOff>
    </xdr:from>
    <xdr:to>
      <xdr:col>18</xdr:col>
      <xdr:colOff>600075</xdr:colOff>
      <xdr:row>8</xdr:row>
      <xdr:rowOff>161925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1839575" y="1180670"/>
          <a:ext cx="2476500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QUICK ACTION</a:t>
          </a:r>
        </a:p>
      </xdr:txBody>
    </xdr:sp>
    <xdr:clientData/>
  </xdr:twoCellAnchor>
  <xdr:twoCellAnchor>
    <xdr:from>
      <xdr:col>16</xdr:col>
      <xdr:colOff>85725</xdr:colOff>
      <xdr:row>10</xdr:row>
      <xdr:rowOff>152401</xdr:rowOff>
    </xdr:from>
    <xdr:to>
      <xdr:col>21</xdr:col>
      <xdr:colOff>476250</xdr:colOff>
      <xdr:row>15</xdr:row>
      <xdr:rowOff>66675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2275820" y="2057401"/>
          <a:ext cx="4206240" cy="868679"/>
          <a:chOff x="12668250" y="2390774"/>
          <a:chExt cx="3362325" cy="695325"/>
        </a:xfrm>
      </xdr:grpSpPr>
      <xdr:sp macro="[0]!frorm" textlink="">
        <xdr:nvSpPr>
          <xdr:cNvPr id="27" name="Rectangle : coins arrondis 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12668250" y="2400300"/>
            <a:ext cx="3362325" cy="647720"/>
          </a:xfrm>
          <a:custGeom>
            <a:avLst/>
            <a:gdLst>
              <a:gd name="connsiteX0" fmla="*/ 0 w 15316201"/>
              <a:gd name="connsiteY0" fmla="*/ 1068409 h 6410325"/>
              <a:gd name="connsiteX1" fmla="*/ 1068409 w 15316201"/>
              <a:gd name="connsiteY1" fmla="*/ 0 h 6410325"/>
              <a:gd name="connsiteX2" fmla="*/ 14247792 w 15316201"/>
              <a:gd name="connsiteY2" fmla="*/ 0 h 6410325"/>
              <a:gd name="connsiteX3" fmla="*/ 15316201 w 15316201"/>
              <a:gd name="connsiteY3" fmla="*/ 1068409 h 6410325"/>
              <a:gd name="connsiteX4" fmla="*/ 15316201 w 15316201"/>
              <a:gd name="connsiteY4" fmla="*/ 5341916 h 6410325"/>
              <a:gd name="connsiteX5" fmla="*/ 14247792 w 15316201"/>
              <a:gd name="connsiteY5" fmla="*/ 6410325 h 6410325"/>
              <a:gd name="connsiteX6" fmla="*/ 1068409 w 15316201"/>
              <a:gd name="connsiteY6" fmla="*/ 6410325 h 6410325"/>
              <a:gd name="connsiteX7" fmla="*/ 0 w 15316201"/>
              <a:gd name="connsiteY7" fmla="*/ 5341916 h 6410325"/>
              <a:gd name="connsiteX8" fmla="*/ 0 w 15316201"/>
              <a:gd name="connsiteY8" fmla="*/ 1068409 h 6410325"/>
              <a:gd name="connsiteX0" fmla="*/ 0 w 15325726"/>
              <a:gd name="connsiteY0" fmla="*/ 658834 h 6410325"/>
              <a:gd name="connsiteX1" fmla="*/ 1077934 w 15325726"/>
              <a:gd name="connsiteY1" fmla="*/ 0 h 6410325"/>
              <a:gd name="connsiteX2" fmla="*/ 14257317 w 15325726"/>
              <a:gd name="connsiteY2" fmla="*/ 0 h 6410325"/>
              <a:gd name="connsiteX3" fmla="*/ 15325726 w 15325726"/>
              <a:gd name="connsiteY3" fmla="*/ 1068409 h 6410325"/>
              <a:gd name="connsiteX4" fmla="*/ 15325726 w 15325726"/>
              <a:gd name="connsiteY4" fmla="*/ 5341916 h 6410325"/>
              <a:gd name="connsiteX5" fmla="*/ 14257317 w 15325726"/>
              <a:gd name="connsiteY5" fmla="*/ 6410325 h 6410325"/>
              <a:gd name="connsiteX6" fmla="*/ 1077934 w 15325726"/>
              <a:gd name="connsiteY6" fmla="*/ 6410325 h 6410325"/>
              <a:gd name="connsiteX7" fmla="*/ 9525 w 15325726"/>
              <a:gd name="connsiteY7" fmla="*/ 5341916 h 6410325"/>
              <a:gd name="connsiteX8" fmla="*/ 0 w 15325726"/>
              <a:gd name="connsiteY8" fmla="*/ 658834 h 6410325"/>
              <a:gd name="connsiteX0" fmla="*/ 0 w 15325726"/>
              <a:gd name="connsiteY0" fmla="*/ 658834 h 6411138"/>
              <a:gd name="connsiteX1" fmla="*/ 1077934 w 15325726"/>
              <a:gd name="connsiteY1" fmla="*/ 0 h 6411138"/>
              <a:gd name="connsiteX2" fmla="*/ 14257317 w 15325726"/>
              <a:gd name="connsiteY2" fmla="*/ 0 h 6411138"/>
              <a:gd name="connsiteX3" fmla="*/ 15325726 w 15325726"/>
              <a:gd name="connsiteY3" fmla="*/ 1068409 h 6411138"/>
              <a:gd name="connsiteX4" fmla="*/ 15325726 w 15325726"/>
              <a:gd name="connsiteY4" fmla="*/ 5341916 h 6411138"/>
              <a:gd name="connsiteX5" fmla="*/ 14257317 w 15325726"/>
              <a:gd name="connsiteY5" fmla="*/ 6410325 h 6411138"/>
              <a:gd name="connsiteX6" fmla="*/ 1077934 w 15325726"/>
              <a:gd name="connsiteY6" fmla="*/ 6410325 h 6411138"/>
              <a:gd name="connsiteX7" fmla="*/ 47625 w 15325726"/>
              <a:gd name="connsiteY7" fmla="*/ 5865791 h 6411138"/>
              <a:gd name="connsiteX8" fmla="*/ 0 w 15325726"/>
              <a:gd name="connsiteY8" fmla="*/ 658834 h 6411138"/>
              <a:gd name="connsiteX0" fmla="*/ 0 w 15325726"/>
              <a:gd name="connsiteY0" fmla="*/ 660253 h 6412557"/>
              <a:gd name="connsiteX1" fmla="*/ 1077934 w 15325726"/>
              <a:gd name="connsiteY1" fmla="*/ 1419 h 6412557"/>
              <a:gd name="connsiteX2" fmla="*/ 14257317 w 15325726"/>
              <a:gd name="connsiteY2" fmla="*/ 1419 h 6412557"/>
              <a:gd name="connsiteX3" fmla="*/ 15298744 w 15325726"/>
              <a:gd name="connsiteY3" fmla="*/ 535565 h 6412557"/>
              <a:gd name="connsiteX4" fmla="*/ 15325726 w 15325726"/>
              <a:gd name="connsiteY4" fmla="*/ 5343335 h 6412557"/>
              <a:gd name="connsiteX5" fmla="*/ 14257317 w 15325726"/>
              <a:gd name="connsiteY5" fmla="*/ 6411744 h 6412557"/>
              <a:gd name="connsiteX6" fmla="*/ 1077934 w 15325726"/>
              <a:gd name="connsiteY6" fmla="*/ 6411744 h 6412557"/>
              <a:gd name="connsiteX7" fmla="*/ 47625 w 15325726"/>
              <a:gd name="connsiteY7" fmla="*/ 5867210 h 6412557"/>
              <a:gd name="connsiteX8" fmla="*/ 0 w 15325726"/>
              <a:gd name="connsiteY8" fmla="*/ 660253 h 6412557"/>
              <a:gd name="connsiteX0" fmla="*/ 0 w 15325726"/>
              <a:gd name="connsiteY0" fmla="*/ 660253 h 6421528"/>
              <a:gd name="connsiteX1" fmla="*/ 1077934 w 15325726"/>
              <a:gd name="connsiteY1" fmla="*/ 1419 h 6421528"/>
              <a:gd name="connsiteX2" fmla="*/ 14257317 w 15325726"/>
              <a:gd name="connsiteY2" fmla="*/ 1419 h 6421528"/>
              <a:gd name="connsiteX3" fmla="*/ 15298744 w 15325726"/>
              <a:gd name="connsiteY3" fmla="*/ 535565 h 6421528"/>
              <a:gd name="connsiteX4" fmla="*/ 15325726 w 15325726"/>
              <a:gd name="connsiteY4" fmla="*/ 5940450 h 6421528"/>
              <a:gd name="connsiteX5" fmla="*/ 14257317 w 15325726"/>
              <a:gd name="connsiteY5" fmla="*/ 6411744 h 6421528"/>
              <a:gd name="connsiteX6" fmla="*/ 1077934 w 15325726"/>
              <a:gd name="connsiteY6" fmla="*/ 6411744 h 6421528"/>
              <a:gd name="connsiteX7" fmla="*/ 47625 w 15325726"/>
              <a:gd name="connsiteY7" fmla="*/ 5867210 h 6421528"/>
              <a:gd name="connsiteX8" fmla="*/ 0 w 15325726"/>
              <a:gd name="connsiteY8" fmla="*/ 660253 h 64215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5325726" h="6421528">
                <a:moveTo>
                  <a:pt x="0" y="660253"/>
                </a:moveTo>
                <a:cubicBezTo>
                  <a:pt x="0" y="70187"/>
                  <a:pt x="487868" y="1419"/>
                  <a:pt x="1077934" y="1419"/>
                </a:cubicBezTo>
                <a:lnTo>
                  <a:pt x="14257317" y="1419"/>
                </a:lnTo>
                <a:cubicBezTo>
                  <a:pt x="14847383" y="1419"/>
                  <a:pt x="15298744" y="-54501"/>
                  <a:pt x="15298744" y="535565"/>
                </a:cubicBezTo>
                <a:lnTo>
                  <a:pt x="15325726" y="5940450"/>
                </a:lnTo>
                <a:cubicBezTo>
                  <a:pt x="15325726" y="6530516"/>
                  <a:pt x="14847383" y="6411744"/>
                  <a:pt x="14257317" y="6411744"/>
                </a:cubicBezTo>
                <a:lnTo>
                  <a:pt x="1077934" y="6411744"/>
                </a:lnTo>
                <a:cubicBezTo>
                  <a:pt x="487868" y="6411744"/>
                  <a:pt x="47625" y="6457276"/>
                  <a:pt x="47625" y="5867210"/>
                </a:cubicBezTo>
                <a:cubicBezTo>
                  <a:pt x="47625" y="4442708"/>
                  <a:pt x="0" y="2084755"/>
                  <a:pt x="0" y="660253"/>
                </a:cubicBezTo>
                <a:close/>
              </a:path>
            </a:pathLst>
          </a:custGeom>
          <a:solidFill>
            <a:schemeClr val="accent2">
              <a:lumMod val="75000"/>
            </a:schemeClr>
          </a:solidFill>
          <a:ln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frorm">
        <xdr:nvPicPr>
          <xdr:cNvPr id="30" name="Imag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2763499" y="2390774"/>
            <a:ext cx="695325" cy="695325"/>
          </a:xfrm>
          <a:prstGeom prst="rect">
            <a:avLst/>
          </a:prstGeom>
        </xdr:spPr>
      </xdr:pic>
      <xdr:sp macro="[0]!frorm" textlink="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3458825" y="2524125"/>
            <a:ext cx="2476500" cy="505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1">
                <a:solidFill>
                  <a:schemeClr val="bg1"/>
                </a:solidFill>
              </a:rPr>
              <a:t>Démarrer</a:t>
            </a:r>
            <a:r>
              <a:rPr lang="fr-FR" sz="1800" b="1" baseline="0">
                <a:solidFill>
                  <a:schemeClr val="bg1"/>
                </a:solidFill>
              </a:rPr>
              <a:t> LA SAISIE</a:t>
            </a:r>
            <a:endParaRPr lang="fr-FR" sz="18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85724</xdr:colOff>
      <xdr:row>6</xdr:row>
      <xdr:rowOff>37670</xdr:rowOff>
    </xdr:from>
    <xdr:to>
      <xdr:col>8</xdr:col>
      <xdr:colOff>38099</xdr:colOff>
      <xdr:row>8</xdr:row>
      <xdr:rowOff>161925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3133724" y="1180670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INTRODUCTION</a:t>
          </a:r>
        </a:p>
      </xdr:txBody>
    </xdr:sp>
    <xdr:clientData/>
  </xdr:twoCellAnchor>
  <xdr:twoCellAnchor>
    <xdr:from>
      <xdr:col>4</xdr:col>
      <xdr:colOff>342900</xdr:colOff>
      <xdr:row>8</xdr:row>
      <xdr:rowOff>123395</xdr:rowOff>
    </xdr:from>
    <xdr:to>
      <xdr:col>10</xdr:col>
      <xdr:colOff>552450</xdr:colOff>
      <xdr:row>11</xdr:row>
      <xdr:rowOff>57150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3390900" y="1647395"/>
          <a:ext cx="4781550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1">
              <a:solidFill>
                <a:schemeClr val="bg1"/>
              </a:solidFill>
            </a:rPr>
            <a:t>FORMULAIRE D'Accessibilité</a:t>
          </a:r>
        </a:p>
      </xdr:txBody>
    </xdr:sp>
    <xdr:clientData/>
  </xdr:twoCellAnchor>
  <xdr:twoCellAnchor>
    <xdr:from>
      <xdr:col>4</xdr:col>
      <xdr:colOff>466725</xdr:colOff>
      <xdr:row>10</xdr:row>
      <xdr:rowOff>151970</xdr:rowOff>
    </xdr:from>
    <xdr:to>
      <xdr:col>10</xdr:col>
      <xdr:colOff>676275</xdr:colOff>
      <xdr:row>17</xdr:row>
      <xdr:rowOff>47625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3514725" y="2056970"/>
          <a:ext cx="4781550" cy="12291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0">
              <a:solidFill>
                <a:schemeClr val="bg1"/>
              </a:solidFill>
            </a:rPr>
            <a:t>ANALYSE &amp; Audit des</a:t>
          </a:r>
          <a:r>
            <a:rPr lang="fr-FR" sz="1800" b="0" baseline="0">
              <a:solidFill>
                <a:schemeClr val="bg1"/>
              </a:solidFill>
            </a:rPr>
            <a:t> aménagements</a:t>
          </a:r>
        </a:p>
        <a:p>
          <a:endParaRPr lang="fr-FR" sz="1800" b="0" baseline="0">
            <a:solidFill>
              <a:schemeClr val="bg1"/>
            </a:solidFill>
          </a:endParaRPr>
        </a:p>
        <a:p>
          <a:r>
            <a:rPr lang="fr-FR" sz="1800" b="0" baseline="0">
              <a:solidFill>
                <a:schemeClr val="bg1"/>
              </a:solidFill>
            </a:rPr>
            <a:t>simplifiez votre Saisie des données rapidement et efficacement</a:t>
          </a:r>
          <a:endParaRPr lang="fr-FR" sz="2400" b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13</xdr:col>
      <xdr:colOff>428624</xdr:colOff>
      <xdr:row>5</xdr:row>
      <xdr:rowOff>180545</xdr:rowOff>
    </xdr:from>
    <xdr:to>
      <xdr:col>14</xdr:col>
      <xdr:colOff>419099</xdr:colOff>
      <xdr:row>9</xdr:row>
      <xdr:rowOff>171020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334624" y="1133045"/>
          <a:ext cx="752475" cy="752475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19</xdr:row>
      <xdr:rowOff>113870</xdr:rowOff>
    </xdr:from>
    <xdr:to>
      <xdr:col>8</xdr:col>
      <xdr:colOff>28575</xdr:colOff>
      <xdr:row>22</xdr:row>
      <xdr:rowOff>47625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3124200" y="3733370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DOCUMENTS CONFORME</a:t>
          </a:r>
        </a:p>
      </xdr:txBody>
    </xdr:sp>
    <xdr:clientData/>
  </xdr:twoCellAnchor>
  <xdr:twoCellAnchor>
    <xdr:from>
      <xdr:col>10</xdr:col>
      <xdr:colOff>481012</xdr:colOff>
      <xdr:row>19</xdr:row>
      <xdr:rowOff>104345</xdr:rowOff>
    </xdr:from>
    <xdr:to>
      <xdr:col>14</xdr:col>
      <xdr:colOff>433387</xdr:colOff>
      <xdr:row>22</xdr:row>
      <xdr:rowOff>38100</xdr:rowOff>
    </xdr:to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8101012" y="3723845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Statistique</a:t>
          </a:r>
        </a:p>
      </xdr:txBody>
    </xdr:sp>
    <xdr:clientData/>
  </xdr:twoCellAnchor>
  <xdr:twoCellAnchor>
    <xdr:from>
      <xdr:col>17</xdr:col>
      <xdr:colOff>133350</xdr:colOff>
      <xdr:row>19</xdr:row>
      <xdr:rowOff>94820</xdr:rowOff>
    </xdr:from>
    <xdr:to>
      <xdr:col>21</xdr:col>
      <xdr:colOff>85725</xdr:colOff>
      <xdr:row>22</xdr:row>
      <xdr:rowOff>28575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13087350" y="3714320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Statistique</a:t>
          </a:r>
        </a:p>
      </xdr:txBody>
    </xdr:sp>
    <xdr:clientData/>
  </xdr:twoCellAnchor>
  <xdr:twoCellAnchor>
    <xdr:from>
      <xdr:col>17</xdr:col>
      <xdr:colOff>114300</xdr:colOff>
      <xdr:row>21</xdr:row>
      <xdr:rowOff>104775</xdr:rowOff>
    </xdr:from>
    <xdr:to>
      <xdr:col>22</xdr:col>
      <xdr:colOff>180975</xdr:colOff>
      <xdr:row>31</xdr:row>
      <xdr:rowOff>85295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152400</xdr:colOff>
      <xdr:row>23</xdr:row>
      <xdr:rowOff>76200</xdr:rowOff>
    </xdr:from>
    <xdr:to>
      <xdr:col>13</xdr:col>
      <xdr:colOff>695325</xdr:colOff>
      <xdr:row>28</xdr:row>
      <xdr:rowOff>85725</xdr:rowOff>
    </xdr:to>
    <xdr:sp macro="" textlink="Feuil2!E3">
      <xdr:nvSpPr>
        <xdr:cNvPr id="41" name="Rectangl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9296400" y="4457700"/>
          <a:ext cx="1304925" cy="962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4A2213C6-D006-4833-8A78-16C98D3CA159}" type="TxLink">
            <a:rPr lang="en-US" sz="6000" b="1" i="0" u="none" strike="noStrike">
              <a:solidFill>
                <a:srgbClr val="00B0F0"/>
              </a:solidFill>
              <a:latin typeface="Calibri"/>
              <a:ea typeface="Calibri"/>
              <a:cs typeface="Calibri"/>
            </a:rPr>
            <a:pPr algn="ctr"/>
            <a:t>97</a:t>
          </a:fld>
          <a:endParaRPr lang="fr-FR" sz="6000" b="1">
            <a:solidFill>
              <a:srgbClr val="00B0F0"/>
            </a:solidFill>
          </a:endParaRPr>
        </a:p>
      </xdr:txBody>
    </xdr:sp>
    <xdr:clientData/>
  </xdr:twoCellAnchor>
  <xdr:twoCellAnchor>
    <xdr:from>
      <xdr:col>10</xdr:col>
      <xdr:colOff>481012</xdr:colOff>
      <xdr:row>21</xdr:row>
      <xdr:rowOff>47195</xdr:rowOff>
    </xdr:from>
    <xdr:to>
      <xdr:col>14</xdr:col>
      <xdr:colOff>433387</xdr:colOff>
      <xdr:row>23</xdr:row>
      <xdr:rowOff>171450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8101012" y="4047695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>
              <a:solidFill>
                <a:schemeClr val="bg1"/>
              </a:solidFill>
            </a:rPr>
            <a:t>TOTAL DES DOCUMENT</a:t>
          </a:r>
          <a:r>
            <a:rPr lang="fr-FR" sz="1600" b="1" baseline="0">
              <a:solidFill>
                <a:schemeClr val="bg1"/>
              </a:solidFill>
            </a:rPr>
            <a:t> TRAITER</a:t>
          </a:r>
          <a:endParaRPr lang="fr-F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371475</xdr:colOff>
      <xdr:row>23</xdr:row>
      <xdr:rowOff>19051</xdr:rowOff>
    </xdr:from>
    <xdr:to>
      <xdr:col>7</xdr:col>
      <xdr:colOff>504825</xdr:colOff>
      <xdr:row>29</xdr:row>
      <xdr:rowOff>37671</xdr:rowOff>
    </xdr:to>
    <xdr:sp macro="" textlink="Feuil2!K3">
      <xdr:nvSpPr>
        <xdr:cNvPr id="44" name="Rectangl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4181475" y="4400551"/>
          <a:ext cx="1657350" cy="11616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5D26D5C0-4494-44DF-A310-1499AB961DF3}" type="TxLink">
            <a:rPr lang="en-US" sz="6000" b="1" i="0" u="none" strike="noStrike">
              <a:solidFill>
                <a:schemeClr val="accent6"/>
              </a:solidFill>
              <a:latin typeface="Calibri"/>
              <a:ea typeface="Calibri"/>
              <a:cs typeface="Calibri"/>
            </a:rPr>
            <a:pPr marL="0" indent="0" algn="ctr"/>
            <a:t>94</a:t>
          </a:fld>
          <a:endParaRPr lang="fr-FR" sz="6000" b="1" i="0" u="none" strike="noStrike">
            <a:solidFill>
              <a:schemeClr val="accent6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161925</xdr:colOff>
      <xdr:row>8</xdr:row>
      <xdr:rowOff>104774</xdr:rowOff>
    </xdr:from>
    <xdr:to>
      <xdr:col>2</xdr:col>
      <xdr:colOff>742950</xdr:colOff>
      <xdr:row>15</xdr:row>
      <xdr:rowOff>48073</xdr:rowOff>
    </xdr:to>
    <xdr:sp macro="" textlink="">
      <xdr:nvSpPr>
        <xdr:cNvPr id="46" name="Rectangle : coins arrondis 3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161925" y="1628774"/>
          <a:ext cx="2105025" cy="1276799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695325</xdr:colOff>
      <xdr:row>9</xdr:row>
      <xdr:rowOff>9524</xdr:rowOff>
    </xdr:from>
    <xdr:to>
      <xdr:col>2</xdr:col>
      <xdr:colOff>123825</xdr:colOff>
      <xdr:row>14</xdr:row>
      <xdr:rowOff>9524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95325" y="1724024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314325</xdr:colOff>
      <xdr:row>6</xdr:row>
      <xdr:rowOff>113870</xdr:rowOff>
    </xdr:from>
    <xdr:to>
      <xdr:col>22</xdr:col>
      <xdr:colOff>161925</xdr:colOff>
      <xdr:row>9</xdr:row>
      <xdr:rowOff>151970</xdr:rowOff>
    </xdr:to>
    <xdr:pic>
      <xdr:nvPicPr>
        <xdr:cNvPr id="47" name="Imag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16325" y="1256870"/>
          <a:ext cx="609600" cy="609600"/>
        </a:xfrm>
        <a:prstGeom prst="rect">
          <a:avLst/>
        </a:prstGeom>
      </xdr:spPr>
    </xdr:pic>
    <xdr:clientData/>
  </xdr:twoCellAnchor>
  <xdr:twoCellAnchor>
    <xdr:from>
      <xdr:col>0</xdr:col>
      <xdr:colOff>419101</xdr:colOff>
      <xdr:row>23</xdr:row>
      <xdr:rowOff>76199</xdr:rowOff>
    </xdr:from>
    <xdr:to>
      <xdr:col>2</xdr:col>
      <xdr:colOff>438151</xdr:colOff>
      <xdr:row>33</xdr:row>
      <xdr:rowOff>152400</xdr:rowOff>
    </xdr:to>
    <xdr:sp macro="" textlink="">
      <xdr:nvSpPr>
        <xdr:cNvPr id="48" name="Rectangle : coins arrondis 3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419101" y="4457699"/>
          <a:ext cx="1543050" cy="1981201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r>
            <a:rPr lang="fr-FR" sz="1800" u="sng"/>
            <a:t>REMINDER</a:t>
          </a:r>
          <a:endParaRPr lang="fr-FR" sz="1100" u="sng"/>
        </a:p>
        <a:p>
          <a:pPr algn="l"/>
          <a:endParaRPr lang="fr-FR" sz="1100"/>
        </a:p>
        <a:p>
          <a:pPr algn="l"/>
          <a:r>
            <a:rPr lang="fr-FR" sz="1400"/>
            <a:t>REMEMBER TO ALWAYS BE HAPPY :)</a:t>
          </a:r>
        </a:p>
      </xdr:txBody>
    </xdr:sp>
    <xdr:clientData/>
  </xdr:twoCellAnchor>
  <xdr:twoCellAnchor editAs="oneCell">
    <xdr:from>
      <xdr:col>0</xdr:col>
      <xdr:colOff>447676</xdr:colOff>
      <xdr:row>23</xdr:row>
      <xdr:rowOff>76199</xdr:rowOff>
    </xdr:from>
    <xdr:to>
      <xdr:col>1</xdr:col>
      <xdr:colOff>257175</xdr:colOff>
      <xdr:row>26</xdr:row>
      <xdr:rowOff>76198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47676" y="4457699"/>
          <a:ext cx="571499" cy="5714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752475</xdr:colOff>
          <xdr:row>3</xdr:row>
          <xdr:rowOff>123825</xdr:rowOff>
        </xdr:from>
        <xdr:to>
          <xdr:col>19</xdr:col>
          <xdr:colOff>561975</xdr:colOff>
          <xdr:row>5</xdr:row>
          <xdr:rowOff>9525</xdr:rowOff>
        </xdr:to>
        <xdr:sp macro="" textlink="">
          <xdr:nvSpPr>
            <xdr:cNvPr id="1025" name="Labe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485775</xdr:colOff>
      <xdr:row>16</xdr:row>
      <xdr:rowOff>161925</xdr:rowOff>
    </xdr:from>
    <xdr:to>
      <xdr:col>2</xdr:col>
      <xdr:colOff>419100</xdr:colOff>
      <xdr:row>20</xdr:row>
      <xdr:rowOff>85725</xdr:rowOff>
    </xdr:to>
    <xdr:sp macro="[0]!Refresh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5775" y="3209925"/>
          <a:ext cx="1457325" cy="6858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HAMDANI Mohamed [EIDS]" refreshedDate="46223.789315856484" createdVersion="7" refreshedVersion="7" minRefreshableVersion="3" recordCount="98" xr:uid="{37F72CFC-B239-49C5-9727-002A754C232F}">
  <cacheSource type="worksheet">
    <worksheetSource ref="A1:L1048576" sheet="SHEET_TRACE_NAME"/>
  </cacheSource>
  <cacheFields count="12">
    <cacheField name="NomFichier" numFmtId="0">
      <sharedItems containsBlank="1"/>
    </cacheField>
    <cacheField name="Domaine" numFmtId="0">
      <sharedItems containsBlank="1" count="7">
        <s v="DIRCO"/>
        <s v="CONTRATHEQUE"/>
        <s v="CMMABN"/>
        <s v="ACM"/>
        <s v="CMO"/>
        <s v="DIRCOM"/>
        <m/>
      </sharedItems>
    </cacheField>
    <cacheField name="SousDomaine" numFmtId="0">
      <sharedItems containsBlank="1" count="15">
        <s v="FICHES CLIENTS"/>
        <s v="CONDITIONS GENERALES"/>
        <s v="CIC"/>
        <s v="[PAS DE SOUS-DOMAINE]"/>
        <s v="ASS-PERS-IND"/>
        <s v="Cartes bancaires"/>
        <s v="Tarif"/>
        <s v="CM"/>
        <s v="ASS-BIENS"/>
        <s v="BAD"/>
        <s v="ASS-INDEMN-BIENS-PERS"/>
        <s v="Packages"/>
        <s v="Epargne bancaire"/>
        <s v="ASS-PERS-COLL"/>
        <m/>
      </sharedItems>
    </cacheField>
    <cacheField name="Statut" numFmtId="0">
      <sharedItems containsBlank="1" count="4">
        <s v="TRAITES"/>
        <s v="NON CONFORME"/>
        <m/>
        <s v="EN COURS" u="1"/>
      </sharedItems>
    </cacheField>
    <cacheField name="Status_2" numFmtId="0">
      <sharedItems containsDate="1" containsBlank="1" containsMixedTypes="1" minDate="2026-03-11T13:18:44" maxDate="2026-06-26T09:38:59" count="89">
        <m/>
        <s v="de NON CONFORME à TRAITES"/>
        <d v="2026-04-24T09:01:39" u="1"/>
        <d v="2026-04-28T09:05:38" u="1"/>
        <d v="2026-05-06T11:40:44" u="1"/>
        <d v="2026-06-22T10:32:56" u="1"/>
        <d v="2026-04-29T09:08:44" u="1"/>
        <d v="2026-05-11T09:19:15" u="1"/>
        <d v="2026-06-10T09:27:18" u="1"/>
        <d v="2026-05-18T11:26:45" u="1"/>
        <d v="2026-03-23T09:43:55" u="1"/>
        <d v="2026-04-24T09:44:17" u="1"/>
        <d v="2026-04-28T17:06:20" u="1"/>
        <d v="2026-04-16T15:24:28" u="1"/>
        <d v="2026-04-17T11:39:48" u="1"/>
        <d v="2026-06-08T09:20:10" u="1"/>
        <d v="2026-04-24T13:56:01" u="1"/>
        <d v="2026-03-12T12:16:39" u="1"/>
        <d v="2026-04-23T09:13:20" u="1"/>
        <d v="2026-06-26T09:38:59" u="1"/>
        <d v="2026-04-30T12:27:06" u="1"/>
        <d v="2026-06-26T09:37:00" u="1"/>
        <d v="2026-05-12T13:21:38" u="1"/>
        <d v="2026-06-22T12:08:37" u="1"/>
        <d v="2026-06-23T09:04:07" u="1"/>
        <d v="2026-04-27T10:14:12" u="1"/>
        <d v="2026-06-11T13:15:39" u="1"/>
        <d v="2026-06-15T09:11:33" u="1"/>
        <d v="2026-03-11T13:18:44" u="1"/>
        <d v="2026-06-19T09:01:20" u="1"/>
        <d v="2026-06-11T09:25:05" u="1"/>
        <d v="2026-04-20T09:06:46" u="1"/>
        <d v="2026-06-23T15:42:07" u="1"/>
        <d v="2026-04-22T09:33:56" u="1"/>
        <d v="2026-06-03T09:25:15" u="1"/>
        <d v="2026-06-19T16:28:15" u="1"/>
        <d v="2026-06-19T11:33:43" u="1"/>
        <d v="2026-05-05T09:47:13" u="1"/>
        <d v="2026-04-27T09:04:32" u="1"/>
        <d v="2026-05-06T09:05:36" u="1"/>
        <d v="2026-06-09T12:05:54" u="1"/>
        <d v="2026-06-24T15:19:30" u="1"/>
        <d v="2026-06-10T15:45:38" u="1"/>
        <d v="2026-06-17T15:02:37" u="1"/>
        <d v="2026-04-17T10:11:53" u="1"/>
        <d v="2026-06-23T12:13:27" u="1"/>
        <d v="2026-06-15T15:01:13" u="1"/>
        <d v="2026-04-01T12:30:50" u="1"/>
        <d v="2026-04-29T09:57:08" u="1"/>
        <d v="2026-05-05T13:49:24" u="1"/>
        <d v="2026-06-16T09:02:11" u="1"/>
        <d v="2026-06-12T09:16:33" u="1"/>
        <d v="2026-03-16T08:57:35" u="1"/>
        <d v="2026-04-21T12:14:03" u="1"/>
        <d v="2026-06-24T11:25:30" u="1"/>
        <d v="2026-05-07T09:06:07" u="1"/>
        <d v="2026-06-19T16:28:41" u="1"/>
        <d v="2026-04-22T10:24:38" u="1"/>
        <d v="2026-06-09T15:14:54" u="1"/>
        <d v="2026-04-24T10:58:54" u="1"/>
        <d v="2026-04-21T10:55:23" u="1"/>
        <d v="2026-04-20T09:36:27" u="1"/>
        <d v="2026-06-16T14:56:14" u="1"/>
        <d v="2026-06-25T12:33:37" u="1"/>
        <d v="2026-04-23T09:45:05" u="1"/>
        <d v="2026-06-02T13:20:50" u="1"/>
        <d v="2026-04-30T09:14:18" u="1"/>
        <d v="2026-04-29T10:32:40" u="1"/>
        <d v="2026-05-18T09:44:14" u="1"/>
        <d v="2026-06-18T09:41:51" u="1"/>
        <d v="2026-04-24T10:14:03" u="1"/>
        <d v="2026-06-08T12:15:30" u="1"/>
        <d v="2026-06-22T16:39:33" u="1"/>
        <d v="2026-04-27T10:50:26" u="1"/>
        <d v="2026-03-12T09:52:06" u="1"/>
        <d v="2026-05-07T09:01:38" u="1"/>
        <d v="2026-04-29T11:02:21" u="1"/>
        <d v="2026-04-28T18:06:51" u="1"/>
        <d v="2026-06-12T13:07:08" u="1"/>
        <d v="2026-05-04T09:01:37" u="1"/>
        <d v="2026-06-24T09:11:30" u="1"/>
        <d v="2026-05-12T09:02:49" u="1"/>
        <d v="2026-06-25T09:21:52" u="1"/>
        <d v="2026-06-17T09:08:19" u="1"/>
        <d v="2026-04-28T09:55:06" u="1"/>
        <d v="2026-04-23T10:16:11" u="1"/>
        <d v="2026-05-04T15:17:00" u="1"/>
        <d v="2026-04-22T09:03:52" u="1"/>
        <d v="2026-05-11T09:01:04" u="1"/>
      </sharedItems>
    </cacheField>
    <cacheField name="Date_A_TRAITER" numFmtId="0">
      <sharedItems containsNonDate="0" containsDate="1" containsString="0" containsBlank="1" minDate="2026-03-11T13:18:44" maxDate="2026-07-15T09:24:10"/>
    </cacheField>
    <cacheField name="Date_FIN" numFmtId="0">
      <sharedItems containsNonDate="0" containsDate="1" containsString="0" containsBlank="1" minDate="2026-03-11T13:46:53" maxDate="2026-07-15T17:22:41"/>
    </cacheField>
    <cacheField name="Date_de_Retraitement" numFmtId="0">
      <sharedItems containsNonDate="0" containsDate="1" containsString="0" containsBlank="1" minDate="2026-04-30T15:59:42" maxDate="2026-06-12T10:54:40"/>
    </cacheField>
    <cacheField name="Agent" numFmtId="0">
      <sharedItems containsBlank="1"/>
    </cacheField>
    <cacheField name="DMT" numFmtId="165">
      <sharedItems containsDate="1" containsString="0" containsBlank="1" containsMixedTypes="1" minDate="1900-01-02T19:55:12" maxDate="1899-12-31T23:01:23"/>
    </cacheField>
    <cacheField name="DMt_2" numFmtId="165">
      <sharedItems containsNonDate="0" containsDate="1" containsString="0" containsBlank="1" minDate="1900-01-02T17:47:09" maxDate="1900-01-05T05:54:23"/>
    </cacheField>
    <cacheField name="Commentair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">
  <r>
    <s v="13.41.48 IPID.pdf"/>
    <x v="0"/>
    <x v="0"/>
    <x v="0"/>
    <x v="0"/>
    <d v="2026-03-11T13:18:44"/>
    <d v="2026-03-11T13:46:53"/>
    <m/>
    <s v="HAMDANMO"/>
    <d v="1899-12-30T00:28:09"/>
    <m/>
    <m/>
  </r>
  <r>
    <s v="13.41.48.pdf"/>
    <x v="0"/>
    <x v="0"/>
    <x v="0"/>
    <x v="0"/>
    <d v="2026-03-12T09:52:06"/>
    <d v="2026-03-12T12:15:13"/>
    <m/>
    <s v="HAMDANMO"/>
    <d v="1899-12-30T02:23:07"/>
    <m/>
    <m/>
  </r>
  <r>
    <s v="16.61.12.pdf"/>
    <x v="0"/>
    <x v="0"/>
    <x v="0"/>
    <x v="0"/>
    <d v="2026-03-12T12:16:39"/>
    <d v="2026-03-12T12:39:32"/>
    <m/>
    <s v="HAMDANMO"/>
    <d v="1899-12-30T00:22:53"/>
    <m/>
    <m/>
  </r>
  <r>
    <s v="DIT10278.pdf"/>
    <x v="0"/>
    <x v="0"/>
    <x v="0"/>
    <x v="0"/>
    <d v="2026-03-16T08:57:35"/>
    <d v="2026-03-16T10:06:44"/>
    <m/>
    <s v="HAMDANMO"/>
    <d v="1899-12-30T01:09:09"/>
    <m/>
    <m/>
  </r>
  <r>
    <s v="CG CAT Ordinaires avec ou sans préavis.pdf"/>
    <x v="1"/>
    <x v="1"/>
    <x v="0"/>
    <x v="0"/>
    <d v="2026-03-23T09:43:55"/>
    <d v="2026-03-23T10:50:36"/>
    <m/>
    <s v="HAMDANMO"/>
    <d v="1899-12-30T01:06:41"/>
    <m/>
    <m/>
  </r>
  <r>
    <s v="CG.05.77 SERV PAIEMENT MOBILE vdef.docx"/>
    <x v="1"/>
    <x v="1"/>
    <x v="0"/>
    <x v="0"/>
    <d v="2026-04-01T12:30:50"/>
    <d v="2026-04-01T12:55:10"/>
    <m/>
    <s v="HAMDANMO"/>
    <d v="1899-12-30T00:24:20"/>
    <m/>
    <m/>
  </r>
  <r>
    <s v="0470008164 Fz_CB_MC_ParcoursJ_v062026.docx"/>
    <x v="0"/>
    <x v="2"/>
    <x v="0"/>
    <x v="0"/>
    <d v="2026-04-16T15:24:28"/>
    <d v="2026-04-16T17:00:02"/>
    <m/>
    <s v="HAMDANMO"/>
    <d v="1899-12-30T01:35:34"/>
    <m/>
    <m/>
  </r>
  <r>
    <s v="0470026728 Fz_CB_Mastercard_v062026.docx"/>
    <x v="0"/>
    <x v="2"/>
    <x v="0"/>
    <x v="0"/>
    <d v="2026-04-17T10:11:53"/>
    <d v="2026-04-17T10:58:34"/>
    <m/>
    <s v="HAMDANMO"/>
    <d v="1899-12-30T00:46:41"/>
    <m/>
    <m/>
  </r>
  <r>
    <s v="0470026724 Fz_CB_MC_Gold_v062026.docx"/>
    <x v="0"/>
    <x v="2"/>
    <x v="0"/>
    <x v="0"/>
    <d v="2026-04-17T11:39:48"/>
    <d v="2026-04-17T12:36:24"/>
    <m/>
    <s v="HAMDANMO"/>
    <d v="1899-12-30T00:56:36"/>
    <m/>
    <m/>
  </r>
  <r>
    <s v="9800075782 Fz_CB_MC_World_Elite_v062026.docx"/>
    <x v="0"/>
    <x v="2"/>
    <x v="0"/>
    <x v="0"/>
    <d v="2026-04-20T09:06:46"/>
    <d v="2026-04-20T09:36:02"/>
    <m/>
    <s v="HAMDANMO"/>
    <d v="1899-12-30T00:29:16"/>
    <m/>
    <m/>
  </r>
  <r>
    <s v="9800081478 Fz_CB_Mastercard_devise_v062026.docx"/>
    <x v="0"/>
    <x v="2"/>
    <x v="0"/>
    <x v="0"/>
    <d v="2026-04-20T09:36:27"/>
    <d v="2026-04-20T09:57:21"/>
    <m/>
    <s v="HAMDANMO"/>
    <d v="1899-12-30T00:20:54"/>
    <m/>
    <m/>
  </r>
  <r>
    <s v="9800165799 Fz_CB_MC_CVV Evolutif_v062026.docx"/>
    <x v="0"/>
    <x v="2"/>
    <x v="0"/>
    <x v="0"/>
    <d v="2026-04-21T10:55:23"/>
    <d v="2026-04-21T12:13:50"/>
    <m/>
    <s v="HAMDANMO"/>
    <d v="1899-12-30T01:18:27"/>
    <m/>
    <m/>
  </r>
  <r>
    <s v="9800205061 Fz_CICPAY - 062026.docx"/>
    <x v="0"/>
    <x v="2"/>
    <x v="0"/>
    <x v="0"/>
    <d v="2026-04-21T12:14:03"/>
    <d v="2026-04-21T12:29:20"/>
    <m/>
    <s v="HAMDANMO"/>
    <d v="1899-12-30T00:15:17"/>
    <m/>
    <m/>
  </r>
  <r>
    <s v="0470004354 CIC FZ PEA 0426_reluNK.docx"/>
    <x v="0"/>
    <x v="2"/>
    <x v="0"/>
    <x v="0"/>
    <d v="2026-04-22T09:03:52"/>
    <d v="2026-04-22T09:33:35"/>
    <m/>
    <s v="HAMDANMO"/>
    <d v="1899-12-30T00:29:43"/>
    <m/>
    <s v="Ajout de Mention Légal Établissement de Crédit"/>
  </r>
  <r>
    <s v="0470007089 Fz_MOA_CB_Cirrus_v062026.docx"/>
    <x v="0"/>
    <x v="2"/>
    <x v="0"/>
    <x v="0"/>
    <d v="2026-04-22T09:33:56"/>
    <d v="2026-04-22T10:12:32"/>
    <m/>
    <s v="HAMDANMO"/>
    <d v="1899-12-30T00:38:36"/>
    <m/>
    <s v="Ajout de Mention Légal Établissement de Crédit"/>
  </r>
  <r>
    <s v="9800237213 FZ compte courant PART CHF.docx"/>
    <x v="0"/>
    <x v="2"/>
    <x v="0"/>
    <x v="0"/>
    <d v="2026-04-22T10:24:38"/>
    <d v="2026-04-22T10:38:56"/>
    <m/>
    <s v="HAMDANMO"/>
    <d v="1899-12-30T00:14:18"/>
    <m/>
    <m/>
  </r>
  <r>
    <s v="9800065612 Fz_CB_Mastercard_DebitCredit_v062026.docx"/>
    <x v="0"/>
    <x v="2"/>
    <x v="0"/>
    <x v="0"/>
    <d v="2026-04-23T09:13:20"/>
    <d v="2026-04-23T09:37:13"/>
    <m/>
    <s v="HAMDANMO"/>
    <d v="1899-12-30T00:23:53"/>
    <m/>
    <m/>
  </r>
  <r>
    <s v="9800065619 Fz_CB_Mastercard_Gold_DebitCredit_v062026.docx"/>
    <x v="0"/>
    <x v="2"/>
    <x v="0"/>
    <x v="0"/>
    <d v="2026-04-23T09:45:05"/>
    <d v="2026-04-23T10:15:50"/>
    <m/>
    <s v="HAMDANMO"/>
    <d v="1899-12-30T00:30:45"/>
    <m/>
    <m/>
  </r>
  <r>
    <s v="9800090537 CIC FZ PEA PME 0426_reluNK.docx"/>
    <x v="0"/>
    <x v="2"/>
    <x v="0"/>
    <x v="0"/>
    <d v="2026-04-23T10:16:11"/>
    <d v="2026-04-23T11:24:28"/>
    <m/>
    <s v="HAMDANMO"/>
    <d v="1899-12-30T01:08:17"/>
    <m/>
    <s v="Ajout de Mention Légal Établissement de Crédit"/>
  </r>
  <r>
    <s v="9800132645 CIC FZ - CTO - 0426_reluNK.docx"/>
    <x v="0"/>
    <x v="2"/>
    <x v="0"/>
    <x v="0"/>
    <d v="2026-04-24T09:01:39"/>
    <d v="2026-04-24T09:44:02"/>
    <m/>
    <s v="HAMDANMO"/>
    <d v="1899-12-30T00:42:23"/>
    <m/>
    <s v="Ajout de Mention Légal Établissement de Crédit"/>
  </r>
  <r>
    <s v="9800155244 Fz_CB_MC_Vie_Quotidienne_v062026.docx"/>
    <x v="0"/>
    <x v="2"/>
    <x v="1"/>
    <x v="1"/>
    <d v="2026-04-24T09:44:17"/>
    <d v="2026-04-24T10:05:19"/>
    <d v="2026-04-30T15:59:42"/>
    <s v="HAMDANMO"/>
    <d v="1899-12-30T00:21:02"/>
    <d v="1900-01-05T05:54:23"/>
    <s v="couleur de tableaux non conforme"/>
  </r>
  <r>
    <s v="9800182916 FZ compte courant PART.docx"/>
    <x v="0"/>
    <x v="2"/>
    <x v="0"/>
    <x v="0"/>
    <d v="2026-04-24T10:14:03"/>
    <d v="2026-04-24T10:58:24"/>
    <m/>
    <s v="HAMDANMO"/>
    <d v="1899-12-30T00:44:21"/>
    <m/>
    <s v="Ajout de Mention Légal Établissement de Crédit"/>
  </r>
  <r>
    <s v="Fiche Zoom Alertes CIC revue.docx"/>
    <x v="0"/>
    <x v="2"/>
    <x v="0"/>
    <x v="0"/>
    <d v="2026-04-24T10:58:54"/>
    <d v="2026-04-24T13:18:36"/>
    <m/>
    <s v="HAMDANMO"/>
    <d v="1899-12-30T02:19:42"/>
    <m/>
    <s v="Ajout de Mention Légal Établissement de Crédit"/>
  </r>
  <r>
    <s v="Fiche Zoom Analyse Budgetaire revue.docx"/>
    <x v="0"/>
    <x v="2"/>
    <x v="0"/>
    <x v="0"/>
    <d v="2026-04-24T13:56:01"/>
    <d v="2026-04-24T17:35:29"/>
    <m/>
    <s v="HAMDANMO"/>
    <d v="1899-12-30T03:39:28"/>
    <m/>
    <s v="Ajout de Mention Légal Établissement de Crédit"/>
  </r>
  <r>
    <s v="0470005537 CIC - FZ Parcours J.docx"/>
    <x v="0"/>
    <x v="2"/>
    <x v="0"/>
    <x v="0"/>
    <d v="2026-04-27T09:04:32"/>
    <d v="2026-04-27T10:11:45"/>
    <m/>
    <s v="HAMDANMO"/>
    <d v="1899-12-30T01:07:13"/>
    <m/>
    <m/>
  </r>
  <r>
    <s v="0470005535 CIC- Contrat Personnel Global 02 25.docx"/>
    <x v="0"/>
    <x v="2"/>
    <x v="0"/>
    <x v="0"/>
    <d v="2026-04-27T10:14:12"/>
    <d v="2026-04-27T10:50:01"/>
    <m/>
    <s v="HAMDANMO"/>
    <d v="1899-12-30T00:35:49"/>
    <m/>
    <m/>
  </r>
  <r>
    <s v="Service Accueil 0470025047.docx"/>
    <x v="0"/>
    <x v="2"/>
    <x v="0"/>
    <x v="0"/>
    <d v="2026-04-27T10:50:26"/>
    <d v="2026-04-27T11:36:23"/>
    <m/>
    <s v="HAMDANMO"/>
    <d v="1899-12-30T00:45:57"/>
    <m/>
    <m/>
  </r>
  <r>
    <s v="0470022105 SJA 02 25.docx"/>
    <x v="0"/>
    <x v="2"/>
    <x v="0"/>
    <x v="0"/>
    <d v="2026-04-28T09:05:38"/>
    <d v="2026-04-28T09:54:23"/>
    <m/>
    <s v="HAMDANMO"/>
    <d v="1899-12-30T00:48:45"/>
    <m/>
    <m/>
  </r>
  <r>
    <s v="9800014535 CIC - Contrat Personnel Patrimoine Actif.docx"/>
    <x v="0"/>
    <x v="2"/>
    <x v="0"/>
    <x v="0"/>
    <d v="2026-04-28T09:55:06"/>
    <d v="2026-04-28T17:05:17"/>
    <m/>
    <s v="HAMDANMO"/>
    <d v="1899-12-30T07:10:11"/>
    <m/>
    <m/>
  </r>
  <r>
    <s v="9800153698 FZ compte courant SCI.docx"/>
    <x v="0"/>
    <x v="2"/>
    <x v="0"/>
    <x v="0"/>
    <d v="2026-04-28T17:06:20"/>
    <d v="2026-04-28T18:05:23"/>
    <m/>
    <s v="HAMDANMO"/>
    <d v="1899-12-30T00:59:03"/>
    <m/>
    <m/>
  </r>
  <r>
    <s v="9800188168 CIC - Vie Quotidienne.docx"/>
    <x v="0"/>
    <x v="2"/>
    <x v="0"/>
    <x v="0"/>
    <d v="2026-04-28T18:06:51"/>
    <d v="2026-04-28T18:24:05"/>
    <m/>
    <s v="HAMDANMO"/>
    <d v="1899-12-30T00:17:14"/>
    <m/>
    <m/>
  </r>
  <r>
    <s v="9800056922 CIC- Contrat Personnel Cap Transat 02 25.docx"/>
    <x v="0"/>
    <x v="2"/>
    <x v="0"/>
    <x v="0"/>
    <d v="2026-04-29T09:08:44"/>
    <d v="2026-04-29T09:56:35"/>
    <m/>
    <s v="HAMDANMO"/>
    <d v="1899-12-30T00:47:51"/>
    <m/>
    <m/>
  </r>
  <r>
    <s v="9800164543 CIC - Digipass.docx"/>
    <x v="0"/>
    <x v="2"/>
    <x v="0"/>
    <x v="0"/>
    <d v="2026-04-29T09:57:08"/>
    <d v="2026-04-29T10:31:47"/>
    <m/>
    <s v="HAMDANMO"/>
    <d v="1899-12-30T00:34:39"/>
    <m/>
    <m/>
  </r>
  <r>
    <s v="9800220785 FZ CC PART mineur.docx"/>
    <x v="0"/>
    <x v="2"/>
    <x v="0"/>
    <x v="0"/>
    <d v="2026-04-29T10:32:40"/>
    <d v="2026-04-29T11:01:53"/>
    <m/>
    <s v="HAMDANMO"/>
    <d v="1899-12-30T00:29:13"/>
    <m/>
    <s v="Ajout de Mention Légal Établissement de Crédit"/>
  </r>
  <r>
    <s v="PdB 9800135222.docx"/>
    <x v="0"/>
    <x v="2"/>
    <x v="0"/>
    <x v="0"/>
    <d v="2026-04-29T11:02:21"/>
    <d v="2026-04-29T12:06:54"/>
    <m/>
    <s v="HAMDANMO"/>
    <d v="1899-12-30T01:04:33"/>
    <m/>
    <m/>
  </r>
  <r>
    <s v="9800193030 FZ compte courant spéciaux PART.docx"/>
    <x v="0"/>
    <x v="2"/>
    <x v="0"/>
    <x v="0"/>
    <d v="2026-04-30T09:14:18"/>
    <d v="2026-04-30T12:26:13"/>
    <m/>
    <s v="HAMDANMO"/>
    <d v="1899-12-30T03:11:55"/>
    <m/>
    <m/>
  </r>
  <r>
    <s v="9800193031 FZ compte courant spéciaux presta sociales PART.docx"/>
    <x v="0"/>
    <x v="2"/>
    <x v="0"/>
    <x v="0"/>
    <d v="2026-04-30T12:27:06"/>
    <d v="2026-04-30T16:01:18"/>
    <m/>
    <s v="HAMDANMO"/>
    <d v="1899-12-30T03:34:12"/>
    <m/>
    <m/>
  </r>
  <r>
    <s v="9800222734 FZ compte courant sequestre judiciaire.docx"/>
    <x v="0"/>
    <x v="2"/>
    <x v="0"/>
    <x v="0"/>
    <d v="2026-05-04T09:01:37"/>
    <d v="2026-05-04T15:16:22"/>
    <m/>
    <s v="HAMDANMO"/>
    <d v="1899-12-30T06:14:45"/>
    <m/>
    <m/>
  </r>
  <r>
    <s v="9800222737 FZ compte courant sequestre conventionnel.docx"/>
    <x v="0"/>
    <x v="2"/>
    <x v="0"/>
    <x v="0"/>
    <d v="2026-05-04T15:17:00"/>
    <d v="2026-05-04T17:41:28"/>
    <m/>
    <s v="HAMDANMO"/>
    <d v="1899-12-30T02:24:28"/>
    <m/>
    <m/>
  </r>
  <r>
    <s v="FZ - CIC ADD 9800127954.docx"/>
    <x v="0"/>
    <x v="2"/>
    <x v="0"/>
    <x v="0"/>
    <d v="2026-05-05T09:47:13"/>
    <d v="2026-05-05T13:49:02"/>
    <m/>
    <s v="HAMDANMO"/>
    <d v="1899-12-30T04:01:49"/>
    <m/>
    <m/>
  </r>
  <r>
    <s v="FZ - CIC RSPF 9800173354.docx"/>
    <x v="0"/>
    <x v="2"/>
    <x v="0"/>
    <x v="0"/>
    <d v="2026-05-05T13:49:24"/>
    <d v="2026-05-05T17:04:55"/>
    <m/>
    <s v="HAMDANMO"/>
    <d v="1899-12-30T03:15:31"/>
    <m/>
    <m/>
  </r>
  <r>
    <s v="FZ - CIC Transfert Facile 9800130839.docx"/>
    <x v="0"/>
    <x v="2"/>
    <x v="0"/>
    <x v="0"/>
    <d v="2026-05-06T09:05:36"/>
    <d v="2026-05-06T11:39:56"/>
    <m/>
    <s v="HAMDANMO"/>
    <d v="1899-12-30T02:34:20"/>
    <m/>
    <m/>
  </r>
  <r>
    <s v="9800057580 Fz_E-Retrait_v062026.docx"/>
    <x v="0"/>
    <x v="2"/>
    <x v="0"/>
    <x v="0"/>
    <d v="2026-05-06T11:40:44"/>
    <d v="2026-05-06T17:58:35"/>
    <m/>
    <s v="HAMDANMO"/>
    <d v="1899-12-30T06:17:51"/>
    <m/>
    <m/>
  </r>
  <r>
    <s v="SBB 9800161183 Déc 2025.docx"/>
    <x v="0"/>
    <x v="2"/>
    <x v="0"/>
    <x v="0"/>
    <d v="2026-05-07T09:01:38"/>
    <d v="2026-05-07T09:05:36"/>
    <m/>
    <s v="HAMDANMO"/>
    <d v="1899-12-30T00:03:58"/>
    <m/>
    <m/>
  </r>
  <r>
    <s v="9800232478 FZ_Filbanque e-jeunes version VADSF.docx"/>
    <x v="0"/>
    <x v="2"/>
    <x v="0"/>
    <x v="0"/>
    <d v="2026-05-07T09:06:07"/>
    <d v="2026-05-07T09:06:23"/>
    <m/>
    <s v="HAMDANMO"/>
    <d v="1899-12-30T00:00:16"/>
    <m/>
    <m/>
  </r>
  <r>
    <s v="9800193029 FZ - CC majeurs protégés.docx"/>
    <x v="0"/>
    <x v="2"/>
    <x v="0"/>
    <x v="0"/>
    <d v="2026-05-11T09:01:04"/>
    <d v="2026-05-11T09:17:50"/>
    <m/>
    <s v="HAMDANMO"/>
    <d v="1899-12-30T00:16:46"/>
    <m/>
    <m/>
  </r>
  <r>
    <s v="0470004375 FZ_Filbanque part-version VADSF.docx"/>
    <x v="0"/>
    <x v="2"/>
    <x v="0"/>
    <x v="0"/>
    <d v="2026-05-11T09:19:15"/>
    <d v="2026-05-11T13:35:52"/>
    <m/>
    <s v="HAMDANMO"/>
    <d v="1899-12-30T04:16:37"/>
    <m/>
    <m/>
  </r>
  <r>
    <s v="0470008440 Fz_Payweb_Card_v062026.docx"/>
    <x v="0"/>
    <x v="2"/>
    <x v="0"/>
    <x v="0"/>
    <d v="2026-05-12T09:02:49"/>
    <d v="2026-05-12T13:20:50"/>
    <m/>
    <s v="HAMDANMO"/>
    <d v="1899-12-30T04:18:01"/>
    <m/>
    <m/>
  </r>
  <r>
    <s v="9800191641 CIC - SupTreso version VADSF.docx"/>
    <x v="0"/>
    <x v="2"/>
    <x v="0"/>
    <x v="0"/>
    <d v="2026-05-12T13:21:38"/>
    <d v="2026-05-12T17:02:41"/>
    <m/>
    <s v="HAMDANMO"/>
    <d v="1899-12-30T03:41:03"/>
    <m/>
    <m/>
  </r>
  <r>
    <s v="0470004354 CIC FZ PEA 0426_reluNK.docx"/>
    <x v="0"/>
    <x v="2"/>
    <x v="0"/>
    <x v="0"/>
    <d v="2026-05-18T09:44:14"/>
    <d v="2026-05-18T10:59:03"/>
    <m/>
    <s v="HAMDANMO"/>
    <d v="1899-12-30T01:14:49"/>
    <m/>
    <m/>
  </r>
  <r>
    <s v="9800090537 CIC FZ PEA PME 0426_reluNK.docx"/>
    <x v="0"/>
    <x v="2"/>
    <x v="0"/>
    <x v="0"/>
    <d v="2026-05-18T11:26:45"/>
    <d v="2026-05-19T09:42:48"/>
    <m/>
    <s v="HAMDANMO"/>
    <d v="1899-12-30T22:16:03"/>
    <m/>
    <m/>
  </r>
  <r>
    <s v="PEA _0140020765-Vadsf2026.docx"/>
    <x v="2"/>
    <x v="3"/>
    <x v="0"/>
    <x v="0"/>
    <d v="2026-06-02T13:20:50"/>
    <d v="2026-06-02T17:42:20"/>
    <m/>
    <s v="HAMDANMO"/>
    <d v="1899-12-30T04:21:30"/>
    <m/>
    <m/>
  </r>
  <r>
    <s v="Recueil_Des_Prix_PART_2026.pdf"/>
    <x v="2"/>
    <x v="3"/>
    <x v="1"/>
    <x v="1"/>
    <d v="2026-06-03T09:25:15"/>
    <d v="2026-06-04T09:08:03"/>
    <d v="2026-06-08T17:31:42"/>
    <s v="HAMDANMO"/>
    <d v="1899-12-30T23:42:48"/>
    <d v="1900-01-03T08:23:39"/>
    <s v="contraste non conforme"/>
  </r>
  <r>
    <s v="P1_IPID_Monabanq_10-2026.pdf"/>
    <x v="3"/>
    <x v="4"/>
    <x v="1"/>
    <x v="1"/>
    <d v="2026-06-08T09:20:10"/>
    <d v="2026-06-08T12:14:37"/>
    <d v="2026-06-12T10:54:07"/>
    <s v="HAMDANMO"/>
    <d v="1899-12-30T02:54:27"/>
    <d v="1900-01-02T22:39:30"/>
    <s v="COuleur des puces non conforme"/>
  </r>
  <r>
    <s v="P2_IPID_Monabanq_10-2026.pdf"/>
    <x v="3"/>
    <x v="4"/>
    <x v="1"/>
    <x v="1"/>
    <d v="2026-06-08T12:15:30"/>
    <d v="2026-06-08T17:07:31"/>
    <d v="2026-06-12T10:54:40"/>
    <s v="HAMDANMO"/>
    <d v="1899-12-30T04:52:01"/>
    <d v="1900-01-02T17:47:09"/>
    <s v="COuleur des puces non conforme"/>
  </r>
  <r>
    <s v="0130000723 Fc_CB_Cirrus_v072026.docx"/>
    <x v="4"/>
    <x v="5"/>
    <x v="0"/>
    <x v="0"/>
    <d v="2026-06-09T12:05:54"/>
    <d v="2026-06-09T15:12:58"/>
    <m/>
    <s v="HAMDANMO"/>
    <d v="1899-12-30T03:07:04"/>
    <m/>
    <m/>
  </r>
  <r>
    <s v="0130000753 Fc_CB_MC_Gold_v072026.docx"/>
    <x v="4"/>
    <x v="5"/>
    <x v="0"/>
    <x v="0"/>
    <d v="2026-06-09T15:14:54"/>
    <d v="2026-06-10T09:22:31"/>
    <m/>
    <s v="HAMDANMO"/>
    <d v="1899-12-30T18:07:37"/>
    <m/>
    <m/>
  </r>
  <r>
    <s v="0130009825 Fc_CB_MC_On_line_v072026.docx"/>
    <x v="4"/>
    <x v="5"/>
    <x v="0"/>
    <x v="0"/>
    <d v="2026-06-10T09:27:18"/>
    <d v="2026-06-10T15:44:44"/>
    <m/>
    <s v="HAMDANMO"/>
    <d v="1899-12-30T06:17:26"/>
    <m/>
    <m/>
  </r>
  <r>
    <s v="0130022924 Fc_Carte_Dépôt_v072026.docx"/>
    <x v="4"/>
    <x v="5"/>
    <x v="0"/>
    <x v="0"/>
    <d v="2026-06-10T15:45:38"/>
    <d v="2026-06-10T18:06:56"/>
    <m/>
    <s v="HAMDANMO"/>
    <d v="1899-12-30T02:21:18"/>
    <m/>
    <m/>
  </r>
  <r>
    <s v="0130019519 Fc_CB_MC_Vie_Quotidienne_v072026.docx"/>
    <x v="4"/>
    <x v="5"/>
    <x v="0"/>
    <x v="0"/>
    <d v="2026-06-11T09:25:05"/>
    <d v="2026-06-11T13:15:12"/>
    <m/>
    <s v="HAMDANMO"/>
    <d v="1899-12-30T03:50:07"/>
    <m/>
    <m/>
  </r>
  <r>
    <s v="0130017718_ FC CM Facil Accès_072026.docx"/>
    <x v="4"/>
    <x v="6"/>
    <x v="0"/>
    <x v="0"/>
    <d v="2026-06-11T13:15:39"/>
    <d v="2026-06-11T17:15:39"/>
    <m/>
    <s v="HAMDANMO"/>
    <d v="1899-12-30T04:00:00"/>
    <m/>
    <m/>
  </r>
  <r>
    <s v="9800132645 CIC FZ - CTO - 0426 v3.docx"/>
    <x v="0"/>
    <x v="2"/>
    <x v="0"/>
    <x v="0"/>
    <d v="2026-06-12T09:16:33"/>
    <d v="2026-06-12T13:05:29"/>
    <m/>
    <s v="HAMDANMO"/>
    <d v="1899-12-30T03:48:56"/>
    <m/>
    <m/>
  </r>
  <r>
    <s v="0130017719_FC CM Transfert Facile_072026.docx"/>
    <x v="4"/>
    <x v="6"/>
    <x v="0"/>
    <x v="0"/>
    <d v="2026-06-12T13:07:08"/>
    <d v="2026-06-12T17:17:14"/>
    <m/>
    <s v="HAMDANMO"/>
    <d v="1899-12-30T04:10:06"/>
    <m/>
    <m/>
  </r>
  <r>
    <s v="0130018095_FC CM ADD_072026.docx"/>
    <x v="4"/>
    <x v="6"/>
    <x v="0"/>
    <x v="0"/>
    <d v="2026-06-15T09:11:33"/>
    <d v="2026-06-15T13:59:00"/>
    <m/>
    <s v="HAMDANMO"/>
    <d v="1899-12-30T04:47:27"/>
    <m/>
    <m/>
  </r>
  <r>
    <s v="0130019852_ FC Services bancaires de bases SBB_072026.docx"/>
    <x v="4"/>
    <x v="6"/>
    <x v="0"/>
    <x v="0"/>
    <d v="2026-06-15T15:01:13"/>
    <d v="2026-06-15T18:54:42"/>
    <m/>
    <s v="HAMDANMO"/>
    <d v="1899-12-30T03:53:29"/>
    <m/>
    <m/>
  </r>
  <r>
    <s v="0130021864_ FC Offre Prestations de base_072026.docx"/>
    <x v="4"/>
    <x v="6"/>
    <x v="0"/>
    <x v="0"/>
    <d v="2026-06-16T09:02:11"/>
    <d v="2026-06-16T14:55:00"/>
    <m/>
    <s v="HAMDANMO"/>
    <d v="1899-12-30T05:52:49"/>
    <m/>
    <m/>
  </r>
  <r>
    <s v="Fiche Clarté MABN PSB _0140026056.docx"/>
    <x v="2"/>
    <x v="3"/>
    <x v="0"/>
    <x v="0"/>
    <d v="2026-06-16T14:56:14"/>
    <d v="2026-06-16T18:34:30"/>
    <m/>
    <s v="HAMDANMO"/>
    <d v="1899-12-30T03:38:16"/>
    <m/>
    <m/>
  </r>
  <r>
    <s v="9800237165 CM  FC Connect Initial V2.docx"/>
    <x v="0"/>
    <x v="7"/>
    <x v="0"/>
    <x v="0"/>
    <d v="2026-06-17T09:08:19"/>
    <d v="2026-06-17T13:42:08"/>
    <m/>
    <s v="HAMDANMO"/>
    <d v="1899-12-30T04:33:49"/>
    <m/>
    <m/>
  </r>
  <r>
    <s v="9800237169 CM FC Forfait complémentaire V2.docx"/>
    <x v="0"/>
    <x v="7"/>
    <x v="0"/>
    <x v="0"/>
    <d v="2026-06-17T15:02:37"/>
    <d v="2026-06-17T18:44:36"/>
    <m/>
    <s v="HAMDANMO"/>
    <d v="1899-12-30T03:41:59"/>
    <m/>
    <m/>
  </r>
  <r>
    <s v="0725_024_CC PART CEE IDF SE SMB 81.69.55.pdf"/>
    <x v="5"/>
    <x v="3"/>
    <x v="0"/>
    <x v="0"/>
    <d v="2026-06-18T09:41:51"/>
    <d v="2026-06-18T18:30:45"/>
    <m/>
    <s v="HAMDANMO"/>
    <d v="1899-12-30T08:48:54"/>
    <m/>
    <m/>
  </r>
  <r>
    <s v="IRD_9902030015_011000527904332.pdf"/>
    <x v="3"/>
    <x v="8"/>
    <x v="0"/>
    <x v="0"/>
    <d v="2026-07-09T17:51:52"/>
    <d v="2026-06-19T11:33:13"/>
    <m/>
    <s v="HAMDANMO"/>
    <n v="-20.262951388882357"/>
    <m/>
    <m/>
  </r>
  <r>
    <s v="0130018473_FC Top infos_072026.docx"/>
    <x v="4"/>
    <x v="9"/>
    <x v="0"/>
    <x v="0"/>
    <d v="2026-06-19T11:33:43"/>
    <d v="2026-06-19T16:27:52"/>
    <m/>
    <s v="HAMDANMO"/>
    <d v="1899-12-30T04:54:09"/>
    <m/>
    <m/>
  </r>
  <r>
    <s v="0130024306_FC CMPAY_072026.docx"/>
    <x v="4"/>
    <x v="9"/>
    <x v="0"/>
    <x v="0"/>
    <d v="2026-06-19T16:28:15"/>
    <d v="2026-06-19T17:19:42"/>
    <m/>
    <s v="HAMDANMO"/>
    <d v="1899-12-30T00:51:27"/>
    <m/>
    <m/>
  </r>
  <r>
    <s v="REVERPSYA.pdf"/>
    <x v="3"/>
    <x v="10"/>
    <x v="0"/>
    <x v="0"/>
    <d v="2026-06-19T16:28:41"/>
    <d v="2026-06-19T17:18:41"/>
    <m/>
    <s v="HAMDANMO"/>
    <d v="1899-12-30T00:50:00"/>
    <m/>
    <s v="il n'a pas de Titre niveau 1"/>
  </r>
  <r>
    <s v="0130009109 CM - Eurocompte jeune 072026.docx"/>
    <x v="4"/>
    <x v="11"/>
    <x v="0"/>
    <x v="0"/>
    <d v="2026-06-22T10:32:56"/>
    <d v="2026-06-22T12:08:02"/>
    <m/>
    <s v="HAMDANMO"/>
    <d v="1899-12-30T01:35:06"/>
    <m/>
    <m/>
  </r>
  <r>
    <s v="0130010696 FC_Eurocompte DUO'S_072026.docx"/>
    <x v="4"/>
    <x v="11"/>
    <x v="0"/>
    <x v="0"/>
    <d v="2026-06-22T12:08:37"/>
    <d v="2026-06-22T16:38:54"/>
    <m/>
    <s v="HAMDANMO"/>
    <d v="1899-12-30T04:30:17"/>
    <m/>
    <m/>
  </r>
  <r>
    <s v="0130010743 FC_Eurocompte Standard_072026.docx"/>
    <x v="4"/>
    <x v="11"/>
    <x v="0"/>
    <x v="0"/>
    <d v="2026-06-22T16:39:33"/>
    <d v="2026-06-22T18:57:48"/>
    <m/>
    <s v="HAMDANMO"/>
    <d v="1899-12-30T02:18:15"/>
    <m/>
    <m/>
  </r>
  <r>
    <s v="0130015309 CM - Eurocompte Cap Transat 072026.docx"/>
    <x v="4"/>
    <x v="11"/>
    <x v="0"/>
    <x v="0"/>
    <d v="2026-06-23T09:04:07"/>
    <d v="2026-06-23T12:12:57"/>
    <m/>
    <s v="HAMDANMO"/>
    <d v="1899-12-30T03:08:50"/>
    <m/>
    <m/>
  </r>
  <r>
    <s v="0130022386 FC_CM - Connect Origine_072026.docx"/>
    <x v="4"/>
    <x v="11"/>
    <x v="0"/>
    <x v="0"/>
    <d v="2026-06-23T12:13:27"/>
    <d v="2026-06-23T15:41:28"/>
    <m/>
    <s v="HAMDANMO"/>
    <d v="1899-12-30T03:28:01"/>
    <m/>
    <m/>
  </r>
  <r>
    <s v="0130023171 FC_Connect Crédit Mutuel_072026.docx"/>
    <x v="4"/>
    <x v="11"/>
    <x v="0"/>
    <x v="0"/>
    <d v="2026-06-23T15:42:07"/>
    <d v="2026-06-23T18:40:56"/>
    <m/>
    <s v="HAMDANMO"/>
    <d v="1899-12-30T02:58:49"/>
    <m/>
    <m/>
  </r>
  <r>
    <s v="0130011503_FC Parts Sociales B_072026.docx"/>
    <x v="4"/>
    <x v="12"/>
    <x v="0"/>
    <x v="0"/>
    <d v="2026-06-24T09:11:30"/>
    <d v="2026-06-24T11:23:30"/>
    <m/>
    <s v="HAMDANMO"/>
    <d v="1899-12-30T02:12:00"/>
    <m/>
    <m/>
  </r>
  <r>
    <s v="9800100001 CIC FZ GCO 06 2026"/>
    <x v="0"/>
    <x v="2"/>
    <x v="0"/>
    <x v="0"/>
    <d v="2026-06-24T11:25:30"/>
    <d v="2026-06-24T15:23:30"/>
    <m/>
    <s v="HAMDANMO"/>
    <d v="1899-12-30T03:58:00"/>
    <m/>
    <s v="SA0000063296399"/>
  </r>
  <r>
    <s v="0110068034 FC GCO 06 2026"/>
    <x v="0"/>
    <x v="7"/>
    <x v="0"/>
    <x v="0"/>
    <d v="2026-06-24T15:19:30"/>
    <d v="2026-06-24T18:23:30"/>
    <m/>
    <s v="HAMDANMO"/>
    <d v="1899-12-30T03:04:00"/>
    <m/>
    <s v="SA0000063296399"/>
  </r>
  <r>
    <s v="FC CMUT DIRECT 0626.docx"/>
    <x v="2"/>
    <x v="3"/>
    <x v="0"/>
    <x v="0"/>
    <d v="2026-06-25T09:21:52"/>
    <d v="2026-06-25T12:33:13"/>
    <m/>
    <s v="HAMDANMO"/>
    <d v="1899-12-30T03:11:21"/>
    <m/>
    <m/>
  </r>
  <r>
    <s v="FC compte courant.docx"/>
    <x v="2"/>
    <x v="3"/>
    <x v="0"/>
    <x v="0"/>
    <d v="2026-06-25T12:33:37"/>
    <d v="2026-06-26T09:36:29"/>
    <m/>
    <s v="HAMDANMO"/>
    <d v="1899-12-30T21:02:52"/>
    <m/>
    <m/>
  </r>
  <r>
    <s v="669809 0726 FILSECURITIES PARTICULIER.pdf"/>
    <x v="1"/>
    <x v="1"/>
    <x v="0"/>
    <x v="0"/>
    <d v="2026-06-26T09:37:00"/>
    <d v="2026-06-26T09:37:44"/>
    <m/>
    <s v="HAMDANMO"/>
    <d v="1899-12-30T00:00:44"/>
    <m/>
    <m/>
  </r>
  <r>
    <s v="COL_9902030091_011000661149773.pdf"/>
    <x v="3"/>
    <x v="13"/>
    <x v="0"/>
    <x v="0"/>
    <d v="2026-06-26T09:38:59"/>
    <d v="2026-06-26T17:48:43"/>
    <m/>
    <s v="HAMDANMO"/>
    <d v="1899-12-30T08:09:44"/>
    <m/>
    <m/>
  </r>
  <r>
    <s v="COL_9902030092_011000709664942.pdf"/>
    <x v="3"/>
    <x v="13"/>
    <x v="0"/>
    <x v="0"/>
    <d v="2026-06-29T09:28:47"/>
    <d v="2026-06-29T15:28:47"/>
    <m/>
    <s v="HAMDANMO"/>
    <d v="1899-12-30T06:00:00"/>
    <m/>
    <m/>
  </r>
  <r>
    <s v="COL_9902030098_011000823633465.pdf"/>
    <x v="3"/>
    <x v="13"/>
    <x v="0"/>
    <x v="0"/>
    <d v="2026-06-30T09:28:47"/>
    <d v="2026-06-30T11:37:14"/>
    <m/>
    <s v="HAMDANMO"/>
    <d v="1899-12-30T02:08:27"/>
    <m/>
    <m/>
  </r>
  <r>
    <s v="COL_9902030098_011000823633467.pdf"/>
    <x v="3"/>
    <x v="13"/>
    <x v="0"/>
    <x v="0"/>
    <d v="2026-07-01T09:21:52"/>
    <d v="2026-07-01T17:21:52"/>
    <m/>
    <s v="HAMDANMO"/>
    <d v="1899-12-30T08:00:00"/>
    <m/>
    <m/>
  </r>
  <r>
    <s v="FC Eurocompte Confort.docx"/>
    <x v="2"/>
    <x v="3"/>
    <x v="0"/>
    <x v="0"/>
    <d v="2026-07-02T09:25:01"/>
    <d v="2026-07-02T17:25:01"/>
    <m/>
    <s v="HAMDANMO"/>
    <d v="1899-12-30T08:00:00"/>
    <m/>
    <m/>
  </r>
  <r>
    <s v="IDM_9902030191_011000830798592.pdf"/>
    <x v="3"/>
    <x v="10"/>
    <x v="1"/>
    <x v="0"/>
    <d v="2026-07-03T10:15:40"/>
    <d v="2026-07-03T18:15:40"/>
    <m/>
    <s v="HAMDANMO"/>
    <d v="1899-12-30T08:00:00"/>
    <m/>
    <s v="contraste non conforme"/>
  </r>
  <r>
    <s v="IRD_9902030015_011000527904322.pdf"/>
    <x v="3"/>
    <x v="8"/>
    <x v="0"/>
    <x v="0"/>
    <d v="2026-07-06T10:16:13"/>
    <d v="2026-07-08T09:17:36"/>
    <m/>
    <s v="HAMDANMO"/>
    <d v="1899-12-31T23:01:23"/>
    <m/>
    <m/>
  </r>
  <r>
    <s v="IRD_9902030015_011000527904327.pdf"/>
    <x v="3"/>
    <x v="8"/>
    <x v="0"/>
    <x v="0"/>
    <d v="2026-07-08T09:23:07"/>
    <d v="2026-07-09T09:33:29"/>
    <m/>
    <s v="HAMDANMO"/>
    <d v="1899-12-31T00:10:22"/>
    <m/>
    <m/>
  </r>
  <r>
    <s v="IRD_9902030015_011000527904332.pdf"/>
    <x v="3"/>
    <x v="8"/>
    <x v="0"/>
    <x v="0"/>
    <d v="2026-07-09T09:33:45"/>
    <d v="2026-07-09T17:53:45"/>
    <m/>
    <s v="HAMDANMO"/>
    <d v="1899-12-30T08:20:00"/>
    <m/>
    <m/>
  </r>
  <r>
    <s v="IRD_9902030015_011000586849371.pdf"/>
    <x v="3"/>
    <x v="8"/>
    <x v="1"/>
    <x v="0"/>
    <d v="2026-07-10T09:20:37"/>
    <d v="2026-07-10T16:38:36"/>
    <m/>
    <s v="HAMDANMO"/>
    <d v="1899-12-30T07:17:59"/>
    <m/>
    <s v="1. Contraste Non conforme. 2. Cohérence des titre non conforme"/>
  </r>
  <r>
    <s v="IRD_9902030015_011000666625993.pdf"/>
    <x v="3"/>
    <x v="8"/>
    <x v="1"/>
    <x v="0"/>
    <d v="2026-07-15T09:24:10"/>
    <d v="2026-07-15T17:22:41"/>
    <m/>
    <s v="HAMDANMO"/>
    <d v="1899-12-30T07:58:31"/>
    <m/>
    <s v="1. Contraste Non conforme. 2. Cohérence des titre non conforme"/>
  </r>
  <r>
    <m/>
    <x v="6"/>
    <x v="14"/>
    <x v="2"/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5D5013-CFD8-4698-AB84-7A32EDFCA560}" name="Tableau croisé dynamique1" cacheId="6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8">
  <location ref="A3:B25" firstHeaderRow="1" firstDataRow="1" firstDataCol="1"/>
  <pivotFields count="12">
    <pivotField showAll="0"/>
    <pivotField axis="axisRow" showAll="0">
      <items count="8">
        <item x="1"/>
        <item x="0"/>
        <item h="1" x="6"/>
        <item x="2"/>
        <item x="3"/>
        <item x="4"/>
        <item x="5"/>
        <item t="default"/>
      </items>
    </pivotField>
    <pivotField axis="axisRow" dataField="1" showAll="0">
      <items count="16">
        <item x="1"/>
        <item x="0"/>
        <item x="2"/>
        <item x="14"/>
        <item x="3"/>
        <item x="4"/>
        <item x="5"/>
        <item x="6"/>
        <item x="7"/>
        <item x="9"/>
        <item x="10"/>
        <item x="11"/>
        <item x="12"/>
        <item x="13"/>
        <item x="8"/>
        <item t="default"/>
      </items>
    </pivotField>
    <pivotField showAll="0"/>
    <pivotField showAll="0"/>
    <pivotField numFmtId="22" showAll="0"/>
    <pivotField numFmtId="22" showAll="0"/>
    <pivotField showAll="0"/>
    <pivotField showAll="0"/>
    <pivotField numFmtId="165" showAll="0"/>
    <pivotField showAll="0"/>
    <pivotField showAll="0"/>
  </pivotFields>
  <rowFields count="2">
    <field x="1"/>
    <field x="2"/>
  </rowFields>
  <rowItems count="22">
    <i>
      <x/>
    </i>
    <i r="1">
      <x/>
    </i>
    <i>
      <x v="1"/>
    </i>
    <i r="1">
      <x v="1"/>
    </i>
    <i r="1">
      <x v="2"/>
    </i>
    <i r="1">
      <x v="8"/>
    </i>
    <i>
      <x v="3"/>
    </i>
    <i r="1">
      <x v="4"/>
    </i>
    <i>
      <x v="4"/>
    </i>
    <i r="1">
      <x v="5"/>
    </i>
    <i r="1">
      <x v="10"/>
    </i>
    <i r="1">
      <x v="13"/>
    </i>
    <i r="1">
      <x v="14"/>
    </i>
    <i>
      <x v="5"/>
    </i>
    <i r="1">
      <x v="6"/>
    </i>
    <i r="1">
      <x v="7"/>
    </i>
    <i r="1">
      <x v="9"/>
    </i>
    <i r="1">
      <x v="11"/>
    </i>
    <i r="1">
      <x v="12"/>
    </i>
    <i>
      <x v="6"/>
    </i>
    <i r="1">
      <x v="4"/>
    </i>
    <i t="grand">
      <x/>
    </i>
  </rowItems>
  <colItems count="1">
    <i/>
  </colItems>
  <dataFields count="1">
    <dataField name="Nombre de SousDomaine" fld="2" subtotal="count" baseField="0" baseItem="0"/>
  </dataFields>
  <chartFormats count="1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51229-3652-41F4-9605-21B498D5BCD0}" name="Tableau croisé dynamique2" cacheId="6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6">
  <location ref="G3:H5" firstHeaderRow="1" firstDataRow="1" firstDataCol="1"/>
  <pivotFields count="12">
    <pivotField showAll="0"/>
    <pivotField showAll="0"/>
    <pivotField showAll="0"/>
    <pivotField axis="axisRow" dataField="1" showAll="0">
      <items count="5">
        <item x="0"/>
        <item h="1" x="2"/>
        <item h="1" x="1"/>
        <item h="1" m="1" x="3"/>
        <item t="default"/>
      </items>
    </pivotField>
    <pivotField showAll="0"/>
    <pivotField numFmtId="22" showAll="0"/>
    <pivotField numFmtId="22" showAll="0"/>
    <pivotField showAll="0"/>
    <pivotField showAll="0"/>
    <pivotField numFmtId="165" showAll="0"/>
    <pivotField showAll="0"/>
    <pivotField showAll="0"/>
  </pivotFields>
  <rowFields count="1">
    <field x="3"/>
  </rowFields>
  <rowItems count="2">
    <i>
      <x/>
    </i>
    <i t="grand">
      <x/>
    </i>
  </rowItems>
  <colItems count="1">
    <i/>
  </colItems>
  <dataFields count="1">
    <dataField name="Nombre de Statut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B0255B-65F0-42FF-A2FC-F2B9A0ADCF99}" name="Tableau croisé dynamique3" cacheId="6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6">
  <location ref="J6:K8" firstHeaderRow="1" firstDataRow="1" firstDataCol="1"/>
  <pivotFields count="12">
    <pivotField showAll="0"/>
    <pivotField showAll="0"/>
    <pivotField showAll="0"/>
    <pivotField showAll="0"/>
    <pivotField axis="axisRow" dataField="1" showAll="0">
      <items count="90">
        <item h="1" x="0"/>
        <item x="1"/>
        <item h="1" m="1" x="28"/>
        <item h="1" m="1" x="74"/>
        <item h="1" m="1" x="17"/>
        <item h="1" m="1" x="52"/>
        <item h="1" m="1" x="10"/>
        <item h="1" m="1" x="47"/>
        <item h="1" m="1" x="13"/>
        <item h="1" m="1" x="44"/>
        <item h="1" m="1" x="14"/>
        <item h="1" m="1" x="31"/>
        <item h="1" m="1" x="61"/>
        <item h="1" m="1" x="60"/>
        <item h="1" m="1" x="53"/>
        <item h="1" m="1" x="87"/>
        <item h="1" m="1" x="33"/>
        <item h="1" m="1" x="57"/>
        <item h="1" m="1" x="18"/>
        <item h="1" m="1" x="64"/>
        <item h="1" m="1" x="85"/>
        <item h="1" m="1" x="2"/>
        <item h="1" m="1" x="11"/>
        <item h="1" m="1" x="70"/>
        <item h="1" m="1" x="59"/>
        <item h="1" m="1" x="16"/>
        <item h="1" m="1" x="38"/>
        <item h="1" m="1" x="25"/>
        <item h="1" m="1" x="73"/>
        <item h="1" m="1" x="3"/>
        <item h="1" m="1" x="84"/>
        <item h="1" m="1" x="12"/>
        <item h="1" m="1" x="77"/>
        <item h="1" m="1" x="6"/>
        <item h="1" m="1" x="48"/>
        <item h="1" m="1" x="67"/>
        <item h="1" m="1" x="76"/>
        <item h="1" m="1" x="66"/>
        <item h="1" m="1" x="20"/>
        <item h="1" m="1" x="79"/>
        <item h="1" m="1" x="86"/>
        <item h="1" m="1" x="37"/>
        <item h="1" m="1" x="49"/>
        <item h="1" m="1" x="39"/>
        <item h="1" m="1" x="4"/>
        <item h="1" m="1" x="75"/>
        <item h="1" m="1" x="55"/>
        <item h="1" m="1" x="88"/>
        <item h="1" m="1" x="7"/>
        <item h="1" m="1" x="81"/>
        <item h="1" m="1" x="22"/>
        <item h="1" m="1" x="68"/>
        <item h="1" m="1" x="9"/>
        <item h="1" m="1" x="65"/>
        <item h="1" m="1" x="34"/>
        <item h="1" m="1" x="15"/>
        <item h="1" m="1" x="71"/>
        <item h="1" m="1" x="40"/>
        <item h="1" m="1" x="58"/>
        <item h="1" m="1" x="8"/>
        <item h="1" m="1" x="42"/>
        <item h="1" m="1" x="30"/>
        <item h="1" m="1" x="26"/>
        <item h="1" m="1" x="51"/>
        <item h="1" m="1" x="78"/>
        <item h="1" m="1" x="27"/>
        <item h="1" m="1" x="46"/>
        <item h="1" m="1" x="50"/>
        <item h="1" m="1" x="62"/>
        <item h="1" m="1" x="83"/>
        <item h="1" m="1" x="43"/>
        <item h="1" m="1" x="69"/>
        <item h="1" m="1" x="29"/>
        <item h="1" m="1" x="36"/>
        <item h="1" m="1" x="35"/>
        <item h="1" m="1" x="56"/>
        <item h="1" m="1" x="5"/>
        <item h="1" m="1" x="23"/>
        <item h="1" m="1" x="72"/>
        <item h="1" m="1" x="24"/>
        <item h="1" m="1" x="45"/>
        <item h="1" m="1" x="32"/>
        <item h="1" m="1" x="80"/>
        <item h="1" m="1" x="54"/>
        <item h="1" m="1" x="41"/>
        <item h="1" m="1" x="82"/>
        <item h="1" m="1" x="63"/>
        <item h="1" m="1" x="21"/>
        <item h="1" m="1" x="19"/>
        <item t="default"/>
      </items>
    </pivotField>
    <pivotField numFmtId="22" showAll="0"/>
    <pivotField numFmtId="22" showAll="0"/>
    <pivotField showAll="0"/>
    <pivotField showAll="0"/>
    <pivotField numFmtId="165" showAll="0"/>
    <pivotField showAll="0"/>
    <pivotField showAll="0"/>
  </pivotFields>
  <rowFields count="1">
    <field x="4"/>
  </rowFields>
  <rowItems count="2">
    <i>
      <x v="1"/>
    </i>
    <i t="grand">
      <x/>
    </i>
  </rowItems>
  <colItems count="1">
    <i/>
  </colItems>
  <dataFields count="1">
    <dataField name="Nombre de Status_2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icones8.fr/icon/85147/user-male-circle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lib-si.cm-cic.fr/?mnc=SARA&amp;ticketid=63296399" TargetMode="External"/><Relationship Id="rId1" Type="http://schemas.openxmlformats.org/officeDocument/2006/relationships/hyperlink" Target="https://wlib-si.cm-cic.fr/?mnc=SARA&amp;ticketid=63296399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F6A96-782A-4B33-8295-6BD4B51E7DCF}">
  <sheetPr codeName="Feuil2"/>
  <dimension ref="D2:S39"/>
  <sheetViews>
    <sheetView showGridLines="0" zoomScaleNormal="100" workbookViewId="0">
      <selection activeCell="G1" sqref="G1:R1"/>
    </sheetView>
  </sheetViews>
  <sheetFormatPr baseColWidth="10" defaultColWidth="11.42578125" defaultRowHeight="15" x14ac:dyDescent="0.25"/>
  <cols>
    <col min="1" max="16384" width="11.42578125" style="8"/>
  </cols>
  <sheetData>
    <row r="2" spans="7:18" x14ac:dyDescent="0.25">
      <c r="G2" s="8" t="s">
        <v>37</v>
      </c>
    </row>
    <row r="5" spans="7:18" x14ac:dyDescent="0.25">
      <c r="N5"/>
      <c r="P5"/>
    </row>
    <row r="6" spans="7:18" x14ac:dyDescent="0.25">
      <c r="P6" s="9" t="s">
        <v>30</v>
      </c>
    </row>
    <row r="14" spans="7:18" x14ac:dyDescent="0.25">
      <c r="G14"/>
      <c r="R14"/>
    </row>
    <row r="21" spans="4:4" x14ac:dyDescent="0.25">
      <c r="D21" s="24"/>
    </row>
    <row r="38" spans="7:19" x14ac:dyDescent="0.25">
      <c r="S38" s="8" t="s">
        <v>37</v>
      </c>
    </row>
    <row r="39" spans="7:19" x14ac:dyDescent="0.25">
      <c r="G39" s="24"/>
    </row>
  </sheetData>
  <hyperlinks>
    <hyperlink ref="P6" r:id="rId1" display="https://icones8.fr/icon/85147/user-male-circle" xr:uid="{042F50FD-F2D6-4678-BC47-560F284E420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Label1">
          <controlPr defaultSize="0" autoLine="0" r:id="rId5">
            <anchor moveWithCells="1">
              <from>
                <xdr:col>16</xdr:col>
                <xdr:colOff>752475</xdr:colOff>
                <xdr:row>3</xdr:row>
                <xdr:rowOff>123825</xdr:rowOff>
              </from>
              <to>
                <xdr:col>19</xdr:col>
                <xdr:colOff>628650</xdr:colOff>
                <xdr:row>4</xdr:row>
                <xdr:rowOff>180975</xdr:rowOff>
              </to>
            </anchor>
          </controlPr>
        </control>
      </mc:Choice>
      <mc:Fallback>
        <control shapeId="1025" r:id="rId4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9"/>
  <sheetViews>
    <sheetView tabSelected="1" topLeftCell="E64" zoomScale="85" zoomScaleNormal="85" workbookViewId="0">
      <selection activeCell="K101" sqref="K101"/>
    </sheetView>
  </sheetViews>
  <sheetFormatPr baseColWidth="10" defaultColWidth="9.140625" defaultRowHeight="15" x14ac:dyDescent="0.25"/>
  <cols>
    <col min="1" max="1" width="60.28515625" style="5" bestFit="1" customWidth="1"/>
    <col min="2" max="2" width="15.42578125" style="5" bestFit="1" customWidth="1"/>
    <col min="3" max="3" width="23" style="5" bestFit="1" customWidth="1"/>
    <col min="4" max="4" width="18.7109375" style="5" customWidth="1"/>
    <col min="5" max="5" width="28" style="5" bestFit="1" customWidth="1"/>
    <col min="6" max="6" width="21.28515625" style="5" customWidth="1"/>
    <col min="7" max="7" width="18.5703125" style="5" bestFit="1" customWidth="1"/>
    <col min="8" max="8" width="21.5703125" style="15" bestFit="1" customWidth="1"/>
    <col min="9" max="9" width="44.5703125" style="5" bestFit="1" customWidth="1"/>
    <col min="10" max="10" width="8.140625" style="22" bestFit="1" customWidth="1"/>
    <col min="11" max="11" width="12.140625" style="22" bestFit="1" customWidth="1"/>
    <col min="12" max="12" width="44" style="5" bestFit="1" customWidth="1"/>
    <col min="13" max="13" width="1.5703125" bestFit="1" customWidth="1"/>
  </cols>
  <sheetData>
    <row r="1" spans="1:19" s="2" customFormat="1" x14ac:dyDescent="0.25">
      <c r="A1" s="3" t="s">
        <v>5</v>
      </c>
      <c r="B1" s="3" t="s">
        <v>6</v>
      </c>
      <c r="C1" s="3" t="s">
        <v>7</v>
      </c>
      <c r="D1" s="3" t="s">
        <v>8</v>
      </c>
      <c r="E1" s="3" t="s">
        <v>39</v>
      </c>
      <c r="F1" s="4" t="s">
        <v>9</v>
      </c>
      <c r="G1" s="4" t="s">
        <v>10</v>
      </c>
      <c r="H1" s="14" t="s">
        <v>40</v>
      </c>
      <c r="I1" s="3" t="s">
        <v>11</v>
      </c>
      <c r="J1" s="21" t="s">
        <v>12</v>
      </c>
      <c r="K1" s="21" t="s">
        <v>41</v>
      </c>
      <c r="L1" s="3" t="s">
        <v>25</v>
      </c>
      <c r="M1" s="2" t="s">
        <v>16</v>
      </c>
    </row>
    <row r="2" spans="1:19" x14ac:dyDescent="0.25">
      <c r="A2" s="5" t="s">
        <v>22</v>
      </c>
      <c r="B2" s="5" t="s">
        <v>18</v>
      </c>
      <c r="C2" s="5" t="s">
        <v>19</v>
      </c>
      <c r="D2" s="5" t="s">
        <v>20</v>
      </c>
      <c r="E2" s="23"/>
      <c r="F2" s="7">
        <v>46092.554675925923</v>
      </c>
      <c r="G2" s="7">
        <v>46092.574224537035</v>
      </c>
      <c r="I2" s="7" t="s">
        <v>13</v>
      </c>
      <c r="J2" s="22">
        <v>1.95486111115315E-2</v>
      </c>
      <c r="M2" s="5"/>
      <c r="N2" s="5"/>
      <c r="O2" s="5"/>
      <c r="P2" s="5"/>
      <c r="Q2" s="5"/>
      <c r="R2" s="5"/>
      <c r="S2" s="6"/>
    </row>
    <row r="3" spans="1:19" x14ac:dyDescent="0.25">
      <c r="A3" s="5" t="s">
        <v>23</v>
      </c>
      <c r="B3" s="5" t="s">
        <v>18</v>
      </c>
      <c r="C3" s="5" t="s">
        <v>19</v>
      </c>
      <c r="D3" s="5" t="s">
        <v>20</v>
      </c>
      <c r="E3" s="23"/>
      <c r="F3" s="7">
        <v>46093.411180555559</v>
      </c>
      <c r="G3" s="7">
        <v>46093.510567129626</v>
      </c>
      <c r="I3" s="7" t="s">
        <v>13</v>
      </c>
      <c r="J3" s="22">
        <v>9.9386574067466427E-2</v>
      </c>
      <c r="M3" s="5"/>
      <c r="N3" s="5"/>
      <c r="O3" s="5"/>
      <c r="P3" s="5"/>
      <c r="Q3" s="5"/>
      <c r="R3" s="5"/>
      <c r="S3" s="6"/>
    </row>
    <row r="4" spans="1:19" x14ac:dyDescent="0.25">
      <c r="A4" s="5" t="s">
        <v>24</v>
      </c>
      <c r="B4" s="5" t="s">
        <v>18</v>
      </c>
      <c r="C4" s="5" t="s">
        <v>19</v>
      </c>
      <c r="D4" s="5" t="s">
        <v>20</v>
      </c>
      <c r="E4" s="23"/>
      <c r="F4" s="7">
        <v>46093.511562500003</v>
      </c>
      <c r="G4" s="7">
        <v>46093.527453703704</v>
      </c>
      <c r="I4" s="7" t="s">
        <v>13</v>
      </c>
      <c r="J4" s="22">
        <v>1.5891203700448386E-2</v>
      </c>
    </row>
    <row r="5" spans="1:19" x14ac:dyDescent="0.25">
      <c r="A5" s="5" t="s">
        <v>26</v>
      </c>
      <c r="B5" s="5" t="s">
        <v>18</v>
      </c>
      <c r="C5" s="5" t="s">
        <v>19</v>
      </c>
      <c r="D5" s="5" t="s">
        <v>20</v>
      </c>
      <c r="E5" s="23"/>
      <c r="F5" s="7">
        <v>46097.37332175926</v>
      </c>
      <c r="G5" s="7">
        <v>46097.421342592592</v>
      </c>
      <c r="I5" s="7" t="s">
        <v>13</v>
      </c>
      <c r="J5" s="22">
        <v>4.8020833331975155E-2</v>
      </c>
    </row>
    <row r="6" spans="1:19" x14ac:dyDescent="0.25">
      <c r="A6" s="5" t="s">
        <v>27</v>
      </c>
      <c r="B6" s="5" t="s">
        <v>28</v>
      </c>
      <c r="C6" s="5" t="s">
        <v>29</v>
      </c>
      <c r="D6" s="5" t="s">
        <v>20</v>
      </c>
      <c r="E6" s="23"/>
      <c r="F6" s="7">
        <v>46104.405497685184</v>
      </c>
      <c r="G6" s="7">
        <v>46104.451805555553</v>
      </c>
      <c r="I6" s="7" t="s">
        <v>13</v>
      </c>
      <c r="J6" s="22">
        <v>4.630787036876427E-2</v>
      </c>
    </row>
    <row r="7" spans="1:19" x14ac:dyDescent="0.25">
      <c r="A7" s="5" t="s">
        <v>38</v>
      </c>
      <c r="B7" s="5" t="s">
        <v>28</v>
      </c>
      <c r="C7" s="5" t="s">
        <v>29</v>
      </c>
      <c r="D7" s="5" t="s">
        <v>20</v>
      </c>
      <c r="E7" s="23"/>
      <c r="F7" s="7">
        <v>46113.521412037036</v>
      </c>
      <c r="G7" s="7">
        <v>46113.538310185184</v>
      </c>
      <c r="I7" s="7" t="s">
        <v>13</v>
      </c>
      <c r="J7" s="22">
        <v>1.68981481474475E-2</v>
      </c>
    </row>
    <row r="8" spans="1:19" x14ac:dyDescent="0.25">
      <c r="A8" s="5" t="s">
        <v>42</v>
      </c>
      <c r="B8" s="5" t="s">
        <v>18</v>
      </c>
      <c r="C8" s="5" t="s">
        <v>49</v>
      </c>
      <c r="D8" s="5" t="s">
        <v>20</v>
      </c>
      <c r="E8" s="23"/>
      <c r="F8" s="23">
        <v>46128.64199074074</v>
      </c>
      <c r="G8" s="23">
        <v>46128.708356481482</v>
      </c>
      <c r="I8" s="5" t="s">
        <v>13</v>
      </c>
      <c r="J8" s="22">
        <v>6.6365740742185153E-2</v>
      </c>
    </row>
    <row r="9" spans="1:19" x14ac:dyDescent="0.25">
      <c r="A9" s="5" t="s">
        <v>43</v>
      </c>
      <c r="B9" s="5" t="s">
        <v>18</v>
      </c>
      <c r="C9" s="5" t="s">
        <v>49</v>
      </c>
      <c r="D9" s="5" t="s">
        <v>20</v>
      </c>
      <c r="E9" s="23"/>
      <c r="F9" s="23">
        <v>46129.42491898148</v>
      </c>
      <c r="G9" s="23">
        <v>46129.457337962966</v>
      </c>
      <c r="I9" s="5" t="s">
        <v>13</v>
      </c>
      <c r="J9" s="22">
        <v>3.2418981485534459E-2</v>
      </c>
    </row>
    <row r="10" spans="1:19" x14ac:dyDescent="0.25">
      <c r="A10" s="5" t="s">
        <v>44</v>
      </c>
      <c r="B10" s="5" t="s">
        <v>18</v>
      </c>
      <c r="C10" s="5" t="s">
        <v>49</v>
      </c>
      <c r="D10" s="5" t="s">
        <v>20</v>
      </c>
      <c r="E10" s="23"/>
      <c r="F10" s="23">
        <v>46129.485972222225</v>
      </c>
      <c r="G10" s="23">
        <v>46129.525277777779</v>
      </c>
      <c r="I10" s="5" t="s">
        <v>13</v>
      </c>
      <c r="J10" s="22">
        <v>3.9305555554165039E-2</v>
      </c>
    </row>
    <row r="11" spans="1:19" x14ac:dyDescent="0.25">
      <c r="A11" s="5" t="s">
        <v>45</v>
      </c>
      <c r="B11" s="5" t="s">
        <v>18</v>
      </c>
      <c r="C11" s="5" t="s">
        <v>49</v>
      </c>
      <c r="D11" s="5" t="s">
        <v>20</v>
      </c>
      <c r="E11" s="23"/>
      <c r="F11" s="23">
        <v>46132.379699074074</v>
      </c>
      <c r="G11" s="23">
        <v>46132.400023148148</v>
      </c>
      <c r="I11" s="5" t="s">
        <v>13</v>
      </c>
      <c r="J11" s="22">
        <v>2.0324074073869269E-2</v>
      </c>
    </row>
    <row r="12" spans="1:19" x14ac:dyDescent="0.25">
      <c r="A12" s="5" t="s">
        <v>46</v>
      </c>
      <c r="B12" s="5" t="s">
        <v>18</v>
      </c>
      <c r="C12" s="5" t="s">
        <v>49</v>
      </c>
      <c r="D12" s="5" t="s">
        <v>20</v>
      </c>
      <c r="E12" s="23"/>
      <c r="F12" s="23">
        <v>46132.400312500002</v>
      </c>
      <c r="G12" s="23">
        <v>46132.414826388886</v>
      </c>
      <c r="I12" s="5" t="s">
        <v>13</v>
      </c>
      <c r="J12" s="22">
        <v>1.4513888883811887E-2</v>
      </c>
    </row>
    <row r="13" spans="1:19" x14ac:dyDescent="0.25">
      <c r="A13" s="5" t="s">
        <v>47</v>
      </c>
      <c r="B13" s="5" t="s">
        <v>18</v>
      </c>
      <c r="C13" s="5" t="s">
        <v>49</v>
      </c>
      <c r="D13" s="5" t="s">
        <v>20</v>
      </c>
      <c r="E13" s="23"/>
      <c r="F13" s="23">
        <v>46133.455127314817</v>
      </c>
      <c r="G13" s="23">
        <v>46133.509606481479</v>
      </c>
      <c r="I13" s="5" t="s">
        <v>13</v>
      </c>
      <c r="J13" s="22">
        <v>5.4479166661622003E-2</v>
      </c>
    </row>
    <row r="14" spans="1:19" x14ac:dyDescent="0.25">
      <c r="A14" s="5" t="s">
        <v>48</v>
      </c>
      <c r="B14" s="5" t="s">
        <v>18</v>
      </c>
      <c r="C14" s="5" t="s">
        <v>49</v>
      </c>
      <c r="D14" s="5" t="s">
        <v>20</v>
      </c>
      <c r="E14" s="23"/>
      <c r="F14" s="23">
        <v>46133.509756944448</v>
      </c>
      <c r="G14" s="23">
        <v>46133.520370370374</v>
      </c>
      <c r="I14" s="5" t="s">
        <v>13</v>
      </c>
      <c r="J14" s="22">
        <v>1.0613425925839692E-2</v>
      </c>
    </row>
    <row r="15" spans="1:19" x14ac:dyDescent="0.25">
      <c r="A15" s="5" t="s">
        <v>50</v>
      </c>
      <c r="B15" s="5" t="s">
        <v>18</v>
      </c>
      <c r="C15" s="5" t="s">
        <v>49</v>
      </c>
      <c r="D15" s="5" t="s">
        <v>20</v>
      </c>
      <c r="E15" s="23"/>
      <c r="F15" s="23">
        <v>46134.377685185187</v>
      </c>
      <c r="G15" s="23">
        <v>46134.398321759261</v>
      </c>
      <c r="I15" s="5" t="s">
        <v>13</v>
      </c>
      <c r="J15" s="22">
        <v>2.0636574074160308E-2</v>
      </c>
      <c r="L15" s="5" t="s">
        <v>51</v>
      </c>
    </row>
    <row r="16" spans="1:19" x14ac:dyDescent="0.25">
      <c r="A16" s="5" t="s">
        <v>52</v>
      </c>
      <c r="B16" s="5" t="s">
        <v>18</v>
      </c>
      <c r="C16" s="5" t="s">
        <v>49</v>
      </c>
      <c r="D16" s="5" t="s">
        <v>20</v>
      </c>
      <c r="E16" s="23"/>
      <c r="F16" s="23">
        <v>46134.398564814815</v>
      </c>
      <c r="G16" s="23">
        <v>46134.425370370373</v>
      </c>
      <c r="I16" s="5" t="s">
        <v>13</v>
      </c>
      <c r="J16" s="22">
        <v>2.6805555557075422E-2</v>
      </c>
      <c r="L16" s="5" t="s">
        <v>51</v>
      </c>
    </row>
    <row r="17" spans="1:12" x14ac:dyDescent="0.25">
      <c r="A17" s="5" t="s">
        <v>53</v>
      </c>
      <c r="B17" s="5" t="s">
        <v>18</v>
      </c>
      <c r="C17" s="5" t="s">
        <v>49</v>
      </c>
      <c r="D17" s="5" t="s">
        <v>20</v>
      </c>
      <c r="E17" s="23"/>
      <c r="F17" s="23">
        <v>46134.43377314815</v>
      </c>
      <c r="G17" s="23">
        <v>46134.443703703706</v>
      </c>
      <c r="I17" s="5" t="s">
        <v>13</v>
      </c>
      <c r="J17" s="22">
        <v>9.930555555911269E-3</v>
      </c>
    </row>
    <row r="18" spans="1:12" x14ac:dyDescent="0.25">
      <c r="A18" s="5" t="s">
        <v>54</v>
      </c>
      <c r="B18" s="5" t="s">
        <v>18</v>
      </c>
      <c r="C18" s="5" t="s">
        <v>49</v>
      </c>
      <c r="D18" s="5" t="s">
        <v>20</v>
      </c>
      <c r="E18" s="23"/>
      <c r="F18" s="23">
        <v>46135.384259259263</v>
      </c>
      <c r="G18" s="23">
        <v>46135.40084490741</v>
      </c>
      <c r="I18" s="5" t="s">
        <v>13</v>
      </c>
      <c r="J18" s="22">
        <v>1.6585648147156462E-2</v>
      </c>
    </row>
    <row r="19" spans="1:12" x14ac:dyDescent="0.25">
      <c r="A19" s="5" t="s">
        <v>55</v>
      </c>
      <c r="B19" s="5" t="s">
        <v>18</v>
      </c>
      <c r="C19" s="5" t="s">
        <v>49</v>
      </c>
      <c r="D19" s="5" t="s">
        <v>20</v>
      </c>
      <c r="E19" s="23"/>
      <c r="F19" s="23">
        <v>46135.406307870369</v>
      </c>
      <c r="G19" s="23">
        <v>46135.427662037036</v>
      </c>
      <c r="I19" s="5" t="s">
        <v>13</v>
      </c>
      <c r="J19" s="22">
        <v>2.1354166667151731E-2</v>
      </c>
    </row>
    <row r="20" spans="1:12" x14ac:dyDescent="0.25">
      <c r="A20" s="5" t="s">
        <v>56</v>
      </c>
      <c r="B20" s="5" t="s">
        <v>18</v>
      </c>
      <c r="C20" s="5" t="s">
        <v>49</v>
      </c>
      <c r="D20" s="5" t="s">
        <v>20</v>
      </c>
      <c r="E20" s="23"/>
      <c r="F20" s="23">
        <v>46135.427905092591</v>
      </c>
      <c r="G20" s="23">
        <v>46135.475324074076</v>
      </c>
      <c r="I20" s="5" t="s">
        <v>13</v>
      </c>
      <c r="J20" s="22">
        <v>4.7418981484952383E-2</v>
      </c>
      <c r="L20" s="5" t="s">
        <v>51</v>
      </c>
    </row>
    <row r="21" spans="1:12" x14ac:dyDescent="0.25">
      <c r="A21" s="5" t="s">
        <v>57</v>
      </c>
      <c r="B21" s="5" t="s">
        <v>18</v>
      </c>
      <c r="C21" s="5" t="s">
        <v>49</v>
      </c>
      <c r="D21" s="5" t="s">
        <v>20</v>
      </c>
      <c r="E21" s="23"/>
      <c r="F21" s="23">
        <v>46136.376145833332</v>
      </c>
      <c r="G21" s="23">
        <v>46136.405578703707</v>
      </c>
      <c r="I21" s="5" t="s">
        <v>13</v>
      </c>
      <c r="J21" s="22">
        <v>2.9432870374876074E-2</v>
      </c>
      <c r="L21" s="5" t="s">
        <v>51</v>
      </c>
    </row>
    <row r="22" spans="1:12" x14ac:dyDescent="0.25">
      <c r="A22" s="5" t="s">
        <v>58</v>
      </c>
      <c r="B22" s="5" t="s">
        <v>18</v>
      </c>
      <c r="C22" s="5" t="s">
        <v>49</v>
      </c>
      <c r="D22" s="5" t="s">
        <v>61</v>
      </c>
      <c r="E22" s="23" t="s">
        <v>78</v>
      </c>
      <c r="F22" s="23">
        <v>46136.405752314815</v>
      </c>
      <c r="G22" s="23">
        <v>46136.420358796298</v>
      </c>
      <c r="H22" s="23">
        <v>46142.666458333333</v>
      </c>
      <c r="I22" s="5" t="s">
        <v>13</v>
      </c>
      <c r="J22" s="22">
        <v>1.4606481483497191E-2</v>
      </c>
      <c r="K22" s="22">
        <v>6.2460995370347518</v>
      </c>
      <c r="L22" s="5" t="s">
        <v>60</v>
      </c>
    </row>
    <row r="23" spans="1:12" x14ac:dyDescent="0.25">
      <c r="A23" s="5" t="s">
        <v>62</v>
      </c>
      <c r="B23" s="5" t="s">
        <v>18</v>
      </c>
      <c r="C23" s="5" t="s">
        <v>49</v>
      </c>
      <c r="D23" s="5" t="s">
        <v>20</v>
      </c>
      <c r="E23" s="23"/>
      <c r="F23" s="23">
        <v>46136.426423611112</v>
      </c>
      <c r="G23" s="23">
        <v>46136.45722222222</v>
      </c>
      <c r="I23" s="5" t="s">
        <v>13</v>
      </c>
      <c r="J23" s="22">
        <v>3.0798611107456964E-2</v>
      </c>
      <c r="L23" s="5" t="s">
        <v>51</v>
      </c>
    </row>
    <row r="24" spans="1:12" x14ac:dyDescent="0.25">
      <c r="A24" s="5" t="s">
        <v>63</v>
      </c>
      <c r="B24" s="5" t="s">
        <v>18</v>
      </c>
      <c r="C24" s="5" t="s">
        <v>49</v>
      </c>
      <c r="D24" s="5" t="s">
        <v>20</v>
      </c>
      <c r="E24" s="23"/>
      <c r="F24" s="23">
        <v>46136.457569444443</v>
      </c>
      <c r="G24" s="23">
        <v>46136.554583333331</v>
      </c>
      <c r="I24" s="5" t="s">
        <v>13</v>
      </c>
      <c r="J24" s="22">
        <v>9.7013888887886424E-2</v>
      </c>
      <c r="L24" s="5" t="s">
        <v>51</v>
      </c>
    </row>
    <row r="25" spans="1:12" x14ac:dyDescent="0.25">
      <c r="A25" s="5" t="s">
        <v>64</v>
      </c>
      <c r="B25" s="5" t="s">
        <v>18</v>
      </c>
      <c r="C25" s="5" t="s">
        <v>49</v>
      </c>
      <c r="D25" s="5" t="s">
        <v>20</v>
      </c>
      <c r="E25" s="23"/>
      <c r="F25" s="23">
        <v>46136.580567129633</v>
      </c>
      <c r="G25" s="23">
        <v>46136.732974537037</v>
      </c>
      <c r="I25" s="5" t="s">
        <v>13</v>
      </c>
      <c r="J25" s="22">
        <v>0.15240740740409819</v>
      </c>
      <c r="L25" s="5" t="s">
        <v>51</v>
      </c>
    </row>
    <row r="26" spans="1:12" x14ac:dyDescent="0.25">
      <c r="A26" s="5" t="s">
        <v>65</v>
      </c>
      <c r="B26" s="5" t="s">
        <v>18</v>
      </c>
      <c r="C26" s="5" t="s">
        <v>49</v>
      </c>
      <c r="D26" s="5" t="s">
        <v>20</v>
      </c>
      <c r="E26" s="23"/>
      <c r="F26" s="23">
        <v>46139.378148148149</v>
      </c>
      <c r="G26" s="23">
        <v>46139.424826388888</v>
      </c>
      <c r="I26" s="5" t="s">
        <v>13</v>
      </c>
      <c r="J26" s="22">
        <v>4.6678240738401655E-2</v>
      </c>
    </row>
    <row r="27" spans="1:12" x14ac:dyDescent="0.25">
      <c r="A27" s="5" t="s">
        <v>66</v>
      </c>
      <c r="B27" s="5" t="s">
        <v>18</v>
      </c>
      <c r="C27" s="5" t="s">
        <v>49</v>
      </c>
      <c r="D27" s="5" t="s">
        <v>20</v>
      </c>
      <c r="E27" s="23"/>
      <c r="F27" s="23">
        <v>46139.426527777781</v>
      </c>
      <c r="G27" s="23">
        <v>46139.45140046296</v>
      </c>
      <c r="I27" s="5" t="s">
        <v>13</v>
      </c>
      <c r="J27" s="22">
        <v>2.4872685178706888E-2</v>
      </c>
    </row>
    <row r="28" spans="1:12" x14ac:dyDescent="0.25">
      <c r="A28" s="5" t="s">
        <v>67</v>
      </c>
      <c r="B28" s="5" t="s">
        <v>18</v>
      </c>
      <c r="C28" s="5" t="s">
        <v>49</v>
      </c>
      <c r="D28" s="5" t="s">
        <v>20</v>
      </c>
      <c r="E28" s="23"/>
      <c r="F28" s="23">
        <v>46139.451689814814</v>
      </c>
      <c r="G28" s="23">
        <v>46139.483599537038</v>
      </c>
      <c r="I28" s="5" t="s">
        <v>13</v>
      </c>
      <c r="J28" s="22">
        <v>3.1909722223645076E-2</v>
      </c>
    </row>
    <row r="29" spans="1:12" x14ac:dyDescent="0.25">
      <c r="A29" s="5" t="s">
        <v>68</v>
      </c>
      <c r="B29" s="5" t="s">
        <v>18</v>
      </c>
      <c r="C29" s="5" t="s">
        <v>49</v>
      </c>
      <c r="D29" s="5" t="s">
        <v>20</v>
      </c>
      <c r="E29" s="23"/>
      <c r="F29" s="23">
        <v>46140.378912037035</v>
      </c>
      <c r="G29" s="23">
        <v>46140.412766203706</v>
      </c>
      <c r="I29" s="5" t="s">
        <v>13</v>
      </c>
      <c r="J29" s="22">
        <v>3.3854166671517305E-2</v>
      </c>
    </row>
    <row r="30" spans="1:12" x14ac:dyDescent="0.25">
      <c r="A30" s="5" t="s">
        <v>69</v>
      </c>
      <c r="B30" s="5" t="s">
        <v>18</v>
      </c>
      <c r="C30" s="5" t="s">
        <v>49</v>
      </c>
      <c r="D30" s="5" t="s">
        <v>20</v>
      </c>
      <c r="E30" s="23"/>
      <c r="F30" s="23">
        <v>46140.413263888891</v>
      </c>
      <c r="G30" s="23">
        <v>46140.712002314816</v>
      </c>
      <c r="I30" s="5" t="s">
        <v>13</v>
      </c>
      <c r="J30" s="22">
        <v>0.29873842592496658</v>
      </c>
    </row>
    <row r="31" spans="1:12" x14ac:dyDescent="0.25">
      <c r="A31" s="5" t="s">
        <v>70</v>
      </c>
      <c r="B31" s="5" t="s">
        <v>18</v>
      </c>
      <c r="C31" s="5" t="s">
        <v>49</v>
      </c>
      <c r="D31" s="5" t="s">
        <v>20</v>
      </c>
      <c r="E31" s="23"/>
      <c r="F31" s="23">
        <v>46140.712731481479</v>
      </c>
      <c r="G31" s="23">
        <v>46140.753738425927</v>
      </c>
      <c r="I31" s="5" t="s">
        <v>13</v>
      </c>
      <c r="J31" s="22">
        <v>4.1006944447872229E-2</v>
      </c>
    </row>
    <row r="32" spans="1:12" x14ac:dyDescent="0.25">
      <c r="A32" s="5" t="s">
        <v>71</v>
      </c>
      <c r="B32" s="5" t="s">
        <v>18</v>
      </c>
      <c r="C32" s="5" t="s">
        <v>49</v>
      </c>
      <c r="D32" s="5" t="s">
        <v>20</v>
      </c>
      <c r="E32" s="23"/>
      <c r="F32" s="23">
        <v>46140.754756944443</v>
      </c>
      <c r="G32" s="23">
        <v>46140.766724537039</v>
      </c>
      <c r="I32" s="5" t="s">
        <v>13</v>
      </c>
      <c r="J32" s="22">
        <v>1.1967592596192844E-2</v>
      </c>
    </row>
    <row r="33" spans="1:12" x14ac:dyDescent="0.25">
      <c r="A33" s="5" t="s">
        <v>72</v>
      </c>
      <c r="B33" s="5" t="s">
        <v>18</v>
      </c>
      <c r="C33" s="5" t="s">
        <v>49</v>
      </c>
      <c r="D33" s="5" t="s">
        <v>20</v>
      </c>
      <c r="E33" s="23"/>
      <c r="F33" s="23">
        <v>46141.381064814814</v>
      </c>
      <c r="G33" s="23">
        <v>46141.414293981485</v>
      </c>
      <c r="I33" s="5" t="s">
        <v>13</v>
      </c>
      <c r="J33" s="22">
        <v>3.3229166670935228E-2</v>
      </c>
    </row>
    <row r="34" spans="1:12" x14ac:dyDescent="0.25">
      <c r="A34" s="5" t="s">
        <v>73</v>
      </c>
      <c r="B34" s="5" t="s">
        <v>18</v>
      </c>
      <c r="C34" s="5" t="s">
        <v>49</v>
      </c>
      <c r="D34" s="5" t="s">
        <v>20</v>
      </c>
      <c r="E34" s="23"/>
      <c r="F34" s="23">
        <v>46141.414675925924</v>
      </c>
      <c r="G34" s="23">
        <v>46141.438738425924</v>
      </c>
      <c r="I34" s="5" t="s">
        <v>13</v>
      </c>
      <c r="J34" s="22">
        <v>2.4062500000582077E-2</v>
      </c>
    </row>
    <row r="35" spans="1:12" x14ac:dyDescent="0.25">
      <c r="A35" s="5" t="s">
        <v>74</v>
      </c>
      <c r="B35" s="5" t="s">
        <v>18</v>
      </c>
      <c r="C35" s="5" t="s">
        <v>49</v>
      </c>
      <c r="D35" s="5" t="s">
        <v>20</v>
      </c>
      <c r="E35" s="23"/>
      <c r="F35" s="23">
        <v>46141.439351851855</v>
      </c>
      <c r="G35" s="23">
        <v>46141.459641203706</v>
      </c>
      <c r="I35" s="5" t="s">
        <v>13</v>
      </c>
      <c r="J35" s="22">
        <v>2.028935185080627E-2</v>
      </c>
      <c r="L35" s="5" t="s">
        <v>51</v>
      </c>
    </row>
    <row r="36" spans="1:12" x14ac:dyDescent="0.25">
      <c r="A36" s="5" t="s">
        <v>75</v>
      </c>
      <c r="B36" s="5" t="s">
        <v>18</v>
      </c>
      <c r="C36" s="5" t="s">
        <v>49</v>
      </c>
      <c r="D36" s="5" t="s">
        <v>20</v>
      </c>
      <c r="E36" s="23"/>
      <c r="F36" s="23">
        <v>46141.459965277776</v>
      </c>
      <c r="G36" s="23">
        <v>46141.504791666666</v>
      </c>
      <c r="I36" s="5" t="s">
        <v>13</v>
      </c>
      <c r="J36" s="22">
        <v>4.482638889021473E-2</v>
      </c>
    </row>
    <row r="37" spans="1:12" x14ac:dyDescent="0.25">
      <c r="A37" s="5" t="s">
        <v>76</v>
      </c>
      <c r="B37" s="5" t="s">
        <v>18</v>
      </c>
      <c r="C37" s="5" t="s">
        <v>49</v>
      </c>
      <c r="D37" s="5" t="s">
        <v>20</v>
      </c>
      <c r="E37" s="23"/>
      <c r="F37" s="23">
        <v>46142.384930555556</v>
      </c>
      <c r="G37" s="23">
        <v>46142.518206018518</v>
      </c>
      <c r="I37" s="5" t="s">
        <v>13</v>
      </c>
      <c r="J37" s="22">
        <v>0.13327546296204673</v>
      </c>
    </row>
    <row r="38" spans="1:12" x14ac:dyDescent="0.25">
      <c r="A38" s="5" t="s">
        <v>77</v>
      </c>
      <c r="B38" s="5" t="s">
        <v>18</v>
      </c>
      <c r="C38" s="5" t="s">
        <v>49</v>
      </c>
      <c r="D38" s="5" t="s">
        <v>20</v>
      </c>
      <c r="E38" s="23"/>
      <c r="F38" s="23">
        <v>46142.518819444442</v>
      </c>
      <c r="G38" s="23">
        <v>46142.667569444442</v>
      </c>
      <c r="I38" s="5" t="s">
        <v>13</v>
      </c>
      <c r="J38" s="22">
        <v>0.14875000000029104</v>
      </c>
    </row>
    <row r="39" spans="1:12" x14ac:dyDescent="0.25">
      <c r="A39" s="5" t="s">
        <v>79</v>
      </c>
      <c r="B39" s="5" t="s">
        <v>18</v>
      </c>
      <c r="C39" s="5" t="s">
        <v>49</v>
      </c>
      <c r="D39" s="5" t="s">
        <v>20</v>
      </c>
      <c r="E39" s="23"/>
      <c r="F39" s="23">
        <v>46146.376122685186</v>
      </c>
      <c r="G39" s="23">
        <v>46146.636365740742</v>
      </c>
      <c r="I39" s="5" t="s">
        <v>13</v>
      </c>
      <c r="J39" s="22">
        <v>0.26024305555620231</v>
      </c>
    </row>
    <row r="40" spans="1:12" x14ac:dyDescent="0.25">
      <c r="A40" s="5" t="s">
        <v>80</v>
      </c>
      <c r="B40" s="5" t="s">
        <v>18</v>
      </c>
      <c r="C40" s="5" t="s">
        <v>49</v>
      </c>
      <c r="D40" s="5" t="s">
        <v>20</v>
      </c>
      <c r="E40" s="23"/>
      <c r="F40" s="23">
        <v>46146.636805555558</v>
      </c>
      <c r="G40" s="23">
        <v>46146.737129629626</v>
      </c>
      <c r="I40" s="5" t="s">
        <v>13</v>
      </c>
      <c r="J40" s="22">
        <v>0.10032407406833954</v>
      </c>
    </row>
    <row r="41" spans="1:12" x14ac:dyDescent="0.25">
      <c r="A41" s="5" t="s">
        <v>81</v>
      </c>
      <c r="B41" s="5" t="s">
        <v>18</v>
      </c>
      <c r="C41" s="5" t="s">
        <v>49</v>
      </c>
      <c r="D41" s="5" t="s">
        <v>20</v>
      </c>
      <c r="E41" s="23"/>
      <c r="F41" s="23">
        <v>46147.407789351855</v>
      </c>
      <c r="G41" s="23">
        <v>46147.57571759259</v>
      </c>
      <c r="I41" s="5" t="s">
        <v>13</v>
      </c>
      <c r="J41" s="22">
        <v>0.1679282407349092</v>
      </c>
    </row>
    <row r="42" spans="1:12" x14ac:dyDescent="0.25">
      <c r="A42" s="5" t="s">
        <v>82</v>
      </c>
      <c r="B42" s="5" t="s">
        <v>18</v>
      </c>
      <c r="C42" s="5" t="s">
        <v>49</v>
      </c>
      <c r="D42" s="5" t="s">
        <v>20</v>
      </c>
      <c r="E42" s="23"/>
      <c r="F42" s="23">
        <v>46147.575972222221</v>
      </c>
      <c r="G42" s="23">
        <v>46147.711747685185</v>
      </c>
      <c r="I42" s="5" t="s">
        <v>13</v>
      </c>
      <c r="J42" s="22">
        <v>0.13577546296437504</v>
      </c>
    </row>
    <row r="43" spans="1:12" x14ac:dyDescent="0.25">
      <c r="A43" s="5" t="s">
        <v>83</v>
      </c>
      <c r="B43" s="5" t="s">
        <v>18</v>
      </c>
      <c r="C43" s="5" t="s">
        <v>49</v>
      </c>
      <c r="D43" s="5" t="s">
        <v>20</v>
      </c>
      <c r="E43" s="23"/>
      <c r="F43" s="23">
        <v>46148.378888888888</v>
      </c>
      <c r="G43" s="23">
        <v>46148.486064814817</v>
      </c>
      <c r="I43" s="5" t="s">
        <v>13</v>
      </c>
      <c r="J43" s="22">
        <v>0.10717592592845904</v>
      </c>
    </row>
    <row r="44" spans="1:12" x14ac:dyDescent="0.25">
      <c r="A44" s="5" t="s">
        <v>84</v>
      </c>
      <c r="B44" s="5" t="s">
        <v>18</v>
      </c>
      <c r="C44" s="5" t="s">
        <v>49</v>
      </c>
      <c r="D44" s="5" t="s">
        <v>20</v>
      </c>
      <c r="E44" s="23"/>
      <c r="F44" s="23">
        <v>46148.486620370371</v>
      </c>
      <c r="G44" s="23">
        <v>46148.749016203707</v>
      </c>
      <c r="I44" s="5" t="s">
        <v>13</v>
      </c>
      <c r="J44" s="22">
        <v>0.26239583333517658</v>
      </c>
    </row>
    <row r="45" spans="1:12" x14ac:dyDescent="0.25">
      <c r="A45" s="5" t="s">
        <v>85</v>
      </c>
      <c r="B45" s="5" t="s">
        <v>18</v>
      </c>
      <c r="C45" s="5" t="s">
        <v>49</v>
      </c>
      <c r="D45" s="5" t="s">
        <v>20</v>
      </c>
      <c r="E45" s="23"/>
      <c r="F45" s="23">
        <v>46149.376134259262</v>
      </c>
      <c r="G45" s="23">
        <v>46149.378888888888</v>
      </c>
      <c r="I45" s="5" t="s">
        <v>13</v>
      </c>
      <c r="J45" s="22">
        <v>2.7546296259970404E-3</v>
      </c>
    </row>
    <row r="46" spans="1:12" x14ac:dyDescent="0.25">
      <c r="A46" s="5" t="s">
        <v>86</v>
      </c>
      <c r="B46" s="5" t="s">
        <v>18</v>
      </c>
      <c r="C46" s="5" t="s">
        <v>49</v>
      </c>
      <c r="D46" s="5" t="s">
        <v>20</v>
      </c>
      <c r="E46" s="23"/>
      <c r="F46" s="23">
        <v>46149.379247685189</v>
      </c>
      <c r="G46" s="23">
        <v>46149.379432870373</v>
      </c>
      <c r="I46" s="5" t="s">
        <v>13</v>
      </c>
      <c r="J46" s="22">
        <v>1.8518518481869251E-4</v>
      </c>
    </row>
    <row r="47" spans="1:12" x14ac:dyDescent="0.25">
      <c r="A47" s="5" t="s">
        <v>87</v>
      </c>
      <c r="B47" s="5" t="s">
        <v>18</v>
      </c>
      <c r="C47" s="5" t="s">
        <v>49</v>
      </c>
      <c r="D47" s="5" t="s">
        <v>20</v>
      </c>
      <c r="E47" s="23"/>
      <c r="F47" s="23">
        <v>46153.375740740739</v>
      </c>
      <c r="G47" s="23">
        <v>46153.387384259258</v>
      </c>
      <c r="I47" s="5" t="s">
        <v>13</v>
      </c>
      <c r="J47" s="22">
        <v>1.1643518519122154E-2</v>
      </c>
    </row>
    <row r="48" spans="1:12" x14ac:dyDescent="0.25">
      <c r="A48" s="5" t="s">
        <v>88</v>
      </c>
      <c r="B48" s="5" t="s">
        <v>18</v>
      </c>
      <c r="C48" s="5" t="s">
        <v>49</v>
      </c>
      <c r="D48" s="5" t="s">
        <v>20</v>
      </c>
      <c r="E48" s="23"/>
      <c r="F48" s="23">
        <v>46153.388368055559</v>
      </c>
      <c r="G48" s="23">
        <v>46153.566574074073</v>
      </c>
      <c r="I48" s="5" t="s">
        <v>13</v>
      </c>
      <c r="J48" s="22">
        <v>0.1782060185141745</v>
      </c>
    </row>
    <row r="49" spans="1:12" x14ac:dyDescent="0.25">
      <c r="A49" s="5" t="s">
        <v>89</v>
      </c>
      <c r="B49" s="5" t="s">
        <v>18</v>
      </c>
      <c r="C49" s="5" t="s">
        <v>49</v>
      </c>
      <c r="D49" s="5" t="s">
        <v>20</v>
      </c>
      <c r="E49" s="23"/>
      <c r="F49" s="23">
        <v>46154.376956018517</v>
      </c>
      <c r="G49" s="23">
        <v>46154.556134259263</v>
      </c>
      <c r="I49" s="5" t="s">
        <v>13</v>
      </c>
      <c r="J49" s="22">
        <v>0.17917824074538657</v>
      </c>
    </row>
    <row r="50" spans="1:12" x14ac:dyDescent="0.25">
      <c r="A50" s="5" t="s">
        <v>90</v>
      </c>
      <c r="B50" s="5" t="s">
        <v>18</v>
      </c>
      <c r="C50" s="5" t="s">
        <v>49</v>
      </c>
      <c r="D50" s="5" t="s">
        <v>20</v>
      </c>
      <c r="E50" s="23"/>
      <c r="F50" s="23">
        <v>46154.556689814817</v>
      </c>
      <c r="G50" s="23">
        <v>46154.710196759261</v>
      </c>
      <c r="I50" s="5" t="s">
        <v>13</v>
      </c>
      <c r="J50" s="22">
        <v>0.15350694444350665</v>
      </c>
    </row>
    <row r="51" spans="1:12" x14ac:dyDescent="0.25">
      <c r="A51" s="5" t="s">
        <v>50</v>
      </c>
      <c r="B51" s="5" t="s">
        <v>18</v>
      </c>
      <c r="C51" s="5" t="s">
        <v>49</v>
      </c>
      <c r="D51" s="5" t="s">
        <v>20</v>
      </c>
      <c r="E51" s="23"/>
      <c r="F51" s="23">
        <v>46160.405717592592</v>
      </c>
      <c r="G51" s="23">
        <v>46160.457673611112</v>
      </c>
      <c r="I51" s="5" t="s">
        <v>13</v>
      </c>
      <c r="J51" s="22">
        <v>5.1956018520286307E-2</v>
      </c>
    </row>
    <row r="52" spans="1:12" x14ac:dyDescent="0.25">
      <c r="A52" s="5" t="s">
        <v>56</v>
      </c>
      <c r="B52" s="5" t="s">
        <v>18</v>
      </c>
      <c r="C52" s="5" t="s">
        <v>49</v>
      </c>
      <c r="D52" s="5" t="s">
        <v>20</v>
      </c>
      <c r="E52" s="23"/>
      <c r="F52" s="23">
        <v>46160.476909722223</v>
      </c>
      <c r="G52" s="23">
        <v>46161.404722222222</v>
      </c>
      <c r="I52" s="5" t="s">
        <v>13</v>
      </c>
      <c r="J52" s="22">
        <v>0.92781249999825377</v>
      </c>
    </row>
    <row r="53" spans="1:12" x14ac:dyDescent="0.25">
      <c r="A53" s="5" t="s">
        <v>91</v>
      </c>
      <c r="B53" s="5" t="s">
        <v>92</v>
      </c>
      <c r="C53" s="5" t="s">
        <v>93</v>
      </c>
      <c r="D53" s="5" t="s">
        <v>20</v>
      </c>
      <c r="E53" s="23"/>
      <c r="F53" s="23">
        <v>46175.556134259263</v>
      </c>
      <c r="G53" s="23">
        <v>46175.73773148148</v>
      </c>
      <c r="I53" s="5" t="s">
        <v>13</v>
      </c>
      <c r="J53" s="22">
        <v>0.18159722221753327</v>
      </c>
    </row>
    <row r="54" spans="1:12" x14ac:dyDescent="0.25">
      <c r="A54" s="27" t="s">
        <v>94</v>
      </c>
      <c r="B54" s="5" t="s">
        <v>92</v>
      </c>
      <c r="C54" s="5" t="s">
        <v>93</v>
      </c>
      <c r="D54" s="5" t="s">
        <v>61</v>
      </c>
      <c r="E54" s="23" t="s">
        <v>78</v>
      </c>
      <c r="F54" s="23">
        <v>46176.392534722225</v>
      </c>
      <c r="G54" s="23">
        <v>46177.380590277775</v>
      </c>
      <c r="H54" s="15">
        <v>46181.730347222219</v>
      </c>
      <c r="I54" s="5" t="s">
        <v>13</v>
      </c>
      <c r="J54" s="22">
        <v>0.9880555555500905</v>
      </c>
      <c r="K54" s="22">
        <v>4.3497569444443798</v>
      </c>
      <c r="L54" s="5" t="s">
        <v>95</v>
      </c>
    </row>
    <row r="55" spans="1:12" x14ac:dyDescent="0.25">
      <c r="A55" s="5" t="s">
        <v>96</v>
      </c>
      <c r="B55" s="5" t="s">
        <v>97</v>
      </c>
      <c r="C55" s="5" t="s">
        <v>98</v>
      </c>
      <c r="D55" s="5" t="s">
        <v>61</v>
      </c>
      <c r="E55" s="23" t="s">
        <v>78</v>
      </c>
      <c r="F55" s="23">
        <v>46181.389004629629</v>
      </c>
      <c r="G55" s="23">
        <v>46181.510150462964</v>
      </c>
      <c r="H55" s="15">
        <v>46185.454247685186</v>
      </c>
      <c r="I55" s="5" t="s">
        <v>13</v>
      </c>
      <c r="J55" s="22">
        <v>0.1211458333345945</v>
      </c>
      <c r="K55" s="22">
        <v>3.9440972222218988</v>
      </c>
      <c r="L55" s="5" t="s">
        <v>99</v>
      </c>
    </row>
    <row r="56" spans="1:12" x14ac:dyDescent="0.25">
      <c r="A56" s="5" t="s">
        <v>100</v>
      </c>
      <c r="B56" s="5" t="s">
        <v>97</v>
      </c>
      <c r="C56" s="5" t="s">
        <v>98</v>
      </c>
      <c r="D56" s="5" t="s">
        <v>61</v>
      </c>
      <c r="E56" s="23" t="s">
        <v>78</v>
      </c>
      <c r="F56" s="23">
        <v>46181.510763888888</v>
      </c>
      <c r="G56" s="23">
        <v>46181.713553240741</v>
      </c>
      <c r="H56" s="15">
        <v>46185.454629629632</v>
      </c>
      <c r="I56" s="5" t="s">
        <v>13</v>
      </c>
      <c r="J56" s="22">
        <v>0.20278935185342561</v>
      </c>
      <c r="K56" s="22">
        <v>3.7410763888910878</v>
      </c>
      <c r="L56" s="5" t="s">
        <v>99</v>
      </c>
    </row>
    <row r="57" spans="1:12" x14ac:dyDescent="0.25">
      <c r="A57" s="5" t="s">
        <v>102</v>
      </c>
      <c r="B57" s="5" t="s">
        <v>103</v>
      </c>
      <c r="C57" s="5" t="s">
        <v>104</v>
      </c>
      <c r="D57" s="5" t="s">
        <v>20</v>
      </c>
      <c r="E57" s="23"/>
      <c r="F57" s="23">
        <v>46182.50409722222</v>
      </c>
      <c r="G57" s="23">
        <v>46182.634004629632</v>
      </c>
      <c r="I57" s="5" t="s">
        <v>13</v>
      </c>
      <c r="J57" s="22">
        <v>0.12990740741224727</v>
      </c>
    </row>
    <row r="58" spans="1:12" x14ac:dyDescent="0.25">
      <c r="A58" s="5" t="s">
        <v>105</v>
      </c>
      <c r="B58" s="5" t="s">
        <v>103</v>
      </c>
      <c r="C58" s="5" t="s">
        <v>104</v>
      </c>
      <c r="D58" s="5" t="s">
        <v>20</v>
      </c>
      <c r="E58" s="23"/>
      <c r="F58" s="23">
        <v>46182.635347222225</v>
      </c>
      <c r="G58" s="23">
        <v>46183.390636574077</v>
      </c>
      <c r="I58" s="5" t="s">
        <v>13</v>
      </c>
      <c r="J58" s="22">
        <v>0.75528935185138835</v>
      </c>
    </row>
    <row r="59" spans="1:12" x14ac:dyDescent="0.25">
      <c r="A59" s="5" t="s">
        <v>106</v>
      </c>
      <c r="B59" s="5" t="s">
        <v>103</v>
      </c>
      <c r="C59" s="5" t="s">
        <v>104</v>
      </c>
      <c r="D59" s="5" t="s">
        <v>20</v>
      </c>
      <c r="E59" s="23"/>
      <c r="F59" s="23">
        <v>46183.393958333334</v>
      </c>
      <c r="G59" s="23">
        <v>46183.656064814815</v>
      </c>
      <c r="I59" s="5" t="s">
        <v>13</v>
      </c>
      <c r="J59" s="22">
        <v>0.26210648148116888</v>
      </c>
    </row>
    <row r="60" spans="1:12" x14ac:dyDescent="0.25">
      <c r="A60" s="5" t="s">
        <v>107</v>
      </c>
      <c r="B60" s="5" t="s">
        <v>103</v>
      </c>
      <c r="C60" s="5" t="s">
        <v>104</v>
      </c>
      <c r="D60" s="5" t="s">
        <v>20</v>
      </c>
      <c r="E60" s="23"/>
      <c r="F60" s="23">
        <v>46183.656689814816</v>
      </c>
      <c r="G60" s="23">
        <v>46183.754814814813</v>
      </c>
      <c r="I60" s="5" t="s">
        <v>13</v>
      </c>
      <c r="J60" s="22">
        <v>9.8124999996798579E-2</v>
      </c>
    </row>
    <row r="61" spans="1:12" x14ac:dyDescent="0.25">
      <c r="A61" s="5" t="s">
        <v>108</v>
      </c>
      <c r="B61" s="5" t="s">
        <v>103</v>
      </c>
      <c r="C61" s="5" t="s">
        <v>104</v>
      </c>
      <c r="D61" s="5" t="s">
        <v>20</v>
      </c>
      <c r="E61" s="23"/>
      <c r="F61" s="23">
        <v>46184.392418981479</v>
      </c>
      <c r="G61" s="23">
        <v>46184.552222222221</v>
      </c>
      <c r="I61" s="5" t="s">
        <v>13</v>
      </c>
      <c r="J61" s="22">
        <v>0.15980324074189411</v>
      </c>
    </row>
    <row r="62" spans="1:12" x14ac:dyDescent="0.25">
      <c r="A62" s="5" t="s">
        <v>109</v>
      </c>
      <c r="B62" s="5" t="s">
        <v>103</v>
      </c>
      <c r="C62" s="5" t="s">
        <v>110</v>
      </c>
      <c r="D62" s="5" t="s">
        <v>20</v>
      </c>
      <c r="E62" s="23"/>
      <c r="F62" s="23">
        <v>46184.552534722221</v>
      </c>
      <c r="G62" s="23">
        <v>46184.719201388885</v>
      </c>
      <c r="I62" s="5" t="s">
        <v>13</v>
      </c>
      <c r="J62" s="22">
        <v>0.16666666666424135</v>
      </c>
    </row>
    <row r="63" spans="1:12" x14ac:dyDescent="0.25">
      <c r="A63" s="5" t="s">
        <v>111</v>
      </c>
      <c r="B63" s="5" t="s">
        <v>18</v>
      </c>
      <c r="C63" s="5" t="s">
        <v>49</v>
      </c>
      <c r="D63" s="5" t="s">
        <v>20</v>
      </c>
      <c r="E63" s="23"/>
      <c r="F63" s="23">
        <v>46185.386493055557</v>
      </c>
      <c r="G63" s="23">
        <v>46185.545474537037</v>
      </c>
      <c r="I63" s="5" t="s">
        <v>13</v>
      </c>
      <c r="J63" s="22">
        <v>0.15898148147971369</v>
      </c>
    </row>
    <row r="64" spans="1:12" x14ac:dyDescent="0.25">
      <c r="A64" s="5" t="s">
        <v>114</v>
      </c>
      <c r="B64" s="5" t="s">
        <v>103</v>
      </c>
      <c r="C64" s="5" t="s">
        <v>110</v>
      </c>
      <c r="D64" s="5" t="s">
        <v>20</v>
      </c>
      <c r="E64" s="23"/>
      <c r="F64" s="23">
        <v>46185.546620370369</v>
      </c>
      <c r="G64" s="23">
        <v>46185.720300925925</v>
      </c>
      <c r="I64" s="5" t="s">
        <v>13</v>
      </c>
      <c r="J64" s="22">
        <v>0.17368055555562023</v>
      </c>
    </row>
    <row r="65" spans="1:12" x14ac:dyDescent="0.25">
      <c r="A65" s="5" t="s">
        <v>116</v>
      </c>
      <c r="B65" s="5" t="s">
        <v>103</v>
      </c>
      <c r="C65" s="5" t="s">
        <v>110</v>
      </c>
      <c r="D65" s="5" t="s">
        <v>20</v>
      </c>
      <c r="E65" s="23"/>
      <c r="F65" s="23">
        <v>46188.383020833331</v>
      </c>
      <c r="G65" s="23">
        <v>46188.582638888889</v>
      </c>
      <c r="I65" s="5" t="s">
        <v>13</v>
      </c>
      <c r="J65" s="22">
        <v>0.19961805555794854</v>
      </c>
    </row>
    <row r="66" spans="1:12" x14ac:dyDescent="0.25">
      <c r="A66" s="5" t="s">
        <v>117</v>
      </c>
      <c r="B66" s="5" t="s">
        <v>103</v>
      </c>
      <c r="C66" s="5" t="s">
        <v>110</v>
      </c>
      <c r="D66" s="5" t="s">
        <v>20</v>
      </c>
      <c r="E66" s="23"/>
      <c r="F66" s="23">
        <v>46188.625844907408</v>
      </c>
      <c r="G66" s="23">
        <v>46188.787986111114</v>
      </c>
      <c r="I66" s="5" t="s">
        <v>13</v>
      </c>
      <c r="J66" s="22">
        <v>0.16214120370568708</v>
      </c>
    </row>
    <row r="67" spans="1:12" x14ac:dyDescent="0.25">
      <c r="A67" s="5" t="s">
        <v>118</v>
      </c>
      <c r="B67" s="5" t="s">
        <v>103</v>
      </c>
      <c r="C67" s="5" t="s">
        <v>110</v>
      </c>
      <c r="D67" s="5" t="s">
        <v>20</v>
      </c>
      <c r="E67" s="23"/>
      <c r="F67" s="23">
        <v>46189.376516203702</v>
      </c>
      <c r="G67" s="23">
        <v>46189.621527777781</v>
      </c>
      <c r="I67" s="5" t="s">
        <v>13</v>
      </c>
      <c r="J67" s="22">
        <v>0.245011574079399</v>
      </c>
    </row>
    <row r="68" spans="1:12" x14ac:dyDescent="0.25">
      <c r="A68" s="5" t="s">
        <v>119</v>
      </c>
      <c r="B68" s="5" t="s">
        <v>92</v>
      </c>
      <c r="C68" s="5" t="s">
        <v>93</v>
      </c>
      <c r="D68" s="5" t="s">
        <v>20</v>
      </c>
      <c r="E68" s="23"/>
      <c r="F68" s="23">
        <v>46189.622384259259</v>
      </c>
      <c r="G68" s="23">
        <v>46189.773958333331</v>
      </c>
      <c r="I68" s="5" t="s">
        <v>13</v>
      </c>
      <c r="J68" s="22">
        <v>0.15157407407241408</v>
      </c>
    </row>
    <row r="69" spans="1:12" x14ac:dyDescent="0.25">
      <c r="A69" s="5" t="s">
        <v>120</v>
      </c>
      <c r="B69" s="5" t="s">
        <v>18</v>
      </c>
      <c r="C69" s="5" t="s">
        <v>121</v>
      </c>
      <c r="D69" s="5" t="s">
        <v>20</v>
      </c>
      <c r="E69" s="23"/>
      <c r="F69" s="23">
        <v>46190.38077546296</v>
      </c>
      <c r="G69" s="23">
        <v>46190.570925925924</v>
      </c>
      <c r="I69" s="5" t="s">
        <v>13</v>
      </c>
      <c r="J69" s="22">
        <v>0.190150462964084</v>
      </c>
    </row>
    <row r="70" spans="1:12" x14ac:dyDescent="0.25">
      <c r="A70" s="5" t="s">
        <v>122</v>
      </c>
      <c r="B70" s="5" t="s">
        <v>18</v>
      </c>
      <c r="C70" s="5" t="s">
        <v>121</v>
      </c>
      <c r="D70" s="5" t="s">
        <v>20</v>
      </c>
      <c r="E70" s="23"/>
      <c r="F70" s="23">
        <v>46190.626817129632</v>
      </c>
      <c r="G70" s="23">
        <v>46190.780972222223</v>
      </c>
      <c r="I70" s="5" t="s">
        <v>13</v>
      </c>
      <c r="J70" s="22">
        <v>0.15415509259037208</v>
      </c>
    </row>
    <row r="71" spans="1:12" x14ac:dyDescent="0.25">
      <c r="A71" s="27" t="s">
        <v>123</v>
      </c>
      <c r="B71" s="5" t="s">
        <v>124</v>
      </c>
      <c r="C71" s="5" t="s">
        <v>93</v>
      </c>
      <c r="D71" s="5" t="s">
        <v>20</v>
      </c>
      <c r="E71" s="23"/>
      <c r="F71" s="23">
        <v>46191.404062499998</v>
      </c>
      <c r="G71" s="23">
        <v>46191.771354166667</v>
      </c>
      <c r="I71" s="5" t="s">
        <v>13</v>
      </c>
      <c r="J71" s="22">
        <v>0.367291666669189</v>
      </c>
    </row>
    <row r="72" spans="1:12" x14ac:dyDescent="0.25">
      <c r="A72" s="5" t="s">
        <v>164</v>
      </c>
      <c r="B72" s="5" t="s">
        <v>97</v>
      </c>
      <c r="C72" s="5" t="s">
        <v>162</v>
      </c>
      <c r="D72" s="5" t="s">
        <v>20</v>
      </c>
      <c r="E72" s="23"/>
      <c r="F72" s="23">
        <v>46212.744351851848</v>
      </c>
      <c r="G72" s="23">
        <v>46192.481400462966</v>
      </c>
      <c r="I72" s="5" t="s">
        <v>13</v>
      </c>
      <c r="J72" s="22">
        <v>-20.262951388882357</v>
      </c>
    </row>
    <row r="73" spans="1:12" x14ac:dyDescent="0.25">
      <c r="A73" s="5" t="s">
        <v>127</v>
      </c>
      <c r="B73" s="5" t="s">
        <v>103</v>
      </c>
      <c r="C73" s="5" t="s">
        <v>126</v>
      </c>
      <c r="D73" s="5" t="s">
        <v>20</v>
      </c>
      <c r="E73" s="23"/>
      <c r="F73" s="23">
        <v>46192.481747685182</v>
      </c>
      <c r="G73" s="23">
        <v>46192.686018518521</v>
      </c>
      <c r="I73" s="5" t="s">
        <v>13</v>
      </c>
      <c r="J73" s="22">
        <v>0.20427083333925111</v>
      </c>
    </row>
    <row r="74" spans="1:12" x14ac:dyDescent="0.25">
      <c r="A74" s="5" t="s">
        <v>128</v>
      </c>
      <c r="B74" s="5" t="s">
        <v>103</v>
      </c>
      <c r="C74" s="5" t="s">
        <v>126</v>
      </c>
      <c r="D74" s="5" t="s">
        <v>20</v>
      </c>
      <c r="E74" s="23"/>
      <c r="F74" s="23">
        <v>46192.686284722222</v>
      </c>
      <c r="G74" s="23">
        <v>46192.722013888888</v>
      </c>
      <c r="I74" s="5" t="s">
        <v>13</v>
      </c>
      <c r="J74" s="22">
        <v>3.5729166665987577E-2</v>
      </c>
    </row>
    <row r="75" spans="1:12" x14ac:dyDescent="0.25">
      <c r="A75" s="5" t="s">
        <v>129</v>
      </c>
      <c r="B75" s="5" t="s">
        <v>97</v>
      </c>
      <c r="C75" s="5" t="s">
        <v>130</v>
      </c>
      <c r="D75" s="5" t="s">
        <v>20</v>
      </c>
      <c r="E75" s="23"/>
      <c r="F75" s="23">
        <v>46192.686585648145</v>
      </c>
      <c r="G75" s="23">
        <v>46192.721307870372</v>
      </c>
      <c r="I75" s="5" t="s">
        <v>13</v>
      </c>
      <c r="J75" s="22">
        <v>3.4722222226264421E-2</v>
      </c>
      <c r="L75" s="5" t="s">
        <v>131</v>
      </c>
    </row>
    <row r="76" spans="1:12" x14ac:dyDescent="0.25">
      <c r="A76" s="5" t="s">
        <v>132</v>
      </c>
      <c r="B76" s="5" t="s">
        <v>103</v>
      </c>
      <c r="C76" s="5" t="s">
        <v>133</v>
      </c>
      <c r="D76" s="5" t="s">
        <v>20</v>
      </c>
      <c r="E76" s="23"/>
      <c r="F76" s="23">
        <v>46195.43953703704</v>
      </c>
      <c r="G76" s="23">
        <v>46195.505578703705</v>
      </c>
      <c r="I76" s="5" t="s">
        <v>13</v>
      </c>
      <c r="J76" s="22">
        <v>6.6041666665114462E-2</v>
      </c>
    </row>
    <row r="77" spans="1:12" x14ac:dyDescent="0.25">
      <c r="A77" s="5" t="s">
        <v>134</v>
      </c>
      <c r="B77" s="5" t="s">
        <v>103</v>
      </c>
      <c r="C77" s="5" t="s">
        <v>133</v>
      </c>
      <c r="D77" s="5" t="s">
        <v>20</v>
      </c>
      <c r="E77" s="23"/>
      <c r="F77" s="23">
        <v>46195.505983796298</v>
      </c>
      <c r="G77" s="23">
        <v>46195.693680555552</v>
      </c>
      <c r="I77" s="5" t="s">
        <v>13</v>
      </c>
      <c r="J77" s="22">
        <v>0.18769675925432239</v>
      </c>
    </row>
    <row r="78" spans="1:12" x14ac:dyDescent="0.25">
      <c r="A78" s="5" t="s">
        <v>135</v>
      </c>
      <c r="B78" s="5" t="s">
        <v>103</v>
      </c>
      <c r="C78" s="5" t="s">
        <v>133</v>
      </c>
      <c r="D78" s="5" t="s">
        <v>20</v>
      </c>
      <c r="E78" s="23"/>
      <c r="F78" s="23">
        <v>46195.694131944445</v>
      </c>
      <c r="G78" s="23">
        <v>46195.790138888886</v>
      </c>
      <c r="I78" s="5" t="s">
        <v>13</v>
      </c>
      <c r="J78" s="22">
        <v>9.600694444088731E-2</v>
      </c>
    </row>
    <row r="79" spans="1:12" x14ac:dyDescent="0.25">
      <c r="A79" s="5" t="s">
        <v>136</v>
      </c>
      <c r="B79" s="5" t="s">
        <v>103</v>
      </c>
      <c r="C79" s="5" t="s">
        <v>133</v>
      </c>
      <c r="D79" s="5" t="s">
        <v>20</v>
      </c>
      <c r="E79" s="23"/>
      <c r="F79" s="23">
        <v>46196.377858796295</v>
      </c>
      <c r="G79" s="23">
        <v>46196.508993055555</v>
      </c>
      <c r="I79" s="5" t="s">
        <v>13</v>
      </c>
      <c r="J79" s="22">
        <v>0.13113425925985212</v>
      </c>
    </row>
    <row r="80" spans="1:12" x14ac:dyDescent="0.25">
      <c r="A80" s="5" t="s">
        <v>137</v>
      </c>
      <c r="B80" s="5" t="s">
        <v>103</v>
      </c>
      <c r="C80" s="5" t="s">
        <v>133</v>
      </c>
      <c r="D80" s="5" t="s">
        <v>20</v>
      </c>
      <c r="E80" s="23"/>
      <c r="F80" s="23">
        <v>46196.509340277778</v>
      </c>
      <c r="G80" s="23">
        <v>46196.653796296298</v>
      </c>
      <c r="I80" s="5" t="s">
        <v>13</v>
      </c>
      <c r="J80" s="22">
        <v>0.14445601851912215</v>
      </c>
    </row>
    <row r="81" spans="1:12" x14ac:dyDescent="0.25">
      <c r="A81" s="5" t="s">
        <v>138</v>
      </c>
      <c r="B81" s="5" t="s">
        <v>103</v>
      </c>
      <c r="C81" s="5" t="s">
        <v>133</v>
      </c>
      <c r="D81" s="5" t="s">
        <v>20</v>
      </c>
      <c r="E81" s="23"/>
      <c r="F81" s="23">
        <v>46196.654247685183</v>
      </c>
      <c r="G81" s="23">
        <v>46196.778425925928</v>
      </c>
      <c r="I81" s="5" t="s">
        <v>13</v>
      </c>
      <c r="J81" s="22">
        <v>0.12417824074509554</v>
      </c>
    </row>
    <row r="82" spans="1:12" x14ac:dyDescent="0.25">
      <c r="A82" s="5" t="s">
        <v>139</v>
      </c>
      <c r="B82" s="5" t="s">
        <v>103</v>
      </c>
      <c r="C82" s="5" t="s">
        <v>140</v>
      </c>
      <c r="D82" s="5" t="s">
        <v>20</v>
      </c>
      <c r="E82" s="23"/>
      <c r="F82" s="23">
        <v>46197.382986111108</v>
      </c>
      <c r="G82" s="23">
        <v>46197.474652777775</v>
      </c>
      <c r="I82" s="5" t="s">
        <v>13</v>
      </c>
      <c r="J82" s="22">
        <v>9.1666666667151731E-2</v>
      </c>
    </row>
    <row r="83" spans="1:12" x14ac:dyDescent="0.25">
      <c r="A83" s="5" t="s">
        <v>141</v>
      </c>
      <c r="B83" s="5" t="s">
        <v>18</v>
      </c>
      <c r="C83" s="5" t="s">
        <v>49</v>
      </c>
      <c r="D83" s="5" t="s">
        <v>20</v>
      </c>
      <c r="E83" s="23"/>
      <c r="F83" s="23">
        <v>46197.476041666669</v>
      </c>
      <c r="G83" s="23">
        <v>46197.641319444447</v>
      </c>
      <c r="I83" s="5" t="s">
        <v>13</v>
      </c>
      <c r="J83" s="22">
        <v>0.16527777777810115</v>
      </c>
      <c r="L83" s="9" t="s">
        <v>145</v>
      </c>
    </row>
    <row r="84" spans="1:12" x14ac:dyDescent="0.25">
      <c r="A84" s="5" t="s">
        <v>142</v>
      </c>
      <c r="B84" s="5" t="s">
        <v>18</v>
      </c>
      <c r="C84" s="5" t="s">
        <v>121</v>
      </c>
      <c r="D84" s="5" t="s">
        <v>20</v>
      </c>
      <c r="E84" s="23"/>
      <c r="F84" s="23">
        <v>46197.638541666667</v>
      </c>
      <c r="G84" s="23">
        <v>46197.766319444447</v>
      </c>
      <c r="I84" s="5" t="s">
        <v>13</v>
      </c>
      <c r="J84" s="22">
        <v>0.12777777777955635</v>
      </c>
      <c r="L84" s="9" t="s">
        <v>145</v>
      </c>
    </row>
    <row r="85" spans="1:12" x14ac:dyDescent="0.25">
      <c r="A85" s="5" t="s">
        <v>143</v>
      </c>
      <c r="B85" s="5" t="s">
        <v>92</v>
      </c>
      <c r="C85" s="5" t="s">
        <v>93</v>
      </c>
      <c r="D85" s="5" t="s">
        <v>20</v>
      </c>
      <c r="E85" s="23"/>
      <c r="F85" s="23">
        <v>46198.390185185184</v>
      </c>
      <c r="G85" s="23">
        <v>46198.52306712963</v>
      </c>
      <c r="I85" s="5" t="s">
        <v>13</v>
      </c>
      <c r="J85" s="22">
        <v>0.132881944446126</v>
      </c>
    </row>
    <row r="86" spans="1:12" x14ac:dyDescent="0.25">
      <c r="A86" s="27" t="s">
        <v>144</v>
      </c>
      <c r="B86" s="5" t="s">
        <v>92</v>
      </c>
      <c r="C86" s="5" t="s">
        <v>93</v>
      </c>
      <c r="D86" s="5" t="s">
        <v>20</v>
      </c>
      <c r="E86" s="23"/>
      <c r="F86" s="23">
        <v>46198.523344907408</v>
      </c>
      <c r="G86" s="23">
        <v>46199.400335648148</v>
      </c>
      <c r="I86" s="5" t="s">
        <v>13</v>
      </c>
      <c r="J86" s="22">
        <v>0.87699074074043892</v>
      </c>
    </row>
    <row r="87" spans="1:12" x14ac:dyDescent="0.25">
      <c r="A87" s="5" t="s">
        <v>152</v>
      </c>
      <c r="B87" s="5" t="s">
        <v>28</v>
      </c>
      <c r="C87" s="5" t="s">
        <v>29</v>
      </c>
      <c r="D87" s="5" t="s">
        <v>20</v>
      </c>
      <c r="E87" s="23"/>
      <c r="F87" s="23">
        <v>46199.400694444441</v>
      </c>
      <c r="G87" s="23">
        <v>46199.401203703703</v>
      </c>
      <c r="I87" s="5" t="s">
        <v>13</v>
      </c>
      <c r="J87" s="22">
        <v>5.092592618893832E-4</v>
      </c>
    </row>
    <row r="88" spans="1:12" x14ac:dyDescent="0.25">
      <c r="A88" s="5" t="s">
        <v>153</v>
      </c>
      <c r="B88" s="5" t="s">
        <v>97</v>
      </c>
      <c r="C88" s="5" t="s">
        <v>154</v>
      </c>
      <c r="D88" s="5" t="s">
        <v>20</v>
      </c>
      <c r="E88" s="23"/>
      <c r="F88" s="23">
        <v>46199.402071759258</v>
      </c>
      <c r="G88" s="23">
        <v>46199.742164351854</v>
      </c>
      <c r="I88" s="5" t="s">
        <v>13</v>
      </c>
      <c r="J88" s="22">
        <v>0.34009259259619284</v>
      </c>
    </row>
    <row r="89" spans="1:12" x14ac:dyDescent="0.25">
      <c r="A89" s="5" t="s">
        <v>155</v>
      </c>
      <c r="B89" s="5" t="s">
        <v>97</v>
      </c>
      <c r="C89" s="5" t="s">
        <v>154</v>
      </c>
      <c r="D89" s="5" t="s">
        <v>20</v>
      </c>
      <c r="F89" s="23">
        <v>46202.394988425927</v>
      </c>
      <c r="G89" s="23">
        <v>46202.644988425927</v>
      </c>
      <c r="I89" s="5" t="s">
        <v>13</v>
      </c>
      <c r="J89" s="22">
        <v>0.25</v>
      </c>
    </row>
    <row r="90" spans="1:12" x14ac:dyDescent="0.25">
      <c r="A90" s="5" t="s">
        <v>156</v>
      </c>
      <c r="B90" s="5" t="s">
        <v>97</v>
      </c>
      <c r="C90" s="5" t="s">
        <v>154</v>
      </c>
      <c r="D90" s="5" t="s">
        <v>20</v>
      </c>
      <c r="F90" s="23">
        <v>46203.394988425927</v>
      </c>
      <c r="G90" s="23">
        <v>46203.484189814815</v>
      </c>
      <c r="I90" s="5" t="s">
        <v>13</v>
      </c>
      <c r="J90" s="22">
        <v>8.9201388887886424E-2</v>
      </c>
    </row>
    <row r="91" spans="1:12" x14ac:dyDescent="0.25">
      <c r="A91" s="5" t="s">
        <v>157</v>
      </c>
      <c r="B91" s="5" t="s">
        <v>97</v>
      </c>
      <c r="C91" s="5" t="s">
        <v>154</v>
      </c>
      <c r="D91" s="5" t="s">
        <v>20</v>
      </c>
      <c r="F91" s="23">
        <v>46204.390185185184</v>
      </c>
      <c r="G91" s="23">
        <v>46204.72351851852</v>
      </c>
      <c r="I91" s="5" t="s">
        <v>13</v>
      </c>
      <c r="J91" s="22">
        <v>0.33333333333575865</v>
      </c>
    </row>
    <row r="92" spans="1:12" x14ac:dyDescent="0.25">
      <c r="A92" s="5" t="s">
        <v>158</v>
      </c>
      <c r="B92" s="5" t="s">
        <v>92</v>
      </c>
      <c r="C92" s="5" t="s">
        <v>93</v>
      </c>
      <c r="D92" s="5" t="s">
        <v>20</v>
      </c>
      <c r="F92" s="23">
        <v>46205.392372685186</v>
      </c>
      <c r="G92" s="23">
        <v>46205.725706018522</v>
      </c>
      <c r="I92" s="5" t="s">
        <v>13</v>
      </c>
      <c r="J92" s="22">
        <v>0.33333333333575865</v>
      </c>
    </row>
    <row r="93" spans="1:12" x14ac:dyDescent="0.25">
      <c r="A93" s="5" t="s">
        <v>159</v>
      </c>
      <c r="B93" s="5" t="s">
        <v>97</v>
      </c>
      <c r="C93" s="5" t="s">
        <v>130</v>
      </c>
      <c r="D93" s="5" t="s">
        <v>61</v>
      </c>
      <c r="F93" s="23">
        <v>46206.427546296298</v>
      </c>
      <c r="G93" s="23">
        <v>46206.760879629626</v>
      </c>
      <c r="I93" s="5" t="s">
        <v>13</v>
      </c>
      <c r="J93" s="22">
        <v>0.33333333332848269</v>
      </c>
      <c r="L93" s="5" t="s">
        <v>160</v>
      </c>
    </row>
    <row r="94" spans="1:12" x14ac:dyDescent="0.25">
      <c r="A94" s="5" t="s">
        <v>161</v>
      </c>
      <c r="B94" s="5" t="s">
        <v>97</v>
      </c>
      <c r="C94" s="5" t="s">
        <v>162</v>
      </c>
      <c r="D94" s="5" t="s">
        <v>20</v>
      </c>
      <c r="F94" s="23">
        <v>46209.427928240744</v>
      </c>
      <c r="G94" s="23">
        <v>46211.38722222222</v>
      </c>
      <c r="I94" s="5" t="s">
        <v>13</v>
      </c>
      <c r="J94" s="22">
        <v>1.9592939814756392</v>
      </c>
    </row>
    <row r="95" spans="1:12" x14ac:dyDescent="0.25">
      <c r="A95" s="5" t="s">
        <v>163</v>
      </c>
      <c r="B95" s="5" t="s">
        <v>97</v>
      </c>
      <c r="C95" s="5" t="s">
        <v>162</v>
      </c>
      <c r="D95" s="5" t="s">
        <v>20</v>
      </c>
      <c r="F95" s="23">
        <v>46211.391053240739</v>
      </c>
      <c r="G95" s="23">
        <v>46212.398252314815</v>
      </c>
      <c r="I95" s="5" t="s">
        <v>13</v>
      </c>
      <c r="J95" s="22">
        <v>1.0071990740761976</v>
      </c>
    </row>
    <row r="96" spans="1:12" x14ac:dyDescent="0.25">
      <c r="A96" s="5" t="s">
        <v>164</v>
      </c>
      <c r="B96" s="5" t="s">
        <v>97</v>
      </c>
      <c r="C96" s="5" t="s">
        <v>162</v>
      </c>
      <c r="D96" s="5" t="s">
        <v>20</v>
      </c>
      <c r="F96" s="23">
        <v>46212.3984375</v>
      </c>
      <c r="G96" s="23">
        <v>46212.745659722219</v>
      </c>
      <c r="I96" s="5" t="s">
        <v>13</v>
      </c>
      <c r="J96" s="22">
        <v>0.34722222221898846</v>
      </c>
    </row>
    <row r="97" spans="1:12" x14ac:dyDescent="0.25">
      <c r="A97" s="5" t="s">
        <v>165</v>
      </c>
      <c r="B97" s="5" t="s">
        <v>97</v>
      </c>
      <c r="C97" s="5" t="s">
        <v>162</v>
      </c>
      <c r="D97" s="5" t="s">
        <v>61</v>
      </c>
      <c r="F97" s="23">
        <v>46213.389317129629</v>
      </c>
      <c r="G97" s="23">
        <v>46213.693472222221</v>
      </c>
      <c r="I97" s="5" t="s">
        <v>13</v>
      </c>
      <c r="J97" s="22">
        <v>0.30415509259182727</v>
      </c>
      <c r="L97" s="5" t="s">
        <v>166</v>
      </c>
    </row>
    <row r="98" spans="1:12" x14ac:dyDescent="0.25">
      <c r="A98" s="5" t="s">
        <v>167</v>
      </c>
      <c r="B98" s="5" t="s">
        <v>97</v>
      </c>
      <c r="C98" s="5" t="s">
        <v>162</v>
      </c>
      <c r="D98" s="5" t="s">
        <v>61</v>
      </c>
      <c r="F98" s="23">
        <v>46218.391782407409</v>
      </c>
      <c r="G98" s="23">
        <v>46218.724085648151</v>
      </c>
      <c r="I98" s="5" t="s">
        <v>13</v>
      </c>
      <c r="J98" s="22">
        <v>0.33230324074247619</v>
      </c>
      <c r="L98" s="5" t="s">
        <v>166</v>
      </c>
    </row>
    <row r="99" spans="1:12" x14ac:dyDescent="0.25">
      <c r="A99" s="5" t="s">
        <v>168</v>
      </c>
      <c r="B99" s="18" t="s">
        <v>97</v>
      </c>
      <c r="C99" s="18" t="s">
        <v>169</v>
      </c>
      <c r="D99" s="5" t="s">
        <v>61</v>
      </c>
      <c r="F99" s="23">
        <v>46223.391782407409</v>
      </c>
      <c r="G99" s="23">
        <v>46223.724085648151</v>
      </c>
      <c r="I99" s="5" t="s">
        <v>13</v>
      </c>
      <c r="J99" s="22">
        <v>0.33230324074247619</v>
      </c>
      <c r="L99" s="5" t="s">
        <v>160</v>
      </c>
    </row>
  </sheetData>
  <autoFilter ref="A1:M96" xr:uid="{00000000-0001-0000-0000-000000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7"/>
  <sheetViews>
    <sheetView topLeftCell="A169" zoomScaleNormal="100" workbookViewId="0">
      <selection activeCell="A196" activeCellId="1" sqref="A197 A196"/>
    </sheetView>
  </sheetViews>
  <sheetFormatPr baseColWidth="10" defaultColWidth="9.140625" defaultRowHeight="15" x14ac:dyDescent="0.25"/>
  <cols>
    <col min="1" max="1" width="32.42578125" bestFit="1" customWidth="1"/>
    <col min="2" max="2" width="12.42578125" bestFit="1" customWidth="1"/>
    <col min="3" max="3" width="58.5703125" bestFit="1" customWidth="1"/>
    <col min="4" max="4" width="15" bestFit="1" customWidth="1"/>
    <col min="5" max="5" width="12.140625" bestFit="1" customWidth="1"/>
    <col min="6" max="6" width="26.28515625" bestFit="1" customWidth="1"/>
    <col min="7" max="7" width="22.85546875" bestFit="1" customWidth="1"/>
    <col min="8" max="8" width="57.7109375" bestFit="1" customWidth="1"/>
  </cols>
  <sheetData>
    <row r="1" spans="1:8" s="1" customFormat="1" x14ac:dyDescent="0.25">
      <c r="A1" s="1" t="s">
        <v>0</v>
      </c>
      <c r="B1" s="1" t="s">
        <v>1</v>
      </c>
      <c r="C1" s="1" t="s">
        <v>2</v>
      </c>
      <c r="D1" s="1" t="s">
        <v>6</v>
      </c>
      <c r="E1" s="1" t="s">
        <v>3</v>
      </c>
      <c r="F1" s="1" t="s">
        <v>4</v>
      </c>
      <c r="G1" s="1" t="s">
        <v>7</v>
      </c>
      <c r="H1" s="1" t="s">
        <v>21</v>
      </c>
    </row>
    <row r="2" spans="1:8" x14ac:dyDescent="0.25">
      <c r="A2" s="19">
        <v>46092.554675925923</v>
      </c>
      <c r="B2" s="18" t="s">
        <v>14</v>
      </c>
      <c r="C2" s="18" t="s">
        <v>22</v>
      </c>
      <c r="D2" s="18" t="s">
        <v>18</v>
      </c>
      <c r="E2" s="18" t="s">
        <v>13</v>
      </c>
      <c r="F2" s="18" t="s">
        <v>15</v>
      </c>
      <c r="G2" s="18" t="s">
        <v>19</v>
      </c>
    </row>
    <row r="3" spans="1:8" x14ac:dyDescent="0.25">
      <c r="A3" s="19">
        <v>46092.574224537035</v>
      </c>
      <c r="B3" s="18" t="s">
        <v>14</v>
      </c>
      <c r="C3" s="18" t="s">
        <v>22</v>
      </c>
      <c r="D3" s="18" t="s">
        <v>18</v>
      </c>
      <c r="E3" s="18" t="s">
        <v>13</v>
      </c>
      <c r="F3" s="18" t="s">
        <v>17</v>
      </c>
      <c r="G3" s="18" t="s">
        <v>19</v>
      </c>
    </row>
    <row r="4" spans="1:8" x14ac:dyDescent="0.25">
      <c r="A4" s="19">
        <v>46093.411180555559</v>
      </c>
      <c r="B4" s="18" t="s">
        <v>14</v>
      </c>
      <c r="C4" s="18" t="s">
        <v>23</v>
      </c>
      <c r="D4" s="18" t="s">
        <v>18</v>
      </c>
      <c r="E4" s="18" t="s">
        <v>13</v>
      </c>
      <c r="F4" s="18" t="s">
        <v>15</v>
      </c>
      <c r="G4" s="18" t="s">
        <v>19</v>
      </c>
    </row>
    <row r="5" spans="1:8" x14ac:dyDescent="0.25">
      <c r="A5" s="19">
        <v>46093.510567129626</v>
      </c>
      <c r="B5" s="18" t="s">
        <v>14</v>
      </c>
      <c r="C5" s="18" t="s">
        <v>23</v>
      </c>
      <c r="D5" s="18" t="s">
        <v>18</v>
      </c>
      <c r="E5" s="18" t="s">
        <v>13</v>
      </c>
      <c r="F5" s="18" t="s">
        <v>17</v>
      </c>
      <c r="G5" s="18" t="s">
        <v>19</v>
      </c>
    </row>
    <row r="6" spans="1:8" x14ac:dyDescent="0.25">
      <c r="A6" s="19">
        <v>46093.511562500003</v>
      </c>
      <c r="B6" s="18" t="s">
        <v>14</v>
      </c>
      <c r="C6" s="18" t="s">
        <v>24</v>
      </c>
      <c r="D6" s="18" t="s">
        <v>18</v>
      </c>
      <c r="E6" s="18" t="s">
        <v>13</v>
      </c>
      <c r="F6" s="18" t="s">
        <v>15</v>
      </c>
      <c r="G6" s="18" t="s">
        <v>19</v>
      </c>
    </row>
    <row r="7" spans="1:8" x14ac:dyDescent="0.25">
      <c r="A7" s="19">
        <v>46093.527453703704</v>
      </c>
      <c r="B7" s="18" t="s">
        <v>14</v>
      </c>
      <c r="C7" s="18" t="s">
        <v>24</v>
      </c>
      <c r="D7" s="18" t="s">
        <v>18</v>
      </c>
      <c r="E7" s="18" t="s">
        <v>13</v>
      </c>
      <c r="F7" s="18" t="s">
        <v>17</v>
      </c>
      <c r="G7" s="18" t="s">
        <v>19</v>
      </c>
    </row>
    <row r="8" spans="1:8" x14ac:dyDescent="0.25">
      <c r="A8" s="19">
        <v>46097.37332175926</v>
      </c>
      <c r="B8" s="18" t="s">
        <v>14</v>
      </c>
      <c r="C8" s="18" t="s">
        <v>26</v>
      </c>
      <c r="D8" s="18" t="s">
        <v>18</v>
      </c>
      <c r="E8" s="18" t="s">
        <v>13</v>
      </c>
      <c r="F8" s="18" t="s">
        <v>15</v>
      </c>
      <c r="G8" s="18" t="s">
        <v>19</v>
      </c>
    </row>
    <row r="9" spans="1:8" x14ac:dyDescent="0.25">
      <c r="A9" s="19">
        <v>46097.421342592592</v>
      </c>
      <c r="B9" s="18" t="s">
        <v>14</v>
      </c>
      <c r="C9" s="18" t="s">
        <v>26</v>
      </c>
      <c r="D9" s="18" t="s">
        <v>18</v>
      </c>
      <c r="E9" s="18" t="s">
        <v>13</v>
      </c>
      <c r="F9" s="18" t="s">
        <v>17</v>
      </c>
      <c r="G9" s="18" t="s">
        <v>19</v>
      </c>
    </row>
    <row r="10" spans="1:8" x14ac:dyDescent="0.25">
      <c r="A10" s="19">
        <v>46104.405497685184</v>
      </c>
      <c r="B10" s="18" t="s">
        <v>14</v>
      </c>
      <c r="C10" s="18" t="s">
        <v>27</v>
      </c>
      <c r="D10" s="18" t="s">
        <v>28</v>
      </c>
      <c r="E10" s="18" t="s">
        <v>13</v>
      </c>
      <c r="F10" s="18" t="s">
        <v>15</v>
      </c>
      <c r="G10" s="18" t="s">
        <v>29</v>
      </c>
    </row>
    <row r="11" spans="1:8" x14ac:dyDescent="0.25">
      <c r="A11" s="19">
        <v>46104.451805555553</v>
      </c>
      <c r="B11" s="18" t="s">
        <v>14</v>
      </c>
      <c r="C11" s="18" t="s">
        <v>27</v>
      </c>
      <c r="D11" s="18" t="s">
        <v>28</v>
      </c>
      <c r="E11" s="18" t="s">
        <v>13</v>
      </c>
      <c r="F11" s="18" t="s">
        <v>17</v>
      </c>
      <c r="G11" s="18" t="s">
        <v>29</v>
      </c>
    </row>
    <row r="12" spans="1:8" x14ac:dyDescent="0.25">
      <c r="A12" s="19">
        <v>46113.521412037036</v>
      </c>
      <c r="B12" s="18" t="s">
        <v>14</v>
      </c>
      <c r="C12" s="18" t="s">
        <v>38</v>
      </c>
      <c r="D12" s="18" t="s">
        <v>28</v>
      </c>
      <c r="E12" s="18" t="s">
        <v>13</v>
      </c>
      <c r="F12" s="18" t="s">
        <v>15</v>
      </c>
      <c r="G12" s="18" t="s">
        <v>29</v>
      </c>
    </row>
    <row r="13" spans="1:8" x14ac:dyDescent="0.25">
      <c r="A13" s="19">
        <v>46113.538310185184</v>
      </c>
      <c r="B13" s="18" t="s">
        <v>14</v>
      </c>
      <c r="C13" s="18" t="s">
        <v>38</v>
      </c>
      <c r="D13" s="18" t="s">
        <v>28</v>
      </c>
      <c r="E13" s="18" t="s">
        <v>13</v>
      </c>
      <c r="F13" s="18" t="s">
        <v>17</v>
      </c>
      <c r="G13" s="18" t="s">
        <v>29</v>
      </c>
    </row>
    <row r="14" spans="1:8" x14ac:dyDescent="0.25">
      <c r="A14" s="20">
        <v>46128.64199074074</v>
      </c>
      <c r="B14" s="17" t="s">
        <v>14</v>
      </c>
      <c r="C14" s="17" t="s">
        <v>42</v>
      </c>
      <c r="D14" s="17" t="s">
        <v>18</v>
      </c>
      <c r="E14" s="17" t="s">
        <v>13</v>
      </c>
      <c r="F14" s="17" t="s">
        <v>15</v>
      </c>
      <c r="G14" t="s">
        <v>49</v>
      </c>
    </row>
    <row r="15" spans="1:8" x14ac:dyDescent="0.25">
      <c r="A15" s="20">
        <v>46128.708356481482</v>
      </c>
      <c r="B15" s="17" t="s">
        <v>14</v>
      </c>
      <c r="C15" s="17" t="s">
        <v>42</v>
      </c>
      <c r="D15" s="17" t="s">
        <v>18</v>
      </c>
      <c r="E15" s="17" t="s">
        <v>13</v>
      </c>
      <c r="F15" s="17" t="s">
        <v>17</v>
      </c>
      <c r="G15" s="17" t="s">
        <v>49</v>
      </c>
    </row>
    <row r="16" spans="1:8" x14ac:dyDescent="0.25">
      <c r="A16" s="20">
        <v>46129.42491898148</v>
      </c>
      <c r="B16" s="17" t="s">
        <v>14</v>
      </c>
      <c r="C16" s="17" t="s">
        <v>43</v>
      </c>
      <c r="D16" s="17" t="s">
        <v>18</v>
      </c>
      <c r="E16" s="17" t="s">
        <v>13</v>
      </c>
      <c r="F16" s="17" t="s">
        <v>15</v>
      </c>
      <c r="G16" s="17" t="s">
        <v>49</v>
      </c>
    </row>
    <row r="17" spans="1:8" x14ac:dyDescent="0.25">
      <c r="A17" s="20">
        <v>46129.457337962966</v>
      </c>
      <c r="B17" s="17" t="s">
        <v>14</v>
      </c>
      <c r="C17" s="17" t="s">
        <v>43</v>
      </c>
      <c r="D17" s="17" t="s">
        <v>18</v>
      </c>
      <c r="E17" s="17" t="s">
        <v>13</v>
      </c>
      <c r="F17" s="17" t="s">
        <v>17</v>
      </c>
      <c r="G17" s="17" t="s">
        <v>49</v>
      </c>
    </row>
    <row r="18" spans="1:8" x14ac:dyDescent="0.25">
      <c r="A18" s="20">
        <v>46129.485972222225</v>
      </c>
      <c r="B18" s="17" t="s">
        <v>14</v>
      </c>
      <c r="C18" s="17" t="s">
        <v>44</v>
      </c>
      <c r="D18" s="17" t="s">
        <v>18</v>
      </c>
      <c r="E18" s="17" t="s">
        <v>13</v>
      </c>
      <c r="F18" s="17" t="s">
        <v>15</v>
      </c>
      <c r="G18" s="17" t="s">
        <v>49</v>
      </c>
    </row>
    <row r="19" spans="1:8" x14ac:dyDescent="0.25">
      <c r="A19" s="20">
        <v>46129.525277777779</v>
      </c>
      <c r="B19" s="17" t="s">
        <v>14</v>
      </c>
      <c r="C19" s="17" t="s">
        <v>44</v>
      </c>
      <c r="D19" s="17" t="s">
        <v>18</v>
      </c>
      <c r="E19" s="17" t="s">
        <v>13</v>
      </c>
      <c r="F19" s="17" t="s">
        <v>17</v>
      </c>
      <c r="G19" s="17" t="s">
        <v>49</v>
      </c>
    </row>
    <row r="20" spans="1:8" x14ac:dyDescent="0.25">
      <c r="A20" s="20">
        <v>46132.379699074074</v>
      </c>
      <c r="B20" s="17" t="s">
        <v>14</v>
      </c>
      <c r="C20" s="17" t="s">
        <v>45</v>
      </c>
      <c r="D20" s="17" t="s">
        <v>18</v>
      </c>
      <c r="E20" s="17" t="s">
        <v>13</v>
      </c>
      <c r="F20" s="17" t="s">
        <v>15</v>
      </c>
      <c r="G20" s="17" t="s">
        <v>49</v>
      </c>
    </row>
    <row r="21" spans="1:8" x14ac:dyDescent="0.25">
      <c r="A21" s="20">
        <v>46132.400023148148</v>
      </c>
      <c r="B21" s="17" t="s">
        <v>14</v>
      </c>
      <c r="C21" s="17" t="s">
        <v>45</v>
      </c>
      <c r="D21" s="17" t="s">
        <v>18</v>
      </c>
      <c r="E21" s="17" t="s">
        <v>13</v>
      </c>
      <c r="F21" s="17" t="s">
        <v>17</v>
      </c>
      <c r="G21" s="17" t="s">
        <v>49</v>
      </c>
    </row>
    <row r="22" spans="1:8" x14ac:dyDescent="0.25">
      <c r="A22" s="20">
        <v>46132.400312500002</v>
      </c>
      <c r="B22" s="17" t="s">
        <v>14</v>
      </c>
      <c r="C22" s="17" t="s">
        <v>46</v>
      </c>
      <c r="D22" s="17" t="s">
        <v>18</v>
      </c>
      <c r="E22" s="17" t="s">
        <v>13</v>
      </c>
      <c r="F22" s="17" t="s">
        <v>15</v>
      </c>
      <c r="G22" s="17" t="s">
        <v>49</v>
      </c>
    </row>
    <row r="23" spans="1:8" x14ac:dyDescent="0.25">
      <c r="A23" s="20">
        <v>46132.414826388886</v>
      </c>
      <c r="B23" s="17" t="s">
        <v>14</v>
      </c>
      <c r="C23" s="17" t="s">
        <v>46</v>
      </c>
      <c r="D23" s="17" t="s">
        <v>18</v>
      </c>
      <c r="E23" s="17" t="s">
        <v>13</v>
      </c>
      <c r="F23" s="17" t="s">
        <v>17</v>
      </c>
      <c r="G23" s="17" t="s">
        <v>49</v>
      </c>
    </row>
    <row r="24" spans="1:8" x14ac:dyDescent="0.25">
      <c r="A24" s="20">
        <v>46133.455127314817</v>
      </c>
      <c r="B24" s="17" t="s">
        <v>14</v>
      </c>
      <c r="C24" s="17" t="s">
        <v>47</v>
      </c>
      <c r="D24" s="17" t="s">
        <v>18</v>
      </c>
      <c r="E24" s="17" t="s">
        <v>13</v>
      </c>
      <c r="F24" s="17" t="s">
        <v>15</v>
      </c>
      <c r="G24" s="17" t="s">
        <v>49</v>
      </c>
    </row>
    <row r="25" spans="1:8" x14ac:dyDescent="0.25">
      <c r="A25" s="20">
        <v>46133.509606481479</v>
      </c>
      <c r="B25" s="17" t="s">
        <v>14</v>
      </c>
      <c r="C25" s="17" t="s">
        <v>47</v>
      </c>
      <c r="D25" s="17" t="s">
        <v>18</v>
      </c>
      <c r="E25" s="17" t="s">
        <v>13</v>
      </c>
      <c r="F25" s="17" t="s">
        <v>17</v>
      </c>
      <c r="G25" s="17" t="s">
        <v>49</v>
      </c>
    </row>
    <row r="26" spans="1:8" x14ac:dyDescent="0.25">
      <c r="A26" s="20">
        <v>46133.509756944448</v>
      </c>
      <c r="B26" s="17" t="s">
        <v>14</v>
      </c>
      <c r="C26" s="17" t="s">
        <v>48</v>
      </c>
      <c r="D26" s="17" t="s">
        <v>18</v>
      </c>
      <c r="E26" s="17" t="s">
        <v>13</v>
      </c>
      <c r="F26" s="17" t="s">
        <v>15</v>
      </c>
      <c r="G26" s="17" t="s">
        <v>49</v>
      </c>
    </row>
    <row r="27" spans="1:8" x14ac:dyDescent="0.25">
      <c r="A27" s="20">
        <v>46133.520370370374</v>
      </c>
      <c r="B27" t="s">
        <v>14</v>
      </c>
      <c r="C27" t="s">
        <v>48</v>
      </c>
      <c r="D27" t="s">
        <v>18</v>
      </c>
      <c r="E27" t="s">
        <v>13</v>
      </c>
      <c r="F27" t="s">
        <v>17</v>
      </c>
      <c r="G27" t="s">
        <v>49</v>
      </c>
    </row>
    <row r="28" spans="1:8" x14ac:dyDescent="0.25">
      <c r="A28" s="20">
        <v>46134.377685185187</v>
      </c>
      <c r="B28" t="s">
        <v>14</v>
      </c>
      <c r="C28" t="s">
        <v>50</v>
      </c>
      <c r="D28" t="s">
        <v>18</v>
      </c>
      <c r="E28" t="s">
        <v>13</v>
      </c>
      <c r="F28" t="s">
        <v>15</v>
      </c>
      <c r="G28" t="s">
        <v>49</v>
      </c>
    </row>
    <row r="29" spans="1:8" x14ac:dyDescent="0.25">
      <c r="A29" s="20">
        <v>46134.398321759261</v>
      </c>
      <c r="B29" t="s">
        <v>14</v>
      </c>
      <c r="C29" t="s">
        <v>50</v>
      </c>
      <c r="D29" t="s">
        <v>18</v>
      </c>
      <c r="E29" t="s">
        <v>13</v>
      </c>
      <c r="F29" t="s">
        <v>17</v>
      </c>
      <c r="G29" t="s">
        <v>49</v>
      </c>
      <c r="H29" t="s">
        <v>51</v>
      </c>
    </row>
    <row r="30" spans="1:8" x14ac:dyDescent="0.25">
      <c r="A30" s="20">
        <v>46134.398564814815</v>
      </c>
      <c r="B30" t="s">
        <v>14</v>
      </c>
      <c r="C30" t="s">
        <v>52</v>
      </c>
      <c r="D30" t="s">
        <v>18</v>
      </c>
      <c r="E30" t="s">
        <v>13</v>
      </c>
      <c r="F30" t="s">
        <v>15</v>
      </c>
      <c r="G30" t="s">
        <v>49</v>
      </c>
    </row>
    <row r="31" spans="1:8" x14ac:dyDescent="0.25">
      <c r="A31" s="20">
        <v>46134.425370370373</v>
      </c>
      <c r="B31" t="s">
        <v>14</v>
      </c>
      <c r="C31" t="s">
        <v>52</v>
      </c>
      <c r="D31" t="s">
        <v>18</v>
      </c>
      <c r="E31" t="s">
        <v>13</v>
      </c>
      <c r="F31" t="s">
        <v>17</v>
      </c>
      <c r="G31" t="s">
        <v>49</v>
      </c>
      <c r="H31" t="s">
        <v>51</v>
      </c>
    </row>
    <row r="32" spans="1:8" x14ac:dyDescent="0.25">
      <c r="A32" s="20">
        <v>46134.43377314815</v>
      </c>
      <c r="B32" t="s">
        <v>14</v>
      </c>
      <c r="C32" t="s">
        <v>53</v>
      </c>
      <c r="D32" t="s">
        <v>18</v>
      </c>
      <c r="E32" t="s">
        <v>13</v>
      </c>
      <c r="F32" t="s">
        <v>15</v>
      </c>
      <c r="G32" t="s">
        <v>49</v>
      </c>
    </row>
    <row r="33" spans="1:8" x14ac:dyDescent="0.25">
      <c r="A33" s="20">
        <v>46134.443703703706</v>
      </c>
      <c r="B33" t="s">
        <v>14</v>
      </c>
      <c r="C33" t="s">
        <v>53</v>
      </c>
      <c r="D33" t="s">
        <v>18</v>
      </c>
      <c r="E33" t="s">
        <v>13</v>
      </c>
      <c r="F33" t="s">
        <v>17</v>
      </c>
      <c r="G33" t="s">
        <v>49</v>
      </c>
    </row>
    <row r="34" spans="1:8" x14ac:dyDescent="0.25">
      <c r="A34" s="20">
        <v>46135.384259259263</v>
      </c>
      <c r="B34" t="s">
        <v>14</v>
      </c>
      <c r="C34" t="s">
        <v>54</v>
      </c>
      <c r="D34" t="s">
        <v>18</v>
      </c>
      <c r="E34" t="s">
        <v>13</v>
      </c>
      <c r="F34" t="s">
        <v>15</v>
      </c>
      <c r="G34" t="s">
        <v>49</v>
      </c>
    </row>
    <row r="35" spans="1:8" x14ac:dyDescent="0.25">
      <c r="A35" s="20">
        <v>46135.40084490741</v>
      </c>
      <c r="B35" t="s">
        <v>14</v>
      </c>
      <c r="C35" t="s">
        <v>54</v>
      </c>
      <c r="D35" t="s">
        <v>18</v>
      </c>
      <c r="E35" t="s">
        <v>13</v>
      </c>
      <c r="F35" t="s">
        <v>17</v>
      </c>
      <c r="G35" t="s">
        <v>49</v>
      </c>
    </row>
    <row r="36" spans="1:8" x14ac:dyDescent="0.25">
      <c r="A36" s="20">
        <v>46135.406307870369</v>
      </c>
      <c r="B36" t="s">
        <v>14</v>
      </c>
      <c r="C36" t="s">
        <v>55</v>
      </c>
      <c r="D36" t="s">
        <v>18</v>
      </c>
      <c r="E36" t="s">
        <v>13</v>
      </c>
      <c r="F36" t="s">
        <v>15</v>
      </c>
      <c r="G36" t="s">
        <v>49</v>
      </c>
    </row>
    <row r="37" spans="1:8" x14ac:dyDescent="0.25">
      <c r="A37" s="20">
        <v>46135.427662037036</v>
      </c>
      <c r="B37" t="s">
        <v>14</v>
      </c>
      <c r="C37" t="s">
        <v>55</v>
      </c>
      <c r="D37" t="s">
        <v>18</v>
      </c>
      <c r="E37" t="s">
        <v>13</v>
      </c>
      <c r="F37" t="s">
        <v>17</v>
      </c>
      <c r="G37" t="s">
        <v>49</v>
      </c>
    </row>
    <row r="38" spans="1:8" x14ac:dyDescent="0.25">
      <c r="A38" s="20">
        <v>46135.427905092591</v>
      </c>
      <c r="B38" t="s">
        <v>14</v>
      </c>
      <c r="C38" t="s">
        <v>56</v>
      </c>
      <c r="D38" t="s">
        <v>18</v>
      </c>
      <c r="E38" t="s">
        <v>13</v>
      </c>
      <c r="F38" t="s">
        <v>15</v>
      </c>
      <c r="G38" t="s">
        <v>49</v>
      </c>
    </row>
    <row r="39" spans="1:8" x14ac:dyDescent="0.25">
      <c r="A39" s="20">
        <v>46135.475324074076</v>
      </c>
      <c r="B39" t="s">
        <v>14</v>
      </c>
      <c r="C39" t="s">
        <v>56</v>
      </c>
      <c r="D39" t="s">
        <v>18</v>
      </c>
      <c r="E39" t="s">
        <v>13</v>
      </c>
      <c r="F39" t="s">
        <v>17</v>
      </c>
      <c r="G39" t="s">
        <v>49</v>
      </c>
      <c r="H39" t="s">
        <v>51</v>
      </c>
    </row>
    <row r="40" spans="1:8" x14ac:dyDescent="0.25">
      <c r="A40" s="20">
        <v>46136.376145833332</v>
      </c>
      <c r="B40" t="s">
        <v>14</v>
      </c>
      <c r="C40" t="s">
        <v>57</v>
      </c>
      <c r="D40" t="s">
        <v>18</v>
      </c>
      <c r="E40" t="s">
        <v>13</v>
      </c>
      <c r="F40" t="s">
        <v>15</v>
      </c>
      <c r="G40" t="s">
        <v>49</v>
      </c>
    </row>
    <row r="41" spans="1:8" x14ac:dyDescent="0.25">
      <c r="A41" s="20">
        <v>46136.405578703707</v>
      </c>
      <c r="B41" t="s">
        <v>14</v>
      </c>
      <c r="C41" t="s">
        <v>57</v>
      </c>
      <c r="D41" t="s">
        <v>18</v>
      </c>
      <c r="E41" t="s">
        <v>13</v>
      </c>
      <c r="F41" t="s">
        <v>17</v>
      </c>
      <c r="G41" t="s">
        <v>49</v>
      </c>
      <c r="H41" t="s">
        <v>51</v>
      </c>
    </row>
    <row r="42" spans="1:8" x14ac:dyDescent="0.25">
      <c r="A42" s="20">
        <v>46136.405752314815</v>
      </c>
      <c r="B42" t="s">
        <v>14</v>
      </c>
      <c r="C42" t="s">
        <v>58</v>
      </c>
      <c r="D42" t="s">
        <v>18</v>
      </c>
      <c r="E42" t="s">
        <v>13</v>
      </c>
      <c r="F42" t="s">
        <v>15</v>
      </c>
      <c r="G42" t="s">
        <v>49</v>
      </c>
    </row>
    <row r="43" spans="1:8" x14ac:dyDescent="0.25">
      <c r="A43" s="20">
        <v>46136.420358796298</v>
      </c>
      <c r="B43" t="s">
        <v>14</v>
      </c>
      <c r="C43" t="s">
        <v>58</v>
      </c>
      <c r="D43" t="s">
        <v>18</v>
      </c>
      <c r="E43" t="s">
        <v>13</v>
      </c>
      <c r="F43" t="s">
        <v>59</v>
      </c>
      <c r="G43" t="s">
        <v>49</v>
      </c>
      <c r="H43" t="s">
        <v>60</v>
      </c>
    </row>
    <row r="44" spans="1:8" x14ac:dyDescent="0.25">
      <c r="A44" s="20">
        <v>46136.426423611112</v>
      </c>
      <c r="B44" t="s">
        <v>14</v>
      </c>
      <c r="C44" t="s">
        <v>62</v>
      </c>
      <c r="D44" t="s">
        <v>18</v>
      </c>
      <c r="E44" t="s">
        <v>13</v>
      </c>
      <c r="F44" t="s">
        <v>15</v>
      </c>
      <c r="G44" t="s">
        <v>49</v>
      </c>
    </row>
    <row r="45" spans="1:8" x14ac:dyDescent="0.25">
      <c r="A45" s="20">
        <v>46136.45722222222</v>
      </c>
      <c r="B45" t="s">
        <v>14</v>
      </c>
      <c r="C45" t="s">
        <v>62</v>
      </c>
      <c r="D45" t="s">
        <v>18</v>
      </c>
      <c r="E45" t="s">
        <v>13</v>
      </c>
      <c r="F45" t="s">
        <v>17</v>
      </c>
      <c r="G45" t="s">
        <v>49</v>
      </c>
      <c r="H45" t="s">
        <v>51</v>
      </c>
    </row>
    <row r="46" spans="1:8" x14ac:dyDescent="0.25">
      <c r="A46" s="20">
        <v>46136.457569444443</v>
      </c>
      <c r="B46" t="s">
        <v>14</v>
      </c>
      <c r="C46" t="s">
        <v>63</v>
      </c>
      <c r="D46" t="s">
        <v>18</v>
      </c>
      <c r="E46" t="s">
        <v>13</v>
      </c>
      <c r="F46" t="s">
        <v>15</v>
      </c>
      <c r="G46" t="s">
        <v>49</v>
      </c>
    </row>
    <row r="47" spans="1:8" x14ac:dyDescent="0.25">
      <c r="A47" s="20">
        <v>46136.554583333331</v>
      </c>
      <c r="B47" t="s">
        <v>14</v>
      </c>
      <c r="C47" t="s">
        <v>63</v>
      </c>
      <c r="D47" t="s">
        <v>18</v>
      </c>
      <c r="E47" t="s">
        <v>13</v>
      </c>
      <c r="F47" t="s">
        <v>17</v>
      </c>
      <c r="G47" t="s">
        <v>49</v>
      </c>
      <c r="H47" t="s">
        <v>51</v>
      </c>
    </row>
    <row r="48" spans="1:8" x14ac:dyDescent="0.25">
      <c r="A48" s="20">
        <v>46136.580567129633</v>
      </c>
      <c r="B48" t="s">
        <v>14</v>
      </c>
      <c r="C48" t="s">
        <v>64</v>
      </c>
      <c r="D48" t="s">
        <v>18</v>
      </c>
      <c r="E48" t="s">
        <v>13</v>
      </c>
      <c r="F48" t="s">
        <v>15</v>
      </c>
      <c r="G48" t="s">
        <v>49</v>
      </c>
    </row>
    <row r="49" spans="1:8" x14ac:dyDescent="0.25">
      <c r="A49" s="20">
        <v>46136.732974537037</v>
      </c>
      <c r="B49" t="s">
        <v>14</v>
      </c>
      <c r="C49" t="s">
        <v>64</v>
      </c>
      <c r="D49" t="s">
        <v>18</v>
      </c>
      <c r="E49" t="s">
        <v>13</v>
      </c>
      <c r="F49" t="s">
        <v>17</v>
      </c>
      <c r="G49" t="s">
        <v>49</v>
      </c>
      <c r="H49" t="s">
        <v>51</v>
      </c>
    </row>
    <row r="50" spans="1:8" x14ac:dyDescent="0.25">
      <c r="A50" s="20">
        <v>46139.378148148149</v>
      </c>
      <c r="B50" t="s">
        <v>14</v>
      </c>
      <c r="C50" t="s">
        <v>65</v>
      </c>
      <c r="D50" t="s">
        <v>18</v>
      </c>
      <c r="E50" t="s">
        <v>13</v>
      </c>
      <c r="F50" t="s">
        <v>15</v>
      </c>
      <c r="G50" t="s">
        <v>49</v>
      </c>
    </row>
    <row r="51" spans="1:8" x14ac:dyDescent="0.25">
      <c r="A51" s="20">
        <v>46139.424826388888</v>
      </c>
      <c r="B51" t="s">
        <v>14</v>
      </c>
      <c r="C51" t="s">
        <v>65</v>
      </c>
      <c r="D51" t="s">
        <v>18</v>
      </c>
      <c r="E51" t="s">
        <v>13</v>
      </c>
      <c r="F51" t="s">
        <v>17</v>
      </c>
      <c r="G51" t="s">
        <v>49</v>
      </c>
    </row>
    <row r="52" spans="1:8" x14ac:dyDescent="0.25">
      <c r="A52" s="20">
        <v>46139.426527777781</v>
      </c>
      <c r="B52" t="s">
        <v>14</v>
      </c>
      <c r="C52" t="s">
        <v>66</v>
      </c>
      <c r="D52" t="s">
        <v>18</v>
      </c>
      <c r="E52" t="s">
        <v>13</v>
      </c>
      <c r="F52" t="s">
        <v>15</v>
      </c>
      <c r="G52" t="s">
        <v>49</v>
      </c>
    </row>
    <row r="53" spans="1:8" x14ac:dyDescent="0.25">
      <c r="A53" s="20">
        <v>46139.45140046296</v>
      </c>
      <c r="B53" t="s">
        <v>14</v>
      </c>
      <c r="C53" t="s">
        <v>66</v>
      </c>
      <c r="D53" t="s">
        <v>18</v>
      </c>
      <c r="E53" t="s">
        <v>13</v>
      </c>
      <c r="F53" t="s">
        <v>17</v>
      </c>
      <c r="G53" t="s">
        <v>49</v>
      </c>
    </row>
    <row r="54" spans="1:8" x14ac:dyDescent="0.25">
      <c r="A54" s="20">
        <v>46139.451689814814</v>
      </c>
      <c r="B54" t="s">
        <v>14</v>
      </c>
      <c r="C54" t="s">
        <v>67</v>
      </c>
      <c r="D54" t="s">
        <v>18</v>
      </c>
      <c r="E54" t="s">
        <v>13</v>
      </c>
      <c r="F54" t="s">
        <v>15</v>
      </c>
      <c r="G54" t="s">
        <v>49</v>
      </c>
    </row>
    <row r="55" spans="1:8" x14ac:dyDescent="0.25">
      <c r="A55" s="20">
        <v>46139.483599537038</v>
      </c>
      <c r="B55" t="s">
        <v>14</v>
      </c>
      <c r="C55" t="s">
        <v>67</v>
      </c>
      <c r="D55" t="s">
        <v>18</v>
      </c>
      <c r="E55" t="s">
        <v>13</v>
      </c>
      <c r="F55" t="s">
        <v>17</v>
      </c>
      <c r="G55" t="s">
        <v>49</v>
      </c>
    </row>
    <row r="56" spans="1:8" x14ac:dyDescent="0.25">
      <c r="A56" s="20">
        <v>46140.378912037035</v>
      </c>
      <c r="B56" t="s">
        <v>14</v>
      </c>
      <c r="C56" t="s">
        <v>68</v>
      </c>
      <c r="D56" t="s">
        <v>18</v>
      </c>
      <c r="E56" t="s">
        <v>13</v>
      </c>
      <c r="F56" t="s">
        <v>15</v>
      </c>
      <c r="G56" t="s">
        <v>49</v>
      </c>
    </row>
    <row r="57" spans="1:8" x14ac:dyDescent="0.25">
      <c r="A57" s="20">
        <v>46140.412766203706</v>
      </c>
      <c r="B57" t="s">
        <v>14</v>
      </c>
      <c r="C57" t="s">
        <v>68</v>
      </c>
      <c r="D57" t="s">
        <v>18</v>
      </c>
      <c r="E57" t="s">
        <v>13</v>
      </c>
      <c r="F57" t="s">
        <v>17</v>
      </c>
      <c r="G57" t="s">
        <v>49</v>
      </c>
    </row>
    <row r="58" spans="1:8" x14ac:dyDescent="0.25">
      <c r="A58" s="20">
        <v>46140.413263888891</v>
      </c>
      <c r="B58" t="s">
        <v>14</v>
      </c>
      <c r="C58" t="s">
        <v>69</v>
      </c>
      <c r="D58" t="s">
        <v>18</v>
      </c>
      <c r="E58" t="s">
        <v>13</v>
      </c>
      <c r="F58" t="s">
        <v>15</v>
      </c>
      <c r="G58" t="s">
        <v>49</v>
      </c>
    </row>
    <row r="59" spans="1:8" x14ac:dyDescent="0.25">
      <c r="A59" s="20">
        <v>46140.712002314816</v>
      </c>
      <c r="B59" t="s">
        <v>14</v>
      </c>
      <c r="C59" t="s">
        <v>69</v>
      </c>
      <c r="D59" t="s">
        <v>18</v>
      </c>
      <c r="E59" t="s">
        <v>13</v>
      </c>
      <c r="F59" t="s">
        <v>17</v>
      </c>
      <c r="G59" t="s">
        <v>49</v>
      </c>
    </row>
    <row r="60" spans="1:8" x14ac:dyDescent="0.25">
      <c r="A60" s="20">
        <v>46140.712731481479</v>
      </c>
      <c r="B60" t="s">
        <v>14</v>
      </c>
      <c r="C60" t="s">
        <v>70</v>
      </c>
      <c r="D60" t="s">
        <v>18</v>
      </c>
      <c r="E60" t="s">
        <v>13</v>
      </c>
      <c r="F60" t="s">
        <v>15</v>
      </c>
      <c r="G60" t="s">
        <v>49</v>
      </c>
    </row>
    <row r="61" spans="1:8" x14ac:dyDescent="0.25">
      <c r="A61" s="20">
        <v>46140.753738425927</v>
      </c>
      <c r="B61" t="s">
        <v>14</v>
      </c>
      <c r="C61" t="s">
        <v>70</v>
      </c>
      <c r="D61" t="s">
        <v>18</v>
      </c>
      <c r="E61" t="s">
        <v>13</v>
      </c>
      <c r="F61" t="s">
        <v>17</v>
      </c>
      <c r="G61" t="s">
        <v>49</v>
      </c>
    </row>
    <row r="62" spans="1:8" x14ac:dyDescent="0.25">
      <c r="A62" s="20">
        <v>46140.754756944443</v>
      </c>
      <c r="B62" t="s">
        <v>14</v>
      </c>
      <c r="C62" t="s">
        <v>71</v>
      </c>
      <c r="D62" t="s">
        <v>18</v>
      </c>
      <c r="E62" t="s">
        <v>13</v>
      </c>
      <c r="F62" t="s">
        <v>15</v>
      </c>
      <c r="G62" t="s">
        <v>49</v>
      </c>
    </row>
    <row r="63" spans="1:8" x14ac:dyDescent="0.25">
      <c r="A63" s="20">
        <v>46140.766724537039</v>
      </c>
      <c r="B63" t="s">
        <v>14</v>
      </c>
      <c r="C63" t="s">
        <v>71</v>
      </c>
      <c r="D63" t="s">
        <v>18</v>
      </c>
      <c r="E63" t="s">
        <v>13</v>
      </c>
      <c r="F63" t="s">
        <v>17</v>
      </c>
      <c r="G63" t="s">
        <v>49</v>
      </c>
    </row>
    <row r="64" spans="1:8" x14ac:dyDescent="0.25">
      <c r="A64" s="20">
        <v>46141.381064814814</v>
      </c>
      <c r="B64" t="s">
        <v>14</v>
      </c>
      <c r="C64" t="s">
        <v>72</v>
      </c>
      <c r="D64" t="s">
        <v>18</v>
      </c>
      <c r="E64" t="s">
        <v>13</v>
      </c>
      <c r="F64" t="s">
        <v>15</v>
      </c>
      <c r="G64" t="s">
        <v>49</v>
      </c>
    </row>
    <row r="65" spans="1:8" x14ac:dyDescent="0.25">
      <c r="A65" s="20">
        <v>46141.414293981485</v>
      </c>
      <c r="B65" t="s">
        <v>14</v>
      </c>
      <c r="C65" t="s">
        <v>72</v>
      </c>
      <c r="D65" t="s">
        <v>18</v>
      </c>
      <c r="E65" t="s">
        <v>13</v>
      </c>
      <c r="F65" t="s">
        <v>17</v>
      </c>
      <c r="G65" t="s">
        <v>49</v>
      </c>
    </row>
    <row r="66" spans="1:8" x14ac:dyDescent="0.25">
      <c r="A66" s="20">
        <v>46141.414675925924</v>
      </c>
      <c r="B66" t="s">
        <v>14</v>
      </c>
      <c r="C66" t="s">
        <v>73</v>
      </c>
      <c r="D66" t="s">
        <v>18</v>
      </c>
      <c r="E66" t="s">
        <v>13</v>
      </c>
      <c r="F66" t="s">
        <v>15</v>
      </c>
      <c r="G66" t="s">
        <v>49</v>
      </c>
    </row>
    <row r="67" spans="1:8" x14ac:dyDescent="0.25">
      <c r="A67" s="20">
        <v>46141.438738425924</v>
      </c>
      <c r="B67" t="s">
        <v>14</v>
      </c>
      <c r="C67" t="s">
        <v>73</v>
      </c>
      <c r="D67" t="s">
        <v>18</v>
      </c>
      <c r="E67" t="s">
        <v>13</v>
      </c>
      <c r="F67" t="s">
        <v>17</v>
      </c>
      <c r="G67" t="s">
        <v>49</v>
      </c>
    </row>
    <row r="68" spans="1:8" x14ac:dyDescent="0.25">
      <c r="A68" s="20">
        <v>46141.439351851855</v>
      </c>
      <c r="B68" t="s">
        <v>14</v>
      </c>
      <c r="C68" t="s">
        <v>74</v>
      </c>
      <c r="D68" t="s">
        <v>18</v>
      </c>
      <c r="E68" t="s">
        <v>13</v>
      </c>
      <c r="F68" t="s">
        <v>15</v>
      </c>
      <c r="G68" t="s">
        <v>49</v>
      </c>
    </row>
    <row r="69" spans="1:8" x14ac:dyDescent="0.25">
      <c r="A69" s="20">
        <v>46141.459641203706</v>
      </c>
      <c r="B69" t="s">
        <v>14</v>
      </c>
      <c r="C69" t="s">
        <v>74</v>
      </c>
      <c r="D69" t="s">
        <v>18</v>
      </c>
      <c r="E69" t="s">
        <v>13</v>
      </c>
      <c r="F69" t="s">
        <v>17</v>
      </c>
      <c r="G69" t="s">
        <v>49</v>
      </c>
      <c r="H69" t="s">
        <v>51</v>
      </c>
    </row>
    <row r="70" spans="1:8" x14ac:dyDescent="0.25">
      <c r="A70" s="20">
        <v>46141.459965277776</v>
      </c>
      <c r="B70" t="s">
        <v>14</v>
      </c>
      <c r="C70" t="s">
        <v>75</v>
      </c>
      <c r="D70" t="s">
        <v>18</v>
      </c>
      <c r="E70" t="s">
        <v>13</v>
      </c>
      <c r="F70" t="s">
        <v>15</v>
      </c>
      <c r="G70" t="s">
        <v>49</v>
      </c>
    </row>
    <row r="71" spans="1:8" x14ac:dyDescent="0.25">
      <c r="A71" s="20">
        <v>46141.504791666666</v>
      </c>
      <c r="B71" t="s">
        <v>14</v>
      </c>
      <c r="C71" t="s">
        <v>75</v>
      </c>
      <c r="D71" t="s">
        <v>18</v>
      </c>
      <c r="E71" t="s">
        <v>13</v>
      </c>
      <c r="F71" t="s">
        <v>17</v>
      </c>
      <c r="G71" t="s">
        <v>49</v>
      </c>
    </row>
    <row r="72" spans="1:8" x14ac:dyDescent="0.25">
      <c r="A72" s="20">
        <v>46142.384930555556</v>
      </c>
      <c r="B72" t="s">
        <v>14</v>
      </c>
      <c r="C72" t="s">
        <v>76</v>
      </c>
      <c r="D72" t="s">
        <v>18</v>
      </c>
      <c r="E72" t="s">
        <v>13</v>
      </c>
      <c r="F72" t="s">
        <v>15</v>
      </c>
      <c r="G72" t="s">
        <v>49</v>
      </c>
    </row>
    <row r="73" spans="1:8" x14ac:dyDescent="0.25">
      <c r="A73" s="20">
        <v>46142.518206018518</v>
      </c>
      <c r="B73" t="s">
        <v>14</v>
      </c>
      <c r="C73" t="s">
        <v>76</v>
      </c>
      <c r="D73" t="s">
        <v>18</v>
      </c>
      <c r="E73" t="s">
        <v>13</v>
      </c>
      <c r="F73" t="s">
        <v>17</v>
      </c>
      <c r="G73" t="s">
        <v>49</v>
      </c>
    </row>
    <row r="74" spans="1:8" x14ac:dyDescent="0.25">
      <c r="A74" s="20">
        <v>46142.518819444442</v>
      </c>
      <c r="B74" t="s">
        <v>14</v>
      </c>
      <c r="C74" t="s">
        <v>77</v>
      </c>
      <c r="D74" t="s">
        <v>18</v>
      </c>
      <c r="E74" t="s">
        <v>13</v>
      </c>
      <c r="F74" t="s">
        <v>15</v>
      </c>
      <c r="G74" t="s">
        <v>49</v>
      </c>
    </row>
    <row r="75" spans="1:8" x14ac:dyDescent="0.25">
      <c r="A75" s="20">
        <v>46142.667569444442</v>
      </c>
      <c r="B75" t="s">
        <v>14</v>
      </c>
      <c r="C75" t="s">
        <v>77</v>
      </c>
      <c r="D75" t="s">
        <v>18</v>
      </c>
      <c r="E75" t="s">
        <v>13</v>
      </c>
      <c r="F75" t="s">
        <v>17</v>
      </c>
      <c r="G75" t="s">
        <v>49</v>
      </c>
    </row>
    <row r="76" spans="1:8" x14ac:dyDescent="0.25">
      <c r="A76" s="20">
        <v>46146.376122685186</v>
      </c>
      <c r="B76" t="s">
        <v>14</v>
      </c>
      <c r="C76" t="s">
        <v>79</v>
      </c>
      <c r="D76" t="s">
        <v>18</v>
      </c>
      <c r="E76" t="s">
        <v>13</v>
      </c>
      <c r="F76" t="s">
        <v>15</v>
      </c>
      <c r="G76" t="s">
        <v>49</v>
      </c>
    </row>
    <row r="77" spans="1:8" x14ac:dyDescent="0.25">
      <c r="A77" s="20">
        <v>46146.636365740742</v>
      </c>
      <c r="B77" t="s">
        <v>14</v>
      </c>
      <c r="C77" t="s">
        <v>79</v>
      </c>
      <c r="D77" t="s">
        <v>18</v>
      </c>
      <c r="E77" t="s">
        <v>13</v>
      </c>
      <c r="F77" t="s">
        <v>17</v>
      </c>
      <c r="G77" t="s">
        <v>49</v>
      </c>
    </row>
    <row r="78" spans="1:8" x14ac:dyDescent="0.25">
      <c r="A78" s="20">
        <v>46146.636805555558</v>
      </c>
      <c r="B78" t="s">
        <v>14</v>
      </c>
      <c r="C78" t="s">
        <v>80</v>
      </c>
      <c r="D78" t="s">
        <v>18</v>
      </c>
      <c r="E78" t="s">
        <v>13</v>
      </c>
      <c r="F78" t="s">
        <v>15</v>
      </c>
      <c r="G78" t="s">
        <v>49</v>
      </c>
    </row>
    <row r="79" spans="1:8" x14ac:dyDescent="0.25">
      <c r="A79" s="20">
        <v>46146.737129629626</v>
      </c>
      <c r="B79" s="18" t="s">
        <v>14</v>
      </c>
      <c r="C79" s="18" t="s">
        <v>80</v>
      </c>
      <c r="D79" s="18" t="s">
        <v>18</v>
      </c>
      <c r="E79" s="18" t="s">
        <v>13</v>
      </c>
      <c r="F79" s="18" t="s">
        <v>17</v>
      </c>
      <c r="G79" s="18" t="s">
        <v>49</v>
      </c>
    </row>
    <row r="80" spans="1:8" x14ac:dyDescent="0.25">
      <c r="A80" s="20">
        <v>46147.407789351855</v>
      </c>
      <c r="B80" s="18" t="s">
        <v>14</v>
      </c>
      <c r="C80" s="18" t="s">
        <v>81</v>
      </c>
      <c r="D80" s="18" t="s">
        <v>18</v>
      </c>
      <c r="E80" s="18" t="s">
        <v>13</v>
      </c>
      <c r="F80" s="18" t="s">
        <v>15</v>
      </c>
      <c r="G80" s="18" t="s">
        <v>49</v>
      </c>
    </row>
    <row r="81" spans="1:7" x14ac:dyDescent="0.25">
      <c r="A81" s="20">
        <v>46147.57571759259</v>
      </c>
      <c r="B81" t="s">
        <v>14</v>
      </c>
      <c r="C81" t="s">
        <v>81</v>
      </c>
      <c r="D81" t="s">
        <v>18</v>
      </c>
      <c r="E81" t="s">
        <v>13</v>
      </c>
      <c r="F81" t="s">
        <v>17</v>
      </c>
      <c r="G81" t="s">
        <v>49</v>
      </c>
    </row>
    <row r="82" spans="1:7" x14ac:dyDescent="0.25">
      <c r="A82" s="20">
        <v>46147.575972222221</v>
      </c>
      <c r="B82" t="s">
        <v>14</v>
      </c>
      <c r="C82" t="s">
        <v>82</v>
      </c>
      <c r="D82" t="s">
        <v>18</v>
      </c>
      <c r="E82" t="s">
        <v>13</v>
      </c>
      <c r="F82" t="s">
        <v>15</v>
      </c>
      <c r="G82" t="s">
        <v>49</v>
      </c>
    </row>
    <row r="83" spans="1:7" x14ac:dyDescent="0.25">
      <c r="A83" s="20">
        <v>46147.711747685185</v>
      </c>
      <c r="B83" t="s">
        <v>14</v>
      </c>
      <c r="C83" t="s">
        <v>82</v>
      </c>
      <c r="D83" t="s">
        <v>18</v>
      </c>
      <c r="E83" t="s">
        <v>13</v>
      </c>
      <c r="F83" t="s">
        <v>17</v>
      </c>
      <c r="G83" t="s">
        <v>49</v>
      </c>
    </row>
    <row r="84" spans="1:7" x14ac:dyDescent="0.25">
      <c r="A84" s="20">
        <v>46148.378888888888</v>
      </c>
      <c r="B84" t="s">
        <v>14</v>
      </c>
      <c r="C84" t="s">
        <v>83</v>
      </c>
      <c r="D84" t="s">
        <v>18</v>
      </c>
      <c r="E84" t="s">
        <v>13</v>
      </c>
      <c r="F84" t="s">
        <v>15</v>
      </c>
      <c r="G84" t="s">
        <v>49</v>
      </c>
    </row>
    <row r="85" spans="1:7" x14ac:dyDescent="0.25">
      <c r="A85" s="20">
        <v>46148.486064814817</v>
      </c>
      <c r="B85" t="s">
        <v>14</v>
      </c>
      <c r="C85" t="s">
        <v>83</v>
      </c>
      <c r="D85" t="s">
        <v>18</v>
      </c>
      <c r="E85" t="s">
        <v>13</v>
      </c>
      <c r="F85" t="s">
        <v>17</v>
      </c>
      <c r="G85" t="s">
        <v>49</v>
      </c>
    </row>
    <row r="86" spans="1:7" x14ac:dyDescent="0.25">
      <c r="A86" s="20">
        <v>46148.486620370371</v>
      </c>
      <c r="B86" t="s">
        <v>14</v>
      </c>
      <c r="C86" t="s">
        <v>84</v>
      </c>
      <c r="D86" t="s">
        <v>18</v>
      </c>
      <c r="E86" t="s">
        <v>13</v>
      </c>
      <c r="F86" t="s">
        <v>15</v>
      </c>
      <c r="G86" t="s">
        <v>49</v>
      </c>
    </row>
    <row r="87" spans="1:7" x14ac:dyDescent="0.25">
      <c r="A87" s="20">
        <v>46148.749016203707</v>
      </c>
      <c r="B87" t="s">
        <v>14</v>
      </c>
      <c r="C87" t="s">
        <v>84</v>
      </c>
      <c r="D87" t="s">
        <v>18</v>
      </c>
      <c r="E87" t="s">
        <v>13</v>
      </c>
      <c r="F87" t="s">
        <v>17</v>
      </c>
      <c r="G87" t="s">
        <v>49</v>
      </c>
    </row>
    <row r="88" spans="1:7" x14ac:dyDescent="0.25">
      <c r="A88" s="20">
        <v>46149.376134259262</v>
      </c>
      <c r="B88" t="s">
        <v>14</v>
      </c>
      <c r="C88" t="s">
        <v>85</v>
      </c>
      <c r="D88" t="s">
        <v>18</v>
      </c>
      <c r="E88" t="s">
        <v>13</v>
      </c>
      <c r="F88" t="s">
        <v>15</v>
      </c>
      <c r="G88" t="s">
        <v>49</v>
      </c>
    </row>
    <row r="89" spans="1:7" x14ac:dyDescent="0.25">
      <c r="A89" s="20">
        <v>46149.378888888888</v>
      </c>
      <c r="B89" t="s">
        <v>14</v>
      </c>
      <c r="C89" t="s">
        <v>85</v>
      </c>
      <c r="D89" t="s">
        <v>18</v>
      </c>
      <c r="E89" t="s">
        <v>13</v>
      </c>
      <c r="F89" t="s">
        <v>17</v>
      </c>
      <c r="G89" t="s">
        <v>49</v>
      </c>
    </row>
    <row r="90" spans="1:7" x14ac:dyDescent="0.25">
      <c r="A90" s="20">
        <v>46149.379247685189</v>
      </c>
      <c r="B90" t="s">
        <v>14</v>
      </c>
      <c r="C90" t="s">
        <v>86</v>
      </c>
      <c r="D90" t="s">
        <v>18</v>
      </c>
      <c r="E90" t="s">
        <v>13</v>
      </c>
      <c r="F90" t="s">
        <v>15</v>
      </c>
      <c r="G90" t="s">
        <v>49</v>
      </c>
    </row>
    <row r="91" spans="1:7" x14ac:dyDescent="0.25">
      <c r="A91" s="20">
        <v>46149.379432870373</v>
      </c>
      <c r="B91" t="s">
        <v>14</v>
      </c>
      <c r="C91" t="s">
        <v>86</v>
      </c>
      <c r="D91" t="s">
        <v>18</v>
      </c>
      <c r="E91" t="s">
        <v>13</v>
      </c>
      <c r="F91" t="s">
        <v>17</v>
      </c>
      <c r="G91" t="s">
        <v>49</v>
      </c>
    </row>
    <row r="92" spans="1:7" x14ac:dyDescent="0.25">
      <c r="A92" s="20">
        <v>46153.375740740739</v>
      </c>
      <c r="B92" t="s">
        <v>14</v>
      </c>
      <c r="C92" t="s">
        <v>87</v>
      </c>
      <c r="D92" t="s">
        <v>18</v>
      </c>
      <c r="E92" t="s">
        <v>13</v>
      </c>
      <c r="F92" t="s">
        <v>15</v>
      </c>
      <c r="G92" t="s">
        <v>49</v>
      </c>
    </row>
    <row r="93" spans="1:7" x14ac:dyDescent="0.25">
      <c r="A93" s="20">
        <v>46153.387384259258</v>
      </c>
      <c r="B93" t="s">
        <v>14</v>
      </c>
      <c r="C93" t="s">
        <v>87</v>
      </c>
      <c r="D93" t="s">
        <v>18</v>
      </c>
      <c r="E93" t="s">
        <v>13</v>
      </c>
      <c r="F93" t="s">
        <v>17</v>
      </c>
      <c r="G93" t="s">
        <v>49</v>
      </c>
    </row>
    <row r="94" spans="1:7" x14ac:dyDescent="0.25">
      <c r="A94" s="20">
        <v>46153.388368055559</v>
      </c>
      <c r="B94" t="s">
        <v>14</v>
      </c>
      <c r="C94" t="s">
        <v>88</v>
      </c>
      <c r="D94" t="s">
        <v>18</v>
      </c>
      <c r="E94" t="s">
        <v>13</v>
      </c>
      <c r="F94" t="s">
        <v>15</v>
      </c>
      <c r="G94" t="s">
        <v>49</v>
      </c>
    </row>
    <row r="95" spans="1:7" x14ac:dyDescent="0.25">
      <c r="A95" s="20">
        <v>46153.566574074073</v>
      </c>
      <c r="B95" t="s">
        <v>14</v>
      </c>
      <c r="C95" t="s">
        <v>88</v>
      </c>
      <c r="D95" t="s">
        <v>18</v>
      </c>
      <c r="E95" t="s">
        <v>13</v>
      </c>
      <c r="F95" t="s">
        <v>17</v>
      </c>
      <c r="G95" t="s">
        <v>49</v>
      </c>
    </row>
    <row r="96" spans="1:7" x14ac:dyDescent="0.25">
      <c r="A96" s="20">
        <v>46154.376956018517</v>
      </c>
      <c r="B96" t="s">
        <v>14</v>
      </c>
      <c r="C96" t="s">
        <v>89</v>
      </c>
      <c r="D96" t="s">
        <v>18</v>
      </c>
      <c r="E96" t="s">
        <v>13</v>
      </c>
      <c r="F96" t="s">
        <v>15</v>
      </c>
      <c r="G96" t="s">
        <v>49</v>
      </c>
    </row>
    <row r="97" spans="1:8" x14ac:dyDescent="0.25">
      <c r="A97" s="20">
        <v>46154.556134259263</v>
      </c>
      <c r="B97" t="s">
        <v>14</v>
      </c>
      <c r="C97" t="s">
        <v>89</v>
      </c>
      <c r="D97" t="s">
        <v>18</v>
      </c>
      <c r="E97" t="s">
        <v>13</v>
      </c>
      <c r="F97" t="s">
        <v>17</v>
      </c>
      <c r="G97" t="s">
        <v>49</v>
      </c>
    </row>
    <row r="98" spans="1:8" x14ac:dyDescent="0.25">
      <c r="A98" s="20">
        <v>46154.556689814817</v>
      </c>
      <c r="B98" t="s">
        <v>14</v>
      </c>
      <c r="C98" t="s">
        <v>90</v>
      </c>
      <c r="D98" t="s">
        <v>18</v>
      </c>
      <c r="E98" t="s">
        <v>13</v>
      </c>
      <c r="F98" t="s">
        <v>15</v>
      </c>
      <c r="G98" t="s">
        <v>49</v>
      </c>
    </row>
    <row r="99" spans="1:8" x14ac:dyDescent="0.25">
      <c r="A99" s="20">
        <v>46154.710196759261</v>
      </c>
      <c r="B99" t="s">
        <v>14</v>
      </c>
      <c r="C99" t="s">
        <v>90</v>
      </c>
      <c r="D99" t="s">
        <v>18</v>
      </c>
      <c r="E99" t="s">
        <v>13</v>
      </c>
      <c r="F99" t="s">
        <v>17</v>
      </c>
      <c r="G99" t="s">
        <v>49</v>
      </c>
    </row>
    <row r="100" spans="1:8" x14ac:dyDescent="0.25">
      <c r="A100" s="20">
        <v>46160.405717592592</v>
      </c>
      <c r="B100" t="s">
        <v>14</v>
      </c>
      <c r="C100" t="s">
        <v>50</v>
      </c>
      <c r="D100" t="s">
        <v>18</v>
      </c>
      <c r="E100" t="s">
        <v>13</v>
      </c>
      <c r="F100" t="s">
        <v>15</v>
      </c>
      <c r="G100" s="18" t="s">
        <v>49</v>
      </c>
    </row>
    <row r="101" spans="1:8" x14ac:dyDescent="0.25">
      <c r="A101" s="20">
        <v>46160.457673611112</v>
      </c>
      <c r="B101" t="s">
        <v>14</v>
      </c>
      <c r="C101" t="s">
        <v>50</v>
      </c>
      <c r="D101" t="s">
        <v>18</v>
      </c>
      <c r="E101" t="s">
        <v>13</v>
      </c>
      <c r="F101" t="s">
        <v>17</v>
      </c>
      <c r="G101" t="s">
        <v>49</v>
      </c>
    </row>
    <row r="102" spans="1:8" x14ac:dyDescent="0.25">
      <c r="A102" s="20">
        <v>46160.476909722223</v>
      </c>
      <c r="B102" t="s">
        <v>14</v>
      </c>
      <c r="C102" t="s">
        <v>56</v>
      </c>
      <c r="D102" t="s">
        <v>18</v>
      </c>
      <c r="E102" t="s">
        <v>13</v>
      </c>
      <c r="F102" t="s">
        <v>15</v>
      </c>
      <c r="G102" t="s">
        <v>49</v>
      </c>
    </row>
    <row r="103" spans="1:8" x14ac:dyDescent="0.25">
      <c r="A103" s="20">
        <v>46161.404722222222</v>
      </c>
      <c r="B103" t="s">
        <v>14</v>
      </c>
      <c r="C103" t="s">
        <v>56</v>
      </c>
      <c r="D103" t="s">
        <v>18</v>
      </c>
      <c r="E103" t="s">
        <v>13</v>
      </c>
      <c r="F103" t="s">
        <v>17</v>
      </c>
      <c r="G103" t="s">
        <v>49</v>
      </c>
    </row>
    <row r="104" spans="1:8" x14ac:dyDescent="0.25">
      <c r="A104" s="20">
        <v>46175.556134259263</v>
      </c>
      <c r="B104" t="s">
        <v>14</v>
      </c>
      <c r="C104" t="s">
        <v>91</v>
      </c>
      <c r="D104" t="s">
        <v>92</v>
      </c>
      <c r="E104" t="s">
        <v>13</v>
      </c>
      <c r="F104" t="s">
        <v>15</v>
      </c>
      <c r="G104" t="s">
        <v>93</v>
      </c>
    </row>
    <row r="105" spans="1:8" x14ac:dyDescent="0.25">
      <c r="A105" s="20">
        <v>46175.73773148148</v>
      </c>
      <c r="B105" t="s">
        <v>14</v>
      </c>
      <c r="C105" t="s">
        <v>91</v>
      </c>
      <c r="D105" t="s">
        <v>92</v>
      </c>
      <c r="E105" t="s">
        <v>13</v>
      </c>
      <c r="F105" t="s">
        <v>17</v>
      </c>
      <c r="G105" t="s">
        <v>93</v>
      </c>
    </row>
    <row r="106" spans="1:8" x14ac:dyDescent="0.25">
      <c r="A106" s="20">
        <v>46176.392534722225</v>
      </c>
      <c r="B106" t="s">
        <v>14</v>
      </c>
      <c r="C106" t="s">
        <v>94</v>
      </c>
      <c r="D106" t="s">
        <v>92</v>
      </c>
      <c r="E106" t="s">
        <v>13</v>
      </c>
      <c r="F106" t="s">
        <v>15</v>
      </c>
      <c r="G106" t="s">
        <v>93</v>
      </c>
    </row>
    <row r="107" spans="1:8" x14ac:dyDescent="0.25">
      <c r="A107" s="20">
        <v>46177.380590277775</v>
      </c>
      <c r="B107" t="s">
        <v>14</v>
      </c>
      <c r="C107" t="s">
        <v>94</v>
      </c>
      <c r="D107" t="s">
        <v>92</v>
      </c>
      <c r="E107" t="s">
        <v>13</v>
      </c>
      <c r="F107" t="s">
        <v>59</v>
      </c>
      <c r="G107" t="s">
        <v>93</v>
      </c>
      <c r="H107" t="s">
        <v>95</v>
      </c>
    </row>
    <row r="108" spans="1:8" x14ac:dyDescent="0.25">
      <c r="A108" s="20">
        <v>46181.389004629629</v>
      </c>
      <c r="B108" t="s">
        <v>14</v>
      </c>
      <c r="C108" t="s">
        <v>96</v>
      </c>
      <c r="D108" t="s">
        <v>97</v>
      </c>
      <c r="E108" t="s">
        <v>13</v>
      </c>
      <c r="F108" t="s">
        <v>15</v>
      </c>
      <c r="G108" t="s">
        <v>98</v>
      </c>
    </row>
    <row r="109" spans="1:8" x14ac:dyDescent="0.25">
      <c r="A109" s="20">
        <v>46181.510150462964</v>
      </c>
      <c r="B109" t="s">
        <v>14</v>
      </c>
      <c r="C109" t="s">
        <v>96</v>
      </c>
      <c r="D109" t="s">
        <v>97</v>
      </c>
      <c r="E109" t="s">
        <v>13</v>
      </c>
      <c r="F109" t="s">
        <v>59</v>
      </c>
      <c r="G109" t="s">
        <v>98</v>
      </c>
      <c r="H109" t="s">
        <v>99</v>
      </c>
    </row>
    <row r="110" spans="1:8" x14ac:dyDescent="0.25">
      <c r="A110" s="20">
        <v>46181.510763888888</v>
      </c>
      <c r="B110" t="s">
        <v>14</v>
      </c>
      <c r="C110" t="s">
        <v>100</v>
      </c>
      <c r="D110" t="s">
        <v>97</v>
      </c>
      <c r="E110" t="s">
        <v>13</v>
      </c>
      <c r="F110" t="s">
        <v>15</v>
      </c>
      <c r="G110" t="s">
        <v>98</v>
      </c>
    </row>
    <row r="111" spans="1:8" x14ac:dyDescent="0.25">
      <c r="A111" s="20">
        <v>46181.713553240741</v>
      </c>
      <c r="B111" t="s">
        <v>14</v>
      </c>
      <c r="C111" t="s">
        <v>100</v>
      </c>
      <c r="D111" t="s">
        <v>97</v>
      </c>
      <c r="E111" t="s">
        <v>13</v>
      </c>
      <c r="F111" t="s">
        <v>59</v>
      </c>
      <c r="G111" t="s">
        <v>98</v>
      </c>
      <c r="H111" t="s">
        <v>99</v>
      </c>
    </row>
    <row r="112" spans="1:8" x14ac:dyDescent="0.25">
      <c r="A112" s="20">
        <v>46182.50409722222</v>
      </c>
      <c r="B112" t="s">
        <v>14</v>
      </c>
      <c r="C112" t="s">
        <v>102</v>
      </c>
      <c r="D112" t="s">
        <v>103</v>
      </c>
      <c r="E112" t="s">
        <v>13</v>
      </c>
      <c r="F112" t="s">
        <v>15</v>
      </c>
      <c r="G112" t="s">
        <v>104</v>
      </c>
    </row>
    <row r="113" spans="1:7" x14ac:dyDescent="0.25">
      <c r="A113" s="20">
        <v>46182.634004629632</v>
      </c>
      <c r="B113" t="s">
        <v>14</v>
      </c>
      <c r="C113" t="s">
        <v>102</v>
      </c>
      <c r="D113" t="s">
        <v>103</v>
      </c>
      <c r="E113" t="s">
        <v>13</v>
      </c>
      <c r="F113" t="s">
        <v>17</v>
      </c>
      <c r="G113" t="s">
        <v>104</v>
      </c>
    </row>
    <row r="114" spans="1:7" x14ac:dyDescent="0.25">
      <c r="A114" s="20">
        <v>46182.635347222225</v>
      </c>
      <c r="B114" t="s">
        <v>14</v>
      </c>
      <c r="C114" t="s">
        <v>105</v>
      </c>
      <c r="D114" t="s">
        <v>103</v>
      </c>
      <c r="E114" t="s">
        <v>13</v>
      </c>
      <c r="F114" t="s">
        <v>15</v>
      </c>
      <c r="G114" t="s">
        <v>104</v>
      </c>
    </row>
    <row r="115" spans="1:7" x14ac:dyDescent="0.25">
      <c r="A115" s="20">
        <v>46183.390636574077</v>
      </c>
      <c r="B115" t="s">
        <v>14</v>
      </c>
      <c r="C115" t="s">
        <v>105</v>
      </c>
      <c r="D115" t="s">
        <v>103</v>
      </c>
      <c r="E115" t="s">
        <v>13</v>
      </c>
      <c r="F115" t="s">
        <v>17</v>
      </c>
      <c r="G115" t="s">
        <v>104</v>
      </c>
    </row>
    <row r="116" spans="1:7" x14ac:dyDescent="0.25">
      <c r="A116" s="20">
        <v>46183.393958333334</v>
      </c>
      <c r="B116" t="s">
        <v>14</v>
      </c>
      <c r="C116" t="s">
        <v>106</v>
      </c>
      <c r="D116" t="s">
        <v>103</v>
      </c>
      <c r="E116" t="s">
        <v>13</v>
      </c>
      <c r="F116" t="s">
        <v>15</v>
      </c>
      <c r="G116" t="s">
        <v>104</v>
      </c>
    </row>
    <row r="117" spans="1:7" x14ac:dyDescent="0.25">
      <c r="A117" s="20">
        <v>46183.656064814815</v>
      </c>
      <c r="B117" t="s">
        <v>14</v>
      </c>
      <c r="C117" t="s">
        <v>106</v>
      </c>
      <c r="D117" t="s">
        <v>103</v>
      </c>
      <c r="E117" t="s">
        <v>13</v>
      </c>
      <c r="F117" t="s">
        <v>17</v>
      </c>
      <c r="G117" t="s">
        <v>104</v>
      </c>
    </row>
    <row r="118" spans="1:7" x14ac:dyDescent="0.25">
      <c r="A118" s="20">
        <v>46183.656689814816</v>
      </c>
      <c r="B118" t="s">
        <v>14</v>
      </c>
      <c r="C118" t="s">
        <v>107</v>
      </c>
      <c r="D118" t="s">
        <v>103</v>
      </c>
      <c r="E118" t="s">
        <v>13</v>
      </c>
      <c r="F118" t="s">
        <v>15</v>
      </c>
      <c r="G118" t="s">
        <v>104</v>
      </c>
    </row>
    <row r="119" spans="1:7" x14ac:dyDescent="0.25">
      <c r="A119" s="20">
        <v>46183.754814814813</v>
      </c>
      <c r="B119" t="s">
        <v>14</v>
      </c>
      <c r="C119" t="s">
        <v>107</v>
      </c>
      <c r="D119" t="s">
        <v>103</v>
      </c>
      <c r="E119" t="s">
        <v>13</v>
      </c>
      <c r="F119" t="s">
        <v>17</v>
      </c>
      <c r="G119" t="s">
        <v>104</v>
      </c>
    </row>
    <row r="120" spans="1:7" x14ac:dyDescent="0.25">
      <c r="A120" s="20">
        <v>46184.392418981479</v>
      </c>
      <c r="B120" t="s">
        <v>14</v>
      </c>
      <c r="C120" t="s">
        <v>108</v>
      </c>
      <c r="D120" t="s">
        <v>103</v>
      </c>
      <c r="E120" t="s">
        <v>13</v>
      </c>
      <c r="F120" t="s">
        <v>15</v>
      </c>
      <c r="G120" t="s">
        <v>104</v>
      </c>
    </row>
    <row r="121" spans="1:7" x14ac:dyDescent="0.25">
      <c r="A121" s="20">
        <v>46184.552222222221</v>
      </c>
      <c r="B121" t="s">
        <v>14</v>
      </c>
      <c r="C121" t="s">
        <v>108</v>
      </c>
      <c r="D121" t="s">
        <v>103</v>
      </c>
      <c r="E121" t="s">
        <v>13</v>
      </c>
      <c r="F121" t="s">
        <v>17</v>
      </c>
      <c r="G121" t="s">
        <v>104</v>
      </c>
    </row>
    <row r="122" spans="1:7" x14ac:dyDescent="0.25">
      <c r="A122" s="20">
        <v>46184.552534722221</v>
      </c>
      <c r="B122" t="s">
        <v>14</v>
      </c>
      <c r="C122" t="s">
        <v>109</v>
      </c>
      <c r="D122" t="s">
        <v>103</v>
      </c>
      <c r="E122" t="s">
        <v>13</v>
      </c>
      <c r="F122" t="s">
        <v>15</v>
      </c>
      <c r="G122" t="s">
        <v>110</v>
      </c>
    </row>
    <row r="123" spans="1:7" x14ac:dyDescent="0.25">
      <c r="A123" s="20">
        <v>46184.719201388885</v>
      </c>
      <c r="B123" t="s">
        <v>14</v>
      </c>
      <c r="C123" t="s">
        <v>109</v>
      </c>
      <c r="D123" t="s">
        <v>103</v>
      </c>
      <c r="E123" t="s">
        <v>13</v>
      </c>
      <c r="F123" t="s">
        <v>17</v>
      </c>
      <c r="G123" t="s">
        <v>110</v>
      </c>
    </row>
    <row r="124" spans="1:7" x14ac:dyDescent="0.25">
      <c r="A124" s="20">
        <v>46185.386493055557</v>
      </c>
      <c r="B124" t="s">
        <v>14</v>
      </c>
      <c r="C124" t="s">
        <v>111</v>
      </c>
      <c r="D124" t="s">
        <v>18</v>
      </c>
      <c r="E124" t="s">
        <v>13</v>
      </c>
      <c r="F124" t="s">
        <v>15</v>
      </c>
      <c r="G124" t="s">
        <v>49</v>
      </c>
    </row>
    <row r="125" spans="1:7" x14ac:dyDescent="0.25">
      <c r="A125" s="20">
        <v>46185.545474537037</v>
      </c>
      <c r="B125" t="s">
        <v>14</v>
      </c>
      <c r="C125" t="s">
        <v>111</v>
      </c>
      <c r="D125" t="s">
        <v>18</v>
      </c>
      <c r="E125" t="s">
        <v>13</v>
      </c>
      <c r="F125" t="s">
        <v>17</v>
      </c>
      <c r="G125" t="s">
        <v>49</v>
      </c>
    </row>
    <row r="126" spans="1:7" x14ac:dyDescent="0.25">
      <c r="A126" s="20">
        <v>46185.546620370369</v>
      </c>
      <c r="B126" t="s">
        <v>14</v>
      </c>
      <c r="C126" t="s">
        <v>114</v>
      </c>
      <c r="D126" t="s">
        <v>103</v>
      </c>
      <c r="E126" t="s">
        <v>13</v>
      </c>
      <c r="F126" t="s">
        <v>15</v>
      </c>
      <c r="G126" t="s">
        <v>110</v>
      </c>
    </row>
    <row r="127" spans="1:7" x14ac:dyDescent="0.25">
      <c r="A127" s="20">
        <v>46185.720300925925</v>
      </c>
      <c r="B127" t="s">
        <v>14</v>
      </c>
      <c r="C127" t="s">
        <v>114</v>
      </c>
      <c r="D127" t="s">
        <v>103</v>
      </c>
      <c r="E127" t="s">
        <v>13</v>
      </c>
      <c r="F127" t="s">
        <v>17</v>
      </c>
      <c r="G127" t="s">
        <v>110</v>
      </c>
    </row>
    <row r="128" spans="1:7" x14ac:dyDescent="0.25">
      <c r="A128" s="20">
        <v>46188.383020833331</v>
      </c>
      <c r="B128" t="s">
        <v>14</v>
      </c>
      <c r="C128" t="s">
        <v>116</v>
      </c>
      <c r="D128" t="s">
        <v>103</v>
      </c>
      <c r="E128" t="s">
        <v>13</v>
      </c>
      <c r="F128" t="s">
        <v>15</v>
      </c>
      <c r="G128" t="s">
        <v>110</v>
      </c>
    </row>
    <row r="129" spans="1:7" x14ac:dyDescent="0.25">
      <c r="A129" s="20">
        <v>46188.582638888889</v>
      </c>
      <c r="B129" t="s">
        <v>14</v>
      </c>
      <c r="C129" t="s">
        <v>116</v>
      </c>
      <c r="D129" t="s">
        <v>103</v>
      </c>
      <c r="E129" t="s">
        <v>13</v>
      </c>
      <c r="F129" t="s">
        <v>17</v>
      </c>
      <c r="G129" t="s">
        <v>110</v>
      </c>
    </row>
    <row r="130" spans="1:7" x14ac:dyDescent="0.25">
      <c r="A130" s="20">
        <v>46188.625844907408</v>
      </c>
      <c r="B130" t="s">
        <v>14</v>
      </c>
      <c r="C130" t="s">
        <v>117</v>
      </c>
      <c r="D130" t="s">
        <v>103</v>
      </c>
      <c r="E130" t="s">
        <v>13</v>
      </c>
      <c r="F130" t="s">
        <v>15</v>
      </c>
      <c r="G130" t="s">
        <v>110</v>
      </c>
    </row>
    <row r="131" spans="1:7" x14ac:dyDescent="0.25">
      <c r="A131" s="20">
        <v>46188.787986111114</v>
      </c>
      <c r="B131" t="s">
        <v>14</v>
      </c>
      <c r="C131" t="s">
        <v>117</v>
      </c>
      <c r="D131" t="s">
        <v>103</v>
      </c>
      <c r="E131" t="s">
        <v>13</v>
      </c>
      <c r="F131" t="s">
        <v>17</v>
      </c>
      <c r="G131" t="s">
        <v>110</v>
      </c>
    </row>
    <row r="132" spans="1:7" x14ac:dyDescent="0.25">
      <c r="A132" s="20">
        <v>46189.376516203702</v>
      </c>
      <c r="B132" t="s">
        <v>14</v>
      </c>
      <c r="C132" t="s">
        <v>118</v>
      </c>
      <c r="D132" t="s">
        <v>103</v>
      </c>
      <c r="E132" t="s">
        <v>13</v>
      </c>
      <c r="F132" t="s">
        <v>15</v>
      </c>
      <c r="G132" t="s">
        <v>110</v>
      </c>
    </row>
    <row r="133" spans="1:7" x14ac:dyDescent="0.25">
      <c r="A133" s="20">
        <v>46189.621527777781</v>
      </c>
      <c r="B133" t="s">
        <v>14</v>
      </c>
      <c r="C133" t="s">
        <v>118</v>
      </c>
      <c r="D133" t="s">
        <v>103</v>
      </c>
      <c r="E133" t="s">
        <v>13</v>
      </c>
      <c r="F133" t="s">
        <v>17</v>
      </c>
      <c r="G133" t="s">
        <v>110</v>
      </c>
    </row>
    <row r="134" spans="1:7" x14ac:dyDescent="0.25">
      <c r="A134" s="20">
        <v>46189.622384259259</v>
      </c>
      <c r="B134" t="s">
        <v>14</v>
      </c>
      <c r="C134" t="s">
        <v>119</v>
      </c>
      <c r="D134" t="s">
        <v>92</v>
      </c>
      <c r="E134" t="s">
        <v>13</v>
      </c>
      <c r="F134" t="s">
        <v>15</v>
      </c>
      <c r="G134" t="s">
        <v>93</v>
      </c>
    </row>
    <row r="135" spans="1:7" x14ac:dyDescent="0.25">
      <c r="A135" s="20">
        <v>46189.773958333331</v>
      </c>
      <c r="B135" t="s">
        <v>14</v>
      </c>
      <c r="C135" t="s">
        <v>119</v>
      </c>
      <c r="D135" t="s">
        <v>92</v>
      </c>
      <c r="E135" t="s">
        <v>13</v>
      </c>
      <c r="F135" t="s">
        <v>17</v>
      </c>
      <c r="G135" t="s">
        <v>93</v>
      </c>
    </row>
    <row r="136" spans="1:7" x14ac:dyDescent="0.25">
      <c r="A136" s="20">
        <v>46190.38077546296</v>
      </c>
      <c r="B136" t="s">
        <v>14</v>
      </c>
      <c r="C136" t="s">
        <v>120</v>
      </c>
      <c r="D136" t="s">
        <v>18</v>
      </c>
      <c r="E136" t="s">
        <v>13</v>
      </c>
      <c r="F136" t="s">
        <v>15</v>
      </c>
      <c r="G136" t="s">
        <v>121</v>
      </c>
    </row>
    <row r="137" spans="1:7" x14ac:dyDescent="0.25">
      <c r="A137" s="20">
        <v>46190.570925925924</v>
      </c>
      <c r="B137" t="s">
        <v>14</v>
      </c>
      <c r="C137" t="s">
        <v>120</v>
      </c>
      <c r="D137" t="s">
        <v>18</v>
      </c>
      <c r="E137" t="s">
        <v>13</v>
      </c>
      <c r="F137" t="s">
        <v>17</v>
      </c>
      <c r="G137" t="s">
        <v>121</v>
      </c>
    </row>
    <row r="138" spans="1:7" x14ac:dyDescent="0.25">
      <c r="A138" s="20">
        <v>46190.626817129632</v>
      </c>
      <c r="B138" t="s">
        <v>14</v>
      </c>
      <c r="C138" t="s">
        <v>122</v>
      </c>
      <c r="D138" t="s">
        <v>18</v>
      </c>
      <c r="E138" t="s">
        <v>13</v>
      </c>
      <c r="F138" t="s">
        <v>15</v>
      </c>
      <c r="G138" t="s">
        <v>121</v>
      </c>
    </row>
    <row r="139" spans="1:7" x14ac:dyDescent="0.25">
      <c r="A139" s="20">
        <v>46190.780972222223</v>
      </c>
      <c r="B139" t="s">
        <v>14</v>
      </c>
      <c r="C139" t="s">
        <v>122</v>
      </c>
      <c r="D139" t="s">
        <v>18</v>
      </c>
      <c r="E139" t="s">
        <v>13</v>
      </c>
      <c r="F139" t="s">
        <v>17</v>
      </c>
      <c r="G139" t="s">
        <v>121</v>
      </c>
    </row>
    <row r="140" spans="1:7" x14ac:dyDescent="0.25">
      <c r="A140" s="20">
        <v>46191.404062499998</v>
      </c>
      <c r="B140" t="s">
        <v>14</v>
      </c>
      <c r="C140" t="s">
        <v>123</v>
      </c>
      <c r="D140" t="s">
        <v>124</v>
      </c>
      <c r="E140" t="s">
        <v>13</v>
      </c>
      <c r="F140" t="s">
        <v>15</v>
      </c>
      <c r="G140" t="s">
        <v>93</v>
      </c>
    </row>
    <row r="141" spans="1:7" x14ac:dyDescent="0.25">
      <c r="A141" s="20">
        <v>46191.771354166667</v>
      </c>
      <c r="B141" t="s">
        <v>14</v>
      </c>
      <c r="C141" t="s">
        <v>123</v>
      </c>
      <c r="D141" t="s">
        <v>124</v>
      </c>
      <c r="E141" t="s">
        <v>13</v>
      </c>
      <c r="F141" t="s">
        <v>17</v>
      </c>
      <c r="G141" t="s">
        <v>93</v>
      </c>
    </row>
    <row r="142" spans="1:7" x14ac:dyDescent="0.25">
      <c r="A142" s="20">
        <v>46212.744351851848</v>
      </c>
      <c r="B142" t="s">
        <v>14</v>
      </c>
      <c r="C142" t="s">
        <v>164</v>
      </c>
      <c r="D142" t="s">
        <v>97</v>
      </c>
      <c r="E142" t="s">
        <v>13</v>
      </c>
      <c r="F142" t="s">
        <v>17</v>
      </c>
      <c r="G142" t="s">
        <v>162</v>
      </c>
    </row>
    <row r="143" spans="1:7" x14ac:dyDescent="0.25">
      <c r="A143" s="20">
        <v>46192.481400462966</v>
      </c>
      <c r="B143" t="s">
        <v>14</v>
      </c>
      <c r="C143" t="s">
        <v>125</v>
      </c>
      <c r="D143" t="s">
        <v>103</v>
      </c>
      <c r="E143" t="s">
        <v>13</v>
      </c>
      <c r="F143" t="s">
        <v>17</v>
      </c>
      <c r="G143" t="s">
        <v>126</v>
      </c>
    </row>
    <row r="144" spans="1:7" x14ac:dyDescent="0.25">
      <c r="A144" s="20">
        <v>46192.481747685182</v>
      </c>
      <c r="B144" t="s">
        <v>14</v>
      </c>
      <c r="C144" t="s">
        <v>127</v>
      </c>
      <c r="D144" t="s">
        <v>103</v>
      </c>
      <c r="E144" t="s">
        <v>13</v>
      </c>
      <c r="F144" t="s">
        <v>15</v>
      </c>
      <c r="G144" t="s">
        <v>126</v>
      </c>
    </row>
    <row r="145" spans="1:8" x14ac:dyDescent="0.25">
      <c r="A145" s="20">
        <v>46192.686018518521</v>
      </c>
      <c r="B145" t="s">
        <v>14</v>
      </c>
      <c r="C145" t="s">
        <v>127</v>
      </c>
      <c r="D145" t="s">
        <v>103</v>
      </c>
      <c r="E145" t="s">
        <v>13</v>
      </c>
      <c r="F145" t="s">
        <v>17</v>
      </c>
      <c r="G145" t="s">
        <v>126</v>
      </c>
    </row>
    <row r="146" spans="1:8" x14ac:dyDescent="0.25">
      <c r="A146" s="20">
        <v>46192.686284722222</v>
      </c>
      <c r="B146" t="s">
        <v>14</v>
      </c>
      <c r="C146" t="s">
        <v>128</v>
      </c>
      <c r="D146" t="s">
        <v>103</v>
      </c>
      <c r="E146" t="s">
        <v>13</v>
      </c>
      <c r="F146" t="s">
        <v>15</v>
      </c>
      <c r="G146" t="s">
        <v>126</v>
      </c>
    </row>
    <row r="147" spans="1:8" x14ac:dyDescent="0.25">
      <c r="A147" s="20">
        <v>46192.722013888888</v>
      </c>
      <c r="B147" t="s">
        <v>14</v>
      </c>
      <c r="C147" t="s">
        <v>128</v>
      </c>
      <c r="D147" t="s">
        <v>103</v>
      </c>
      <c r="E147" t="s">
        <v>13</v>
      </c>
      <c r="F147" t="s">
        <v>17</v>
      </c>
      <c r="G147" t="s">
        <v>126</v>
      </c>
    </row>
    <row r="148" spans="1:8" x14ac:dyDescent="0.25">
      <c r="A148" s="20">
        <v>46192.686585648145</v>
      </c>
      <c r="B148" t="s">
        <v>14</v>
      </c>
      <c r="C148" t="s">
        <v>129</v>
      </c>
      <c r="D148" t="s">
        <v>97</v>
      </c>
      <c r="E148" t="s">
        <v>13</v>
      </c>
      <c r="F148" t="s">
        <v>15</v>
      </c>
      <c r="G148" t="s">
        <v>130</v>
      </c>
    </row>
    <row r="149" spans="1:8" x14ac:dyDescent="0.25">
      <c r="A149" s="20">
        <v>46192.721307870372</v>
      </c>
      <c r="B149" t="s">
        <v>14</v>
      </c>
      <c r="C149" t="s">
        <v>129</v>
      </c>
      <c r="D149" t="s">
        <v>97</v>
      </c>
      <c r="E149" t="s">
        <v>13</v>
      </c>
      <c r="F149" t="s">
        <v>17</v>
      </c>
      <c r="G149" t="s">
        <v>130</v>
      </c>
      <c r="H149" t="s">
        <v>131</v>
      </c>
    </row>
    <row r="150" spans="1:8" x14ac:dyDescent="0.25">
      <c r="A150" s="20">
        <v>46195.43953703704</v>
      </c>
      <c r="B150" t="s">
        <v>14</v>
      </c>
      <c r="C150" t="s">
        <v>132</v>
      </c>
      <c r="D150" t="s">
        <v>103</v>
      </c>
      <c r="E150" t="s">
        <v>13</v>
      </c>
      <c r="F150" t="s">
        <v>15</v>
      </c>
      <c r="G150" t="s">
        <v>133</v>
      </c>
    </row>
    <row r="151" spans="1:8" x14ac:dyDescent="0.25">
      <c r="A151" s="20">
        <v>46195.505578703705</v>
      </c>
      <c r="B151" t="s">
        <v>14</v>
      </c>
      <c r="C151" t="s">
        <v>132</v>
      </c>
      <c r="D151" t="s">
        <v>103</v>
      </c>
      <c r="E151" t="s">
        <v>13</v>
      </c>
      <c r="F151" t="s">
        <v>17</v>
      </c>
      <c r="G151" t="s">
        <v>133</v>
      </c>
    </row>
    <row r="152" spans="1:8" x14ac:dyDescent="0.25">
      <c r="A152" s="20">
        <v>46195.505983796298</v>
      </c>
      <c r="B152" t="s">
        <v>14</v>
      </c>
      <c r="C152" t="s">
        <v>134</v>
      </c>
      <c r="D152" t="s">
        <v>103</v>
      </c>
      <c r="E152" t="s">
        <v>13</v>
      </c>
      <c r="F152" t="s">
        <v>15</v>
      </c>
      <c r="G152" t="s">
        <v>133</v>
      </c>
    </row>
    <row r="153" spans="1:8" x14ac:dyDescent="0.25">
      <c r="A153" s="20">
        <v>46195.693680555552</v>
      </c>
      <c r="B153" t="s">
        <v>14</v>
      </c>
      <c r="C153" t="s">
        <v>134</v>
      </c>
      <c r="D153" t="s">
        <v>103</v>
      </c>
      <c r="E153" t="s">
        <v>13</v>
      </c>
      <c r="F153" t="s">
        <v>17</v>
      </c>
      <c r="G153" t="s">
        <v>133</v>
      </c>
    </row>
    <row r="154" spans="1:8" x14ac:dyDescent="0.25">
      <c r="A154" s="20">
        <v>46195.694131944445</v>
      </c>
      <c r="B154" t="s">
        <v>14</v>
      </c>
      <c r="C154" t="s">
        <v>135</v>
      </c>
      <c r="D154" t="s">
        <v>103</v>
      </c>
      <c r="E154" t="s">
        <v>13</v>
      </c>
      <c r="F154" t="s">
        <v>15</v>
      </c>
      <c r="G154" t="s">
        <v>133</v>
      </c>
    </row>
    <row r="155" spans="1:8" x14ac:dyDescent="0.25">
      <c r="A155" s="20">
        <v>46195.790138888886</v>
      </c>
      <c r="B155" t="s">
        <v>14</v>
      </c>
      <c r="C155" t="s">
        <v>135</v>
      </c>
      <c r="D155" t="s">
        <v>103</v>
      </c>
      <c r="E155" t="s">
        <v>13</v>
      </c>
      <c r="F155" t="s">
        <v>17</v>
      </c>
      <c r="G155" t="s">
        <v>133</v>
      </c>
    </row>
    <row r="156" spans="1:8" x14ac:dyDescent="0.25">
      <c r="A156" s="20">
        <v>46196.377858796295</v>
      </c>
      <c r="B156" t="s">
        <v>14</v>
      </c>
      <c r="C156" t="s">
        <v>136</v>
      </c>
      <c r="D156" t="s">
        <v>103</v>
      </c>
      <c r="E156" t="s">
        <v>13</v>
      </c>
      <c r="F156" t="s">
        <v>15</v>
      </c>
      <c r="G156" t="s">
        <v>133</v>
      </c>
    </row>
    <row r="157" spans="1:8" x14ac:dyDescent="0.25">
      <c r="A157" s="20">
        <v>46196.508993055555</v>
      </c>
      <c r="B157" t="s">
        <v>14</v>
      </c>
      <c r="C157" t="s">
        <v>136</v>
      </c>
      <c r="D157" t="s">
        <v>103</v>
      </c>
      <c r="E157" t="s">
        <v>13</v>
      </c>
      <c r="F157" t="s">
        <v>17</v>
      </c>
      <c r="G157" t="s">
        <v>133</v>
      </c>
    </row>
    <row r="158" spans="1:8" x14ac:dyDescent="0.25">
      <c r="A158" s="20">
        <v>46196.509340277778</v>
      </c>
      <c r="B158" t="s">
        <v>14</v>
      </c>
      <c r="C158" t="s">
        <v>137</v>
      </c>
      <c r="D158" t="s">
        <v>103</v>
      </c>
      <c r="E158" t="s">
        <v>13</v>
      </c>
      <c r="F158" t="s">
        <v>15</v>
      </c>
      <c r="G158" t="s">
        <v>133</v>
      </c>
    </row>
    <row r="159" spans="1:8" x14ac:dyDescent="0.25">
      <c r="A159" s="20">
        <v>46196.653796296298</v>
      </c>
      <c r="B159" t="s">
        <v>14</v>
      </c>
      <c r="C159" t="s">
        <v>137</v>
      </c>
      <c r="D159" t="s">
        <v>103</v>
      </c>
      <c r="E159" t="s">
        <v>13</v>
      </c>
      <c r="F159" t="s">
        <v>17</v>
      </c>
      <c r="G159" t="s">
        <v>133</v>
      </c>
    </row>
    <row r="160" spans="1:8" x14ac:dyDescent="0.25">
      <c r="A160" s="20">
        <v>46196.654247685183</v>
      </c>
      <c r="B160" t="s">
        <v>14</v>
      </c>
      <c r="C160" t="s">
        <v>138</v>
      </c>
      <c r="D160" t="s">
        <v>103</v>
      </c>
      <c r="E160" t="s">
        <v>13</v>
      </c>
      <c r="F160" t="s">
        <v>15</v>
      </c>
      <c r="G160" t="s">
        <v>133</v>
      </c>
    </row>
    <row r="161" spans="1:8" x14ac:dyDescent="0.25">
      <c r="A161" s="20">
        <v>46196.778425925928</v>
      </c>
      <c r="B161" t="s">
        <v>14</v>
      </c>
      <c r="C161" t="s">
        <v>138</v>
      </c>
      <c r="D161" t="s">
        <v>103</v>
      </c>
      <c r="E161" t="s">
        <v>13</v>
      </c>
      <c r="F161" t="s">
        <v>17</v>
      </c>
      <c r="G161" t="s">
        <v>133</v>
      </c>
    </row>
    <row r="162" spans="1:8" x14ac:dyDescent="0.25">
      <c r="A162" s="20">
        <v>46197.382986111108</v>
      </c>
      <c r="B162" t="s">
        <v>14</v>
      </c>
      <c r="C162" t="s">
        <v>139</v>
      </c>
      <c r="D162" t="s">
        <v>103</v>
      </c>
      <c r="E162" t="s">
        <v>13</v>
      </c>
      <c r="F162" t="s">
        <v>15</v>
      </c>
      <c r="G162" t="s">
        <v>140</v>
      </c>
    </row>
    <row r="163" spans="1:8" x14ac:dyDescent="0.25">
      <c r="A163" s="20">
        <v>46197.474652777775</v>
      </c>
      <c r="B163" t="s">
        <v>14</v>
      </c>
      <c r="C163" t="s">
        <v>139</v>
      </c>
      <c r="D163" t="s">
        <v>103</v>
      </c>
      <c r="E163" t="s">
        <v>13</v>
      </c>
      <c r="F163" t="s">
        <v>17</v>
      </c>
      <c r="G163" t="s">
        <v>140</v>
      </c>
    </row>
    <row r="164" spans="1:8" x14ac:dyDescent="0.25">
      <c r="A164" s="20">
        <v>46197.476041666669</v>
      </c>
      <c r="B164" s="18" t="s">
        <v>14</v>
      </c>
      <c r="C164" s="18" t="s">
        <v>141</v>
      </c>
      <c r="D164" s="18" t="s">
        <v>18</v>
      </c>
      <c r="E164" s="18" t="s">
        <v>13</v>
      </c>
      <c r="F164" s="18" t="s">
        <v>15</v>
      </c>
      <c r="G164" s="18" t="s">
        <v>49</v>
      </c>
    </row>
    <row r="165" spans="1:8" x14ac:dyDescent="0.25">
      <c r="A165" s="20">
        <v>46197.641319444447</v>
      </c>
      <c r="B165" s="18" t="s">
        <v>14</v>
      </c>
      <c r="C165" s="18" t="s">
        <v>141</v>
      </c>
      <c r="D165" s="18" t="s">
        <v>18</v>
      </c>
      <c r="E165" s="18" t="s">
        <v>13</v>
      </c>
      <c r="F165" s="18" t="s">
        <v>17</v>
      </c>
      <c r="G165" s="18" t="s">
        <v>49</v>
      </c>
      <c r="H165" s="9" t="s">
        <v>145</v>
      </c>
    </row>
    <row r="166" spans="1:8" x14ac:dyDescent="0.25">
      <c r="A166" s="20">
        <v>46197.638541666667</v>
      </c>
      <c r="B166" s="18" t="s">
        <v>14</v>
      </c>
      <c r="C166" s="18" t="s">
        <v>142</v>
      </c>
      <c r="D166" s="18" t="s">
        <v>18</v>
      </c>
      <c r="E166" s="18" t="s">
        <v>13</v>
      </c>
      <c r="F166" s="18" t="s">
        <v>15</v>
      </c>
      <c r="G166" s="18" t="s">
        <v>121</v>
      </c>
    </row>
    <row r="167" spans="1:8" x14ac:dyDescent="0.25">
      <c r="A167" s="20">
        <v>46197.766319444447</v>
      </c>
      <c r="B167" s="18" t="s">
        <v>14</v>
      </c>
      <c r="C167" s="18" t="s">
        <v>142</v>
      </c>
      <c r="D167" s="18" t="s">
        <v>18</v>
      </c>
      <c r="E167" s="18" t="s">
        <v>13</v>
      </c>
      <c r="F167" s="18" t="s">
        <v>17</v>
      </c>
      <c r="G167" s="18" t="s">
        <v>121</v>
      </c>
      <c r="H167" s="9" t="s">
        <v>145</v>
      </c>
    </row>
    <row r="168" spans="1:8" x14ac:dyDescent="0.25">
      <c r="A168" s="20">
        <v>46198.390185185184</v>
      </c>
      <c r="B168" t="s">
        <v>14</v>
      </c>
      <c r="C168" t="s">
        <v>143</v>
      </c>
      <c r="D168" t="s">
        <v>92</v>
      </c>
      <c r="E168" t="s">
        <v>13</v>
      </c>
      <c r="F168" t="s">
        <v>15</v>
      </c>
      <c r="G168" t="s">
        <v>93</v>
      </c>
    </row>
    <row r="169" spans="1:8" x14ac:dyDescent="0.25">
      <c r="A169" s="20">
        <v>46198.52306712963</v>
      </c>
      <c r="B169" t="s">
        <v>14</v>
      </c>
      <c r="C169" t="s">
        <v>143</v>
      </c>
      <c r="D169" t="s">
        <v>92</v>
      </c>
      <c r="E169" t="s">
        <v>13</v>
      </c>
      <c r="F169" t="s">
        <v>17</v>
      </c>
      <c r="G169" t="s">
        <v>93</v>
      </c>
    </row>
    <row r="170" spans="1:8" x14ac:dyDescent="0.25">
      <c r="A170" s="20">
        <v>46198.523344907408</v>
      </c>
      <c r="B170" t="s">
        <v>14</v>
      </c>
      <c r="C170" t="s">
        <v>144</v>
      </c>
      <c r="D170" t="s">
        <v>92</v>
      </c>
      <c r="E170" t="s">
        <v>13</v>
      </c>
      <c r="F170" t="s">
        <v>15</v>
      </c>
      <c r="G170" t="s">
        <v>93</v>
      </c>
    </row>
    <row r="171" spans="1:8" x14ac:dyDescent="0.25">
      <c r="A171" s="20">
        <v>46199.400335648148</v>
      </c>
      <c r="B171" t="s">
        <v>14</v>
      </c>
      <c r="C171" t="s">
        <v>144</v>
      </c>
      <c r="D171" t="s">
        <v>92</v>
      </c>
      <c r="E171" t="s">
        <v>13</v>
      </c>
      <c r="F171" t="s">
        <v>17</v>
      </c>
      <c r="G171" t="s">
        <v>93</v>
      </c>
    </row>
    <row r="172" spans="1:8" x14ac:dyDescent="0.25">
      <c r="A172" s="20">
        <v>46199.400694444441</v>
      </c>
      <c r="B172" t="s">
        <v>14</v>
      </c>
      <c r="C172" t="s">
        <v>152</v>
      </c>
      <c r="D172" t="s">
        <v>28</v>
      </c>
      <c r="E172" t="s">
        <v>13</v>
      </c>
      <c r="F172" t="s">
        <v>15</v>
      </c>
      <c r="G172" t="s">
        <v>29</v>
      </c>
    </row>
    <row r="173" spans="1:8" x14ac:dyDescent="0.25">
      <c r="A173" s="20">
        <v>46199.401203703703</v>
      </c>
      <c r="B173" t="s">
        <v>14</v>
      </c>
      <c r="C173" t="s">
        <v>152</v>
      </c>
      <c r="D173" t="s">
        <v>28</v>
      </c>
      <c r="E173" t="s">
        <v>13</v>
      </c>
      <c r="F173" t="s">
        <v>17</v>
      </c>
      <c r="G173" t="s">
        <v>29</v>
      </c>
    </row>
    <row r="174" spans="1:8" x14ac:dyDescent="0.25">
      <c r="A174" s="20">
        <v>46199.402071759258</v>
      </c>
      <c r="B174" t="s">
        <v>14</v>
      </c>
      <c r="C174" t="s">
        <v>153</v>
      </c>
      <c r="D174" t="s">
        <v>97</v>
      </c>
      <c r="E174" t="s">
        <v>13</v>
      </c>
      <c r="F174" t="s">
        <v>15</v>
      </c>
      <c r="G174" t="s">
        <v>154</v>
      </c>
    </row>
    <row r="175" spans="1:8" x14ac:dyDescent="0.25">
      <c r="A175" s="20">
        <v>46199.742164351854</v>
      </c>
      <c r="B175" t="s">
        <v>14</v>
      </c>
      <c r="C175" t="s">
        <v>153</v>
      </c>
      <c r="D175" t="s">
        <v>97</v>
      </c>
      <c r="E175" t="s">
        <v>13</v>
      </c>
      <c r="F175" t="s">
        <v>17</v>
      </c>
      <c r="G175" t="s">
        <v>154</v>
      </c>
    </row>
    <row r="176" spans="1:8" x14ac:dyDescent="0.25">
      <c r="A176" s="20">
        <v>46202.394988425927</v>
      </c>
      <c r="B176" t="s">
        <v>14</v>
      </c>
      <c r="C176" t="s">
        <v>155</v>
      </c>
      <c r="D176" t="s">
        <v>97</v>
      </c>
      <c r="E176" t="s">
        <v>13</v>
      </c>
      <c r="F176" t="s">
        <v>15</v>
      </c>
      <c r="G176" t="s">
        <v>154</v>
      </c>
    </row>
    <row r="177" spans="1:8" x14ac:dyDescent="0.25">
      <c r="A177" s="20">
        <v>46202.644988425927</v>
      </c>
      <c r="B177" s="18" t="s">
        <v>14</v>
      </c>
      <c r="C177" s="18" t="s">
        <v>155</v>
      </c>
      <c r="D177" s="18" t="s">
        <v>97</v>
      </c>
      <c r="E177" s="18" t="s">
        <v>13</v>
      </c>
      <c r="F177" s="18" t="s">
        <v>17</v>
      </c>
      <c r="G177" s="18" t="s">
        <v>154</v>
      </c>
    </row>
    <row r="178" spans="1:8" x14ac:dyDescent="0.25">
      <c r="A178" s="20">
        <v>46203.394988425927</v>
      </c>
      <c r="B178" s="18" t="s">
        <v>14</v>
      </c>
      <c r="C178" s="18" t="s">
        <v>156</v>
      </c>
      <c r="D178" s="18" t="s">
        <v>97</v>
      </c>
      <c r="E178" s="18" t="s">
        <v>13</v>
      </c>
      <c r="F178" s="18" t="s">
        <v>15</v>
      </c>
      <c r="G178" s="18" t="s">
        <v>154</v>
      </c>
    </row>
    <row r="179" spans="1:8" x14ac:dyDescent="0.25">
      <c r="A179" s="20">
        <v>46203.484189814815</v>
      </c>
      <c r="B179" t="s">
        <v>14</v>
      </c>
      <c r="C179" t="s">
        <v>156</v>
      </c>
      <c r="D179" t="s">
        <v>97</v>
      </c>
      <c r="E179" t="s">
        <v>13</v>
      </c>
      <c r="F179" t="s">
        <v>17</v>
      </c>
      <c r="G179" t="s">
        <v>154</v>
      </c>
    </row>
    <row r="180" spans="1:8" x14ac:dyDescent="0.25">
      <c r="A180" s="20">
        <v>46204.390185185184</v>
      </c>
      <c r="B180" t="s">
        <v>14</v>
      </c>
      <c r="C180" t="s">
        <v>157</v>
      </c>
      <c r="D180" t="s">
        <v>97</v>
      </c>
      <c r="E180" t="s">
        <v>13</v>
      </c>
      <c r="F180" t="s">
        <v>15</v>
      </c>
      <c r="G180" t="s">
        <v>154</v>
      </c>
    </row>
    <row r="181" spans="1:8" x14ac:dyDescent="0.25">
      <c r="A181" s="20">
        <v>46204.72351851852</v>
      </c>
      <c r="B181" s="18" t="s">
        <v>14</v>
      </c>
      <c r="C181" s="18" t="s">
        <v>157</v>
      </c>
      <c r="D181" s="18" t="s">
        <v>97</v>
      </c>
      <c r="E181" s="18" t="s">
        <v>13</v>
      </c>
      <c r="F181" s="18" t="s">
        <v>17</v>
      </c>
      <c r="G181" s="18" t="s">
        <v>154</v>
      </c>
    </row>
    <row r="182" spans="1:8" x14ac:dyDescent="0.25">
      <c r="A182" s="20">
        <v>46205.392372685186</v>
      </c>
      <c r="B182" t="s">
        <v>14</v>
      </c>
      <c r="C182" t="s">
        <v>158</v>
      </c>
      <c r="D182" t="s">
        <v>92</v>
      </c>
      <c r="E182" t="s">
        <v>13</v>
      </c>
      <c r="F182" t="s">
        <v>15</v>
      </c>
      <c r="G182" t="s">
        <v>93</v>
      </c>
    </row>
    <row r="183" spans="1:8" x14ac:dyDescent="0.25">
      <c r="A183" s="20">
        <v>46205.725706018522</v>
      </c>
      <c r="B183" s="18" t="s">
        <v>14</v>
      </c>
      <c r="C183" s="18" t="s">
        <v>158</v>
      </c>
      <c r="D183" s="18" t="s">
        <v>92</v>
      </c>
      <c r="E183" s="18" t="s">
        <v>13</v>
      </c>
      <c r="F183" s="18" t="s">
        <v>17</v>
      </c>
      <c r="G183" s="18" t="s">
        <v>93</v>
      </c>
    </row>
    <row r="184" spans="1:8" x14ac:dyDescent="0.25">
      <c r="A184" s="20">
        <v>46206.427546296298</v>
      </c>
      <c r="B184" s="18" t="s">
        <v>14</v>
      </c>
      <c r="C184" s="18" t="s">
        <v>159</v>
      </c>
      <c r="D184" s="18" t="s">
        <v>97</v>
      </c>
      <c r="E184" s="18" t="s">
        <v>13</v>
      </c>
      <c r="F184" s="18" t="s">
        <v>15</v>
      </c>
      <c r="G184" s="18" t="s">
        <v>130</v>
      </c>
    </row>
    <row r="185" spans="1:8" x14ac:dyDescent="0.25">
      <c r="A185" s="20">
        <v>46206.760879629626</v>
      </c>
      <c r="B185" t="s">
        <v>14</v>
      </c>
      <c r="C185" t="s">
        <v>159</v>
      </c>
      <c r="D185" t="s">
        <v>97</v>
      </c>
      <c r="E185" t="s">
        <v>13</v>
      </c>
      <c r="F185" t="s">
        <v>59</v>
      </c>
      <c r="G185" t="s">
        <v>130</v>
      </c>
      <c r="H185" t="s">
        <v>160</v>
      </c>
    </row>
    <row r="186" spans="1:8" x14ac:dyDescent="0.25">
      <c r="A186" s="20">
        <v>46209.427928240744</v>
      </c>
      <c r="B186" t="s">
        <v>14</v>
      </c>
      <c r="C186" t="s">
        <v>161</v>
      </c>
      <c r="D186" t="s">
        <v>97</v>
      </c>
      <c r="E186" t="s">
        <v>13</v>
      </c>
      <c r="F186" t="s">
        <v>15</v>
      </c>
      <c r="G186" t="s">
        <v>162</v>
      </c>
    </row>
    <row r="187" spans="1:8" x14ac:dyDescent="0.25">
      <c r="A187" s="20">
        <v>46211.38722222222</v>
      </c>
      <c r="B187" t="s">
        <v>14</v>
      </c>
      <c r="C187" t="s">
        <v>161</v>
      </c>
      <c r="D187" t="s">
        <v>97</v>
      </c>
      <c r="E187" t="s">
        <v>13</v>
      </c>
      <c r="F187" t="s">
        <v>17</v>
      </c>
      <c r="G187" t="s">
        <v>162</v>
      </c>
    </row>
    <row r="188" spans="1:8" x14ac:dyDescent="0.25">
      <c r="A188" s="20">
        <v>46211.391053240739</v>
      </c>
      <c r="B188" t="s">
        <v>14</v>
      </c>
      <c r="C188" t="s">
        <v>163</v>
      </c>
      <c r="D188" t="s">
        <v>97</v>
      </c>
      <c r="E188" t="s">
        <v>13</v>
      </c>
      <c r="F188" t="s">
        <v>15</v>
      </c>
      <c r="G188" t="s">
        <v>162</v>
      </c>
    </row>
    <row r="189" spans="1:8" x14ac:dyDescent="0.25">
      <c r="A189" s="20">
        <v>46212.398252314815</v>
      </c>
      <c r="B189" t="s">
        <v>14</v>
      </c>
      <c r="C189" t="s">
        <v>163</v>
      </c>
      <c r="D189" t="s">
        <v>97</v>
      </c>
      <c r="E189" t="s">
        <v>13</v>
      </c>
      <c r="F189" t="s">
        <v>17</v>
      </c>
      <c r="G189" t="s">
        <v>162</v>
      </c>
    </row>
    <row r="190" spans="1:8" x14ac:dyDescent="0.25">
      <c r="A190" s="20">
        <v>46212.3984375</v>
      </c>
      <c r="B190" t="s">
        <v>14</v>
      </c>
      <c r="C190" t="s">
        <v>164</v>
      </c>
      <c r="D190" t="s">
        <v>97</v>
      </c>
      <c r="E190" t="s">
        <v>13</v>
      </c>
      <c r="F190" t="s">
        <v>15</v>
      </c>
      <c r="G190" t="s">
        <v>162</v>
      </c>
    </row>
    <row r="191" spans="1:8" x14ac:dyDescent="0.25">
      <c r="A191" s="20">
        <v>46212.745659722219</v>
      </c>
      <c r="B191" s="18" t="s">
        <v>14</v>
      </c>
      <c r="C191" s="18" t="s">
        <v>164</v>
      </c>
      <c r="D191" s="18" t="s">
        <v>97</v>
      </c>
      <c r="E191" s="18" t="s">
        <v>13</v>
      </c>
      <c r="F191" s="18" t="s">
        <v>17</v>
      </c>
      <c r="G191" s="18" t="s">
        <v>162</v>
      </c>
    </row>
    <row r="192" spans="1:8" x14ac:dyDescent="0.25">
      <c r="A192" s="20">
        <v>46213.389317129629</v>
      </c>
      <c r="B192" t="s">
        <v>14</v>
      </c>
      <c r="C192" t="s">
        <v>165</v>
      </c>
      <c r="D192" t="s">
        <v>97</v>
      </c>
      <c r="E192" t="s">
        <v>13</v>
      </c>
      <c r="F192" t="s">
        <v>15</v>
      </c>
      <c r="G192" t="s">
        <v>162</v>
      </c>
    </row>
    <row r="193" spans="1:8" x14ac:dyDescent="0.25">
      <c r="A193" s="20">
        <v>46213.693472222221</v>
      </c>
      <c r="B193" t="s">
        <v>14</v>
      </c>
      <c r="C193" t="s">
        <v>165</v>
      </c>
      <c r="D193" t="s">
        <v>97</v>
      </c>
      <c r="E193" t="s">
        <v>13</v>
      </c>
      <c r="F193" t="s">
        <v>59</v>
      </c>
      <c r="G193" t="s">
        <v>162</v>
      </c>
      <c r="H193" t="s">
        <v>166</v>
      </c>
    </row>
    <row r="194" spans="1:8" x14ac:dyDescent="0.25">
      <c r="A194" s="20">
        <v>46218.391782407409</v>
      </c>
      <c r="B194" t="s">
        <v>14</v>
      </c>
      <c r="C194" t="s">
        <v>167</v>
      </c>
      <c r="D194" t="s">
        <v>97</v>
      </c>
      <c r="E194" t="s">
        <v>13</v>
      </c>
      <c r="F194" t="s">
        <v>15</v>
      </c>
      <c r="G194" t="s">
        <v>162</v>
      </c>
    </row>
    <row r="195" spans="1:8" x14ac:dyDescent="0.25">
      <c r="A195" s="20">
        <v>46218.724085648151</v>
      </c>
      <c r="B195" t="s">
        <v>14</v>
      </c>
      <c r="C195" t="s">
        <v>167</v>
      </c>
      <c r="D195" t="s">
        <v>97</v>
      </c>
      <c r="E195" t="s">
        <v>13</v>
      </c>
      <c r="F195" t="s">
        <v>59</v>
      </c>
      <c r="G195" t="s">
        <v>162</v>
      </c>
      <c r="H195" t="s">
        <v>166</v>
      </c>
    </row>
    <row r="196" spans="1:8" x14ac:dyDescent="0.25">
      <c r="A196" s="20">
        <v>46223.391782407409</v>
      </c>
      <c r="B196" s="18" t="s">
        <v>14</v>
      </c>
      <c r="C196" t="s">
        <v>168</v>
      </c>
      <c r="D196" s="18" t="s">
        <v>97</v>
      </c>
      <c r="E196" s="18" t="s">
        <v>13</v>
      </c>
      <c r="F196" s="18" t="s">
        <v>15</v>
      </c>
      <c r="G196" t="s">
        <v>169</v>
      </c>
    </row>
    <row r="197" spans="1:8" x14ac:dyDescent="0.25">
      <c r="A197" s="20">
        <v>46223.724085648151</v>
      </c>
      <c r="B197" s="18" t="s">
        <v>14</v>
      </c>
      <c r="C197" s="18" t="s">
        <v>168</v>
      </c>
      <c r="D197" s="18" t="s">
        <v>97</v>
      </c>
      <c r="E197" s="18" t="s">
        <v>13</v>
      </c>
      <c r="F197" s="18" t="s">
        <v>59</v>
      </c>
      <c r="G197" s="18" t="s">
        <v>169</v>
      </c>
      <c r="H197" s="18" t="s">
        <v>160</v>
      </c>
    </row>
  </sheetData>
  <hyperlinks>
    <hyperlink ref="H167" r:id="rId1" display="https://wlib-si.cm-cic.fr/?mnc=SARA&amp;ticketid=63296399" xr:uid="{418AF42F-DEB6-4C97-BE6C-7C5979A265D0}"/>
    <hyperlink ref="H165" r:id="rId2" display="https://wlib-si.cm-cic.fr/?mnc=SARA&amp;ticketid=63296399" xr:uid="{18A5720C-D9C8-432E-B4EA-BA997325E8C3}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8F85D-D76B-4888-BBDA-E505493C3E4E}">
  <sheetPr codeName="Feuil1"/>
  <dimension ref="A1:E5"/>
  <sheetViews>
    <sheetView workbookViewId="0">
      <selection activeCell="C34" sqref="C34"/>
    </sheetView>
  </sheetViews>
  <sheetFormatPr baseColWidth="10" defaultRowHeight="15" x14ac:dyDescent="0.25"/>
  <cols>
    <col min="1" max="1" width="18.28515625" bestFit="1" customWidth="1"/>
    <col min="2" max="2" width="12.42578125" bestFit="1" customWidth="1"/>
    <col min="3" max="3" width="49" bestFit="1" customWidth="1"/>
    <col min="4" max="4" width="12.140625" bestFit="1" customWidth="1"/>
    <col min="5" max="5" width="27.285156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0">
        <v>46142.666458333333</v>
      </c>
      <c r="B2" s="17" t="s">
        <v>14</v>
      </c>
      <c r="C2" s="17" t="s">
        <v>58</v>
      </c>
      <c r="D2" s="17" t="s">
        <v>13</v>
      </c>
      <c r="E2" s="17" t="s">
        <v>78</v>
      </c>
    </row>
    <row r="3" spans="1:5" x14ac:dyDescent="0.25">
      <c r="A3" s="20">
        <v>46181.730347222219</v>
      </c>
      <c r="B3" s="18" t="s">
        <v>14</v>
      </c>
      <c r="C3" s="18" t="s">
        <v>101</v>
      </c>
      <c r="D3" s="18" t="s">
        <v>13</v>
      </c>
      <c r="E3" s="18" t="s">
        <v>78</v>
      </c>
    </row>
    <row r="4" spans="1:5" x14ac:dyDescent="0.25">
      <c r="A4" s="20">
        <v>46185.454247685186</v>
      </c>
      <c r="B4" s="17" t="s">
        <v>14</v>
      </c>
      <c r="C4" s="17" t="s">
        <v>112</v>
      </c>
      <c r="D4" s="17" t="s">
        <v>13</v>
      </c>
      <c r="E4" s="17" t="s">
        <v>78</v>
      </c>
    </row>
    <row r="5" spans="1:5" x14ac:dyDescent="0.25">
      <c r="A5" s="20">
        <v>46185.454629629632</v>
      </c>
      <c r="B5" t="s">
        <v>14</v>
      </c>
      <c r="C5" t="s">
        <v>113</v>
      </c>
      <c r="D5" t="s">
        <v>13</v>
      </c>
      <c r="E5" t="s">
        <v>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35B7E-9772-4B79-B1BB-1487D54130D4}">
  <sheetPr codeName="Feuil4"/>
  <dimension ref="A3:K25"/>
  <sheetViews>
    <sheetView workbookViewId="0">
      <selection activeCell="B25" sqref="B25"/>
    </sheetView>
  </sheetViews>
  <sheetFormatPr baseColWidth="10" defaultRowHeight="15" x14ac:dyDescent="0.25"/>
  <cols>
    <col min="1" max="1" width="27.28515625" bestFit="1" customWidth="1"/>
    <col min="2" max="2" width="23.85546875" bestFit="1" customWidth="1"/>
    <col min="7" max="7" width="21" bestFit="1" customWidth="1"/>
    <col min="8" max="8" width="16.85546875" bestFit="1" customWidth="1"/>
    <col min="10" max="10" width="28" bestFit="1" customWidth="1"/>
    <col min="11" max="11" width="19" bestFit="1" customWidth="1"/>
  </cols>
  <sheetData>
    <row r="3" spans="1:11" x14ac:dyDescent="0.25">
      <c r="A3" s="10" t="s">
        <v>31</v>
      </c>
      <c r="B3" t="s">
        <v>33</v>
      </c>
      <c r="D3" t="s">
        <v>34</v>
      </c>
      <c r="E3">
        <f>GETPIVOTDATA("SousDomaine",$A$3)</f>
        <v>97</v>
      </c>
      <c r="G3" s="10" t="s">
        <v>31</v>
      </c>
      <c r="H3" t="s">
        <v>35</v>
      </c>
      <c r="J3" t="s">
        <v>36</v>
      </c>
      <c r="K3">
        <f>GETPIVOTDATA("Statut",$G$3)+GETPIVOTDATA("Status_2",$J$6,"Status_2","de NON CONFORME à TRAITES")</f>
        <v>94</v>
      </c>
    </row>
    <row r="4" spans="1:11" x14ac:dyDescent="0.25">
      <c r="A4" s="11" t="s">
        <v>28</v>
      </c>
      <c r="B4" s="13">
        <v>3</v>
      </c>
      <c r="G4" s="11" t="s">
        <v>20</v>
      </c>
      <c r="H4" s="13">
        <v>90</v>
      </c>
    </row>
    <row r="5" spans="1:11" x14ac:dyDescent="0.25">
      <c r="A5" s="12" t="s">
        <v>29</v>
      </c>
      <c r="B5" s="13">
        <v>3</v>
      </c>
      <c r="G5" s="11" t="s">
        <v>32</v>
      </c>
      <c r="H5" s="13">
        <v>90</v>
      </c>
    </row>
    <row r="6" spans="1:11" x14ac:dyDescent="0.25">
      <c r="A6" s="11" t="s">
        <v>18</v>
      </c>
      <c r="B6" s="13">
        <v>54</v>
      </c>
      <c r="J6" s="10" t="s">
        <v>31</v>
      </c>
      <c r="K6" t="s">
        <v>115</v>
      </c>
    </row>
    <row r="7" spans="1:11" x14ac:dyDescent="0.25">
      <c r="A7" s="12" t="s">
        <v>19</v>
      </c>
      <c r="B7" s="13">
        <v>4</v>
      </c>
      <c r="J7" s="11" t="s">
        <v>78</v>
      </c>
      <c r="K7" s="13">
        <v>4</v>
      </c>
    </row>
    <row r="8" spans="1:11" x14ac:dyDescent="0.25">
      <c r="A8" s="12" t="s">
        <v>49</v>
      </c>
      <c r="B8" s="13">
        <v>47</v>
      </c>
      <c r="J8" s="11" t="s">
        <v>32</v>
      </c>
      <c r="K8" s="13">
        <v>4</v>
      </c>
    </row>
    <row r="9" spans="1:11" x14ac:dyDescent="0.25">
      <c r="A9" s="12" t="s">
        <v>121</v>
      </c>
      <c r="B9" s="13">
        <v>3</v>
      </c>
    </row>
    <row r="10" spans="1:11" x14ac:dyDescent="0.25">
      <c r="A10" s="11" t="s">
        <v>92</v>
      </c>
      <c r="B10" s="13">
        <v>6</v>
      </c>
    </row>
    <row r="11" spans="1:11" x14ac:dyDescent="0.25">
      <c r="A11" s="12" t="s">
        <v>93</v>
      </c>
      <c r="B11" s="13">
        <v>6</v>
      </c>
    </row>
    <row r="12" spans="1:11" x14ac:dyDescent="0.25">
      <c r="A12" s="11" t="s">
        <v>97</v>
      </c>
      <c r="B12" s="13">
        <v>14</v>
      </c>
    </row>
    <row r="13" spans="1:11" x14ac:dyDescent="0.25">
      <c r="A13" s="12" t="s">
        <v>98</v>
      </c>
      <c r="B13" s="13">
        <v>2</v>
      </c>
    </row>
    <row r="14" spans="1:11" x14ac:dyDescent="0.25">
      <c r="A14" s="12" t="s">
        <v>130</v>
      </c>
      <c r="B14" s="13">
        <v>2</v>
      </c>
    </row>
    <row r="15" spans="1:11" x14ac:dyDescent="0.25">
      <c r="A15" s="12" t="s">
        <v>154</v>
      </c>
      <c r="B15" s="13">
        <v>4</v>
      </c>
    </row>
    <row r="16" spans="1:11" x14ac:dyDescent="0.25">
      <c r="A16" s="12" t="s">
        <v>162</v>
      </c>
      <c r="B16" s="13">
        <v>6</v>
      </c>
      <c r="J16" s="25"/>
    </row>
    <row r="17" spans="1:2" x14ac:dyDescent="0.25">
      <c r="A17" s="11" t="s">
        <v>103</v>
      </c>
      <c r="B17" s="13">
        <v>19</v>
      </c>
    </row>
    <row r="18" spans="1:2" x14ac:dyDescent="0.25">
      <c r="A18" s="12" t="s">
        <v>104</v>
      </c>
      <c r="B18" s="13">
        <v>5</v>
      </c>
    </row>
    <row r="19" spans="1:2" x14ac:dyDescent="0.25">
      <c r="A19" s="12" t="s">
        <v>110</v>
      </c>
      <c r="B19" s="13">
        <v>5</v>
      </c>
    </row>
    <row r="20" spans="1:2" x14ac:dyDescent="0.25">
      <c r="A20" s="12" t="s">
        <v>126</v>
      </c>
      <c r="B20" s="13">
        <v>2</v>
      </c>
    </row>
    <row r="21" spans="1:2" x14ac:dyDescent="0.25">
      <c r="A21" s="12" t="s">
        <v>133</v>
      </c>
      <c r="B21" s="13">
        <v>6</v>
      </c>
    </row>
    <row r="22" spans="1:2" x14ac:dyDescent="0.25">
      <c r="A22" s="12" t="s">
        <v>140</v>
      </c>
      <c r="B22" s="13">
        <v>1</v>
      </c>
    </row>
    <row r="23" spans="1:2" x14ac:dyDescent="0.25">
      <c r="A23" s="11" t="s">
        <v>124</v>
      </c>
      <c r="B23" s="13">
        <v>1</v>
      </c>
    </row>
    <row r="24" spans="1:2" x14ac:dyDescent="0.25">
      <c r="A24" s="12" t="s">
        <v>93</v>
      </c>
      <c r="B24" s="13">
        <v>1</v>
      </c>
    </row>
    <row r="25" spans="1:2" x14ac:dyDescent="0.25">
      <c r="A25" s="11" t="s">
        <v>32</v>
      </c>
      <c r="B25" s="13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70AF-C4DF-4EA6-897E-A6436D921FC7}">
  <sheetPr codeName="Feuil3"/>
  <dimension ref="A1:N2"/>
  <sheetViews>
    <sheetView workbookViewId="0">
      <selection activeCell="E11" sqref="E11"/>
    </sheetView>
  </sheetViews>
  <sheetFormatPr baseColWidth="10" defaultRowHeight="15" x14ac:dyDescent="0.25"/>
  <cols>
    <col min="1" max="1" width="10.5703125" customWidth="1"/>
    <col min="2" max="2" width="21.85546875" bestFit="1" customWidth="1"/>
    <col min="3" max="3" width="22" bestFit="1" customWidth="1"/>
    <col min="4" max="4" width="9.5703125" bestFit="1" customWidth="1"/>
    <col min="5" max="5" width="8.28515625" bestFit="1" customWidth="1"/>
    <col min="6" max="6" width="15.5703125" bestFit="1" customWidth="1"/>
    <col min="7" max="7" width="8.7109375" bestFit="1" customWidth="1"/>
    <col min="8" max="8" width="20.140625" bestFit="1" customWidth="1"/>
    <col min="9" max="9" width="11.7109375" bestFit="1" customWidth="1"/>
    <col min="10" max="10" width="5" bestFit="1" customWidth="1"/>
    <col min="11" max="11" width="6.7109375" bestFit="1" customWidth="1"/>
    <col min="12" max="12" width="12.42578125" bestFit="1" customWidth="1"/>
    <col min="13" max="13" width="9" style="18" bestFit="1" customWidth="1"/>
    <col min="14" max="14" width="13" bestFit="1" customWidth="1"/>
  </cols>
  <sheetData>
    <row r="1" spans="1:14" x14ac:dyDescent="0.25">
      <c r="A1" s="3" t="s">
        <v>5</v>
      </c>
      <c r="B1" s="3" t="s">
        <v>6</v>
      </c>
      <c r="C1" s="3" t="s">
        <v>7</v>
      </c>
      <c r="D1" s="3" t="s">
        <v>8</v>
      </c>
      <c r="E1" s="3" t="s">
        <v>39</v>
      </c>
      <c r="F1" s="4" t="s">
        <v>9</v>
      </c>
      <c r="G1" s="4" t="s">
        <v>10</v>
      </c>
      <c r="H1" s="14" t="s">
        <v>40</v>
      </c>
      <c r="I1" s="3" t="s">
        <v>11</v>
      </c>
      <c r="J1" s="21" t="s">
        <v>12</v>
      </c>
      <c r="K1" s="16" t="s">
        <v>41</v>
      </c>
      <c r="L1" s="3" t="s">
        <v>25</v>
      </c>
      <c r="M1" s="3" t="s">
        <v>146</v>
      </c>
      <c r="N1" s="3" t="s">
        <v>150</v>
      </c>
    </row>
    <row r="2" spans="1:14" x14ac:dyDescent="0.25">
      <c r="A2" t="s">
        <v>147</v>
      </c>
      <c r="B2" t="s">
        <v>151</v>
      </c>
      <c r="C2" t="s">
        <v>93</v>
      </c>
      <c r="D2" t="s">
        <v>149</v>
      </c>
      <c r="F2" s="26">
        <v>46198.657500000001</v>
      </c>
      <c r="I2" t="s">
        <v>13</v>
      </c>
      <c r="M2" s="18" t="s">
        <v>148</v>
      </c>
      <c r="N2">
        <v>789456132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BUREAU</vt:lpstr>
      <vt:lpstr>SHEET_TRACE_NAME</vt:lpstr>
      <vt:lpstr>LOG_ACTIONS</vt:lpstr>
      <vt:lpstr>NC_LOG_ACTIONS</vt:lpstr>
      <vt:lpstr>Feuil2</vt:lpstr>
      <vt:lpstr>SAISIE_SARA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Dark Mode</dc:creator>
  <cp:lastModifiedBy>HAMDANI Mohamed [EIDS]</cp:lastModifiedBy>
  <dcterms:created xsi:type="dcterms:W3CDTF">2026-01-22T20:51:30Z</dcterms:created>
  <dcterms:modified xsi:type="dcterms:W3CDTF">2026-07-21T08:18:23Z</dcterms:modified>
</cp:coreProperties>
</file>